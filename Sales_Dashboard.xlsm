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arav Bhandari\OneDrive\Desktop\Data Analyst\Sales Dashboard Project\"/>
    </mc:Choice>
  </mc:AlternateContent>
  <xr:revisionPtr revIDLastSave="0" documentId="13_ncr:1_{390150F4-03D1-41FD-96F2-35004A21AA37}" xr6:coauthVersionLast="47" xr6:coauthVersionMax="47" xr10:uidLastSave="{00000000-0000-0000-0000-000000000000}"/>
  <bookViews>
    <workbookView xWindow="-120" yWindow="-120" windowWidth="29040" windowHeight="15720" activeTab="1" xr2:uid="{2A1B0555-F162-4084-9976-52CB256295FB}"/>
  </bookViews>
  <sheets>
    <sheet name="Pivot" sheetId="3" r:id="rId1"/>
    <sheet name="Dashboard" sheetId="4" r:id="rId2"/>
    <sheet name="Sales_data" sheetId="1" r:id="rId3"/>
  </sheets>
  <definedNames>
    <definedName name="Slicer_Years">#N/A</definedName>
  </definedNames>
  <calcPr calcId="191029"/>
  <pivotCaches>
    <pivotCache cacheId="17"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8" i="3" l="1"/>
  <c r="B13" i="3" s="1"/>
  <c r="B11" i="3"/>
  <c r="B9" i="3"/>
  <c r="B10" i="3" s="1"/>
  <c r="B8" i="3"/>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2"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B12" i="3" l="1"/>
</calcChain>
</file>

<file path=xl/sharedStrings.xml><?xml version="1.0" encoding="utf-8"?>
<sst xmlns="http://schemas.openxmlformats.org/spreadsheetml/2006/main" count="20085" uniqueCount="77">
  <si>
    <t>Order_ID</t>
  </si>
  <si>
    <t>Order_Date</t>
  </si>
  <si>
    <t>Region</t>
  </si>
  <si>
    <t>Category</t>
  </si>
  <si>
    <t>Product</t>
  </si>
  <si>
    <t>Salesperson</t>
  </si>
  <si>
    <t>Quantity</t>
  </si>
  <si>
    <t>Unit_Price</t>
  </si>
  <si>
    <t>Discount_%</t>
  </si>
  <si>
    <t>Total_Sales</t>
  </si>
  <si>
    <t>Cost</t>
  </si>
  <si>
    <t>Profit</t>
  </si>
  <si>
    <t>South</t>
  </si>
  <si>
    <t>Furniture</t>
  </si>
  <si>
    <t>Bed</t>
  </si>
  <si>
    <t>David</t>
  </si>
  <si>
    <t>North</t>
  </si>
  <si>
    <t>Table</t>
  </si>
  <si>
    <t>Amit</t>
  </si>
  <si>
    <t>West</t>
  </si>
  <si>
    <t>Clothing</t>
  </si>
  <si>
    <t>Shirt</t>
  </si>
  <si>
    <t>Sports</t>
  </si>
  <si>
    <t>Tennis Racket</t>
  </si>
  <si>
    <t>Priya</t>
  </si>
  <si>
    <t>East</t>
  </si>
  <si>
    <t>Electronics</t>
  </si>
  <si>
    <t>Tablet</t>
  </si>
  <si>
    <t>Jacket</t>
  </si>
  <si>
    <t>Gym Gloves</t>
  </si>
  <si>
    <t>Shoes</t>
  </si>
  <si>
    <t>John</t>
  </si>
  <si>
    <t>Beauty</t>
  </si>
  <si>
    <t>Moisturizer</t>
  </si>
  <si>
    <t>Lipstick</t>
  </si>
  <si>
    <t>Meena</t>
  </si>
  <si>
    <t>Bat</t>
  </si>
  <si>
    <t>Mobile</t>
  </si>
  <si>
    <t>Sofa</t>
  </si>
  <si>
    <t>Chair</t>
  </si>
  <si>
    <t>Sara</t>
  </si>
  <si>
    <t>Perfume</t>
  </si>
  <si>
    <t>Laptop</t>
  </si>
  <si>
    <t>Jeans</t>
  </si>
  <si>
    <t>Football</t>
  </si>
  <si>
    <t>Face Wash</t>
  </si>
  <si>
    <t>Headphones</t>
  </si>
  <si>
    <t>Month</t>
  </si>
  <si>
    <t>Years</t>
  </si>
  <si>
    <t>Profit_margin%</t>
  </si>
  <si>
    <t>Grand Total</t>
  </si>
  <si>
    <t>Sum of Total_Sales</t>
  </si>
  <si>
    <t>Jan</t>
  </si>
  <si>
    <t>Feb</t>
  </si>
  <si>
    <t>Mar</t>
  </si>
  <si>
    <t>Apr</t>
  </si>
  <si>
    <t>May</t>
  </si>
  <si>
    <t>Jun</t>
  </si>
  <si>
    <t>Jul</t>
  </si>
  <si>
    <t>Aug</t>
  </si>
  <si>
    <t>Sep</t>
  </si>
  <si>
    <t>Oct</t>
  </si>
  <si>
    <t>Nov</t>
  </si>
  <si>
    <t>Dec</t>
  </si>
  <si>
    <t>Months</t>
  </si>
  <si>
    <t>Sum of Profit</t>
  </si>
  <si>
    <t>Year</t>
  </si>
  <si>
    <t>Salespersons</t>
  </si>
  <si>
    <t>Total Sales</t>
  </si>
  <si>
    <t>Total Profit</t>
  </si>
  <si>
    <t>Profit Margin %</t>
  </si>
  <si>
    <t>Total Orders</t>
  </si>
  <si>
    <t>Avg Order Value</t>
  </si>
  <si>
    <t>KPIs</t>
  </si>
  <si>
    <t>Values</t>
  </si>
  <si>
    <t>Average Selling Price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</si>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</sst>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00"/>
    <numFmt numFmtId="165" formatCode="&quot;₹&quot;\ #,##0"/>
  </numFmts>
  <fonts count="6" x14ac:knownFonts="1">
    <font>
      <sz val="11"/>
      <color theme="1"/>
      <name val="Calibri"/>
      <family val="2"/>
      <scheme val="minor"/>
    </font>
    <font>
      <sz val="11"/>
      <color theme="1"/>
      <name val="Calibri"/>
      <family val="2"/>
      <scheme val="minor"/>
    </font>
    <font>
      <sz val="11"/>
      <color rgb="FF006100"/>
      <name val="Calibri"/>
      <family val="2"/>
      <scheme val="minor"/>
    </font>
    <font>
      <b/>
      <sz val="11"/>
      <color theme="1"/>
      <name val="Calibri"/>
      <family val="2"/>
      <scheme val="minor"/>
    </font>
    <font>
      <b/>
      <sz val="18"/>
      <color theme="1"/>
      <name val="Calibri"/>
      <family val="2"/>
      <scheme val="minor"/>
    </font>
    <font>
      <sz val="10"/>
      <color theme="1"/>
      <name val="Calibri"/>
      <family val="2"/>
      <scheme val="minor"/>
    </font>
  </fonts>
  <fills count="3">
    <fill>
      <patternFill patternType="none"/>
    </fill>
    <fill>
      <patternFill patternType="gray125"/>
    </fill>
    <fill>
      <patternFill patternType="solid">
        <fgColor rgb="FFC6EF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2" fillId="2" borderId="0" applyNumberFormat="0" applyBorder="0" applyAlignment="0" applyProtection="0"/>
  </cellStyleXfs>
  <cellXfs count="23">
    <xf numFmtId="0" fontId="0" fillId="0" borderId="0" xfId="0"/>
    <xf numFmtId="0" fontId="0" fillId="0" borderId="0" xfId="0" applyAlignment="1">
      <alignment horizontal="center"/>
    </xf>
    <xf numFmtId="14" fontId="0" fillId="0" borderId="0" xfId="0" applyNumberFormat="1" applyAlignment="1">
      <alignment horizontal="center"/>
    </xf>
    <xf numFmtId="0" fontId="2" fillId="2" borderId="0" xfId="2" applyAlignment="1">
      <alignment horizontal="center"/>
    </xf>
    <xf numFmtId="164" fontId="0" fillId="0" borderId="0" xfId="0" applyNumberFormat="1" applyAlignment="1">
      <alignment horizontal="center"/>
    </xf>
    <xf numFmtId="164" fontId="0" fillId="0" borderId="0" xfId="0" applyNumberFormat="1"/>
    <xf numFmtId="9" fontId="2" fillId="2" borderId="0" xfId="1" applyFont="1" applyFill="1" applyAlignment="1">
      <alignment horizontal="center"/>
    </xf>
    <xf numFmtId="9" fontId="0" fillId="0" borderId="0" xfId="1" applyFont="1" applyAlignment="1">
      <alignment horizontal="center"/>
    </xf>
    <xf numFmtId="9" fontId="0" fillId="0" borderId="0" xfId="1" applyFont="1"/>
    <xf numFmtId="0" fontId="0" fillId="0" borderId="0" xfId="0" pivotButton="1"/>
    <xf numFmtId="0" fontId="0" fillId="0" borderId="0" xfId="0" applyAlignment="1">
      <alignment horizontal="left"/>
    </xf>
    <xf numFmtId="1" fontId="0" fillId="0" borderId="0" xfId="0" applyNumberFormat="1"/>
    <xf numFmtId="0" fontId="0" fillId="0" borderId="0" xfId="0" applyAlignment="1">
      <alignment horizontal="left" vertical="center" indent="1"/>
    </xf>
    <xf numFmtId="0" fontId="4" fillId="0" borderId="0" xfId="0" applyFont="1" applyAlignment="1">
      <alignment vertical="center"/>
    </xf>
    <xf numFmtId="0" fontId="0" fillId="0" borderId="1" xfId="0" applyBorder="1"/>
    <xf numFmtId="0" fontId="0" fillId="0" borderId="1" xfId="0" applyBorder="1" applyAlignment="1">
      <alignment horizontal="center"/>
    </xf>
    <xf numFmtId="0" fontId="0" fillId="0" borderId="1" xfId="0" applyBorder="1" applyAlignment="1">
      <alignment horizontal="left" vertical="center"/>
    </xf>
    <xf numFmtId="0" fontId="3" fillId="0" borderId="1" xfId="0" applyFont="1" applyBorder="1" applyAlignment="1">
      <alignment horizontal="left"/>
    </xf>
    <xf numFmtId="165" fontId="0" fillId="0" borderId="1" xfId="0" applyNumberFormat="1" applyBorder="1"/>
    <xf numFmtId="0" fontId="3" fillId="0" borderId="1" xfId="0" applyFont="1" applyBorder="1" applyAlignment="1">
      <alignment horizontal="center"/>
    </xf>
    <xf numFmtId="165" fontId="0" fillId="0" borderId="1" xfId="0" applyNumberFormat="1" applyBorder="1" applyAlignment="1">
      <alignment horizontal="center"/>
    </xf>
    <xf numFmtId="9" fontId="0" fillId="0" borderId="1" xfId="1" applyFont="1" applyBorder="1" applyAlignment="1">
      <alignment horizontal="center"/>
    </xf>
    <xf numFmtId="0" fontId="5" fillId="0" borderId="0" xfId="0" applyFont="1"/>
  </cellXfs>
  <cellStyles count="3">
    <cellStyle name="Good" xfId="2" builtinId="26"/>
    <cellStyle name="Normal" xfId="0" builtinId="0"/>
    <cellStyle name="Percent" xfId="1" builtinId="5"/>
  </cellStyles>
  <dxfs count="26">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quot;₹&quot;\ #,##0.00"/>
      <alignment horizontal="center" vertical="bottom" textRotation="0" wrapText="0" indent="0" justifyLastLine="0" shrinkToFit="0" readingOrder="0"/>
    </dxf>
    <dxf>
      <numFmt numFmtId="164" formatCode="&quot;₹&quot;\ #,##0.00"/>
      <alignment horizontal="center" vertical="bottom" textRotation="0" wrapText="0" indent="0" justifyLastLine="0" shrinkToFit="0" readingOrder="0"/>
    </dxf>
    <dxf>
      <numFmt numFmtId="164" formatCode="&quot;₹&quot;\ #,##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dxf>
    <dxf>
      <font>
        <color theme="0"/>
      </font>
      <fill>
        <patternFill>
          <bgColor theme="4" tint="-0.499984740745262"/>
        </patternFill>
      </fill>
      <border>
        <bottom style="thin">
          <color theme="4"/>
        </bottom>
        <vertical/>
        <horizontal/>
      </border>
    </dxf>
    <dxf>
      <font>
        <color theme="1"/>
      </font>
      <fill>
        <patternFill>
          <bgColor theme="4" tint="-0.499984740745262"/>
        </patternFill>
      </fill>
      <border>
        <vertical/>
        <horizontal/>
      </border>
    </dxf>
  </dxfs>
  <tableStyles count="1" defaultTableStyle="TableStyleMedium2" defaultPivotStyle="PivotStyleLight16">
    <tableStyle name="SlicerStyleLight1 2" pivot="0" table="0" count="10" xr9:uid="{78EE05CA-355D-43F8-9238-A211C7F23756}">
      <tableStyleElement type="wholeTable" dxfId="25"/>
      <tableStyleElement type="headerRow" dxfId="24"/>
    </tableStyle>
  </tableStyles>
  <colors>
    <mruColors>
      <color rgb="FFD68F00"/>
      <color rgb="FFEFF4F5"/>
      <color rgb="FFFCE8F9"/>
      <color rgb="FFFFFFFF"/>
      <color rgb="FFFDEDE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noFill/>
          </a:ln>
          <a:effectLst/>
        </c:spPr>
      </c:pivotFmt>
      <c:pivotFmt>
        <c:idx val="4"/>
        <c:spPr>
          <a:solidFill>
            <a:schemeClr val="accent5">
              <a:lumMod val="40000"/>
              <a:lumOff val="60000"/>
            </a:schemeClr>
          </a:solidFill>
          <a:ln>
            <a:noFill/>
          </a:ln>
          <a:effectLst/>
        </c:spPr>
      </c:pivotFmt>
      <c:pivotFmt>
        <c:idx val="5"/>
        <c:spPr>
          <a:solidFill>
            <a:schemeClr val="accent5">
              <a:lumMod val="75000"/>
            </a:schemeClr>
          </a:solidFill>
          <a:ln>
            <a:noFill/>
          </a:ln>
          <a:effectLst/>
        </c:spPr>
      </c:pivotFmt>
      <c:pivotFmt>
        <c:idx val="6"/>
        <c:spPr>
          <a:solidFill>
            <a:schemeClr val="accent5">
              <a:lumMod val="60000"/>
              <a:lumOff val="40000"/>
            </a:schemeClr>
          </a:solidFill>
          <a:ln>
            <a:noFill/>
          </a:ln>
          <a:effectLst/>
        </c:spPr>
      </c:pivotFmt>
    </c:pivotFmts>
    <c:plotArea>
      <c:layout/>
      <c:barChart>
        <c:barDir val="col"/>
        <c:grouping val="clustered"/>
        <c:varyColors val="0"/>
        <c:ser>
          <c:idx val="0"/>
          <c:order val="0"/>
          <c:tx>
            <c:strRef>
              <c:f>Pivot!$F$7</c:f>
              <c:strCache>
                <c:ptCount val="1"/>
                <c:pt idx="0">
                  <c:v>Total</c:v>
                </c:pt>
              </c:strCache>
            </c:strRef>
          </c:tx>
          <c:spPr>
            <a:solidFill>
              <a:schemeClr val="accent1"/>
            </a:solidFill>
            <a:ln>
              <a:noFill/>
            </a:ln>
            <a:effectLst/>
          </c:spPr>
          <c:invertIfNegative val="0"/>
          <c:dPt>
            <c:idx val="0"/>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1-E5C3-4DCB-A287-59FD5407610E}"/>
              </c:ext>
            </c:extLst>
          </c:dPt>
          <c:dPt>
            <c:idx val="1"/>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2-E5C3-4DCB-A287-59FD5407610E}"/>
              </c:ext>
            </c:extLst>
          </c:dPt>
          <c:dPt>
            <c:idx val="2"/>
            <c:invertIfNegative val="0"/>
            <c:bubble3D val="0"/>
            <c:spPr>
              <a:solidFill>
                <a:schemeClr val="accent5">
                  <a:lumMod val="75000"/>
                </a:schemeClr>
              </a:solidFill>
              <a:ln>
                <a:noFill/>
              </a:ln>
              <a:effectLst/>
            </c:spPr>
            <c:extLst>
              <c:ext xmlns:c16="http://schemas.microsoft.com/office/drawing/2014/chart" uri="{C3380CC4-5D6E-409C-BE32-E72D297353CC}">
                <c16:uniqueId val="{00000003-E5C3-4DCB-A287-59FD5407610E}"/>
              </c:ext>
            </c:extLst>
          </c:dPt>
          <c:dPt>
            <c:idx val="3"/>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4-E5C3-4DCB-A287-59FD5407610E}"/>
              </c:ext>
            </c:extLst>
          </c:dPt>
          <c:cat>
            <c:strRef>
              <c:f>Pivot!$E$8:$E$12</c:f>
              <c:strCache>
                <c:ptCount val="4"/>
                <c:pt idx="0">
                  <c:v>East</c:v>
                </c:pt>
                <c:pt idx="1">
                  <c:v>North</c:v>
                </c:pt>
                <c:pt idx="2">
                  <c:v>South</c:v>
                </c:pt>
                <c:pt idx="3">
                  <c:v>West</c:v>
                </c:pt>
              </c:strCache>
            </c:strRef>
          </c:cat>
          <c:val>
            <c:numRef>
              <c:f>Pivot!$F$8:$F$12</c:f>
              <c:numCache>
                <c:formatCode>0</c:formatCode>
                <c:ptCount val="4"/>
                <c:pt idx="0">
                  <c:v>2998313.7499999972</c:v>
                </c:pt>
                <c:pt idx="1">
                  <c:v>3029076.4500000016</c:v>
                </c:pt>
                <c:pt idx="2">
                  <c:v>3242128.7999999989</c:v>
                </c:pt>
                <c:pt idx="3">
                  <c:v>3099121.1500000027</c:v>
                </c:pt>
              </c:numCache>
            </c:numRef>
          </c:val>
          <c:extLst>
            <c:ext xmlns:c16="http://schemas.microsoft.com/office/drawing/2014/chart" uri="{C3380CC4-5D6E-409C-BE32-E72D297353CC}">
              <c16:uniqueId val="{00000000-6CBB-415C-86A3-ED1E7F630450}"/>
            </c:ext>
          </c:extLst>
        </c:ser>
        <c:dLbls>
          <c:showLegendKey val="0"/>
          <c:showVal val="0"/>
          <c:showCatName val="0"/>
          <c:showSerName val="0"/>
          <c:showPercent val="0"/>
          <c:showBubbleSize val="0"/>
        </c:dLbls>
        <c:gapWidth val="98"/>
        <c:overlap val="-27"/>
        <c:axId val="100697024"/>
        <c:axId val="100698688"/>
      </c:barChart>
      <c:catAx>
        <c:axId val="10069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98688"/>
        <c:crosses val="autoZero"/>
        <c:auto val="1"/>
        <c:lblAlgn val="ctr"/>
        <c:lblOffset val="100"/>
        <c:noMultiLvlLbl val="0"/>
      </c:catAx>
      <c:valAx>
        <c:axId val="1006986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97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Pivot!$I$7</c:f>
              <c:strCache>
                <c:ptCount val="1"/>
                <c:pt idx="0">
                  <c:v>Total</c:v>
                </c:pt>
              </c:strCache>
            </c:strRef>
          </c:tx>
          <c:spPr>
            <a:solidFill>
              <a:schemeClr val="accent5">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Pivot!$H$8:$H$13</c:f>
              <c:strCache>
                <c:ptCount val="5"/>
                <c:pt idx="0">
                  <c:v>Beauty</c:v>
                </c:pt>
                <c:pt idx="1">
                  <c:v>Clothing</c:v>
                </c:pt>
                <c:pt idx="2">
                  <c:v>Electronics</c:v>
                </c:pt>
                <c:pt idx="3">
                  <c:v>Furniture</c:v>
                </c:pt>
                <c:pt idx="4">
                  <c:v>Sports</c:v>
                </c:pt>
              </c:strCache>
            </c:strRef>
          </c:cat>
          <c:val>
            <c:numRef>
              <c:f>Pivot!$I$8:$I$13</c:f>
              <c:numCache>
                <c:formatCode>0</c:formatCode>
                <c:ptCount val="5"/>
                <c:pt idx="0">
                  <c:v>2497272.4000000027</c:v>
                </c:pt>
                <c:pt idx="1">
                  <c:v>2496614.1000000034</c:v>
                </c:pt>
                <c:pt idx="2">
                  <c:v>2564041.0999999987</c:v>
                </c:pt>
                <c:pt idx="3">
                  <c:v>2405376.4499999997</c:v>
                </c:pt>
                <c:pt idx="4">
                  <c:v>2405336.1000000015</c:v>
                </c:pt>
              </c:numCache>
            </c:numRef>
          </c:val>
          <c:extLst>
            <c:ext xmlns:c16="http://schemas.microsoft.com/office/drawing/2014/chart" uri="{C3380CC4-5D6E-409C-BE32-E72D297353CC}">
              <c16:uniqueId val="{00000000-6CF5-46EF-93F9-8959A476C917}"/>
            </c:ext>
          </c:extLst>
        </c:ser>
        <c:dLbls>
          <c:showLegendKey val="0"/>
          <c:showVal val="1"/>
          <c:showCatName val="0"/>
          <c:showSerName val="0"/>
          <c:showPercent val="0"/>
          <c:showBubbleSize val="0"/>
        </c:dLbls>
        <c:gapWidth val="79"/>
        <c:shape val="box"/>
        <c:axId val="172695600"/>
        <c:axId val="172701840"/>
        <c:axId val="0"/>
      </c:bar3DChart>
      <c:catAx>
        <c:axId val="17269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cap="all" spc="120" normalizeH="0" baseline="0">
                <a:solidFill>
                  <a:schemeClr val="tx1">
                    <a:lumMod val="65000"/>
                    <a:lumOff val="35000"/>
                  </a:schemeClr>
                </a:solidFill>
                <a:latin typeface="+mn-lt"/>
                <a:ea typeface="+mn-ea"/>
                <a:cs typeface="+mn-cs"/>
              </a:defRPr>
            </a:pPr>
            <a:endParaRPr lang="en-US"/>
          </a:p>
        </c:txPr>
        <c:crossAx val="172701840"/>
        <c:crosses val="autoZero"/>
        <c:auto val="1"/>
        <c:lblAlgn val="ctr"/>
        <c:lblOffset val="100"/>
        <c:noMultiLvlLbl val="0"/>
      </c:catAx>
      <c:valAx>
        <c:axId val="172701840"/>
        <c:scaling>
          <c:orientation val="minMax"/>
        </c:scaling>
        <c:delete val="1"/>
        <c:axPos val="b"/>
        <c:numFmt formatCode="0" sourceLinked="1"/>
        <c:majorTickMark val="none"/>
        <c:minorTickMark val="none"/>
        <c:tickLblPos val="nextTo"/>
        <c:crossAx val="17269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[Sales_Dashboard.xlsm]Pivot!PivotTable3</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lumMod val="75000"/>
              </a:schemeClr>
            </a:solidFill>
            <a:round/>
          </a:ln>
          <a:effectLst/>
        </c:spPr>
        <c:marker>
          <c:symbol val="circle"/>
          <c:size val="5"/>
          <c:spPr>
            <a:solidFill>
              <a:schemeClr val="accent1">
                <a:lumMod val="40000"/>
                <a:lumOff val="6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Pivot!$L$7</c:f>
              <c:strCache>
                <c:ptCount val="1"/>
                <c:pt idx="0">
                  <c:v>Total</c:v>
                </c:pt>
              </c:strCache>
            </c:strRef>
          </c:tx>
          <c:spPr>
            <a:ln w="28575" cap="rnd">
              <a:solidFill>
                <a:schemeClr val="accent1">
                  <a:lumMod val="75000"/>
                </a:schemeClr>
              </a:solidFill>
              <a:round/>
            </a:ln>
            <a:effectLst/>
          </c:spPr>
          <c:marker>
            <c:symbol val="circle"/>
            <c:size val="5"/>
            <c:spPr>
              <a:solidFill>
                <a:schemeClr val="accent1">
                  <a:lumMod val="40000"/>
                  <a:lumOff val="60000"/>
                </a:schemeClr>
              </a:solidFill>
              <a:ln w="9525">
                <a:noFill/>
              </a:ln>
              <a:effectLst/>
            </c:spPr>
          </c:marker>
          <c:trendline>
            <c:spPr>
              <a:ln w="19050" cap="rnd">
                <a:solidFill>
                  <a:schemeClr val="accent1"/>
                </a:solidFill>
                <a:prstDash val="sysDot"/>
              </a:ln>
              <a:effectLst/>
            </c:spPr>
            <c:trendlineType val="movingAvg"/>
            <c:period val="2"/>
            <c:dispRSqr val="0"/>
            <c:dispEq val="0"/>
          </c:trendline>
          <c:cat>
            <c:strRef>
              <c:f>Pivot!$K$8:$K$20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Pivot!$L$8:$L$20</c:f>
              <c:numCache>
                <c:formatCode>0</c:formatCode>
                <c:ptCount val="12"/>
                <c:pt idx="0">
                  <c:v>989674.99999999977</c:v>
                </c:pt>
                <c:pt idx="1">
                  <c:v>896855.94999999984</c:v>
                </c:pt>
                <c:pt idx="2">
                  <c:v>1065313.2499999998</c:v>
                </c:pt>
                <c:pt idx="3">
                  <c:v>965314.34999999986</c:v>
                </c:pt>
                <c:pt idx="4">
                  <c:v>994913.95000000042</c:v>
                </c:pt>
                <c:pt idx="5">
                  <c:v>920812.34999999974</c:v>
                </c:pt>
                <c:pt idx="6">
                  <c:v>1032372.9499999997</c:v>
                </c:pt>
                <c:pt idx="7">
                  <c:v>1226499.0999999999</c:v>
                </c:pt>
                <c:pt idx="8">
                  <c:v>1098362.0500000012</c:v>
                </c:pt>
                <c:pt idx="9">
                  <c:v>1013120.3500000001</c:v>
                </c:pt>
                <c:pt idx="10">
                  <c:v>1093696.8999999992</c:v>
                </c:pt>
                <c:pt idx="11">
                  <c:v>1071703.9499999997</c:v>
                </c:pt>
              </c:numCache>
            </c:numRef>
          </c:val>
          <c:smooth val="0"/>
          <c:extLst>
            <c:ext xmlns:c16="http://schemas.microsoft.com/office/drawing/2014/chart" uri="{C3380CC4-5D6E-409C-BE32-E72D297353CC}">
              <c16:uniqueId val="{00000000-17E2-4ABC-B674-9EB96A5EECC8}"/>
            </c:ext>
          </c:extLst>
        </c:ser>
        <c:dLbls>
          <c:showLegendKey val="0"/>
          <c:showVal val="0"/>
          <c:showCatName val="0"/>
          <c:showSerName val="0"/>
          <c:showPercent val="0"/>
          <c:showBubbleSize val="0"/>
        </c:dLbls>
        <c:marker val="1"/>
        <c:smooth val="0"/>
        <c:axId val="1947318352"/>
        <c:axId val="1947315856"/>
      </c:lineChart>
      <c:catAx>
        <c:axId val="194731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315856"/>
        <c:crosses val="autoZero"/>
        <c:auto val="1"/>
        <c:lblAlgn val="ctr"/>
        <c:lblOffset val="100"/>
        <c:noMultiLvlLbl val="0"/>
      </c:catAx>
      <c:valAx>
        <c:axId val="194731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318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w="0">
            <a:noFill/>
          </a:ln>
          <a:effectLst/>
        </c:spPr>
      </c:pivotFmt>
      <c:pivotFmt>
        <c:idx val="4"/>
        <c:spPr>
          <a:solidFill>
            <a:schemeClr val="accent5">
              <a:lumMod val="40000"/>
              <a:lumOff val="60000"/>
            </a:schemeClr>
          </a:solidFill>
          <a:ln w="0">
            <a:noFill/>
          </a:ln>
          <a:effectLst/>
        </c:spPr>
      </c:pivotFmt>
      <c:pivotFmt>
        <c:idx val="5"/>
        <c:spPr>
          <a:solidFill>
            <a:schemeClr val="accent5">
              <a:lumMod val="60000"/>
              <a:lumOff val="40000"/>
            </a:schemeClr>
          </a:solidFill>
          <a:ln w="0">
            <a:noFill/>
          </a:ln>
          <a:effectLst/>
        </c:spPr>
      </c:pivotFmt>
      <c:pivotFmt>
        <c:idx val="6"/>
        <c:spPr>
          <a:solidFill>
            <a:schemeClr val="accent5">
              <a:lumMod val="75000"/>
            </a:schemeClr>
          </a:solidFill>
          <a:ln w="0">
            <a:noFill/>
          </a:ln>
          <a:effectLst/>
        </c:spPr>
      </c:pivotFmt>
      <c:pivotFmt>
        <c:idx val="7"/>
        <c:spPr>
          <a:solidFill>
            <a:schemeClr val="accent5">
              <a:lumMod val="50000"/>
            </a:schemeClr>
          </a:solidFill>
          <a:ln w="0">
            <a:noFill/>
          </a:ln>
          <a:effectLst/>
        </c:spPr>
      </c:pivotFmt>
    </c:pivotFmts>
    <c:plotArea>
      <c:layout/>
      <c:barChart>
        <c:barDir val="bar"/>
        <c:grouping val="clustered"/>
        <c:varyColors val="0"/>
        <c:ser>
          <c:idx val="0"/>
          <c:order val="0"/>
          <c:tx>
            <c:strRef>
              <c:f>Pivot!$F$15</c:f>
              <c:strCache>
                <c:ptCount val="1"/>
                <c:pt idx="0">
                  <c:v>Total</c:v>
                </c:pt>
              </c:strCache>
            </c:strRef>
          </c:tx>
          <c:spPr>
            <a:solidFill>
              <a:schemeClr val="accent1"/>
            </a:solidFill>
            <a:ln w="0">
              <a:noFill/>
            </a:ln>
            <a:effectLst/>
          </c:spPr>
          <c:invertIfNegative val="0"/>
          <c:dPt>
            <c:idx val="0"/>
            <c:invertIfNegative val="0"/>
            <c:bubble3D val="0"/>
            <c:spPr>
              <a:solidFill>
                <a:schemeClr val="accent5">
                  <a:lumMod val="50000"/>
                </a:schemeClr>
              </a:solidFill>
              <a:ln w="0">
                <a:noFill/>
              </a:ln>
              <a:effectLst/>
            </c:spPr>
            <c:extLst>
              <c:ext xmlns:c16="http://schemas.microsoft.com/office/drawing/2014/chart" uri="{C3380CC4-5D6E-409C-BE32-E72D297353CC}">
                <c16:uniqueId val="{00000006-3697-4FFE-8DC6-40F0A149F6FB}"/>
              </c:ext>
            </c:extLst>
          </c:dPt>
          <c:dPt>
            <c:idx val="1"/>
            <c:invertIfNegative val="0"/>
            <c:bubble3D val="0"/>
            <c:spPr>
              <a:solidFill>
                <a:schemeClr val="accent5">
                  <a:lumMod val="50000"/>
                </a:schemeClr>
              </a:solidFill>
              <a:ln w="0">
                <a:noFill/>
              </a:ln>
              <a:effectLst/>
            </c:spPr>
            <c:extLst>
              <c:ext xmlns:c16="http://schemas.microsoft.com/office/drawing/2014/chart" uri="{C3380CC4-5D6E-409C-BE32-E72D297353CC}">
                <c16:uniqueId val="{00000007-3697-4FFE-8DC6-40F0A149F6FB}"/>
              </c:ext>
            </c:extLst>
          </c:dPt>
          <c:dPt>
            <c:idx val="2"/>
            <c:invertIfNegative val="0"/>
            <c:bubble3D val="0"/>
            <c:spPr>
              <a:solidFill>
                <a:schemeClr val="accent5">
                  <a:lumMod val="75000"/>
                </a:schemeClr>
              </a:solidFill>
              <a:ln w="0">
                <a:noFill/>
              </a:ln>
              <a:effectLst/>
            </c:spPr>
            <c:extLst>
              <c:ext xmlns:c16="http://schemas.microsoft.com/office/drawing/2014/chart" uri="{C3380CC4-5D6E-409C-BE32-E72D297353CC}">
                <c16:uniqueId val="{00000005-3697-4FFE-8DC6-40F0A149F6FB}"/>
              </c:ext>
            </c:extLst>
          </c:dPt>
          <c:dPt>
            <c:idx val="3"/>
            <c:invertIfNegative val="0"/>
            <c:bubble3D val="0"/>
            <c:spPr>
              <a:solidFill>
                <a:schemeClr val="accent5">
                  <a:lumMod val="60000"/>
                  <a:lumOff val="40000"/>
                </a:schemeClr>
              </a:solidFill>
              <a:ln w="0">
                <a:noFill/>
              </a:ln>
              <a:effectLst/>
            </c:spPr>
            <c:extLst>
              <c:ext xmlns:c16="http://schemas.microsoft.com/office/drawing/2014/chart" uri="{C3380CC4-5D6E-409C-BE32-E72D297353CC}">
                <c16:uniqueId val="{00000004-3697-4FFE-8DC6-40F0A149F6FB}"/>
              </c:ext>
            </c:extLst>
          </c:dPt>
          <c:dPt>
            <c:idx val="4"/>
            <c:invertIfNegative val="0"/>
            <c:bubble3D val="0"/>
            <c:spPr>
              <a:solidFill>
                <a:schemeClr val="accent5">
                  <a:lumMod val="40000"/>
                  <a:lumOff val="60000"/>
                </a:schemeClr>
              </a:solidFill>
              <a:ln w="0">
                <a:noFill/>
              </a:ln>
              <a:effectLst/>
            </c:spPr>
            <c:extLst>
              <c:ext xmlns:c16="http://schemas.microsoft.com/office/drawing/2014/chart" uri="{C3380CC4-5D6E-409C-BE32-E72D297353CC}">
                <c16:uniqueId val="{00000003-3697-4FFE-8DC6-40F0A149F6FB}"/>
              </c:ext>
            </c:extLst>
          </c:dPt>
          <c:dPt>
            <c:idx val="5"/>
            <c:invertIfNegative val="0"/>
            <c:bubble3D val="0"/>
            <c:spPr>
              <a:solidFill>
                <a:schemeClr val="accent5">
                  <a:lumMod val="20000"/>
                  <a:lumOff val="80000"/>
                </a:schemeClr>
              </a:solidFill>
              <a:ln w="0">
                <a:noFill/>
              </a:ln>
              <a:effectLst/>
            </c:spPr>
            <c:extLst>
              <c:ext xmlns:c16="http://schemas.microsoft.com/office/drawing/2014/chart" uri="{C3380CC4-5D6E-409C-BE32-E72D297353CC}">
                <c16:uniqueId val="{00000002-3697-4FFE-8DC6-40F0A149F6FB}"/>
              </c:ext>
            </c:extLst>
          </c:dPt>
          <c:cat>
            <c:strRef>
              <c:f>Pivot!$E$16:$E$22</c:f>
              <c:strCache>
                <c:ptCount val="6"/>
                <c:pt idx="0">
                  <c:v>Headphones</c:v>
                </c:pt>
                <c:pt idx="1">
                  <c:v>Jacket</c:v>
                </c:pt>
                <c:pt idx="2">
                  <c:v>Jeans</c:v>
                </c:pt>
                <c:pt idx="3">
                  <c:v>Laptop</c:v>
                </c:pt>
                <c:pt idx="4">
                  <c:v>Sofa</c:v>
                </c:pt>
                <c:pt idx="5">
                  <c:v>Tennis Racket</c:v>
                </c:pt>
              </c:strCache>
            </c:strRef>
          </c:cat>
          <c:val>
            <c:numRef>
              <c:f>Pivot!$F$16:$F$22</c:f>
              <c:numCache>
                <c:formatCode>0</c:formatCode>
                <c:ptCount val="6"/>
                <c:pt idx="0">
                  <c:v>680161.34999999986</c:v>
                </c:pt>
                <c:pt idx="1">
                  <c:v>658663.79999999993</c:v>
                </c:pt>
                <c:pt idx="2">
                  <c:v>683815.24999999977</c:v>
                </c:pt>
                <c:pt idx="3">
                  <c:v>694412.75000000058</c:v>
                </c:pt>
                <c:pt idx="4">
                  <c:v>656061.65</c:v>
                </c:pt>
                <c:pt idx="5">
                  <c:v>657867.79999999993</c:v>
                </c:pt>
              </c:numCache>
            </c:numRef>
          </c:val>
          <c:extLst>
            <c:ext xmlns:c16="http://schemas.microsoft.com/office/drawing/2014/chart" uri="{C3380CC4-5D6E-409C-BE32-E72D297353CC}">
              <c16:uniqueId val="{00000000-3697-4FFE-8DC6-40F0A149F6FB}"/>
            </c:ext>
          </c:extLst>
        </c:ser>
        <c:dLbls>
          <c:showLegendKey val="0"/>
          <c:showVal val="0"/>
          <c:showCatName val="0"/>
          <c:showSerName val="0"/>
          <c:showPercent val="0"/>
          <c:showBubbleSize val="0"/>
        </c:dLbls>
        <c:gapWidth val="77"/>
        <c:axId val="1939060928"/>
        <c:axId val="1939061344"/>
      </c:barChart>
      <c:catAx>
        <c:axId val="193906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061344"/>
        <c:crosses val="autoZero"/>
        <c:auto val="1"/>
        <c:lblAlgn val="ctr"/>
        <c:lblOffset val="100"/>
        <c:noMultiLvlLbl val="0"/>
      </c:catAx>
      <c:valAx>
        <c:axId val="19390613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0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a:noFill/>
          </a:ln>
          <a:effectLst/>
        </c:spPr>
      </c:pivotFmt>
      <c:pivotFmt>
        <c:idx val="4"/>
        <c:spPr>
          <a:solidFill>
            <a:schemeClr val="accent5">
              <a:lumMod val="60000"/>
              <a:lumOff val="40000"/>
            </a:schemeClr>
          </a:solidFill>
          <a:ln>
            <a:noFill/>
          </a:ln>
          <a:effectLst/>
        </c:spPr>
      </c:pivotFmt>
      <c:pivotFmt>
        <c:idx val="5"/>
        <c:spPr>
          <a:solidFill>
            <a:schemeClr val="accent5">
              <a:lumMod val="60000"/>
              <a:lumOff val="40000"/>
            </a:schemeClr>
          </a:solidFill>
          <a:ln>
            <a:noFill/>
          </a:ln>
          <a:effectLst/>
        </c:spPr>
      </c:pivotFmt>
      <c:pivotFmt>
        <c:idx val="6"/>
        <c:spPr>
          <a:solidFill>
            <a:schemeClr val="accent5">
              <a:lumMod val="60000"/>
              <a:lumOff val="40000"/>
            </a:schemeClr>
          </a:solidFill>
          <a:ln>
            <a:noFill/>
          </a:ln>
          <a:effectLst/>
        </c:spPr>
      </c:pivotFmt>
      <c:pivotFmt>
        <c:idx val="7"/>
        <c:spPr>
          <a:solidFill>
            <a:schemeClr val="accent5">
              <a:lumMod val="60000"/>
              <a:lumOff val="40000"/>
            </a:schemeClr>
          </a:solidFill>
          <a:ln>
            <a:noFill/>
          </a:ln>
          <a:effectLst/>
        </c:spPr>
      </c:pivotFmt>
      <c:pivotFmt>
        <c:idx val="8"/>
        <c:spPr>
          <a:solidFill>
            <a:schemeClr val="accent5">
              <a:lumMod val="60000"/>
              <a:lumOff val="40000"/>
            </a:schemeClr>
          </a:solidFill>
          <a:ln>
            <a:noFill/>
          </a:ln>
          <a:effectLst/>
        </c:spPr>
      </c:pivotFmt>
    </c:pivotFmts>
    <c:plotArea>
      <c:layout/>
      <c:barChart>
        <c:barDir val="col"/>
        <c:grouping val="clustered"/>
        <c:varyColors val="0"/>
        <c:ser>
          <c:idx val="0"/>
          <c:order val="0"/>
          <c:tx>
            <c:strRef>
              <c:f>Pivot!$I$15</c:f>
              <c:strCache>
                <c:ptCount val="1"/>
                <c:pt idx="0">
                  <c:v>Total</c:v>
                </c:pt>
              </c:strCache>
            </c:strRef>
          </c:tx>
          <c:spPr>
            <a:solidFill>
              <a:schemeClr val="accent5">
                <a:lumMod val="60000"/>
                <a:lumOff val="40000"/>
              </a:schemeClr>
            </a:solidFill>
            <a:ln>
              <a:noFill/>
            </a:ln>
            <a:effectLst/>
          </c:spPr>
          <c:invertIfNegative val="0"/>
          <c:cat>
            <c:strRef>
              <c:f>Pivot!$H$16:$H$22</c:f>
              <c:strCache>
                <c:ptCount val="6"/>
                <c:pt idx="0">
                  <c:v>Amit</c:v>
                </c:pt>
                <c:pt idx="1">
                  <c:v>David</c:v>
                </c:pt>
                <c:pt idx="2">
                  <c:v>John</c:v>
                </c:pt>
                <c:pt idx="3">
                  <c:v>Meena</c:v>
                </c:pt>
                <c:pt idx="4">
                  <c:v>Priya</c:v>
                </c:pt>
                <c:pt idx="5">
                  <c:v>Sara</c:v>
                </c:pt>
              </c:strCache>
            </c:strRef>
          </c:cat>
          <c:val>
            <c:numRef>
              <c:f>Pivot!$I$16:$I$22</c:f>
              <c:numCache>
                <c:formatCode>0</c:formatCode>
                <c:ptCount val="6"/>
                <c:pt idx="0">
                  <c:v>2007792.2000000018</c:v>
                </c:pt>
                <c:pt idx="1">
                  <c:v>1954493.5000000019</c:v>
                </c:pt>
                <c:pt idx="2">
                  <c:v>2245122.7500000009</c:v>
                </c:pt>
                <c:pt idx="3">
                  <c:v>2044983.3999999985</c:v>
                </c:pt>
                <c:pt idx="4">
                  <c:v>1957616.6999999993</c:v>
                </c:pt>
                <c:pt idx="5">
                  <c:v>2158631.6000000015</c:v>
                </c:pt>
              </c:numCache>
            </c:numRef>
          </c:val>
          <c:extLst>
            <c:ext xmlns:c16="http://schemas.microsoft.com/office/drawing/2014/chart" uri="{C3380CC4-5D6E-409C-BE32-E72D297353CC}">
              <c16:uniqueId val="{00000000-C193-4BD3-A49E-38F2907C414C}"/>
            </c:ext>
          </c:extLst>
        </c:ser>
        <c:dLbls>
          <c:showLegendKey val="0"/>
          <c:showVal val="0"/>
          <c:showCatName val="0"/>
          <c:showSerName val="0"/>
          <c:showPercent val="0"/>
          <c:showBubbleSize val="0"/>
        </c:dLbls>
        <c:gapWidth val="73"/>
        <c:overlap val="-27"/>
        <c:axId val="1939039520"/>
        <c:axId val="1939040352"/>
      </c:barChart>
      <c:catAx>
        <c:axId val="193903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939040352"/>
        <c:crosses val="autoZero"/>
        <c:auto val="1"/>
        <c:lblAlgn val="ctr"/>
        <c:lblOffset val="100"/>
        <c:noMultiLvlLbl val="0"/>
      </c:catAx>
      <c:valAx>
        <c:axId val="1939040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939039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[Sales_Dashboard.xlsm]Pivot!PivotTable6</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pivotFmt>
      <c:pivotFmt>
        <c:idx val="9"/>
        <c:spPr>
          <a:solidFill>
            <a:schemeClr val="accent5">
              <a:lumMod val="75000"/>
            </a:schemeClr>
          </a:solidFill>
          <a:ln w="19050">
            <a:solidFill>
              <a:schemeClr val="lt1"/>
            </a:solidFill>
          </a:ln>
          <a:effectLst/>
        </c:spPr>
      </c:pivotFmt>
      <c:pivotFmt>
        <c:idx val="10"/>
        <c:spPr>
          <a:solidFill>
            <a:schemeClr val="accent2">
              <a:lumMod val="60000"/>
              <a:lumOff val="40000"/>
            </a:schemeClr>
          </a:solidFill>
          <a:ln w="19050">
            <a:solidFill>
              <a:schemeClr val="lt1"/>
            </a:solidFill>
          </a:ln>
          <a:effectLst/>
        </c:spPr>
      </c:pivotFmt>
      <c:pivotFmt>
        <c:idx val="11"/>
        <c:spPr>
          <a:solidFill>
            <a:schemeClr val="accent4">
              <a:lumMod val="40000"/>
              <a:lumOff val="60000"/>
            </a:schemeClr>
          </a:solidFill>
          <a:ln w="19050">
            <a:solidFill>
              <a:schemeClr val="lt1"/>
            </a:solidFill>
          </a:ln>
          <a:effectLst/>
        </c:spPr>
      </c:pivotFmt>
      <c:pivotFmt>
        <c:idx val="12"/>
        <c:spPr>
          <a:solidFill>
            <a:schemeClr val="accent1">
              <a:lumMod val="20000"/>
              <a:lumOff val="80000"/>
            </a:schemeClr>
          </a:solidFill>
          <a:ln w="19050">
            <a:solidFill>
              <a:schemeClr val="lt1"/>
            </a:solidFill>
          </a:ln>
          <a:effectLst/>
        </c:spPr>
      </c:pivotFmt>
    </c:pivotFmts>
    <c:plotArea>
      <c:layout>
        <c:manualLayout>
          <c:layoutTarget val="inner"/>
          <c:xMode val="edge"/>
          <c:yMode val="edge"/>
          <c:x val="8.299374627432872E-2"/>
          <c:y val="0.10983766512013347"/>
          <c:w val="0.49007497612517031"/>
          <c:h val="0.82026563889432702"/>
        </c:manualLayout>
      </c:layout>
      <c:pieChart>
        <c:varyColors val="1"/>
        <c:ser>
          <c:idx val="0"/>
          <c:order val="0"/>
          <c:tx>
            <c:strRef>
              <c:f>Pivot!$L$23</c:f>
              <c:strCache>
                <c:ptCount val="1"/>
                <c:pt idx="0">
                  <c:v>Total</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9F-49CB-91F8-BCDC9E177E4E}"/>
              </c:ext>
            </c:extLst>
          </c:dPt>
          <c:dPt>
            <c:idx val="1"/>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3-F79F-49CB-91F8-BCDC9E177E4E}"/>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F79F-49CB-91F8-BCDC9E177E4E}"/>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F79F-49CB-91F8-BCDC9E177E4E}"/>
              </c:ext>
            </c:extLst>
          </c:dPt>
          <c:dPt>
            <c:idx val="4"/>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9-F79F-49CB-91F8-BCDC9E177E4E}"/>
              </c:ext>
            </c:extLst>
          </c:dPt>
          <c:cat>
            <c:strRef>
              <c:f>Pivot!$K$24:$K$29</c:f>
              <c:strCache>
                <c:ptCount val="5"/>
                <c:pt idx="0">
                  <c:v>Beauty</c:v>
                </c:pt>
                <c:pt idx="1">
                  <c:v>Clothing</c:v>
                </c:pt>
                <c:pt idx="2">
                  <c:v>Electronics</c:v>
                </c:pt>
                <c:pt idx="3">
                  <c:v>Furniture</c:v>
                </c:pt>
                <c:pt idx="4">
                  <c:v>Sports</c:v>
                </c:pt>
              </c:strCache>
            </c:strRef>
          </c:cat>
          <c:val>
            <c:numRef>
              <c:f>Pivot!$L$24:$L$29</c:f>
              <c:numCache>
                <c:formatCode>0</c:formatCode>
                <c:ptCount val="5"/>
                <c:pt idx="0">
                  <c:v>870761.4300000011</c:v>
                </c:pt>
                <c:pt idx="1">
                  <c:v>876478.38999999908</c:v>
                </c:pt>
                <c:pt idx="2">
                  <c:v>901999.57000000076</c:v>
                </c:pt>
                <c:pt idx="3">
                  <c:v>836829.60000000033</c:v>
                </c:pt>
                <c:pt idx="4">
                  <c:v>831821.35000000009</c:v>
                </c:pt>
              </c:numCache>
            </c:numRef>
          </c:val>
          <c:extLst>
            <c:ext xmlns:c16="http://schemas.microsoft.com/office/drawing/2014/chart" uri="{C3380CC4-5D6E-409C-BE32-E72D297353CC}">
              <c16:uniqueId val="{0000000A-F79F-49CB-91F8-BCDC9E177E4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1.xml"/><Relationship Id="rId18" Type="http://schemas.openxmlformats.org/officeDocument/2006/relationships/chart" Target="../charts/chart6.xml"/><Relationship Id="rId3" Type="http://schemas.openxmlformats.org/officeDocument/2006/relationships/image" Target="../media/image2.png"/><Relationship Id="rId7" Type="http://schemas.openxmlformats.org/officeDocument/2006/relationships/image" Target="../media/image4.png"/><Relationship Id="rId12" Type="http://schemas.openxmlformats.org/officeDocument/2006/relationships/image" Target="../media/image9.png"/><Relationship Id="rId17" Type="http://schemas.openxmlformats.org/officeDocument/2006/relationships/chart" Target="../charts/chart5.xml"/><Relationship Id="rId2" Type="http://schemas.microsoft.com/office/2007/relationships/hdphoto" Target="../media/hdphoto1.wdp"/><Relationship Id="rId16" Type="http://schemas.openxmlformats.org/officeDocument/2006/relationships/chart" Target="../charts/chart4.xml"/><Relationship Id="rId1" Type="http://schemas.openxmlformats.org/officeDocument/2006/relationships/image" Target="../media/image1.png"/><Relationship Id="rId6" Type="http://schemas.microsoft.com/office/2007/relationships/hdphoto" Target="../media/hdphoto3.wdp"/><Relationship Id="rId11" Type="http://schemas.openxmlformats.org/officeDocument/2006/relationships/image" Target="../media/image8.png"/><Relationship Id="rId5" Type="http://schemas.openxmlformats.org/officeDocument/2006/relationships/image" Target="../media/image3.png"/><Relationship Id="rId15" Type="http://schemas.openxmlformats.org/officeDocument/2006/relationships/chart" Target="../charts/chart3.xml"/><Relationship Id="rId10" Type="http://schemas.openxmlformats.org/officeDocument/2006/relationships/image" Target="../media/image7.png"/><Relationship Id="rId4" Type="http://schemas.microsoft.com/office/2007/relationships/hdphoto" Target="../media/hdphoto2.wdp"/><Relationship Id="rId9" Type="http://schemas.openxmlformats.org/officeDocument/2006/relationships/image" Target="../media/image6.png"/><Relationship Id="rId1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65690</xdr:colOff>
      <xdr:row>0</xdr:row>
      <xdr:rowOff>65690</xdr:rowOff>
    </xdr:from>
    <xdr:to>
      <xdr:col>19</xdr:col>
      <xdr:colOff>456890</xdr:colOff>
      <xdr:row>32</xdr:row>
      <xdr:rowOff>86090</xdr:rowOff>
    </xdr:to>
    <xdr:sp macro="" textlink="">
      <xdr:nvSpPr>
        <xdr:cNvPr id="2" name="Rectangle 1">
          <a:extLst>
            <a:ext uri="{FF2B5EF4-FFF2-40B4-BE49-F238E27FC236}">
              <a16:creationId xmlns:a16="http://schemas.microsoft.com/office/drawing/2014/main" id="{BDCED26F-CB26-465B-B5E9-9BFF8B4D20AF}"/>
            </a:ext>
          </a:extLst>
        </xdr:cNvPr>
        <xdr:cNvSpPr/>
      </xdr:nvSpPr>
      <xdr:spPr>
        <a:xfrm>
          <a:off x="65690" y="65690"/>
          <a:ext cx="11998562" cy="61164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281325</xdr:colOff>
      <xdr:row>0</xdr:row>
      <xdr:rowOff>106236</xdr:rowOff>
    </xdr:from>
    <xdr:to>
      <xdr:col>19</xdr:col>
      <xdr:colOff>109875</xdr:colOff>
      <xdr:row>3</xdr:row>
      <xdr:rowOff>144336</xdr:rowOff>
    </xdr:to>
    <xdr:sp macro="" textlink="">
      <xdr:nvSpPr>
        <xdr:cNvPr id="3" name="Rectangle 2">
          <a:extLst>
            <a:ext uri="{FF2B5EF4-FFF2-40B4-BE49-F238E27FC236}">
              <a16:creationId xmlns:a16="http://schemas.microsoft.com/office/drawing/2014/main" id="{64800C59-CC19-46C4-92B9-1ACDF884A17C}"/>
            </a:ext>
          </a:extLst>
        </xdr:cNvPr>
        <xdr:cNvSpPr/>
      </xdr:nvSpPr>
      <xdr:spPr>
        <a:xfrm>
          <a:off x="281325" y="106236"/>
          <a:ext cx="11383108" cy="6096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96751</xdr:colOff>
      <xdr:row>0</xdr:row>
      <xdr:rowOff>52380</xdr:rowOff>
    </xdr:from>
    <xdr:to>
      <xdr:col>3</xdr:col>
      <xdr:colOff>200686</xdr:colOff>
      <xdr:row>4</xdr:row>
      <xdr:rowOff>7692</xdr:rowOff>
    </xdr:to>
    <xdr:pic>
      <xdr:nvPicPr>
        <xdr:cNvPr id="31" name="Picture 30">
          <a:extLst>
            <a:ext uri="{FF2B5EF4-FFF2-40B4-BE49-F238E27FC236}">
              <a16:creationId xmlns:a16="http://schemas.microsoft.com/office/drawing/2014/main" id="{D564F815-5CAA-4963-82D4-B1455B2588A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5900"/>
                  </a14:imgEffect>
                </a14:imgLayer>
              </a14:imgProps>
            </a:ext>
            <a:ext uri="{28A0092B-C50C-407E-A947-70E740481C1C}">
              <a14:useLocalDpi xmlns:a14="http://schemas.microsoft.com/office/drawing/2010/main" val="0"/>
            </a:ext>
          </a:extLst>
        </a:blip>
        <a:stretch>
          <a:fillRect/>
        </a:stretch>
      </xdr:blipFill>
      <xdr:spPr>
        <a:xfrm>
          <a:off x="1311189" y="52380"/>
          <a:ext cx="711153" cy="717312"/>
        </a:xfrm>
        <a:prstGeom prst="rect">
          <a:avLst/>
        </a:prstGeom>
      </xdr:spPr>
    </xdr:pic>
    <xdr:clientData/>
  </xdr:twoCellAnchor>
  <xdr:twoCellAnchor>
    <xdr:from>
      <xdr:col>1</xdr:col>
      <xdr:colOff>607978</xdr:colOff>
      <xdr:row>0</xdr:row>
      <xdr:rowOff>180004</xdr:rowOff>
    </xdr:from>
    <xdr:to>
      <xdr:col>1</xdr:col>
      <xdr:colOff>607978</xdr:colOff>
      <xdr:row>3</xdr:row>
      <xdr:rowOff>70568</xdr:rowOff>
    </xdr:to>
    <xdr:cxnSp macro="">
      <xdr:nvCxnSpPr>
        <xdr:cNvPr id="33" name="Straight Connector 32">
          <a:extLst>
            <a:ext uri="{FF2B5EF4-FFF2-40B4-BE49-F238E27FC236}">
              <a16:creationId xmlns:a16="http://schemas.microsoft.com/office/drawing/2014/main" id="{242668C4-D9DF-4D1B-938F-5C2BBC3A8277}"/>
            </a:ext>
          </a:extLst>
        </xdr:cNvPr>
        <xdr:cNvCxnSpPr/>
      </xdr:nvCxnSpPr>
      <xdr:spPr>
        <a:xfrm>
          <a:off x="1217578" y="180004"/>
          <a:ext cx="0" cy="46206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400101</xdr:colOff>
      <xdr:row>0</xdr:row>
      <xdr:rowOff>174346</xdr:rowOff>
    </xdr:from>
    <xdr:to>
      <xdr:col>1</xdr:col>
      <xdr:colOff>514756</xdr:colOff>
      <xdr:row>3</xdr:row>
      <xdr:rowOff>105383</xdr:rowOff>
    </xdr:to>
    <xdr:sp macro="" textlink="">
      <xdr:nvSpPr>
        <xdr:cNvPr id="34" name="TextBox 33">
          <a:extLst>
            <a:ext uri="{FF2B5EF4-FFF2-40B4-BE49-F238E27FC236}">
              <a16:creationId xmlns:a16="http://schemas.microsoft.com/office/drawing/2014/main" id="{1996670E-6D5B-4300-B4CE-9FC4483F4055}"/>
            </a:ext>
          </a:extLst>
        </xdr:cNvPr>
        <xdr:cNvSpPr txBox="1"/>
      </xdr:nvSpPr>
      <xdr:spPr>
        <a:xfrm>
          <a:off x="400101" y="174346"/>
          <a:ext cx="722634" cy="502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solidFill>
                <a:schemeClr val="bg1"/>
              </a:solidFill>
              <a:latin typeface="Montserrat ExtraBold" pitchFamily="2" charset="0"/>
            </a:rPr>
            <a:t>AM</a:t>
          </a:r>
        </a:p>
      </xdr:txBody>
    </xdr:sp>
    <xdr:clientData/>
  </xdr:twoCellAnchor>
  <xdr:twoCellAnchor>
    <xdr:from>
      <xdr:col>3</xdr:col>
      <xdr:colOff>234783</xdr:colOff>
      <xdr:row>0</xdr:row>
      <xdr:rowOff>177428</xdr:rowOff>
    </xdr:from>
    <xdr:to>
      <xdr:col>14</xdr:col>
      <xdr:colOff>195080</xdr:colOff>
      <xdr:row>3</xdr:row>
      <xdr:rowOff>59531</xdr:rowOff>
    </xdr:to>
    <xdr:sp macro="" textlink="">
      <xdr:nvSpPr>
        <xdr:cNvPr id="35" name="TextBox 34">
          <a:extLst>
            <a:ext uri="{FF2B5EF4-FFF2-40B4-BE49-F238E27FC236}">
              <a16:creationId xmlns:a16="http://schemas.microsoft.com/office/drawing/2014/main" id="{8E00A266-6205-41AB-BC11-C4443F1ED9F7}"/>
            </a:ext>
          </a:extLst>
        </xdr:cNvPr>
        <xdr:cNvSpPr txBox="1"/>
      </xdr:nvSpPr>
      <xdr:spPr>
        <a:xfrm>
          <a:off x="2056439" y="177428"/>
          <a:ext cx="6639704" cy="453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latin typeface="Montserrat SemiBold" pitchFamily="2" charset="0"/>
            </a:rPr>
            <a:t>Executive Sales Performance</a:t>
          </a:r>
          <a:r>
            <a:rPr lang="en-IN" sz="2400" b="1" baseline="0">
              <a:solidFill>
                <a:schemeClr val="bg1"/>
              </a:solidFill>
              <a:latin typeface="Montserrat SemiBold" pitchFamily="2" charset="0"/>
            </a:rPr>
            <a:t> Dashboard</a:t>
          </a:r>
          <a:endParaRPr lang="en-IN" sz="2400" b="1">
            <a:solidFill>
              <a:schemeClr val="bg1"/>
            </a:solidFill>
            <a:latin typeface="Montserrat SemiBold" pitchFamily="2" charset="0"/>
          </a:endParaRPr>
        </a:p>
      </xdr:txBody>
    </xdr:sp>
    <xdr:clientData/>
  </xdr:twoCellAnchor>
  <xdr:twoCellAnchor editAs="oneCell">
    <xdr:from>
      <xdr:col>14</xdr:col>
      <xdr:colOff>353808</xdr:colOff>
      <xdr:row>1</xdr:row>
      <xdr:rowOff>82406</xdr:rowOff>
    </xdr:from>
    <xdr:to>
      <xdr:col>15</xdr:col>
      <xdr:colOff>34333</xdr:colOff>
      <xdr:row>2</xdr:row>
      <xdr:rowOff>168167</xdr:rowOff>
    </xdr:to>
    <xdr:pic macro="[0]!Refresh">
      <xdr:nvPicPr>
        <xdr:cNvPr id="37" name="Picture 36">
          <a:extLst>
            <a:ext uri="{FF2B5EF4-FFF2-40B4-BE49-F238E27FC236}">
              <a16:creationId xmlns:a16="http://schemas.microsoft.com/office/drawing/2014/main" id="{846A1269-8B77-4E5F-B312-0BCD82311F6C}"/>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bright="100000"/>
                  </a14:imgEffect>
                </a14:imgLayer>
              </a14:imgProps>
            </a:ext>
            <a:ext uri="{28A0092B-C50C-407E-A947-70E740481C1C}">
              <a14:useLocalDpi xmlns:a14="http://schemas.microsoft.com/office/drawing/2010/main" val="0"/>
            </a:ext>
          </a:extLst>
        </a:blip>
        <a:stretch>
          <a:fillRect/>
        </a:stretch>
      </xdr:blipFill>
      <xdr:spPr>
        <a:xfrm flipV="1">
          <a:off x="8906601" y="272906"/>
          <a:ext cx="291439" cy="276261"/>
        </a:xfrm>
        <a:prstGeom prst="rect">
          <a:avLst/>
        </a:prstGeom>
      </xdr:spPr>
    </xdr:pic>
    <xdr:clientData/>
  </xdr:twoCellAnchor>
  <xdr:twoCellAnchor editAs="oneCell">
    <xdr:from>
      <xdr:col>15</xdr:col>
      <xdr:colOff>197865</xdr:colOff>
      <xdr:row>1</xdr:row>
      <xdr:rowOff>7893</xdr:rowOff>
    </xdr:from>
    <xdr:to>
      <xdr:col>16</xdr:col>
      <xdr:colOff>10466</xdr:colOff>
      <xdr:row>3</xdr:row>
      <xdr:rowOff>52179</xdr:rowOff>
    </xdr:to>
    <xdr:pic macro="[0]!ToggleFullScreen">
      <xdr:nvPicPr>
        <xdr:cNvPr id="39" name="Picture 38">
          <a:extLst>
            <a:ext uri="{FF2B5EF4-FFF2-40B4-BE49-F238E27FC236}">
              <a16:creationId xmlns:a16="http://schemas.microsoft.com/office/drawing/2014/main" id="{532829E5-1877-4223-9A6B-ECB8961F02E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9361572" y="198393"/>
          <a:ext cx="423515" cy="425286"/>
        </a:xfrm>
        <a:prstGeom prst="rect">
          <a:avLst/>
        </a:prstGeom>
      </xdr:spPr>
    </xdr:pic>
    <xdr:clientData/>
  </xdr:twoCellAnchor>
  <xdr:twoCellAnchor>
    <xdr:from>
      <xdr:col>0</xdr:col>
      <xdr:colOff>285749</xdr:colOff>
      <xdr:row>4</xdr:row>
      <xdr:rowOff>138393</xdr:rowOff>
    </xdr:from>
    <xdr:to>
      <xdr:col>5</xdr:col>
      <xdr:colOff>74543</xdr:colOff>
      <xdr:row>14</xdr:row>
      <xdr:rowOff>119343</xdr:rowOff>
    </xdr:to>
    <xdr:sp macro="" textlink="">
      <xdr:nvSpPr>
        <xdr:cNvPr id="40" name="Rectangle 39">
          <a:extLst>
            <a:ext uri="{FF2B5EF4-FFF2-40B4-BE49-F238E27FC236}">
              <a16:creationId xmlns:a16="http://schemas.microsoft.com/office/drawing/2014/main" id="{91403E31-54D5-4795-A6F3-B9FF5F4C8223}"/>
            </a:ext>
          </a:extLst>
        </xdr:cNvPr>
        <xdr:cNvSpPr/>
      </xdr:nvSpPr>
      <xdr:spPr>
        <a:xfrm>
          <a:off x="285749" y="900393"/>
          <a:ext cx="2853359" cy="18859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228600</xdr:colOff>
      <xdr:row>4</xdr:row>
      <xdr:rowOff>138393</xdr:rowOff>
    </xdr:from>
    <xdr:to>
      <xdr:col>14</xdr:col>
      <xdr:colOff>285750</xdr:colOff>
      <xdr:row>14</xdr:row>
      <xdr:rowOff>119343</xdr:rowOff>
    </xdr:to>
    <xdr:sp macro="" textlink="">
      <xdr:nvSpPr>
        <xdr:cNvPr id="50" name="Rectangle 49">
          <a:extLst>
            <a:ext uri="{FF2B5EF4-FFF2-40B4-BE49-F238E27FC236}">
              <a16:creationId xmlns:a16="http://schemas.microsoft.com/office/drawing/2014/main" id="{AA2745EB-0E56-49B7-AA94-7B834976E9DE}"/>
            </a:ext>
          </a:extLst>
        </xdr:cNvPr>
        <xdr:cNvSpPr/>
      </xdr:nvSpPr>
      <xdr:spPr>
        <a:xfrm>
          <a:off x="3293165" y="900393"/>
          <a:ext cx="5573368" cy="18859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285749</xdr:colOff>
      <xdr:row>15</xdr:row>
      <xdr:rowOff>101900</xdr:rowOff>
    </xdr:from>
    <xdr:to>
      <xdr:col>6</xdr:col>
      <xdr:colOff>173934</xdr:colOff>
      <xdr:row>30</xdr:row>
      <xdr:rowOff>82850</xdr:rowOff>
    </xdr:to>
    <xdr:sp macro="" textlink="">
      <xdr:nvSpPr>
        <xdr:cNvPr id="51" name="Rectangle 50">
          <a:extLst>
            <a:ext uri="{FF2B5EF4-FFF2-40B4-BE49-F238E27FC236}">
              <a16:creationId xmlns:a16="http://schemas.microsoft.com/office/drawing/2014/main" id="{0B8078E0-CA91-4E0E-865F-D248C06CD91A}"/>
            </a:ext>
          </a:extLst>
        </xdr:cNvPr>
        <xdr:cNvSpPr/>
      </xdr:nvSpPr>
      <xdr:spPr>
        <a:xfrm>
          <a:off x="285749" y="2959400"/>
          <a:ext cx="3565663" cy="28384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407276</xdr:colOff>
      <xdr:row>15</xdr:row>
      <xdr:rowOff>87086</xdr:rowOff>
    </xdr:from>
    <xdr:to>
      <xdr:col>14</xdr:col>
      <xdr:colOff>273926</xdr:colOff>
      <xdr:row>22</xdr:row>
      <xdr:rowOff>90033</xdr:rowOff>
    </xdr:to>
    <xdr:sp macro="" textlink="">
      <xdr:nvSpPr>
        <xdr:cNvPr id="52" name="Rectangle 51">
          <a:extLst>
            <a:ext uri="{FF2B5EF4-FFF2-40B4-BE49-F238E27FC236}">
              <a16:creationId xmlns:a16="http://schemas.microsoft.com/office/drawing/2014/main" id="{318C8BDB-979F-4FF5-87F5-5DF5C8A415C7}"/>
            </a:ext>
          </a:extLst>
        </xdr:cNvPr>
        <xdr:cNvSpPr/>
      </xdr:nvSpPr>
      <xdr:spPr>
        <a:xfrm>
          <a:off x="4084754" y="2944586"/>
          <a:ext cx="4769955" cy="1336447"/>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6</xdr:col>
      <xdr:colOff>409160</xdr:colOff>
      <xdr:row>23</xdr:row>
      <xdr:rowOff>65555</xdr:rowOff>
    </xdr:from>
    <xdr:to>
      <xdr:col>10</xdr:col>
      <xdr:colOff>275810</xdr:colOff>
      <xdr:row>30</xdr:row>
      <xdr:rowOff>122705</xdr:rowOff>
    </xdr:to>
    <xdr:sp macro="" textlink="">
      <xdr:nvSpPr>
        <xdr:cNvPr id="53" name="Rectangle 52">
          <a:extLst>
            <a:ext uri="{FF2B5EF4-FFF2-40B4-BE49-F238E27FC236}">
              <a16:creationId xmlns:a16="http://schemas.microsoft.com/office/drawing/2014/main" id="{45F28BE5-404C-442A-BDCF-941FF6817757}"/>
            </a:ext>
          </a:extLst>
        </xdr:cNvPr>
        <xdr:cNvSpPr/>
      </xdr:nvSpPr>
      <xdr:spPr>
        <a:xfrm>
          <a:off x="4066760" y="4447055"/>
          <a:ext cx="2305050" cy="13906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400050</xdr:colOff>
      <xdr:row>23</xdr:row>
      <xdr:rowOff>65555</xdr:rowOff>
    </xdr:from>
    <xdr:to>
      <xdr:col>14</xdr:col>
      <xdr:colOff>266700</xdr:colOff>
      <xdr:row>30</xdr:row>
      <xdr:rowOff>122705</xdr:rowOff>
    </xdr:to>
    <xdr:sp macro="" textlink="">
      <xdr:nvSpPr>
        <xdr:cNvPr id="56" name="Rectangle 55">
          <a:extLst>
            <a:ext uri="{FF2B5EF4-FFF2-40B4-BE49-F238E27FC236}">
              <a16:creationId xmlns:a16="http://schemas.microsoft.com/office/drawing/2014/main" id="{0F807E30-D3F7-4477-BCC8-6B585ACD9A98}"/>
            </a:ext>
          </a:extLst>
        </xdr:cNvPr>
        <xdr:cNvSpPr/>
      </xdr:nvSpPr>
      <xdr:spPr>
        <a:xfrm>
          <a:off x="6529180" y="4447055"/>
          <a:ext cx="2318303" cy="139065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564173</xdr:colOff>
      <xdr:row>4</xdr:row>
      <xdr:rowOff>91886</xdr:rowOff>
    </xdr:from>
    <xdr:to>
      <xdr:col>19</xdr:col>
      <xdr:colOff>110913</xdr:colOff>
      <xdr:row>8</xdr:row>
      <xdr:rowOff>13886</xdr:rowOff>
    </xdr:to>
    <xdr:sp macro="" textlink="">
      <xdr:nvSpPr>
        <xdr:cNvPr id="57" name="Rectangle 56">
          <a:extLst>
            <a:ext uri="{FF2B5EF4-FFF2-40B4-BE49-F238E27FC236}">
              <a16:creationId xmlns:a16="http://schemas.microsoft.com/office/drawing/2014/main" id="{87223BFD-63A3-4759-970D-2FA2757427CF}"/>
            </a:ext>
          </a:extLst>
        </xdr:cNvPr>
        <xdr:cNvSpPr/>
      </xdr:nvSpPr>
      <xdr:spPr>
        <a:xfrm>
          <a:off x="9144956" y="853886"/>
          <a:ext cx="2611305" cy="684000"/>
        </a:xfrm>
        <a:prstGeom prst="rect">
          <a:avLst/>
        </a:prstGeom>
        <a:solidFill>
          <a:schemeClr val="accent1">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14</xdr:col>
      <xdr:colOff>564173</xdr:colOff>
      <xdr:row>9</xdr:row>
      <xdr:rowOff>25211</xdr:rowOff>
    </xdr:from>
    <xdr:to>
      <xdr:col>19</xdr:col>
      <xdr:colOff>110913</xdr:colOff>
      <xdr:row>12</xdr:row>
      <xdr:rowOff>137711</xdr:rowOff>
    </xdr:to>
    <xdr:sp macro="" textlink="">
      <xdr:nvSpPr>
        <xdr:cNvPr id="63" name="Rectangle 62">
          <a:extLst>
            <a:ext uri="{FF2B5EF4-FFF2-40B4-BE49-F238E27FC236}">
              <a16:creationId xmlns:a16="http://schemas.microsoft.com/office/drawing/2014/main" id="{13F62733-55A8-4ABF-A65D-545926AABFE5}"/>
            </a:ext>
          </a:extLst>
        </xdr:cNvPr>
        <xdr:cNvSpPr/>
      </xdr:nvSpPr>
      <xdr:spPr>
        <a:xfrm>
          <a:off x="9098573" y="1739711"/>
          <a:ext cx="2594740" cy="684000"/>
        </a:xfrm>
        <a:prstGeom prst="rect">
          <a:avLst/>
        </a:prstGeom>
        <a:solidFill>
          <a:schemeClr val="accent2">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14</xdr:col>
      <xdr:colOff>564173</xdr:colOff>
      <xdr:row>13</xdr:row>
      <xdr:rowOff>149036</xdr:rowOff>
    </xdr:from>
    <xdr:to>
      <xdr:col>19</xdr:col>
      <xdr:colOff>112379</xdr:colOff>
      <xdr:row>17</xdr:row>
      <xdr:rowOff>71036</xdr:rowOff>
    </xdr:to>
    <xdr:sp macro="" textlink="">
      <xdr:nvSpPr>
        <xdr:cNvPr id="64" name="Rectangle 63">
          <a:extLst>
            <a:ext uri="{FF2B5EF4-FFF2-40B4-BE49-F238E27FC236}">
              <a16:creationId xmlns:a16="http://schemas.microsoft.com/office/drawing/2014/main" id="{CFB2D258-C5E7-4417-9E48-E93502711DB1}"/>
            </a:ext>
          </a:extLst>
        </xdr:cNvPr>
        <xdr:cNvSpPr/>
      </xdr:nvSpPr>
      <xdr:spPr>
        <a:xfrm>
          <a:off x="9098573" y="2625536"/>
          <a:ext cx="2596206" cy="68400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14</xdr:col>
      <xdr:colOff>564173</xdr:colOff>
      <xdr:row>18</xdr:row>
      <xdr:rowOff>82361</xdr:rowOff>
    </xdr:from>
    <xdr:to>
      <xdr:col>19</xdr:col>
      <xdr:colOff>112379</xdr:colOff>
      <xdr:row>22</xdr:row>
      <xdr:rowOff>4361</xdr:rowOff>
    </xdr:to>
    <xdr:sp macro="" textlink="">
      <xdr:nvSpPr>
        <xdr:cNvPr id="65" name="Rectangle 64">
          <a:extLst>
            <a:ext uri="{FF2B5EF4-FFF2-40B4-BE49-F238E27FC236}">
              <a16:creationId xmlns:a16="http://schemas.microsoft.com/office/drawing/2014/main" id="{A3A04308-378F-4086-BADF-5633252587F1}"/>
            </a:ext>
          </a:extLst>
        </xdr:cNvPr>
        <xdr:cNvSpPr/>
      </xdr:nvSpPr>
      <xdr:spPr>
        <a:xfrm>
          <a:off x="9098573" y="3511361"/>
          <a:ext cx="2596206" cy="684000"/>
        </a:xfrm>
        <a:prstGeom prst="rect">
          <a:avLst/>
        </a:prstGeom>
        <a:solidFill>
          <a:srgbClr val="FCE8F9"/>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14</xdr:col>
      <xdr:colOff>564173</xdr:colOff>
      <xdr:row>23</xdr:row>
      <xdr:rowOff>15686</xdr:rowOff>
    </xdr:from>
    <xdr:to>
      <xdr:col>19</xdr:col>
      <xdr:colOff>112379</xdr:colOff>
      <xdr:row>26</xdr:row>
      <xdr:rowOff>128186</xdr:rowOff>
    </xdr:to>
    <xdr:sp macro="" textlink="">
      <xdr:nvSpPr>
        <xdr:cNvPr id="66" name="Rectangle 65">
          <a:extLst>
            <a:ext uri="{FF2B5EF4-FFF2-40B4-BE49-F238E27FC236}">
              <a16:creationId xmlns:a16="http://schemas.microsoft.com/office/drawing/2014/main" id="{0ABA834A-845B-4301-9E7F-DD9EFC01BACA}"/>
            </a:ext>
          </a:extLst>
        </xdr:cNvPr>
        <xdr:cNvSpPr/>
      </xdr:nvSpPr>
      <xdr:spPr>
        <a:xfrm>
          <a:off x="9098573" y="4397186"/>
          <a:ext cx="2596206" cy="684000"/>
        </a:xfrm>
        <a:prstGeom prst="rect">
          <a:avLst/>
        </a:prstGeom>
        <a:solidFill>
          <a:schemeClr val="accent6">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14</xdr:col>
      <xdr:colOff>564173</xdr:colOff>
      <xdr:row>27</xdr:row>
      <xdr:rowOff>139511</xdr:rowOff>
    </xdr:from>
    <xdr:to>
      <xdr:col>19</xdr:col>
      <xdr:colOff>112379</xdr:colOff>
      <xdr:row>31</xdr:row>
      <xdr:rowOff>61511</xdr:rowOff>
    </xdr:to>
    <xdr:sp macro="" textlink="">
      <xdr:nvSpPr>
        <xdr:cNvPr id="67" name="Rectangle 66">
          <a:extLst>
            <a:ext uri="{FF2B5EF4-FFF2-40B4-BE49-F238E27FC236}">
              <a16:creationId xmlns:a16="http://schemas.microsoft.com/office/drawing/2014/main" id="{D5D8A644-645C-4BD7-B122-BEF14CA8E27C}"/>
            </a:ext>
          </a:extLst>
        </xdr:cNvPr>
        <xdr:cNvSpPr/>
      </xdr:nvSpPr>
      <xdr:spPr>
        <a:xfrm>
          <a:off x="9144956" y="5283011"/>
          <a:ext cx="2612771" cy="684000"/>
        </a:xfrm>
        <a:prstGeom prst="rect">
          <a:avLst/>
        </a:prstGeom>
        <a:solidFill>
          <a:srgbClr val="EFF4F5"/>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oneCell">
    <xdr:from>
      <xdr:col>17</xdr:col>
      <xdr:colOff>604524</xdr:colOff>
      <xdr:row>13</xdr:row>
      <xdr:rowOff>169610</xdr:rowOff>
    </xdr:from>
    <xdr:to>
      <xdr:col>19</xdr:col>
      <xdr:colOff>16797</xdr:colOff>
      <xdr:row>17</xdr:row>
      <xdr:rowOff>44677</xdr:rowOff>
    </xdr:to>
    <xdr:pic>
      <xdr:nvPicPr>
        <xdr:cNvPr id="23" name="Picture 22">
          <a:extLst>
            <a:ext uri="{FF2B5EF4-FFF2-40B4-BE49-F238E27FC236}">
              <a16:creationId xmlns:a16="http://schemas.microsoft.com/office/drawing/2014/main" id="{19B48C40-106D-4A7A-97DA-DEB21BA379C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967724" y="2646110"/>
          <a:ext cx="631473" cy="637067"/>
        </a:xfrm>
        <a:prstGeom prst="rect">
          <a:avLst/>
        </a:prstGeom>
      </xdr:spPr>
    </xdr:pic>
    <xdr:clientData/>
  </xdr:twoCellAnchor>
  <xdr:twoCellAnchor editAs="oneCell">
    <xdr:from>
      <xdr:col>18</xdr:col>
      <xdr:colOff>25896</xdr:colOff>
      <xdr:row>9</xdr:row>
      <xdr:rowOff>94632</xdr:rowOff>
    </xdr:from>
    <xdr:to>
      <xdr:col>18</xdr:col>
      <xdr:colOff>595426</xdr:colOff>
      <xdr:row>12</xdr:row>
      <xdr:rowOff>92976</xdr:rowOff>
    </xdr:to>
    <xdr:pic>
      <xdr:nvPicPr>
        <xdr:cNvPr id="25" name="Picture 24">
          <a:extLst>
            <a:ext uri="{FF2B5EF4-FFF2-40B4-BE49-F238E27FC236}">
              <a16:creationId xmlns:a16="http://schemas.microsoft.com/office/drawing/2014/main" id="{8D8F00D2-CAD3-4800-9B71-07236C4BDFC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998696" y="1809132"/>
          <a:ext cx="569530" cy="569844"/>
        </a:xfrm>
        <a:prstGeom prst="rect">
          <a:avLst/>
        </a:prstGeom>
      </xdr:spPr>
    </xdr:pic>
    <xdr:clientData/>
  </xdr:twoCellAnchor>
  <xdr:twoCellAnchor editAs="oneCell">
    <xdr:from>
      <xdr:col>18</xdr:col>
      <xdr:colOff>31493</xdr:colOff>
      <xdr:row>4</xdr:row>
      <xdr:rowOff>159720</xdr:rowOff>
    </xdr:from>
    <xdr:to>
      <xdr:col>18</xdr:col>
      <xdr:colOff>585346</xdr:colOff>
      <xdr:row>7</xdr:row>
      <xdr:rowOff>142973</xdr:rowOff>
    </xdr:to>
    <xdr:pic>
      <xdr:nvPicPr>
        <xdr:cNvPr id="27" name="Picture 26">
          <a:extLst>
            <a:ext uri="{FF2B5EF4-FFF2-40B4-BE49-F238E27FC236}">
              <a16:creationId xmlns:a16="http://schemas.microsoft.com/office/drawing/2014/main" id="{2D1AD63F-C88C-4347-8ABC-C9167FC34CF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04293" y="921720"/>
          <a:ext cx="553853" cy="554753"/>
        </a:xfrm>
        <a:prstGeom prst="rect">
          <a:avLst/>
        </a:prstGeom>
      </xdr:spPr>
    </xdr:pic>
    <xdr:clientData/>
  </xdr:twoCellAnchor>
  <xdr:twoCellAnchor editAs="oneCell">
    <xdr:from>
      <xdr:col>17</xdr:col>
      <xdr:colOff>580034</xdr:colOff>
      <xdr:row>18</xdr:row>
      <xdr:rowOff>86903</xdr:rowOff>
    </xdr:from>
    <xdr:to>
      <xdr:col>19</xdr:col>
      <xdr:colOff>36806</xdr:colOff>
      <xdr:row>22</xdr:row>
      <xdr:rowOff>2049</xdr:rowOff>
    </xdr:to>
    <xdr:pic>
      <xdr:nvPicPr>
        <xdr:cNvPr id="21" name="Picture 20">
          <a:extLst>
            <a:ext uri="{FF2B5EF4-FFF2-40B4-BE49-F238E27FC236}">
              <a16:creationId xmlns:a16="http://schemas.microsoft.com/office/drawing/2014/main" id="{5388CA50-C182-46B2-A02A-049DA6B5813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43234" y="3515903"/>
          <a:ext cx="675972" cy="677146"/>
        </a:xfrm>
        <a:prstGeom prst="rect">
          <a:avLst/>
        </a:prstGeom>
      </xdr:spPr>
    </xdr:pic>
    <xdr:clientData/>
  </xdr:twoCellAnchor>
  <xdr:twoCellAnchor editAs="oneCell">
    <xdr:from>
      <xdr:col>17</xdr:col>
      <xdr:colOff>229140</xdr:colOff>
      <xdr:row>22</xdr:row>
      <xdr:rowOff>185058</xdr:rowOff>
    </xdr:from>
    <xdr:to>
      <xdr:col>19</xdr:col>
      <xdr:colOff>387699</xdr:colOff>
      <xdr:row>27</xdr:row>
      <xdr:rowOff>6341</xdr:rowOff>
    </xdr:to>
    <xdr:pic>
      <xdr:nvPicPr>
        <xdr:cNvPr id="19" name="Picture 18">
          <a:extLst>
            <a:ext uri="{FF2B5EF4-FFF2-40B4-BE49-F238E27FC236}">
              <a16:creationId xmlns:a16="http://schemas.microsoft.com/office/drawing/2014/main" id="{591460EB-10FB-4709-ADA4-2E444B5E45C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614674" y="4376058"/>
          <a:ext cx="1380387" cy="773783"/>
        </a:xfrm>
        <a:prstGeom prst="rect">
          <a:avLst/>
        </a:prstGeom>
      </xdr:spPr>
    </xdr:pic>
    <xdr:clientData/>
  </xdr:twoCellAnchor>
  <xdr:twoCellAnchor editAs="oneCell">
    <xdr:from>
      <xdr:col>18</xdr:col>
      <xdr:colOff>21522</xdr:colOff>
      <xdr:row>28</xdr:row>
      <xdr:rowOff>11239</xdr:rowOff>
    </xdr:from>
    <xdr:to>
      <xdr:col>18</xdr:col>
      <xdr:colOff>599800</xdr:colOff>
      <xdr:row>31</xdr:row>
      <xdr:rowOff>20425</xdr:rowOff>
    </xdr:to>
    <xdr:pic>
      <xdr:nvPicPr>
        <xdr:cNvPr id="29" name="Picture 28">
          <a:extLst>
            <a:ext uri="{FF2B5EF4-FFF2-40B4-BE49-F238E27FC236}">
              <a16:creationId xmlns:a16="http://schemas.microsoft.com/office/drawing/2014/main" id="{B7912561-9855-4EB4-BA08-174E1D4C25A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994322" y="5345239"/>
          <a:ext cx="578278" cy="580686"/>
        </a:xfrm>
        <a:prstGeom prst="rect">
          <a:avLst/>
        </a:prstGeom>
      </xdr:spPr>
    </xdr:pic>
    <xdr:clientData/>
  </xdr:twoCellAnchor>
  <xdr:twoCellAnchor>
    <xdr:from>
      <xdr:col>15</xdr:col>
      <xdr:colOff>149223</xdr:colOff>
      <xdr:row>5</xdr:row>
      <xdr:rowOff>13901</xdr:rowOff>
    </xdr:from>
    <xdr:to>
      <xdr:col>17</xdr:col>
      <xdr:colOff>384855</xdr:colOff>
      <xdr:row>6</xdr:row>
      <xdr:rowOff>152634</xdr:rowOff>
    </xdr:to>
    <xdr:sp macro="" textlink="Pivot!B8">
      <xdr:nvSpPr>
        <xdr:cNvPr id="68" name="TextBox 67">
          <a:extLst>
            <a:ext uri="{FF2B5EF4-FFF2-40B4-BE49-F238E27FC236}">
              <a16:creationId xmlns:a16="http://schemas.microsoft.com/office/drawing/2014/main" id="{364F4F5A-B586-4F24-A218-89E85278938D}"/>
            </a:ext>
          </a:extLst>
        </xdr:cNvPr>
        <xdr:cNvSpPr txBox="1"/>
      </xdr:nvSpPr>
      <xdr:spPr>
        <a:xfrm>
          <a:off x="9323302" y="966401"/>
          <a:ext cx="1458842" cy="329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5B257E-15C4-4BB1-AE1C-32D7B801C899}" type="TxLink">
            <a:rPr lang="en-US" sz="1400" b="1" i="0" u="none" strike="noStrike">
              <a:solidFill>
                <a:srgbClr val="000000"/>
              </a:solidFill>
              <a:latin typeface="Montserrat SemiBold" pitchFamily="2" charset="0"/>
              <a:ea typeface="Calibri"/>
              <a:cs typeface="Calibri"/>
            </a:rPr>
            <a:pPr/>
            <a:t>₹ 1,23,68,640</a:t>
          </a:fld>
          <a:endParaRPr lang="en-IN" sz="1400" b="1">
            <a:latin typeface="Montserrat SemiBold" pitchFamily="2" charset="0"/>
          </a:endParaRPr>
        </a:p>
      </xdr:txBody>
    </xdr:sp>
    <xdr:clientData/>
  </xdr:twoCellAnchor>
  <xdr:twoCellAnchor>
    <xdr:from>
      <xdr:col>15</xdr:col>
      <xdr:colOff>382764</xdr:colOff>
      <xdr:row>6</xdr:row>
      <xdr:rowOff>78207</xdr:rowOff>
    </xdr:from>
    <xdr:to>
      <xdr:col>17</xdr:col>
      <xdr:colOff>269635</xdr:colOff>
      <xdr:row>7</xdr:row>
      <xdr:rowOff>148963</xdr:rowOff>
    </xdr:to>
    <xdr:sp macro="" textlink="">
      <xdr:nvSpPr>
        <xdr:cNvPr id="69" name="TextBox 68">
          <a:extLst>
            <a:ext uri="{FF2B5EF4-FFF2-40B4-BE49-F238E27FC236}">
              <a16:creationId xmlns:a16="http://schemas.microsoft.com/office/drawing/2014/main" id="{B13AE58C-A1A3-4268-BFA7-8B9CFCF5E489}"/>
            </a:ext>
          </a:extLst>
        </xdr:cNvPr>
        <xdr:cNvSpPr txBox="1"/>
      </xdr:nvSpPr>
      <xdr:spPr>
        <a:xfrm>
          <a:off x="9491045" y="1221207"/>
          <a:ext cx="1101309"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rgbClr val="000000"/>
              </a:solidFill>
              <a:latin typeface="Montserrat Medium" pitchFamily="2" charset="0"/>
              <a:ea typeface="Calibri"/>
              <a:cs typeface="Calibri"/>
            </a:rPr>
            <a:t>Total Sales</a:t>
          </a:r>
        </a:p>
      </xdr:txBody>
    </xdr:sp>
    <xdr:clientData/>
  </xdr:twoCellAnchor>
  <xdr:twoCellAnchor>
    <xdr:from>
      <xdr:col>15</xdr:col>
      <xdr:colOff>208344</xdr:colOff>
      <xdr:row>9</xdr:row>
      <xdr:rowOff>125623</xdr:rowOff>
    </xdr:from>
    <xdr:to>
      <xdr:col>17</xdr:col>
      <xdr:colOff>443976</xdr:colOff>
      <xdr:row>11</xdr:row>
      <xdr:rowOff>73856</xdr:rowOff>
    </xdr:to>
    <xdr:sp macro="" textlink="Pivot!B9">
      <xdr:nvSpPr>
        <xdr:cNvPr id="70" name="TextBox 69">
          <a:extLst>
            <a:ext uri="{FF2B5EF4-FFF2-40B4-BE49-F238E27FC236}">
              <a16:creationId xmlns:a16="http://schemas.microsoft.com/office/drawing/2014/main" id="{7458A7C2-CFA2-4BEF-BF1F-D56CD4E5A58D}"/>
            </a:ext>
          </a:extLst>
        </xdr:cNvPr>
        <xdr:cNvSpPr txBox="1"/>
      </xdr:nvSpPr>
      <xdr:spPr>
        <a:xfrm>
          <a:off x="9372051" y="1840123"/>
          <a:ext cx="1457459" cy="329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DDF87A-77CD-4A09-B2D0-338CA6E7AE58}" type="TxLink">
            <a:rPr lang="en-US" sz="1400" b="1" i="0" u="none" strike="noStrike">
              <a:solidFill>
                <a:srgbClr val="000000"/>
              </a:solidFill>
              <a:latin typeface="Montserrat SemiBold" pitchFamily="2" charset="0"/>
              <a:ea typeface="Calibri"/>
              <a:cs typeface="Calibri"/>
            </a:rPr>
            <a:pPr/>
            <a:t>₹ 43,17,890</a:t>
          </a:fld>
          <a:endParaRPr lang="en-IN" sz="1400" b="1">
            <a:latin typeface="Montserrat SemiBold" pitchFamily="2" charset="0"/>
          </a:endParaRPr>
        </a:p>
      </xdr:txBody>
    </xdr:sp>
    <xdr:clientData/>
  </xdr:twoCellAnchor>
  <xdr:twoCellAnchor>
    <xdr:from>
      <xdr:col>15</xdr:col>
      <xdr:colOff>352383</xdr:colOff>
      <xdr:row>10</xdr:row>
      <xdr:rowOff>189929</xdr:rowOff>
    </xdr:from>
    <xdr:to>
      <xdr:col>17</xdr:col>
      <xdr:colOff>154780</xdr:colOff>
      <xdr:row>12</xdr:row>
      <xdr:rowOff>70185</xdr:rowOff>
    </xdr:to>
    <xdr:sp macro="" textlink="">
      <xdr:nvSpPr>
        <xdr:cNvPr id="71" name="TextBox 70">
          <a:extLst>
            <a:ext uri="{FF2B5EF4-FFF2-40B4-BE49-F238E27FC236}">
              <a16:creationId xmlns:a16="http://schemas.microsoft.com/office/drawing/2014/main" id="{46821478-D169-42BE-B1B3-3F5D762394CC}"/>
            </a:ext>
          </a:extLst>
        </xdr:cNvPr>
        <xdr:cNvSpPr txBox="1"/>
      </xdr:nvSpPr>
      <xdr:spPr>
        <a:xfrm>
          <a:off x="9460664" y="2094929"/>
          <a:ext cx="1016835"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rgbClr val="000000"/>
              </a:solidFill>
              <a:latin typeface="Montserrat Medium" pitchFamily="2" charset="0"/>
              <a:ea typeface="Calibri"/>
              <a:cs typeface="Calibri"/>
            </a:rPr>
            <a:t>Total Profit</a:t>
          </a:r>
        </a:p>
      </xdr:txBody>
    </xdr:sp>
    <xdr:clientData/>
  </xdr:twoCellAnchor>
  <xdr:twoCellAnchor>
    <xdr:from>
      <xdr:col>15</xdr:col>
      <xdr:colOff>577848</xdr:colOff>
      <xdr:row>14</xdr:row>
      <xdr:rowOff>60158</xdr:rowOff>
    </xdr:from>
    <xdr:to>
      <xdr:col>16</xdr:col>
      <xdr:colOff>535782</xdr:colOff>
      <xdr:row>16</xdr:row>
      <xdr:rowOff>8391</xdr:rowOff>
    </xdr:to>
    <xdr:sp macro="" textlink="Pivot!B10">
      <xdr:nvSpPr>
        <xdr:cNvPr id="72" name="TextBox 71">
          <a:extLst>
            <a:ext uri="{FF2B5EF4-FFF2-40B4-BE49-F238E27FC236}">
              <a16:creationId xmlns:a16="http://schemas.microsoft.com/office/drawing/2014/main" id="{542740A6-E2CE-4E8F-ADAD-21971C419FB1}"/>
            </a:ext>
          </a:extLst>
        </xdr:cNvPr>
        <xdr:cNvSpPr txBox="1"/>
      </xdr:nvSpPr>
      <xdr:spPr>
        <a:xfrm>
          <a:off x="9686129" y="2727158"/>
          <a:ext cx="565153" cy="329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0AD32E-844B-4660-AF35-87674626112C}" type="TxLink">
            <a:rPr lang="en-US" sz="1400" b="0" i="0" u="none" strike="noStrike">
              <a:solidFill>
                <a:srgbClr val="000000"/>
              </a:solidFill>
              <a:latin typeface="Montserrat SemiBold" pitchFamily="2" charset="0"/>
              <a:ea typeface="Calibri"/>
              <a:cs typeface="Calibri"/>
            </a:rPr>
            <a:pPr/>
            <a:t>35%</a:t>
          </a:fld>
          <a:endParaRPr lang="en-IN" sz="1400" b="1">
            <a:latin typeface="Montserrat SemiBold" pitchFamily="2" charset="0"/>
          </a:endParaRPr>
        </a:p>
      </xdr:txBody>
    </xdr:sp>
    <xdr:clientData/>
  </xdr:twoCellAnchor>
  <xdr:twoCellAnchor>
    <xdr:from>
      <xdr:col>15</xdr:col>
      <xdr:colOff>200066</xdr:colOff>
      <xdr:row>15</xdr:row>
      <xdr:rowOff>97249</xdr:rowOff>
    </xdr:from>
    <xdr:to>
      <xdr:col>17</xdr:col>
      <xdr:colOff>321880</xdr:colOff>
      <xdr:row>16</xdr:row>
      <xdr:rowOff>168005</xdr:rowOff>
    </xdr:to>
    <xdr:sp macro="" textlink="">
      <xdr:nvSpPr>
        <xdr:cNvPr id="73" name="TextBox 72">
          <a:extLst>
            <a:ext uri="{FF2B5EF4-FFF2-40B4-BE49-F238E27FC236}">
              <a16:creationId xmlns:a16="http://schemas.microsoft.com/office/drawing/2014/main" id="{2E66B618-3E99-49AF-B220-0DF2A47CC79F}"/>
            </a:ext>
          </a:extLst>
        </xdr:cNvPr>
        <xdr:cNvSpPr txBox="1"/>
      </xdr:nvSpPr>
      <xdr:spPr>
        <a:xfrm>
          <a:off x="9363773" y="2954749"/>
          <a:ext cx="1343641"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rgbClr val="000000"/>
              </a:solidFill>
              <a:latin typeface="Montserrat Medium" pitchFamily="2" charset="0"/>
              <a:ea typeface="Calibri"/>
              <a:cs typeface="Calibri"/>
            </a:rPr>
            <a:t>Profit Margin %</a:t>
          </a:r>
        </a:p>
      </xdr:txBody>
    </xdr:sp>
    <xdr:clientData/>
  </xdr:twoCellAnchor>
  <xdr:twoCellAnchor>
    <xdr:from>
      <xdr:col>15</xdr:col>
      <xdr:colOff>522382</xdr:colOff>
      <xdr:row>19</xdr:row>
      <xdr:rowOff>13771</xdr:rowOff>
    </xdr:from>
    <xdr:to>
      <xdr:col>16</xdr:col>
      <xdr:colOff>563659</xdr:colOff>
      <xdr:row>20</xdr:row>
      <xdr:rowOff>152504</xdr:rowOff>
    </xdr:to>
    <xdr:sp macro="" textlink="Pivot!B11">
      <xdr:nvSpPr>
        <xdr:cNvPr id="74" name="TextBox 73">
          <a:extLst>
            <a:ext uri="{FF2B5EF4-FFF2-40B4-BE49-F238E27FC236}">
              <a16:creationId xmlns:a16="http://schemas.microsoft.com/office/drawing/2014/main" id="{F01BE00C-A081-4ED1-84C5-C3876C54E594}"/>
            </a:ext>
          </a:extLst>
        </xdr:cNvPr>
        <xdr:cNvSpPr txBox="1"/>
      </xdr:nvSpPr>
      <xdr:spPr>
        <a:xfrm>
          <a:off x="9652443" y="3633271"/>
          <a:ext cx="649948" cy="329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566223-736F-4C7C-8149-420DCDA883FD}" type="TxLink">
            <a:rPr lang="en-US" sz="1400" b="0" i="0" u="none" strike="noStrike">
              <a:solidFill>
                <a:srgbClr val="000000"/>
              </a:solidFill>
              <a:latin typeface="Montserrat SemiBold" pitchFamily="2" charset="0"/>
              <a:ea typeface="Calibri"/>
              <a:cs typeface="Calibri"/>
            </a:rPr>
            <a:pPr/>
            <a:t>5000</a:t>
          </a:fld>
          <a:endParaRPr lang="en-IN" sz="1400" b="1">
            <a:latin typeface="Montserrat SemiBold" pitchFamily="2" charset="0"/>
          </a:endParaRPr>
        </a:p>
      </xdr:txBody>
    </xdr:sp>
    <xdr:clientData/>
  </xdr:twoCellAnchor>
  <xdr:twoCellAnchor>
    <xdr:from>
      <xdr:col>15</xdr:col>
      <xdr:colOff>322002</xdr:colOff>
      <xdr:row>20</xdr:row>
      <xdr:rowOff>34227</xdr:rowOff>
    </xdr:from>
    <xdr:to>
      <xdr:col>17</xdr:col>
      <xdr:colOff>289035</xdr:colOff>
      <xdr:row>21</xdr:row>
      <xdr:rowOff>104983</xdr:rowOff>
    </xdr:to>
    <xdr:sp macro="" textlink="">
      <xdr:nvSpPr>
        <xdr:cNvPr id="75" name="TextBox 74">
          <a:extLst>
            <a:ext uri="{FF2B5EF4-FFF2-40B4-BE49-F238E27FC236}">
              <a16:creationId xmlns:a16="http://schemas.microsoft.com/office/drawing/2014/main" id="{E73F70CD-3BEF-40DA-90F5-7C9CD00E4E55}"/>
            </a:ext>
          </a:extLst>
        </xdr:cNvPr>
        <xdr:cNvSpPr txBox="1"/>
      </xdr:nvSpPr>
      <xdr:spPr>
        <a:xfrm>
          <a:off x="9485709" y="3844227"/>
          <a:ext cx="1188860"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rgbClr val="000000"/>
              </a:solidFill>
              <a:latin typeface="Montserrat Medium" pitchFamily="2" charset="0"/>
              <a:ea typeface="Calibri"/>
              <a:cs typeface="Calibri"/>
            </a:rPr>
            <a:t>Total Orders</a:t>
          </a:r>
        </a:p>
      </xdr:txBody>
    </xdr:sp>
    <xdr:clientData/>
  </xdr:twoCellAnchor>
  <xdr:twoCellAnchor>
    <xdr:from>
      <xdr:col>15</xdr:col>
      <xdr:colOff>385706</xdr:colOff>
      <xdr:row>23</xdr:row>
      <xdr:rowOff>115301</xdr:rowOff>
    </xdr:from>
    <xdr:to>
      <xdr:col>17</xdr:col>
      <xdr:colOff>65690</xdr:colOff>
      <xdr:row>25</xdr:row>
      <xdr:rowOff>63534</xdr:rowOff>
    </xdr:to>
    <xdr:sp macro="" textlink="Pivot!B12">
      <xdr:nvSpPr>
        <xdr:cNvPr id="76" name="TextBox 75">
          <a:extLst>
            <a:ext uri="{FF2B5EF4-FFF2-40B4-BE49-F238E27FC236}">
              <a16:creationId xmlns:a16="http://schemas.microsoft.com/office/drawing/2014/main" id="{FBD09CBB-338F-471A-B3C1-347376E02C07}"/>
            </a:ext>
          </a:extLst>
        </xdr:cNvPr>
        <xdr:cNvSpPr txBox="1"/>
      </xdr:nvSpPr>
      <xdr:spPr>
        <a:xfrm>
          <a:off x="9549413" y="4496801"/>
          <a:ext cx="901811" cy="329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AB1D27-8253-40E1-BEB1-34E5A1F95827}" type="TxLink">
            <a:rPr lang="en-US" sz="1400" b="0" i="0" u="none" strike="noStrike">
              <a:solidFill>
                <a:srgbClr val="000000"/>
              </a:solidFill>
              <a:latin typeface="Montserrat SemiBold" pitchFamily="2" charset="0"/>
              <a:ea typeface="Calibri"/>
              <a:cs typeface="Calibri"/>
            </a:rPr>
            <a:pPr/>
            <a:t>₹ 2,474</a:t>
          </a:fld>
          <a:endParaRPr lang="en-IN" sz="1400" b="1">
            <a:latin typeface="Montserrat SemiBold" pitchFamily="2" charset="0"/>
          </a:endParaRPr>
        </a:p>
      </xdr:txBody>
    </xdr:sp>
    <xdr:clientData/>
  </xdr:twoCellAnchor>
  <xdr:twoCellAnchor>
    <xdr:from>
      <xdr:col>15</xdr:col>
      <xdr:colOff>184052</xdr:colOff>
      <xdr:row>24</xdr:row>
      <xdr:rowOff>179607</xdr:rowOff>
    </xdr:from>
    <xdr:to>
      <xdr:col>17</xdr:col>
      <xdr:colOff>348154</xdr:colOff>
      <xdr:row>26</xdr:row>
      <xdr:rowOff>59863</xdr:rowOff>
    </xdr:to>
    <xdr:sp macro="" textlink="">
      <xdr:nvSpPr>
        <xdr:cNvPr id="77" name="TextBox 76">
          <a:extLst>
            <a:ext uri="{FF2B5EF4-FFF2-40B4-BE49-F238E27FC236}">
              <a16:creationId xmlns:a16="http://schemas.microsoft.com/office/drawing/2014/main" id="{EB712B2D-48DE-440C-9C4E-8A4A916EA022}"/>
            </a:ext>
          </a:extLst>
        </xdr:cNvPr>
        <xdr:cNvSpPr txBox="1"/>
      </xdr:nvSpPr>
      <xdr:spPr>
        <a:xfrm>
          <a:off x="9347759" y="4751607"/>
          <a:ext cx="1385929"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rgbClr val="000000"/>
              </a:solidFill>
              <a:latin typeface="Montserrat Medium" pitchFamily="2" charset="0"/>
              <a:ea typeface="Calibri"/>
              <a:cs typeface="Calibri"/>
            </a:rPr>
            <a:t>Avg Order</a:t>
          </a:r>
          <a:r>
            <a:rPr lang="en-US" sz="1100" b="1" i="1" u="none" strike="noStrike" baseline="0">
              <a:solidFill>
                <a:srgbClr val="000000"/>
              </a:solidFill>
              <a:latin typeface="Montserrat Medium" pitchFamily="2" charset="0"/>
              <a:ea typeface="Calibri"/>
              <a:cs typeface="Calibri"/>
            </a:rPr>
            <a:t> Value</a:t>
          </a:r>
          <a:endParaRPr lang="en-US" sz="1100" b="1" i="1" u="none" strike="noStrike">
            <a:solidFill>
              <a:srgbClr val="000000"/>
            </a:solidFill>
            <a:latin typeface="Montserrat Medium" pitchFamily="2" charset="0"/>
            <a:ea typeface="Calibri"/>
            <a:cs typeface="Calibri"/>
          </a:endParaRPr>
        </a:p>
      </xdr:txBody>
    </xdr:sp>
    <xdr:clientData/>
  </xdr:twoCellAnchor>
  <xdr:twoCellAnchor>
    <xdr:from>
      <xdr:col>15</xdr:col>
      <xdr:colOff>438258</xdr:colOff>
      <xdr:row>28</xdr:row>
      <xdr:rowOff>40398</xdr:rowOff>
    </xdr:from>
    <xdr:to>
      <xdr:col>16</xdr:col>
      <xdr:colOff>584638</xdr:colOff>
      <xdr:row>29</xdr:row>
      <xdr:rowOff>144517</xdr:rowOff>
    </xdr:to>
    <xdr:sp macro="" textlink="Pivot!B13">
      <xdr:nvSpPr>
        <xdr:cNvPr id="78" name="TextBox 77">
          <a:extLst>
            <a:ext uri="{FF2B5EF4-FFF2-40B4-BE49-F238E27FC236}">
              <a16:creationId xmlns:a16="http://schemas.microsoft.com/office/drawing/2014/main" id="{58287E5F-30F4-4548-BB49-365322785DFA}"/>
            </a:ext>
          </a:extLst>
        </xdr:cNvPr>
        <xdr:cNvSpPr txBox="1"/>
      </xdr:nvSpPr>
      <xdr:spPr>
        <a:xfrm>
          <a:off x="9601965" y="5374398"/>
          <a:ext cx="757294" cy="294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6E2CC7-D275-42CB-BB3F-5A6C42FD6882}" type="TxLink">
            <a:rPr lang="en-US" sz="1400" b="0" i="0" u="none" strike="noStrike">
              <a:solidFill>
                <a:srgbClr val="000000"/>
              </a:solidFill>
              <a:latin typeface="Montserrat SemiBold" pitchFamily="2" charset="0"/>
              <a:ea typeface="Calibri"/>
              <a:cs typeface="Calibri"/>
            </a:rPr>
            <a:pPr/>
            <a:t>₹ 453</a:t>
          </a:fld>
          <a:endParaRPr lang="en-IN" sz="1400" b="1">
            <a:latin typeface="Montserrat SemiBold" pitchFamily="2" charset="0"/>
          </a:endParaRPr>
        </a:p>
      </xdr:txBody>
    </xdr:sp>
    <xdr:clientData/>
  </xdr:twoCellAnchor>
  <xdr:twoCellAnchor>
    <xdr:from>
      <xdr:col>15</xdr:col>
      <xdr:colOff>164347</xdr:colOff>
      <xdr:row>29</xdr:row>
      <xdr:rowOff>104704</xdr:rowOff>
    </xdr:from>
    <xdr:to>
      <xdr:col>17</xdr:col>
      <xdr:colOff>597776</xdr:colOff>
      <xdr:row>30</xdr:row>
      <xdr:rowOff>175460</xdr:rowOff>
    </xdr:to>
    <xdr:sp macro="" textlink="">
      <xdr:nvSpPr>
        <xdr:cNvPr id="79" name="TextBox 78">
          <a:extLst>
            <a:ext uri="{FF2B5EF4-FFF2-40B4-BE49-F238E27FC236}">
              <a16:creationId xmlns:a16="http://schemas.microsoft.com/office/drawing/2014/main" id="{6FAC6AA5-B3C7-4E0B-9BBC-7EE921417AC1}"/>
            </a:ext>
          </a:extLst>
        </xdr:cNvPr>
        <xdr:cNvSpPr txBox="1"/>
      </xdr:nvSpPr>
      <xdr:spPr>
        <a:xfrm>
          <a:off x="9328054" y="5629204"/>
          <a:ext cx="1655256" cy="261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u="none" strike="noStrike">
              <a:solidFill>
                <a:srgbClr val="000000"/>
              </a:solidFill>
              <a:latin typeface="Montserrat Medium" pitchFamily="2" charset="0"/>
              <a:ea typeface="Calibri"/>
              <a:cs typeface="Calibri"/>
            </a:rPr>
            <a:t>Avg Selling Price</a:t>
          </a:r>
        </a:p>
      </xdr:txBody>
    </xdr:sp>
    <xdr:clientData/>
  </xdr:twoCellAnchor>
  <xdr:twoCellAnchor>
    <xdr:from>
      <xdr:col>0</xdr:col>
      <xdr:colOff>308183</xdr:colOff>
      <xdr:row>6</xdr:row>
      <xdr:rowOff>80596</xdr:rowOff>
    </xdr:from>
    <xdr:to>
      <xdr:col>5</xdr:col>
      <xdr:colOff>39510</xdr:colOff>
      <xdr:row>14</xdr:row>
      <xdr:rowOff>111671</xdr:rowOff>
    </xdr:to>
    <xdr:graphicFrame macro="">
      <xdr:nvGraphicFramePr>
        <xdr:cNvPr id="80" name="Chart 79">
          <a:extLst>
            <a:ext uri="{FF2B5EF4-FFF2-40B4-BE49-F238E27FC236}">
              <a16:creationId xmlns:a16="http://schemas.microsoft.com/office/drawing/2014/main" id="{28D419B4-5C3B-4FDF-834A-447107D58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459907</xdr:colOff>
      <xdr:row>5</xdr:row>
      <xdr:rowOff>1145</xdr:rowOff>
    </xdr:from>
    <xdr:to>
      <xdr:col>3</xdr:col>
      <xdr:colOff>513298</xdr:colOff>
      <xdr:row>6</xdr:row>
      <xdr:rowOff>54427</xdr:rowOff>
    </xdr:to>
    <xdr:sp macro="" textlink="">
      <xdr:nvSpPr>
        <xdr:cNvPr id="81" name="TextBox 80">
          <a:extLst>
            <a:ext uri="{FF2B5EF4-FFF2-40B4-BE49-F238E27FC236}">
              <a16:creationId xmlns:a16="http://schemas.microsoft.com/office/drawing/2014/main" id="{A4134C7C-8C75-47D2-B7A4-52EAE6361F76}"/>
            </a:ext>
          </a:extLst>
        </xdr:cNvPr>
        <xdr:cNvSpPr txBox="1"/>
      </xdr:nvSpPr>
      <xdr:spPr>
        <a:xfrm>
          <a:off x="1072820" y="953645"/>
          <a:ext cx="1279217"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Sales by Region</a:t>
          </a:r>
        </a:p>
      </xdr:txBody>
    </xdr:sp>
    <xdr:clientData/>
  </xdr:twoCellAnchor>
  <xdr:twoCellAnchor>
    <xdr:from>
      <xdr:col>6</xdr:col>
      <xdr:colOff>413776</xdr:colOff>
      <xdr:row>16</xdr:row>
      <xdr:rowOff>13974</xdr:rowOff>
    </xdr:from>
    <xdr:to>
      <xdr:col>14</xdr:col>
      <xdr:colOff>223157</xdr:colOff>
      <xdr:row>23</xdr:row>
      <xdr:rowOff>28628</xdr:rowOff>
    </xdr:to>
    <xdr:graphicFrame macro="">
      <xdr:nvGraphicFramePr>
        <xdr:cNvPr id="42" name="Chart 41">
          <a:extLst>
            <a:ext uri="{FF2B5EF4-FFF2-40B4-BE49-F238E27FC236}">
              <a16:creationId xmlns:a16="http://schemas.microsoft.com/office/drawing/2014/main" id="{894063D9-8BC1-409B-867B-7A409C134A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306457</xdr:colOff>
      <xdr:row>6</xdr:row>
      <xdr:rowOff>16565</xdr:rowOff>
    </xdr:from>
    <xdr:to>
      <xdr:col>14</xdr:col>
      <xdr:colOff>157368</xdr:colOff>
      <xdr:row>14</xdr:row>
      <xdr:rowOff>151412</xdr:rowOff>
    </xdr:to>
    <xdr:graphicFrame macro="">
      <xdr:nvGraphicFramePr>
        <xdr:cNvPr id="43" name="Chart 42">
          <a:extLst>
            <a:ext uri="{FF2B5EF4-FFF2-40B4-BE49-F238E27FC236}">
              <a16:creationId xmlns:a16="http://schemas.microsoft.com/office/drawing/2014/main" id="{A149A1EC-7A86-4309-9894-030B49DA9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256761</xdr:colOff>
      <xdr:row>17</xdr:row>
      <xdr:rowOff>85398</xdr:rowOff>
    </xdr:from>
    <xdr:to>
      <xdr:col>6</xdr:col>
      <xdr:colOff>165652</xdr:colOff>
      <xdr:row>30</xdr:row>
      <xdr:rowOff>74544</xdr:rowOff>
    </xdr:to>
    <xdr:graphicFrame macro="">
      <xdr:nvGraphicFramePr>
        <xdr:cNvPr id="44" name="Chart 43">
          <a:extLst>
            <a:ext uri="{FF2B5EF4-FFF2-40B4-BE49-F238E27FC236}">
              <a16:creationId xmlns:a16="http://schemas.microsoft.com/office/drawing/2014/main" id="{E31FE985-E900-4AE4-BD82-66A12ABD5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443828</xdr:colOff>
      <xdr:row>24</xdr:row>
      <xdr:rowOff>99391</xdr:rowOff>
    </xdr:from>
    <xdr:to>
      <xdr:col>10</xdr:col>
      <xdr:colOff>261936</xdr:colOff>
      <xdr:row>30</xdr:row>
      <xdr:rowOff>173120</xdr:rowOff>
    </xdr:to>
    <xdr:graphicFrame macro="">
      <xdr:nvGraphicFramePr>
        <xdr:cNvPr id="45" name="Chart 44">
          <a:extLst>
            <a:ext uri="{FF2B5EF4-FFF2-40B4-BE49-F238E27FC236}">
              <a16:creationId xmlns:a16="http://schemas.microsoft.com/office/drawing/2014/main" id="{1D49048A-2B83-4960-8FB5-E089FF626E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532183</xdr:colOff>
      <xdr:row>24</xdr:row>
      <xdr:rowOff>24687</xdr:rowOff>
    </xdr:from>
    <xdr:to>
      <xdr:col>14</xdr:col>
      <xdr:colOff>222594</xdr:colOff>
      <xdr:row>30</xdr:row>
      <xdr:rowOff>153564</xdr:rowOff>
    </xdr:to>
    <xdr:graphicFrame macro="">
      <xdr:nvGraphicFramePr>
        <xdr:cNvPr id="46" name="Chart 45">
          <a:extLst>
            <a:ext uri="{FF2B5EF4-FFF2-40B4-BE49-F238E27FC236}">
              <a16:creationId xmlns:a16="http://schemas.microsoft.com/office/drawing/2014/main" id="{79F50197-5461-4FE2-91EA-23E37A84BA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411145</xdr:colOff>
      <xdr:row>4</xdr:row>
      <xdr:rowOff>183312</xdr:rowOff>
    </xdr:from>
    <xdr:to>
      <xdr:col>11</xdr:col>
      <xdr:colOff>103206</xdr:colOff>
      <xdr:row>6</xdr:row>
      <xdr:rowOff>46094</xdr:rowOff>
    </xdr:to>
    <xdr:sp macro="" textlink="">
      <xdr:nvSpPr>
        <xdr:cNvPr id="47" name="TextBox 46">
          <a:extLst>
            <a:ext uri="{FF2B5EF4-FFF2-40B4-BE49-F238E27FC236}">
              <a16:creationId xmlns:a16="http://schemas.microsoft.com/office/drawing/2014/main" id="{A4D8A76C-4AA8-44E9-A7BD-107B5A758500}"/>
            </a:ext>
          </a:extLst>
        </xdr:cNvPr>
        <xdr:cNvSpPr txBox="1"/>
      </xdr:nvSpPr>
      <xdr:spPr>
        <a:xfrm>
          <a:off x="5314449" y="945312"/>
          <a:ext cx="1530800"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Monthly Sales Trend</a:t>
          </a:r>
        </a:p>
      </xdr:txBody>
    </xdr:sp>
    <xdr:clientData/>
  </xdr:twoCellAnchor>
  <xdr:twoCellAnchor>
    <xdr:from>
      <xdr:col>2</xdr:col>
      <xdr:colOff>244822</xdr:colOff>
      <xdr:row>15</xdr:row>
      <xdr:rowOff>175934</xdr:rowOff>
    </xdr:from>
    <xdr:to>
      <xdr:col>4</xdr:col>
      <xdr:colOff>214860</xdr:colOff>
      <xdr:row>17</xdr:row>
      <xdr:rowOff>38716</xdr:rowOff>
    </xdr:to>
    <xdr:sp macro="" textlink="">
      <xdr:nvSpPr>
        <xdr:cNvPr id="48" name="TextBox 47">
          <a:extLst>
            <a:ext uri="{FF2B5EF4-FFF2-40B4-BE49-F238E27FC236}">
              <a16:creationId xmlns:a16="http://schemas.microsoft.com/office/drawing/2014/main" id="{78F5B353-BE44-48E1-92C6-5EF54B9FA5DC}"/>
            </a:ext>
          </a:extLst>
        </xdr:cNvPr>
        <xdr:cNvSpPr txBox="1"/>
      </xdr:nvSpPr>
      <xdr:spPr>
        <a:xfrm>
          <a:off x="1470648" y="3033434"/>
          <a:ext cx="1195864"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Top 6 Products</a:t>
          </a:r>
        </a:p>
      </xdr:txBody>
    </xdr:sp>
    <xdr:clientData/>
  </xdr:twoCellAnchor>
  <xdr:twoCellAnchor>
    <xdr:from>
      <xdr:col>9</xdr:col>
      <xdr:colOff>209489</xdr:colOff>
      <xdr:row>15</xdr:row>
      <xdr:rowOff>82189</xdr:rowOff>
    </xdr:from>
    <xdr:to>
      <xdr:col>11</xdr:col>
      <xdr:colOff>366346</xdr:colOff>
      <xdr:row>16</xdr:row>
      <xdr:rowOff>135471</xdr:rowOff>
    </xdr:to>
    <xdr:sp macro="" textlink="">
      <xdr:nvSpPr>
        <xdr:cNvPr id="49" name="TextBox 48">
          <a:extLst>
            <a:ext uri="{FF2B5EF4-FFF2-40B4-BE49-F238E27FC236}">
              <a16:creationId xmlns:a16="http://schemas.microsoft.com/office/drawing/2014/main" id="{642B06A6-8A1F-4971-B7A6-7F9301B55011}"/>
            </a:ext>
          </a:extLst>
        </xdr:cNvPr>
        <xdr:cNvSpPr txBox="1"/>
      </xdr:nvSpPr>
      <xdr:spPr>
        <a:xfrm>
          <a:off x="5682701" y="2939689"/>
          <a:ext cx="1373126"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Sales By Category</a:t>
          </a:r>
        </a:p>
      </xdr:txBody>
    </xdr:sp>
    <xdr:clientData/>
  </xdr:twoCellAnchor>
  <xdr:twoCellAnchor>
    <xdr:from>
      <xdr:col>7</xdr:col>
      <xdr:colOff>13632</xdr:colOff>
      <xdr:row>23</xdr:row>
      <xdr:rowOff>69166</xdr:rowOff>
    </xdr:from>
    <xdr:to>
      <xdr:col>10</xdr:col>
      <xdr:colOff>72624</xdr:colOff>
      <xdr:row>24</xdr:row>
      <xdr:rowOff>122448</xdr:rowOff>
    </xdr:to>
    <xdr:sp macro="" textlink="">
      <xdr:nvSpPr>
        <xdr:cNvPr id="54" name="TextBox 53">
          <a:extLst>
            <a:ext uri="{FF2B5EF4-FFF2-40B4-BE49-F238E27FC236}">
              <a16:creationId xmlns:a16="http://schemas.microsoft.com/office/drawing/2014/main" id="{89D6B1FA-D0FD-44EE-853B-9716F7E50DE9}"/>
            </a:ext>
          </a:extLst>
        </xdr:cNvPr>
        <xdr:cNvSpPr txBox="1"/>
      </xdr:nvSpPr>
      <xdr:spPr>
        <a:xfrm>
          <a:off x="4290029" y="4450666"/>
          <a:ext cx="1891733"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Salesperson</a:t>
          </a:r>
          <a:r>
            <a:rPr lang="en-IN" sz="1000" baseline="0">
              <a:latin typeface="Montserrat SemiBold" pitchFamily="2" charset="0"/>
            </a:rPr>
            <a:t> Performance</a:t>
          </a:r>
          <a:endParaRPr lang="en-IN" sz="1000">
            <a:latin typeface="Montserrat SemiBold" pitchFamily="2" charset="0"/>
          </a:endParaRPr>
        </a:p>
      </xdr:txBody>
    </xdr:sp>
    <xdr:clientData/>
  </xdr:twoCellAnchor>
  <xdr:twoCellAnchor>
    <xdr:from>
      <xdr:col>11</xdr:col>
      <xdr:colOff>236836</xdr:colOff>
      <xdr:row>23</xdr:row>
      <xdr:rowOff>69166</xdr:rowOff>
    </xdr:from>
    <xdr:to>
      <xdr:col>13</xdr:col>
      <xdr:colOff>429914</xdr:colOff>
      <xdr:row>24</xdr:row>
      <xdr:rowOff>122448</xdr:rowOff>
    </xdr:to>
    <xdr:sp macro="" textlink="">
      <xdr:nvSpPr>
        <xdr:cNvPr id="55" name="TextBox 54">
          <a:extLst>
            <a:ext uri="{FF2B5EF4-FFF2-40B4-BE49-F238E27FC236}">
              <a16:creationId xmlns:a16="http://schemas.microsoft.com/office/drawing/2014/main" id="{54961123-2EBD-42D3-BA8E-E5A005BF245B}"/>
            </a:ext>
          </a:extLst>
        </xdr:cNvPr>
        <xdr:cNvSpPr txBox="1"/>
      </xdr:nvSpPr>
      <xdr:spPr>
        <a:xfrm>
          <a:off x="6978879" y="4450666"/>
          <a:ext cx="1418905" cy="243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Montserrat SemiBold" pitchFamily="2" charset="0"/>
            </a:rPr>
            <a:t>Profit by</a:t>
          </a:r>
          <a:r>
            <a:rPr lang="en-IN" sz="1000" baseline="0">
              <a:latin typeface="Montserrat SemiBold" pitchFamily="2" charset="0"/>
            </a:rPr>
            <a:t> Category</a:t>
          </a:r>
          <a:endParaRPr lang="en-IN" sz="1000">
            <a:latin typeface="Montserrat SemiBold" pitchFamily="2" charset="0"/>
          </a:endParaRPr>
        </a:p>
      </xdr:txBody>
    </xdr:sp>
    <xdr:clientData/>
  </xdr:twoCellAnchor>
  <xdr:twoCellAnchor editAs="oneCell">
    <xdr:from>
      <xdr:col>16</xdr:col>
      <xdr:colOff>233690</xdr:colOff>
      <xdr:row>0</xdr:row>
      <xdr:rowOff>142275</xdr:rowOff>
    </xdr:from>
    <xdr:to>
      <xdr:col>19</xdr:col>
      <xdr:colOff>36634</xdr:colOff>
      <xdr:row>3</xdr:row>
      <xdr:rowOff>137808</xdr:rowOff>
    </xdr:to>
    <mc:AlternateContent xmlns:mc="http://schemas.openxmlformats.org/markup-compatibility/2006" xmlns:a14="http://schemas.microsoft.com/office/drawing/2010/main">
      <mc:Choice Requires="a14">
        <xdr:graphicFrame macro="">
          <xdr:nvGraphicFramePr>
            <xdr:cNvPr id="59" name="Years">
              <a:extLst>
                <a:ext uri="{FF2B5EF4-FFF2-40B4-BE49-F238E27FC236}">
                  <a16:creationId xmlns:a16="http://schemas.microsoft.com/office/drawing/2014/main" id="{00C3ACD4-918D-46C2-9926-3416F0D5B869}"/>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987290" y="142275"/>
              <a:ext cx="1631744" cy="567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129170</xdr:colOff>
      <xdr:row>0</xdr:row>
      <xdr:rowOff>180004</xdr:rowOff>
    </xdr:from>
    <xdr:to>
      <xdr:col>16</xdr:col>
      <xdr:colOff>129170</xdr:colOff>
      <xdr:row>3</xdr:row>
      <xdr:rowOff>70568</xdr:rowOff>
    </xdr:to>
    <xdr:cxnSp macro="">
      <xdr:nvCxnSpPr>
        <xdr:cNvPr id="60" name="Straight Connector 59">
          <a:extLst>
            <a:ext uri="{FF2B5EF4-FFF2-40B4-BE49-F238E27FC236}">
              <a16:creationId xmlns:a16="http://schemas.microsoft.com/office/drawing/2014/main" id="{73725CF6-1AAF-466D-8D4B-956F92F15E8B}"/>
            </a:ext>
          </a:extLst>
        </xdr:cNvPr>
        <xdr:cNvCxnSpPr/>
      </xdr:nvCxnSpPr>
      <xdr:spPr>
        <a:xfrm>
          <a:off x="9882770" y="180004"/>
          <a:ext cx="0" cy="46206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rav Bhandari" refreshedDate="46071.823209722221" createdVersion="7" refreshedVersion="7" minRefreshableVersion="3" recordCount="5000" xr:uid="{06B23662-0F8A-462A-95AE-1AA2EF1FCBB1}">
  <cacheSource type="worksheet">
    <worksheetSource name="Table1"/>
  </cacheSource>
  <cacheFields count="15">
    <cacheField name="Order_ID" numFmtId="0">
      <sharedItems containsSemiMixedTypes="0" containsString="0" containsNumber="1" containsInteger="1" minValue="1" maxValue="5000"/>
    </cacheField>
    <cacheField name="Order_Date" numFmtId="14">
      <sharedItems containsSemiMixedTypes="0" containsNonDate="0" containsDate="1" containsString="0" minDate="2023-01-01T00:00:00" maxDate="2025-01-01T00:00:00"/>
    </cacheField>
    <cacheField name="Region" numFmtId="0">
      <sharedItems count="4">
        <s v="South"/>
        <s v="North"/>
        <s v="West"/>
        <s v="East"/>
      </sharedItems>
    </cacheField>
    <cacheField name="Category" numFmtId="0">
      <sharedItems count="5">
        <s v="Furniture"/>
        <s v="Clothing"/>
        <s v="Sports"/>
        <s v="Electronics"/>
        <s v="Beauty"/>
      </sharedItems>
    </cacheField>
    <cacheField name="Product" numFmtId="0">
      <sharedItems count="20">
        <s v="Bed"/>
        <s v="Table"/>
        <s v="Shirt"/>
        <s v="Tennis Racket"/>
        <s v="Tablet"/>
        <s v="Jacket"/>
        <s v="Gym Gloves"/>
        <s v="Shoes"/>
        <s v="Moisturizer"/>
        <s v="Lipstick"/>
        <s v="Bat"/>
        <s v="Mobile"/>
        <s v="Sofa"/>
        <s v="Chair"/>
        <s v="Perfume"/>
        <s v="Laptop"/>
        <s v="Jeans"/>
        <s v="Football"/>
        <s v="Face Wash"/>
        <s v="Headphones"/>
      </sharedItems>
    </cacheField>
    <cacheField name="Salesperson" numFmtId="0">
      <sharedItems count="6">
        <s v="David"/>
        <s v="Amit"/>
        <s v="Priya"/>
        <s v="John"/>
        <s v="Meena"/>
        <s v="Sara"/>
      </sharedItems>
    </cacheField>
    <cacheField name="Quantity" numFmtId="0">
      <sharedItems containsSemiMixedTypes="0" containsString="0" containsNumber="1" containsInteger="1" minValue="1" maxValue="10"/>
    </cacheField>
    <cacheField name="Unit_Price" numFmtId="0">
      <sharedItems containsSemiMixedTypes="0" containsString="0" containsNumber="1" containsInteger="1" minValue="10" maxValue="1000"/>
    </cacheField>
    <cacheField name="Discount_%" numFmtId="0">
      <sharedItems containsSemiMixedTypes="0" containsString="0" containsNumber="1" containsInteger="1" minValue="0" maxValue="20"/>
    </cacheField>
    <cacheField name="Total_Sales" numFmtId="164">
      <sharedItems containsSemiMixedTypes="0" containsString="0" containsNumber="1" minValue="10.199999999999999" maxValue="9950"/>
    </cacheField>
    <cacheField name="Cost" numFmtId="164">
      <sharedItems containsSemiMixedTypes="0" containsString="0" containsNumber="1" minValue="5.97" maxValue="7365.13"/>
    </cacheField>
    <cacheField name="Profit" numFmtId="164">
      <sharedItems containsSemiMixedTypes="0" containsString="0" containsNumber="1" minValue="2.5499999999999998" maxValue="4630.6400000000003"/>
    </cacheField>
    <cacheField name="Month" numFmtId="0">
      <sharedItems count="12">
        <s v="Sep"/>
        <s v="Oct"/>
        <s v="Aug"/>
        <s v="Nov"/>
        <s v="Jun"/>
        <s v="Jul"/>
        <s v="Dec"/>
        <s v="May"/>
        <s v="Mar"/>
        <s v="Feb"/>
        <s v="Apr"/>
        <s v="Jan"/>
      </sharedItems>
    </cacheField>
    <cacheField name="Years" numFmtId="0">
      <sharedItems containsSemiMixedTypes="0" containsString="0" containsNumber="1" containsInteger="1" minValue="2023" maxValue="2024" count="2">
        <n v="2024"/>
        <n v="2023"/>
      </sharedItems>
    </cacheField>
    <cacheField name="Profit_margin%" numFmtId="9">
      <sharedItems containsSemiMixedTypes="0" containsString="0" containsNumber="1" minValue="0.20003776435045315" maxValue="0.49995333333333331"/>
    </cacheField>
  </cacheFields>
  <extLst>
    <ext xmlns:x14="http://schemas.microsoft.com/office/spreadsheetml/2009/9/main" uri="{725AE2AE-9491-48be-B2B4-4EB974FC3084}">
      <x14:pivotCacheDefinition pivotCacheId="2758435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n v="1"/>
    <d v="2024-09-27T00:00:00"/>
    <x v="0"/>
    <x v="0"/>
    <x v="0"/>
    <x v="0"/>
    <n v="3"/>
    <n v="468"/>
    <n v="20"/>
    <n v="1123.2"/>
    <n v="606.4"/>
    <n v="516.79999999999995"/>
    <x v="0"/>
    <x v="0"/>
    <n v="0.46011396011396005"/>
  </r>
  <r>
    <n v="2"/>
    <d v="2024-10-20T00:00:00"/>
    <x v="1"/>
    <x v="0"/>
    <x v="1"/>
    <x v="1"/>
    <n v="1"/>
    <n v="907"/>
    <n v="10"/>
    <n v="816.3"/>
    <n v="481.81"/>
    <n v="334.49"/>
    <x v="1"/>
    <x v="0"/>
    <n v="0.40976356731593783"/>
  </r>
  <r>
    <n v="3"/>
    <d v="2023-08-10T00:00:00"/>
    <x v="2"/>
    <x v="1"/>
    <x v="2"/>
    <x v="0"/>
    <n v="3"/>
    <n v="991"/>
    <n v="10"/>
    <n v="2675.7"/>
    <n v="1486.59"/>
    <n v="1189.1099999999999"/>
    <x v="2"/>
    <x v="1"/>
    <n v="0.44441080838659042"/>
  </r>
  <r>
    <n v="4"/>
    <d v="2023-11-04T00:00:00"/>
    <x v="0"/>
    <x v="2"/>
    <x v="3"/>
    <x v="2"/>
    <n v="5"/>
    <n v="94"/>
    <n v="20"/>
    <n v="376"/>
    <n v="269.62"/>
    <n v="106.38"/>
    <x v="3"/>
    <x v="1"/>
    <n v="0.28292553191489361"/>
  </r>
  <r>
    <n v="5"/>
    <d v="2024-06-06T00:00:00"/>
    <x v="3"/>
    <x v="3"/>
    <x v="4"/>
    <x v="0"/>
    <n v="1"/>
    <n v="915"/>
    <n v="15"/>
    <n v="777.75"/>
    <n v="610.99"/>
    <n v="166.76"/>
    <x v="4"/>
    <x v="0"/>
    <n v="0.21441337190613949"/>
  </r>
  <r>
    <n v="6"/>
    <d v="2023-08-17T00:00:00"/>
    <x v="0"/>
    <x v="1"/>
    <x v="5"/>
    <x v="0"/>
    <n v="10"/>
    <n v="468"/>
    <n v="0"/>
    <n v="4680"/>
    <n v="3724.12"/>
    <n v="955.88"/>
    <x v="2"/>
    <x v="1"/>
    <n v="0.20424786324786326"/>
  </r>
  <r>
    <n v="7"/>
    <d v="2023-07-01T00:00:00"/>
    <x v="1"/>
    <x v="2"/>
    <x v="6"/>
    <x v="1"/>
    <n v="3"/>
    <n v="40"/>
    <n v="20"/>
    <n v="96"/>
    <n v="64.87"/>
    <n v="31.13"/>
    <x v="5"/>
    <x v="1"/>
    <n v="0.32427083333333334"/>
  </r>
  <r>
    <n v="8"/>
    <d v="2024-10-10T00:00:00"/>
    <x v="0"/>
    <x v="1"/>
    <x v="7"/>
    <x v="3"/>
    <n v="3"/>
    <n v="100"/>
    <n v="10"/>
    <n v="270"/>
    <n v="144.29"/>
    <n v="125.71"/>
    <x v="1"/>
    <x v="0"/>
    <n v="0.46559259259259256"/>
  </r>
  <r>
    <n v="9"/>
    <d v="2024-09-13T00:00:00"/>
    <x v="1"/>
    <x v="4"/>
    <x v="8"/>
    <x v="2"/>
    <n v="1"/>
    <n v="779"/>
    <n v="5"/>
    <n v="740.05"/>
    <n v="415.03"/>
    <n v="325.02"/>
    <x v="0"/>
    <x v="0"/>
    <n v="0.43918654144990205"/>
  </r>
  <r>
    <n v="10"/>
    <d v="2023-12-28T00:00:00"/>
    <x v="0"/>
    <x v="4"/>
    <x v="9"/>
    <x v="4"/>
    <n v="9"/>
    <n v="157"/>
    <n v="15"/>
    <n v="1201.05"/>
    <n v="691.78"/>
    <n v="509.27"/>
    <x v="6"/>
    <x v="1"/>
    <n v="0.4240206485991424"/>
  </r>
  <r>
    <n v="11"/>
    <d v="2023-05-02T00:00:00"/>
    <x v="2"/>
    <x v="2"/>
    <x v="10"/>
    <x v="2"/>
    <n v="8"/>
    <n v="317"/>
    <n v="10"/>
    <n v="2282.4"/>
    <n v="1812.35"/>
    <n v="470.05"/>
    <x v="7"/>
    <x v="1"/>
    <n v="0.20594549596915526"/>
  </r>
  <r>
    <n v="12"/>
    <d v="2024-10-26T00:00:00"/>
    <x v="0"/>
    <x v="1"/>
    <x v="7"/>
    <x v="2"/>
    <n v="4"/>
    <n v="916"/>
    <n v="20"/>
    <n v="2931.2"/>
    <n v="2229.77"/>
    <n v="701.43"/>
    <x v="1"/>
    <x v="0"/>
    <n v="0.23929789847161573"/>
  </r>
  <r>
    <n v="13"/>
    <d v="2024-03-09T00:00:00"/>
    <x v="1"/>
    <x v="2"/>
    <x v="6"/>
    <x v="3"/>
    <n v="3"/>
    <n v="521"/>
    <n v="20"/>
    <n v="1250.4000000000001"/>
    <n v="800.66"/>
    <n v="449.74"/>
    <x v="8"/>
    <x v="0"/>
    <n v="0.3596769033909149"/>
  </r>
  <r>
    <n v="14"/>
    <d v="2024-02-19T00:00:00"/>
    <x v="1"/>
    <x v="3"/>
    <x v="4"/>
    <x v="1"/>
    <n v="1"/>
    <n v="351"/>
    <n v="0"/>
    <n v="351"/>
    <n v="206.92"/>
    <n v="144.08000000000001"/>
    <x v="9"/>
    <x v="0"/>
    <n v="0.41048433048433053"/>
  </r>
  <r>
    <n v="15"/>
    <d v="2024-09-16T00:00:00"/>
    <x v="3"/>
    <x v="3"/>
    <x v="11"/>
    <x v="3"/>
    <n v="10"/>
    <n v="966"/>
    <n v="0"/>
    <n v="9660"/>
    <n v="5691.3"/>
    <n v="3968.7"/>
    <x v="0"/>
    <x v="0"/>
    <n v="0.41083850931677018"/>
  </r>
  <r>
    <n v="16"/>
    <d v="2024-09-05T00:00:00"/>
    <x v="3"/>
    <x v="0"/>
    <x v="12"/>
    <x v="2"/>
    <n v="2"/>
    <n v="432"/>
    <n v="5"/>
    <n v="820.8"/>
    <n v="511.85"/>
    <n v="308.95"/>
    <x v="0"/>
    <x v="0"/>
    <n v="0.37640107212475632"/>
  </r>
  <r>
    <n v="17"/>
    <d v="2023-05-15T00:00:00"/>
    <x v="3"/>
    <x v="0"/>
    <x v="13"/>
    <x v="0"/>
    <n v="9"/>
    <n v="953"/>
    <n v="10"/>
    <n v="7719.3"/>
    <n v="5647.47"/>
    <n v="2071.83"/>
    <x v="7"/>
    <x v="1"/>
    <n v="0.26839609809179588"/>
  </r>
  <r>
    <n v="18"/>
    <d v="2023-07-02T00:00:00"/>
    <x v="3"/>
    <x v="1"/>
    <x v="2"/>
    <x v="4"/>
    <n v="10"/>
    <n v="894"/>
    <n v="20"/>
    <n v="7152"/>
    <n v="4191.82"/>
    <n v="2960.18"/>
    <x v="5"/>
    <x v="1"/>
    <n v="0.41389541387024609"/>
  </r>
  <r>
    <n v="19"/>
    <d v="2023-09-21T00:00:00"/>
    <x v="2"/>
    <x v="1"/>
    <x v="2"/>
    <x v="1"/>
    <n v="1"/>
    <n v="508"/>
    <n v="5"/>
    <n v="482.6"/>
    <n v="266.14999999999998"/>
    <n v="216.45"/>
    <x v="0"/>
    <x v="1"/>
    <n v="0.44850808122668873"/>
  </r>
  <r>
    <n v="20"/>
    <d v="2023-08-31T00:00:00"/>
    <x v="3"/>
    <x v="2"/>
    <x v="3"/>
    <x v="5"/>
    <n v="6"/>
    <n v="938"/>
    <n v="20"/>
    <n v="4502.3999999999996"/>
    <n v="3043.35"/>
    <n v="1459.05"/>
    <x v="2"/>
    <x v="1"/>
    <n v="0.32406050106609807"/>
  </r>
  <r>
    <n v="21"/>
    <d v="2024-03-28T00:00:00"/>
    <x v="3"/>
    <x v="4"/>
    <x v="14"/>
    <x v="2"/>
    <n v="4"/>
    <n v="203"/>
    <n v="15"/>
    <n v="690.2"/>
    <n v="537.91999999999996"/>
    <n v="152.28"/>
    <x v="8"/>
    <x v="0"/>
    <n v="0.22063170095624454"/>
  </r>
  <r>
    <n v="22"/>
    <d v="2024-08-22T00:00:00"/>
    <x v="0"/>
    <x v="3"/>
    <x v="15"/>
    <x v="4"/>
    <n v="5"/>
    <n v="751"/>
    <n v="20"/>
    <n v="3004"/>
    <n v="2319.44"/>
    <n v="684.56"/>
    <x v="2"/>
    <x v="0"/>
    <n v="0.22788282290279627"/>
  </r>
  <r>
    <n v="23"/>
    <d v="2024-08-27T00:00:00"/>
    <x v="3"/>
    <x v="3"/>
    <x v="11"/>
    <x v="3"/>
    <n v="3"/>
    <n v="618"/>
    <n v="5"/>
    <n v="1761.3"/>
    <n v="893.93"/>
    <n v="867.37"/>
    <x v="2"/>
    <x v="0"/>
    <n v="0.49246011468801454"/>
  </r>
  <r>
    <n v="24"/>
    <d v="2023-06-16T00:00:00"/>
    <x v="0"/>
    <x v="4"/>
    <x v="9"/>
    <x v="5"/>
    <n v="6"/>
    <n v="282"/>
    <n v="0"/>
    <n v="1692"/>
    <n v="999.4"/>
    <n v="692.6"/>
    <x v="4"/>
    <x v="1"/>
    <n v="0.40933806146572105"/>
  </r>
  <r>
    <n v="25"/>
    <d v="2024-04-04T00:00:00"/>
    <x v="1"/>
    <x v="1"/>
    <x v="5"/>
    <x v="5"/>
    <n v="7"/>
    <n v="921"/>
    <n v="15"/>
    <n v="5479.95"/>
    <n v="3774.03"/>
    <n v="1705.92"/>
    <x v="10"/>
    <x v="0"/>
    <n v="0.31130211042071554"/>
  </r>
  <r>
    <n v="26"/>
    <d v="2024-03-28T00:00:00"/>
    <x v="0"/>
    <x v="1"/>
    <x v="16"/>
    <x v="1"/>
    <n v="1"/>
    <n v="395"/>
    <n v="10"/>
    <n v="355.5"/>
    <n v="233.01"/>
    <n v="122.49"/>
    <x v="8"/>
    <x v="0"/>
    <n v="0.34455696202531644"/>
  </r>
  <r>
    <n v="27"/>
    <d v="2023-06-12T00:00:00"/>
    <x v="0"/>
    <x v="3"/>
    <x v="4"/>
    <x v="5"/>
    <n v="8"/>
    <n v="224"/>
    <n v="20"/>
    <n v="1433.6"/>
    <n v="983.04"/>
    <n v="450.56"/>
    <x v="4"/>
    <x v="1"/>
    <n v="0.31428571428571433"/>
  </r>
  <r>
    <n v="28"/>
    <d v="2024-09-28T00:00:00"/>
    <x v="3"/>
    <x v="2"/>
    <x v="3"/>
    <x v="1"/>
    <n v="7"/>
    <n v="567"/>
    <n v="15"/>
    <n v="3373.65"/>
    <n v="1820.59"/>
    <n v="1553.06"/>
    <x v="0"/>
    <x v="0"/>
    <n v="0.46035006595230682"/>
  </r>
  <r>
    <n v="29"/>
    <d v="2024-03-20T00:00:00"/>
    <x v="0"/>
    <x v="3"/>
    <x v="4"/>
    <x v="1"/>
    <n v="6"/>
    <n v="231"/>
    <n v="0"/>
    <n v="1386"/>
    <n v="994.24"/>
    <n v="391.76"/>
    <x v="8"/>
    <x v="0"/>
    <n v="0.28265512265512266"/>
  </r>
  <r>
    <n v="30"/>
    <d v="2024-03-02T00:00:00"/>
    <x v="1"/>
    <x v="1"/>
    <x v="7"/>
    <x v="0"/>
    <n v="3"/>
    <n v="117"/>
    <n v="10"/>
    <n v="315.89999999999998"/>
    <n v="220.84"/>
    <n v="95.06"/>
    <x v="8"/>
    <x v="0"/>
    <n v="0.30091801202912316"/>
  </r>
  <r>
    <n v="31"/>
    <d v="2024-01-20T00:00:00"/>
    <x v="1"/>
    <x v="2"/>
    <x v="10"/>
    <x v="2"/>
    <n v="1"/>
    <n v="776"/>
    <n v="20"/>
    <n v="620.79999999999995"/>
    <n v="483.01"/>
    <n v="137.79"/>
    <x v="11"/>
    <x v="0"/>
    <n v="0.22195554123711342"/>
  </r>
  <r>
    <n v="32"/>
    <d v="2023-12-05T00:00:00"/>
    <x v="3"/>
    <x v="2"/>
    <x v="17"/>
    <x v="1"/>
    <n v="3"/>
    <n v="266"/>
    <n v="15"/>
    <n v="678.3"/>
    <n v="493.89"/>
    <n v="184.41"/>
    <x v="6"/>
    <x v="1"/>
    <n v="0.27187085360459973"/>
  </r>
  <r>
    <n v="33"/>
    <d v="2023-03-11T00:00:00"/>
    <x v="2"/>
    <x v="3"/>
    <x v="4"/>
    <x v="0"/>
    <n v="2"/>
    <n v="464"/>
    <n v="15"/>
    <n v="788.8"/>
    <n v="615.41"/>
    <n v="173.39"/>
    <x v="8"/>
    <x v="1"/>
    <n v="0.21981490872210954"/>
  </r>
  <r>
    <n v="34"/>
    <d v="2024-04-12T00:00:00"/>
    <x v="2"/>
    <x v="0"/>
    <x v="1"/>
    <x v="5"/>
    <n v="4"/>
    <n v="241"/>
    <n v="15"/>
    <n v="819.4"/>
    <n v="410.06"/>
    <n v="409.34"/>
    <x v="10"/>
    <x v="0"/>
    <n v="0.49956065413717354"/>
  </r>
  <r>
    <n v="35"/>
    <d v="2024-01-20T00:00:00"/>
    <x v="2"/>
    <x v="4"/>
    <x v="14"/>
    <x v="2"/>
    <n v="6"/>
    <n v="104"/>
    <n v="20"/>
    <n v="499.2"/>
    <n v="354.59"/>
    <n v="144.61000000000001"/>
    <x v="11"/>
    <x v="0"/>
    <n v="0.2896834935897436"/>
  </r>
  <r>
    <n v="36"/>
    <d v="2023-04-05T00:00:00"/>
    <x v="1"/>
    <x v="4"/>
    <x v="18"/>
    <x v="0"/>
    <n v="7"/>
    <n v="420"/>
    <n v="20"/>
    <n v="2352"/>
    <n v="1412.72"/>
    <n v="939.28"/>
    <x v="10"/>
    <x v="1"/>
    <n v="0.39935374149659864"/>
  </r>
  <r>
    <n v="37"/>
    <d v="2023-12-19T00:00:00"/>
    <x v="1"/>
    <x v="4"/>
    <x v="9"/>
    <x v="3"/>
    <n v="5"/>
    <n v="644"/>
    <n v="5"/>
    <n v="3059"/>
    <n v="2053.23"/>
    <n v="1005.77"/>
    <x v="6"/>
    <x v="1"/>
    <n v="0.32879045439686172"/>
  </r>
  <r>
    <n v="38"/>
    <d v="2023-12-09T00:00:00"/>
    <x v="3"/>
    <x v="0"/>
    <x v="12"/>
    <x v="1"/>
    <n v="6"/>
    <n v="181"/>
    <n v="15"/>
    <n v="923.1"/>
    <n v="515.75"/>
    <n v="407.35"/>
    <x v="6"/>
    <x v="1"/>
    <n v="0.44128480121330299"/>
  </r>
  <r>
    <n v="39"/>
    <d v="2023-08-11T00:00:00"/>
    <x v="1"/>
    <x v="1"/>
    <x v="16"/>
    <x v="2"/>
    <n v="5"/>
    <n v="510"/>
    <n v="15"/>
    <n v="2167.5"/>
    <n v="1416.8"/>
    <n v="750.7"/>
    <x v="2"/>
    <x v="1"/>
    <n v="0.34634371395617075"/>
  </r>
  <r>
    <n v="40"/>
    <d v="2023-05-21T00:00:00"/>
    <x v="0"/>
    <x v="2"/>
    <x v="17"/>
    <x v="3"/>
    <n v="8"/>
    <n v="514"/>
    <n v="20"/>
    <n v="3289.6"/>
    <n v="1975.09"/>
    <n v="1314.51"/>
    <x v="7"/>
    <x v="1"/>
    <n v="0.39959569552529184"/>
  </r>
  <r>
    <n v="41"/>
    <d v="2023-04-19T00:00:00"/>
    <x v="2"/>
    <x v="2"/>
    <x v="6"/>
    <x v="2"/>
    <n v="10"/>
    <n v="323"/>
    <n v="5"/>
    <n v="3068.5"/>
    <n v="1678.31"/>
    <n v="1390.19"/>
    <x v="10"/>
    <x v="1"/>
    <n v="0.45305197979468798"/>
  </r>
  <r>
    <n v="42"/>
    <d v="2023-05-19T00:00:00"/>
    <x v="2"/>
    <x v="2"/>
    <x v="10"/>
    <x v="1"/>
    <n v="5"/>
    <n v="551"/>
    <n v="0"/>
    <n v="2755"/>
    <n v="2073.34"/>
    <n v="681.66"/>
    <x v="7"/>
    <x v="1"/>
    <n v="0.24742649727767693"/>
  </r>
  <r>
    <n v="43"/>
    <d v="2023-02-08T00:00:00"/>
    <x v="1"/>
    <x v="4"/>
    <x v="9"/>
    <x v="5"/>
    <n v="5"/>
    <n v="275"/>
    <n v="20"/>
    <n v="1100"/>
    <n v="782.79"/>
    <n v="317.20999999999998"/>
    <x v="9"/>
    <x v="1"/>
    <n v="0.28837272727272728"/>
  </r>
  <r>
    <n v="44"/>
    <d v="2024-06-23T00:00:00"/>
    <x v="1"/>
    <x v="1"/>
    <x v="5"/>
    <x v="1"/>
    <n v="10"/>
    <n v="116"/>
    <n v="15"/>
    <n v="986"/>
    <n v="503.22"/>
    <n v="482.78"/>
    <x v="4"/>
    <x v="0"/>
    <n v="0.48963488843813385"/>
  </r>
  <r>
    <n v="45"/>
    <d v="2024-09-17T00:00:00"/>
    <x v="2"/>
    <x v="3"/>
    <x v="11"/>
    <x v="3"/>
    <n v="6"/>
    <n v="389"/>
    <n v="15"/>
    <n v="1983.9"/>
    <n v="1299.55"/>
    <n v="684.35"/>
    <x v="0"/>
    <x v="0"/>
    <n v="0.34495186249306919"/>
  </r>
  <r>
    <n v="46"/>
    <d v="2023-09-03T00:00:00"/>
    <x v="1"/>
    <x v="2"/>
    <x v="17"/>
    <x v="0"/>
    <n v="5"/>
    <n v="184"/>
    <n v="10"/>
    <n v="828"/>
    <n v="562.41999999999996"/>
    <n v="265.58"/>
    <x v="0"/>
    <x v="1"/>
    <n v="0.32074879227053138"/>
  </r>
  <r>
    <n v="47"/>
    <d v="2024-08-10T00:00:00"/>
    <x v="0"/>
    <x v="3"/>
    <x v="19"/>
    <x v="0"/>
    <n v="8"/>
    <n v="88"/>
    <n v="10"/>
    <n v="633.6"/>
    <n v="446.75"/>
    <n v="186.85"/>
    <x v="2"/>
    <x v="0"/>
    <n v="0.29490214646464646"/>
  </r>
  <r>
    <n v="48"/>
    <d v="2023-09-11T00:00:00"/>
    <x v="1"/>
    <x v="0"/>
    <x v="0"/>
    <x v="4"/>
    <n v="4"/>
    <n v="784"/>
    <n v="10"/>
    <n v="2822.4"/>
    <n v="1913.08"/>
    <n v="909.32"/>
    <x v="0"/>
    <x v="1"/>
    <n v="0.3221797052154195"/>
  </r>
  <r>
    <n v="49"/>
    <d v="2023-01-17T00:00:00"/>
    <x v="3"/>
    <x v="0"/>
    <x v="13"/>
    <x v="1"/>
    <n v="1"/>
    <n v="170"/>
    <n v="5"/>
    <n v="161.5"/>
    <n v="85.06"/>
    <n v="76.44"/>
    <x v="11"/>
    <x v="1"/>
    <n v="0.47331269349845201"/>
  </r>
  <r>
    <n v="50"/>
    <d v="2024-02-08T00:00:00"/>
    <x v="1"/>
    <x v="0"/>
    <x v="12"/>
    <x v="2"/>
    <n v="4"/>
    <n v="398"/>
    <n v="5"/>
    <n v="1512.4"/>
    <n v="1097.5"/>
    <n v="414.9"/>
    <x v="9"/>
    <x v="0"/>
    <n v="0.27433218725204966"/>
  </r>
  <r>
    <n v="51"/>
    <d v="2023-11-16T00:00:00"/>
    <x v="0"/>
    <x v="1"/>
    <x v="16"/>
    <x v="3"/>
    <n v="7"/>
    <n v="65"/>
    <n v="0"/>
    <n v="455"/>
    <n v="277.33999999999997"/>
    <n v="177.66"/>
    <x v="3"/>
    <x v="1"/>
    <n v="0.39046153846153847"/>
  </r>
  <r>
    <n v="52"/>
    <d v="2024-12-12T00:00:00"/>
    <x v="1"/>
    <x v="1"/>
    <x v="7"/>
    <x v="1"/>
    <n v="4"/>
    <n v="656"/>
    <n v="20"/>
    <n v="2099.1999999999998"/>
    <n v="1129.42"/>
    <n v="969.78"/>
    <x v="6"/>
    <x v="0"/>
    <n v="0.46197599085365859"/>
  </r>
  <r>
    <n v="53"/>
    <d v="2023-08-21T00:00:00"/>
    <x v="2"/>
    <x v="1"/>
    <x v="7"/>
    <x v="1"/>
    <n v="8"/>
    <n v="950"/>
    <n v="5"/>
    <n v="7220"/>
    <n v="5735.85"/>
    <n v="1484.15"/>
    <x v="2"/>
    <x v="1"/>
    <n v="0.20556094182825485"/>
  </r>
  <r>
    <n v="54"/>
    <d v="2023-11-29T00:00:00"/>
    <x v="0"/>
    <x v="4"/>
    <x v="18"/>
    <x v="4"/>
    <n v="6"/>
    <n v="677"/>
    <n v="0"/>
    <n v="4062"/>
    <n v="3193.13"/>
    <n v="868.87"/>
    <x v="3"/>
    <x v="1"/>
    <n v="0.21390201870999509"/>
  </r>
  <r>
    <n v="55"/>
    <d v="2023-06-04T00:00:00"/>
    <x v="1"/>
    <x v="0"/>
    <x v="12"/>
    <x v="1"/>
    <n v="5"/>
    <n v="62"/>
    <n v="10"/>
    <n v="279"/>
    <n v="165.81"/>
    <n v="113.19"/>
    <x v="4"/>
    <x v="1"/>
    <n v="0.4056989247311828"/>
  </r>
  <r>
    <n v="56"/>
    <d v="2023-11-03T00:00:00"/>
    <x v="0"/>
    <x v="0"/>
    <x v="0"/>
    <x v="3"/>
    <n v="7"/>
    <n v="973"/>
    <n v="20"/>
    <n v="5448.8"/>
    <n v="2830.68"/>
    <n v="2618.12"/>
    <x v="3"/>
    <x v="1"/>
    <n v="0.48049478784319477"/>
  </r>
  <r>
    <n v="57"/>
    <d v="2023-12-18T00:00:00"/>
    <x v="1"/>
    <x v="4"/>
    <x v="9"/>
    <x v="3"/>
    <n v="2"/>
    <n v="591"/>
    <n v="15"/>
    <n v="1004.7"/>
    <n v="703.24"/>
    <n v="301.45999999999998"/>
    <x v="6"/>
    <x v="1"/>
    <n v="0.30004976609933309"/>
  </r>
  <r>
    <n v="58"/>
    <d v="2023-03-22T00:00:00"/>
    <x v="0"/>
    <x v="3"/>
    <x v="4"/>
    <x v="3"/>
    <n v="1"/>
    <n v="699"/>
    <n v="0"/>
    <n v="699"/>
    <n v="403.96"/>
    <n v="295.04000000000002"/>
    <x v="8"/>
    <x v="1"/>
    <n v="0.42208869814020034"/>
  </r>
  <r>
    <n v="59"/>
    <d v="2024-09-01T00:00:00"/>
    <x v="1"/>
    <x v="4"/>
    <x v="8"/>
    <x v="1"/>
    <n v="2"/>
    <n v="73"/>
    <n v="15"/>
    <n v="124.1"/>
    <n v="79.25"/>
    <n v="44.85"/>
    <x v="0"/>
    <x v="0"/>
    <n v="0.36140209508460919"/>
  </r>
  <r>
    <n v="60"/>
    <d v="2023-01-23T00:00:00"/>
    <x v="1"/>
    <x v="0"/>
    <x v="1"/>
    <x v="1"/>
    <n v="3"/>
    <n v="725"/>
    <n v="5"/>
    <n v="2066.25"/>
    <n v="1587.99"/>
    <n v="478.26"/>
    <x v="11"/>
    <x v="1"/>
    <n v="0.2314627949183303"/>
  </r>
  <r>
    <n v="61"/>
    <d v="2024-09-23T00:00:00"/>
    <x v="2"/>
    <x v="2"/>
    <x v="10"/>
    <x v="5"/>
    <n v="7"/>
    <n v="561"/>
    <n v="5"/>
    <n v="3730.65"/>
    <n v="2017.55"/>
    <n v="1713.1"/>
    <x v="0"/>
    <x v="0"/>
    <n v="0.45919611863884308"/>
  </r>
  <r>
    <n v="62"/>
    <d v="2023-08-10T00:00:00"/>
    <x v="3"/>
    <x v="0"/>
    <x v="13"/>
    <x v="3"/>
    <n v="4"/>
    <n v="191"/>
    <n v="0"/>
    <n v="764"/>
    <n v="473.36"/>
    <n v="290.64"/>
    <x v="2"/>
    <x v="1"/>
    <n v="0.38041884816753924"/>
  </r>
  <r>
    <n v="63"/>
    <d v="2023-01-06T00:00:00"/>
    <x v="1"/>
    <x v="1"/>
    <x v="2"/>
    <x v="5"/>
    <n v="1"/>
    <n v="494"/>
    <n v="15"/>
    <n v="419.9"/>
    <n v="244.11"/>
    <n v="175.79"/>
    <x v="11"/>
    <x v="1"/>
    <n v="0.41864729697547037"/>
  </r>
  <r>
    <n v="64"/>
    <d v="2023-01-08T00:00:00"/>
    <x v="3"/>
    <x v="1"/>
    <x v="5"/>
    <x v="0"/>
    <n v="7"/>
    <n v="239"/>
    <n v="10"/>
    <n v="1505.7"/>
    <n v="782.47"/>
    <n v="723.23"/>
    <x v="11"/>
    <x v="1"/>
    <n v="0.4803280866042372"/>
  </r>
  <r>
    <n v="65"/>
    <d v="2024-09-04T00:00:00"/>
    <x v="1"/>
    <x v="0"/>
    <x v="12"/>
    <x v="2"/>
    <n v="8"/>
    <n v="22"/>
    <n v="10"/>
    <n v="158.4"/>
    <n v="80.760000000000005"/>
    <n v="77.64"/>
    <x v="0"/>
    <x v="0"/>
    <n v="0.49015151515151512"/>
  </r>
  <r>
    <n v="66"/>
    <d v="2024-01-03T00:00:00"/>
    <x v="2"/>
    <x v="2"/>
    <x v="6"/>
    <x v="4"/>
    <n v="8"/>
    <n v="958"/>
    <n v="10"/>
    <n v="6897.6"/>
    <n v="4653.6099999999997"/>
    <n v="2243.9899999999998"/>
    <x v="11"/>
    <x v="0"/>
    <n v="0.32532909997680348"/>
  </r>
  <r>
    <n v="67"/>
    <d v="2024-03-04T00:00:00"/>
    <x v="1"/>
    <x v="1"/>
    <x v="5"/>
    <x v="1"/>
    <n v="1"/>
    <n v="63"/>
    <n v="20"/>
    <n v="50.4"/>
    <n v="31.45"/>
    <n v="18.95"/>
    <x v="8"/>
    <x v="0"/>
    <n v="0.37599206349206349"/>
  </r>
  <r>
    <n v="68"/>
    <d v="2024-03-28T00:00:00"/>
    <x v="0"/>
    <x v="4"/>
    <x v="14"/>
    <x v="5"/>
    <n v="1"/>
    <n v="671"/>
    <n v="5"/>
    <n v="637.45000000000005"/>
    <n v="410.79"/>
    <n v="226.66"/>
    <x v="8"/>
    <x v="0"/>
    <n v="0.35557298611655813"/>
  </r>
  <r>
    <n v="69"/>
    <d v="2024-03-07T00:00:00"/>
    <x v="3"/>
    <x v="4"/>
    <x v="18"/>
    <x v="2"/>
    <n v="9"/>
    <n v="320"/>
    <n v="20"/>
    <n v="2304"/>
    <n v="1473.15"/>
    <n v="830.85"/>
    <x v="8"/>
    <x v="0"/>
    <n v="0.36061197916666665"/>
  </r>
  <r>
    <n v="70"/>
    <d v="2024-09-16T00:00:00"/>
    <x v="1"/>
    <x v="0"/>
    <x v="12"/>
    <x v="2"/>
    <n v="8"/>
    <n v="918"/>
    <n v="20"/>
    <n v="5875.2"/>
    <n v="3762.71"/>
    <n v="2112.4899999999998"/>
    <x v="0"/>
    <x v="0"/>
    <n v="0.35956052559912849"/>
  </r>
  <r>
    <n v="71"/>
    <d v="2024-02-26T00:00:00"/>
    <x v="0"/>
    <x v="2"/>
    <x v="6"/>
    <x v="5"/>
    <n v="10"/>
    <n v="129"/>
    <n v="10"/>
    <n v="1161"/>
    <n v="924.28"/>
    <n v="236.72"/>
    <x v="9"/>
    <x v="0"/>
    <n v="0.20389319552110249"/>
  </r>
  <r>
    <n v="72"/>
    <d v="2024-05-02T00:00:00"/>
    <x v="3"/>
    <x v="1"/>
    <x v="7"/>
    <x v="1"/>
    <n v="1"/>
    <n v="924"/>
    <n v="5"/>
    <n v="877.8"/>
    <n v="683.97"/>
    <n v="193.83"/>
    <x v="7"/>
    <x v="0"/>
    <n v="0.22081339712918663"/>
  </r>
  <r>
    <n v="73"/>
    <d v="2023-04-17T00:00:00"/>
    <x v="1"/>
    <x v="4"/>
    <x v="18"/>
    <x v="3"/>
    <n v="10"/>
    <n v="729"/>
    <n v="15"/>
    <n v="6196.5"/>
    <n v="3893.78"/>
    <n v="2302.7199999999998"/>
    <x v="10"/>
    <x v="1"/>
    <n v="0.37161623497135476"/>
  </r>
  <r>
    <n v="74"/>
    <d v="2024-09-01T00:00:00"/>
    <x v="1"/>
    <x v="3"/>
    <x v="15"/>
    <x v="1"/>
    <n v="1"/>
    <n v="182"/>
    <n v="15"/>
    <n v="154.69999999999999"/>
    <n v="119.21"/>
    <n v="35.49"/>
    <x v="0"/>
    <x v="0"/>
    <n v="0.22941176470588237"/>
  </r>
  <r>
    <n v="75"/>
    <d v="2023-10-23T00:00:00"/>
    <x v="3"/>
    <x v="2"/>
    <x v="6"/>
    <x v="4"/>
    <n v="3"/>
    <n v="631"/>
    <n v="5"/>
    <n v="1798.35"/>
    <n v="1237.43"/>
    <n v="560.91999999999996"/>
    <x v="1"/>
    <x v="1"/>
    <n v="0.31190813801540301"/>
  </r>
  <r>
    <n v="76"/>
    <d v="2024-03-28T00:00:00"/>
    <x v="1"/>
    <x v="0"/>
    <x v="13"/>
    <x v="4"/>
    <n v="7"/>
    <n v="547"/>
    <n v="10"/>
    <n v="3446.1"/>
    <n v="2576.13"/>
    <n v="869.97"/>
    <x v="8"/>
    <x v="0"/>
    <n v="0.25245059632628192"/>
  </r>
  <r>
    <n v="77"/>
    <d v="2024-03-12T00:00:00"/>
    <x v="2"/>
    <x v="4"/>
    <x v="9"/>
    <x v="3"/>
    <n v="7"/>
    <n v="219"/>
    <n v="10"/>
    <n v="1379.7"/>
    <n v="947.99"/>
    <n v="431.71"/>
    <x v="8"/>
    <x v="0"/>
    <n v="0.31290135536710878"/>
  </r>
  <r>
    <n v="78"/>
    <d v="2023-07-12T00:00:00"/>
    <x v="2"/>
    <x v="2"/>
    <x v="3"/>
    <x v="4"/>
    <n v="6"/>
    <n v="22"/>
    <n v="0"/>
    <n v="132"/>
    <n v="94.4"/>
    <n v="37.6"/>
    <x v="5"/>
    <x v="1"/>
    <n v="0.28484848484848485"/>
  </r>
  <r>
    <n v="79"/>
    <d v="2023-02-27T00:00:00"/>
    <x v="1"/>
    <x v="2"/>
    <x v="17"/>
    <x v="2"/>
    <n v="5"/>
    <n v="285"/>
    <n v="20"/>
    <n v="1140"/>
    <n v="797.3"/>
    <n v="342.7"/>
    <x v="9"/>
    <x v="1"/>
    <n v="0.30061403508771928"/>
  </r>
  <r>
    <n v="80"/>
    <d v="2024-05-10T00:00:00"/>
    <x v="1"/>
    <x v="0"/>
    <x v="0"/>
    <x v="4"/>
    <n v="3"/>
    <n v="678"/>
    <n v="15"/>
    <n v="1728.9"/>
    <n v="1190.69"/>
    <n v="538.21"/>
    <x v="7"/>
    <x v="0"/>
    <n v="0.31130198392041181"/>
  </r>
  <r>
    <n v="81"/>
    <d v="2023-10-21T00:00:00"/>
    <x v="2"/>
    <x v="3"/>
    <x v="11"/>
    <x v="0"/>
    <n v="6"/>
    <n v="400"/>
    <n v="5"/>
    <n v="2280"/>
    <n v="1757.35"/>
    <n v="522.65"/>
    <x v="1"/>
    <x v="1"/>
    <n v="0.22923245614035087"/>
  </r>
  <r>
    <n v="82"/>
    <d v="2024-04-12T00:00:00"/>
    <x v="3"/>
    <x v="4"/>
    <x v="18"/>
    <x v="5"/>
    <n v="9"/>
    <n v="348"/>
    <n v="20"/>
    <n v="2505.6"/>
    <n v="1810.7"/>
    <n v="694.9"/>
    <x v="10"/>
    <x v="0"/>
    <n v="0.27733876117496808"/>
  </r>
  <r>
    <n v="83"/>
    <d v="2024-11-13T00:00:00"/>
    <x v="2"/>
    <x v="2"/>
    <x v="6"/>
    <x v="3"/>
    <n v="10"/>
    <n v="871"/>
    <n v="20"/>
    <n v="6968"/>
    <n v="5043.47"/>
    <n v="1924.53"/>
    <x v="3"/>
    <x v="0"/>
    <n v="0.27619546498277842"/>
  </r>
  <r>
    <n v="84"/>
    <d v="2023-08-17T00:00:00"/>
    <x v="0"/>
    <x v="1"/>
    <x v="5"/>
    <x v="3"/>
    <n v="2"/>
    <n v="325"/>
    <n v="5"/>
    <n v="617.5"/>
    <n v="455.93"/>
    <n v="161.57"/>
    <x v="2"/>
    <x v="1"/>
    <n v="0.26165182186234814"/>
  </r>
  <r>
    <n v="85"/>
    <d v="2023-06-21T00:00:00"/>
    <x v="2"/>
    <x v="1"/>
    <x v="7"/>
    <x v="1"/>
    <n v="10"/>
    <n v="912"/>
    <n v="20"/>
    <n v="7296"/>
    <n v="3813.75"/>
    <n v="3482.25"/>
    <x v="4"/>
    <x v="1"/>
    <n v="0.47728207236842107"/>
  </r>
  <r>
    <n v="86"/>
    <d v="2024-11-01T00:00:00"/>
    <x v="1"/>
    <x v="4"/>
    <x v="8"/>
    <x v="5"/>
    <n v="3"/>
    <n v="210"/>
    <n v="0"/>
    <n v="630"/>
    <n v="383.55"/>
    <n v="246.45"/>
    <x v="3"/>
    <x v="0"/>
    <n v="0.3911904761904762"/>
  </r>
  <r>
    <n v="87"/>
    <d v="2023-10-20T00:00:00"/>
    <x v="2"/>
    <x v="1"/>
    <x v="7"/>
    <x v="2"/>
    <n v="5"/>
    <n v="90"/>
    <n v="15"/>
    <n v="382.5"/>
    <n v="262.95"/>
    <n v="119.55"/>
    <x v="1"/>
    <x v="1"/>
    <n v="0.31254901960784315"/>
  </r>
  <r>
    <n v="88"/>
    <d v="2023-11-22T00:00:00"/>
    <x v="0"/>
    <x v="4"/>
    <x v="18"/>
    <x v="0"/>
    <n v="2"/>
    <n v="995"/>
    <n v="15"/>
    <n v="1691.5"/>
    <n v="1120.1300000000001"/>
    <n v="571.37"/>
    <x v="3"/>
    <x v="1"/>
    <n v="0.33778894472361809"/>
  </r>
  <r>
    <n v="89"/>
    <d v="2024-04-30T00:00:00"/>
    <x v="3"/>
    <x v="0"/>
    <x v="13"/>
    <x v="0"/>
    <n v="7"/>
    <n v="552"/>
    <n v="20"/>
    <n v="3091.2"/>
    <n v="1667.17"/>
    <n v="1424.03"/>
    <x v="10"/>
    <x v="0"/>
    <n v="0.46067223084886127"/>
  </r>
  <r>
    <n v="90"/>
    <d v="2024-11-24T00:00:00"/>
    <x v="1"/>
    <x v="1"/>
    <x v="7"/>
    <x v="0"/>
    <n v="7"/>
    <n v="522"/>
    <n v="0"/>
    <n v="3654"/>
    <n v="2043.17"/>
    <n v="1610.83"/>
    <x v="3"/>
    <x v="0"/>
    <n v="0.44084017515051993"/>
  </r>
  <r>
    <n v="91"/>
    <d v="2024-10-29T00:00:00"/>
    <x v="0"/>
    <x v="1"/>
    <x v="16"/>
    <x v="3"/>
    <n v="9"/>
    <n v="890"/>
    <n v="20"/>
    <n v="6408"/>
    <n v="3545.84"/>
    <n v="2862.16"/>
    <x v="1"/>
    <x v="0"/>
    <n v="0.44665418227215975"/>
  </r>
  <r>
    <n v="92"/>
    <d v="2024-02-19T00:00:00"/>
    <x v="1"/>
    <x v="0"/>
    <x v="1"/>
    <x v="3"/>
    <n v="3"/>
    <n v="817"/>
    <n v="10"/>
    <n v="2205.9"/>
    <n v="1692.26"/>
    <n v="513.64"/>
    <x v="9"/>
    <x v="0"/>
    <n v="0.23284827054716895"/>
  </r>
  <r>
    <n v="93"/>
    <d v="2024-02-26T00:00:00"/>
    <x v="2"/>
    <x v="4"/>
    <x v="18"/>
    <x v="2"/>
    <n v="8"/>
    <n v="863"/>
    <n v="5"/>
    <n v="6558.8"/>
    <n v="4702.88"/>
    <n v="1855.92"/>
    <x v="9"/>
    <x v="0"/>
    <n v="0.28296639629200465"/>
  </r>
  <r>
    <n v="94"/>
    <d v="2023-04-18T00:00:00"/>
    <x v="3"/>
    <x v="0"/>
    <x v="13"/>
    <x v="4"/>
    <n v="9"/>
    <n v="334"/>
    <n v="0"/>
    <n v="3006"/>
    <n v="2307.12"/>
    <n v="698.88"/>
    <x v="10"/>
    <x v="1"/>
    <n v="0.23249500998003991"/>
  </r>
  <r>
    <n v="95"/>
    <d v="2023-06-27T00:00:00"/>
    <x v="1"/>
    <x v="2"/>
    <x v="10"/>
    <x v="2"/>
    <n v="8"/>
    <n v="126"/>
    <n v="5"/>
    <n v="957.6"/>
    <n v="647.11"/>
    <n v="310.49"/>
    <x v="4"/>
    <x v="1"/>
    <n v="0.32423767752715121"/>
  </r>
  <r>
    <n v="96"/>
    <d v="2024-05-08T00:00:00"/>
    <x v="3"/>
    <x v="0"/>
    <x v="13"/>
    <x v="5"/>
    <n v="2"/>
    <n v="517"/>
    <n v="10"/>
    <n v="930.6"/>
    <n v="685.5"/>
    <n v="245.1"/>
    <x v="7"/>
    <x v="0"/>
    <n v="0.26337846550612509"/>
  </r>
  <r>
    <n v="97"/>
    <d v="2023-04-08T00:00:00"/>
    <x v="0"/>
    <x v="1"/>
    <x v="16"/>
    <x v="2"/>
    <n v="7"/>
    <n v="502"/>
    <n v="5"/>
    <n v="3338.3"/>
    <n v="2213.75"/>
    <n v="1124.55"/>
    <x v="10"/>
    <x v="1"/>
    <n v="0.33686307401971061"/>
  </r>
  <r>
    <n v="98"/>
    <d v="2023-10-13T00:00:00"/>
    <x v="0"/>
    <x v="0"/>
    <x v="0"/>
    <x v="2"/>
    <n v="9"/>
    <n v="394"/>
    <n v="15"/>
    <n v="3014.1"/>
    <n v="2407.08"/>
    <n v="607.02"/>
    <x v="1"/>
    <x v="1"/>
    <n v="0.20139345078132775"/>
  </r>
  <r>
    <n v="99"/>
    <d v="2024-04-16T00:00:00"/>
    <x v="1"/>
    <x v="2"/>
    <x v="17"/>
    <x v="4"/>
    <n v="3"/>
    <n v="751"/>
    <n v="10"/>
    <n v="2027.7"/>
    <n v="1088.73"/>
    <n v="938.97"/>
    <x v="10"/>
    <x v="0"/>
    <n v="0.46307146027518864"/>
  </r>
  <r>
    <n v="100"/>
    <d v="2024-05-26T00:00:00"/>
    <x v="3"/>
    <x v="0"/>
    <x v="0"/>
    <x v="2"/>
    <n v="5"/>
    <n v="384"/>
    <n v="10"/>
    <n v="1728"/>
    <n v="940.11"/>
    <n v="787.89"/>
    <x v="7"/>
    <x v="0"/>
    <n v="0.45595486111111111"/>
  </r>
  <r>
    <n v="101"/>
    <d v="2024-07-10T00:00:00"/>
    <x v="1"/>
    <x v="0"/>
    <x v="12"/>
    <x v="4"/>
    <n v="4"/>
    <n v="72"/>
    <n v="0"/>
    <n v="288"/>
    <n v="178"/>
    <n v="110"/>
    <x v="5"/>
    <x v="0"/>
    <n v="0.38194444444444442"/>
  </r>
  <r>
    <n v="102"/>
    <d v="2023-01-24T00:00:00"/>
    <x v="3"/>
    <x v="3"/>
    <x v="4"/>
    <x v="5"/>
    <n v="3"/>
    <n v="108"/>
    <n v="15"/>
    <n v="275.39999999999998"/>
    <n v="211.02"/>
    <n v="64.38"/>
    <x v="11"/>
    <x v="1"/>
    <n v="0.23376906318082788"/>
  </r>
  <r>
    <n v="103"/>
    <d v="2023-05-24T00:00:00"/>
    <x v="0"/>
    <x v="1"/>
    <x v="16"/>
    <x v="0"/>
    <n v="8"/>
    <n v="133"/>
    <n v="5"/>
    <n v="1010.8"/>
    <n v="668.42"/>
    <n v="342.38"/>
    <x v="7"/>
    <x v="1"/>
    <n v="0.3387218045112782"/>
  </r>
  <r>
    <n v="104"/>
    <d v="2024-03-23T00:00:00"/>
    <x v="2"/>
    <x v="1"/>
    <x v="5"/>
    <x v="1"/>
    <n v="1"/>
    <n v="383"/>
    <n v="5"/>
    <n v="363.85"/>
    <n v="274.22000000000003"/>
    <n v="89.63"/>
    <x v="8"/>
    <x v="0"/>
    <n v="0.24633777655627317"/>
  </r>
  <r>
    <n v="105"/>
    <d v="2023-08-11T00:00:00"/>
    <x v="0"/>
    <x v="2"/>
    <x v="17"/>
    <x v="0"/>
    <n v="9"/>
    <n v="899"/>
    <n v="15"/>
    <n v="6877.35"/>
    <n v="4261.7"/>
    <n v="2615.65"/>
    <x v="2"/>
    <x v="1"/>
    <n v="0.38032817873163355"/>
  </r>
  <r>
    <n v="106"/>
    <d v="2024-03-04T00:00:00"/>
    <x v="2"/>
    <x v="3"/>
    <x v="19"/>
    <x v="5"/>
    <n v="7"/>
    <n v="32"/>
    <n v="20"/>
    <n v="179.2"/>
    <n v="119.15"/>
    <n v="60.05"/>
    <x v="8"/>
    <x v="0"/>
    <n v="0.33510044642857145"/>
  </r>
  <r>
    <n v="107"/>
    <d v="2023-12-28T00:00:00"/>
    <x v="0"/>
    <x v="2"/>
    <x v="6"/>
    <x v="2"/>
    <n v="6"/>
    <n v="964"/>
    <n v="15"/>
    <n v="4916.3999999999996"/>
    <n v="3313.62"/>
    <n v="1602.78"/>
    <x v="6"/>
    <x v="1"/>
    <n v="0.32600683426897731"/>
  </r>
  <r>
    <n v="108"/>
    <d v="2023-03-03T00:00:00"/>
    <x v="3"/>
    <x v="1"/>
    <x v="5"/>
    <x v="0"/>
    <n v="4"/>
    <n v="398"/>
    <n v="15"/>
    <n v="1353.2"/>
    <n v="971.92"/>
    <n v="381.28"/>
    <x v="8"/>
    <x v="1"/>
    <n v="0.28176174992610109"/>
  </r>
  <r>
    <n v="109"/>
    <d v="2023-07-11T00:00:00"/>
    <x v="3"/>
    <x v="0"/>
    <x v="12"/>
    <x v="5"/>
    <n v="1"/>
    <n v="386"/>
    <n v="10"/>
    <n v="347.4"/>
    <n v="258.70999999999998"/>
    <n v="88.69"/>
    <x v="5"/>
    <x v="1"/>
    <n v="0.25529648819804263"/>
  </r>
  <r>
    <n v="110"/>
    <d v="2024-10-01T00:00:00"/>
    <x v="0"/>
    <x v="2"/>
    <x v="6"/>
    <x v="0"/>
    <n v="2"/>
    <n v="127"/>
    <n v="10"/>
    <n v="228.6"/>
    <n v="119.25"/>
    <n v="109.35"/>
    <x v="1"/>
    <x v="0"/>
    <n v="0.47834645669291337"/>
  </r>
  <r>
    <n v="111"/>
    <d v="2024-03-05T00:00:00"/>
    <x v="2"/>
    <x v="4"/>
    <x v="9"/>
    <x v="4"/>
    <n v="1"/>
    <n v="794"/>
    <n v="10"/>
    <n v="714.6"/>
    <n v="520.94000000000005"/>
    <n v="193.66"/>
    <x v="8"/>
    <x v="0"/>
    <n v="0.27100475790652112"/>
  </r>
  <r>
    <n v="112"/>
    <d v="2024-03-27T00:00:00"/>
    <x v="0"/>
    <x v="0"/>
    <x v="12"/>
    <x v="5"/>
    <n v="3"/>
    <n v="622"/>
    <n v="10"/>
    <n v="1679.4"/>
    <n v="1099.6500000000001"/>
    <n v="579.75"/>
    <x v="8"/>
    <x v="0"/>
    <n v="0.3452125759199714"/>
  </r>
  <r>
    <n v="113"/>
    <d v="2024-07-28T00:00:00"/>
    <x v="2"/>
    <x v="2"/>
    <x v="17"/>
    <x v="5"/>
    <n v="10"/>
    <n v="893"/>
    <n v="20"/>
    <n v="7144"/>
    <n v="3639.92"/>
    <n v="3504.08"/>
    <x v="5"/>
    <x v="0"/>
    <n v="0.49049272116461368"/>
  </r>
  <r>
    <n v="114"/>
    <d v="2023-01-16T00:00:00"/>
    <x v="3"/>
    <x v="1"/>
    <x v="16"/>
    <x v="2"/>
    <n v="6"/>
    <n v="371"/>
    <n v="5"/>
    <n v="2114.6999999999998"/>
    <n v="1451.15"/>
    <n v="663.55"/>
    <x v="11"/>
    <x v="1"/>
    <n v="0.31377973234974227"/>
  </r>
  <r>
    <n v="115"/>
    <d v="2024-07-22T00:00:00"/>
    <x v="0"/>
    <x v="4"/>
    <x v="18"/>
    <x v="1"/>
    <n v="10"/>
    <n v="831"/>
    <n v="10"/>
    <n v="7479"/>
    <n v="4511.26"/>
    <n v="2967.74"/>
    <x v="5"/>
    <x v="0"/>
    <n v="0.39680973392164726"/>
  </r>
  <r>
    <n v="116"/>
    <d v="2023-04-21T00:00:00"/>
    <x v="3"/>
    <x v="4"/>
    <x v="8"/>
    <x v="2"/>
    <n v="5"/>
    <n v="339"/>
    <n v="20"/>
    <n v="1356"/>
    <n v="944.5"/>
    <n v="411.5"/>
    <x v="10"/>
    <x v="1"/>
    <n v="0.30346607669616521"/>
  </r>
  <r>
    <n v="117"/>
    <d v="2024-11-27T00:00:00"/>
    <x v="1"/>
    <x v="3"/>
    <x v="4"/>
    <x v="1"/>
    <n v="8"/>
    <n v="281"/>
    <n v="0"/>
    <n v="2248"/>
    <n v="1556.32"/>
    <n v="691.68"/>
    <x v="3"/>
    <x v="0"/>
    <n v="0.30768683274021352"/>
  </r>
  <r>
    <n v="118"/>
    <d v="2024-07-13T00:00:00"/>
    <x v="3"/>
    <x v="0"/>
    <x v="0"/>
    <x v="1"/>
    <n v="10"/>
    <n v="341"/>
    <n v="15"/>
    <n v="2898.5"/>
    <n v="1862.44"/>
    <n v="1036.06"/>
    <x v="5"/>
    <x v="0"/>
    <n v="0.35744695532171811"/>
  </r>
  <r>
    <n v="119"/>
    <d v="2023-01-14T00:00:00"/>
    <x v="0"/>
    <x v="3"/>
    <x v="19"/>
    <x v="1"/>
    <n v="1"/>
    <n v="380"/>
    <n v="10"/>
    <n v="342"/>
    <n v="184.42"/>
    <n v="157.58000000000001"/>
    <x v="11"/>
    <x v="1"/>
    <n v="0.4607602339181287"/>
  </r>
  <r>
    <n v="120"/>
    <d v="2023-05-11T00:00:00"/>
    <x v="0"/>
    <x v="4"/>
    <x v="9"/>
    <x v="0"/>
    <n v="6"/>
    <n v="303"/>
    <n v="10"/>
    <n v="1636.2"/>
    <n v="1266.1300000000001"/>
    <n v="370.07"/>
    <x v="7"/>
    <x v="1"/>
    <n v="0.22617650653954283"/>
  </r>
  <r>
    <n v="121"/>
    <d v="2024-01-08T00:00:00"/>
    <x v="1"/>
    <x v="1"/>
    <x v="16"/>
    <x v="2"/>
    <n v="6"/>
    <n v="149"/>
    <n v="15"/>
    <n v="759.9"/>
    <n v="427.93"/>
    <n v="331.97"/>
    <x v="11"/>
    <x v="0"/>
    <n v="0.43686011317278595"/>
  </r>
  <r>
    <n v="122"/>
    <d v="2024-07-04T00:00:00"/>
    <x v="3"/>
    <x v="1"/>
    <x v="16"/>
    <x v="4"/>
    <n v="3"/>
    <n v="965"/>
    <n v="20"/>
    <n v="2316"/>
    <n v="1207.23"/>
    <n v="1108.77"/>
    <x v="5"/>
    <x v="0"/>
    <n v="0.47874352331606218"/>
  </r>
  <r>
    <n v="123"/>
    <d v="2023-12-04T00:00:00"/>
    <x v="2"/>
    <x v="2"/>
    <x v="17"/>
    <x v="4"/>
    <n v="2"/>
    <n v="125"/>
    <n v="5"/>
    <n v="237.5"/>
    <n v="164.71"/>
    <n v="72.790000000000006"/>
    <x v="6"/>
    <x v="1"/>
    <n v="0.3064842105263158"/>
  </r>
  <r>
    <n v="124"/>
    <d v="2023-11-03T00:00:00"/>
    <x v="0"/>
    <x v="3"/>
    <x v="15"/>
    <x v="1"/>
    <n v="7"/>
    <n v="403"/>
    <n v="15"/>
    <n v="2397.85"/>
    <n v="1511.86"/>
    <n v="885.99"/>
    <x v="3"/>
    <x v="1"/>
    <n v="0.36949350459786895"/>
  </r>
  <r>
    <n v="125"/>
    <d v="2023-04-11T00:00:00"/>
    <x v="2"/>
    <x v="0"/>
    <x v="12"/>
    <x v="3"/>
    <n v="7"/>
    <n v="558"/>
    <n v="15"/>
    <n v="3320.1"/>
    <n v="1985"/>
    <n v="1335.1"/>
    <x v="10"/>
    <x v="1"/>
    <n v="0.40212644197463931"/>
  </r>
  <r>
    <n v="126"/>
    <d v="2023-01-02T00:00:00"/>
    <x v="3"/>
    <x v="0"/>
    <x v="13"/>
    <x v="5"/>
    <n v="7"/>
    <n v="750"/>
    <n v="20"/>
    <n v="4200"/>
    <n v="2763.82"/>
    <n v="1436.18"/>
    <x v="11"/>
    <x v="1"/>
    <n v="0.34194761904761906"/>
  </r>
  <r>
    <n v="127"/>
    <d v="2024-08-01T00:00:00"/>
    <x v="1"/>
    <x v="0"/>
    <x v="1"/>
    <x v="2"/>
    <n v="8"/>
    <n v="249"/>
    <n v="10"/>
    <n v="1792.8"/>
    <n v="968.18"/>
    <n v="824.62"/>
    <x v="2"/>
    <x v="0"/>
    <n v="0.45996207050423921"/>
  </r>
  <r>
    <n v="128"/>
    <d v="2023-11-10T00:00:00"/>
    <x v="2"/>
    <x v="2"/>
    <x v="17"/>
    <x v="3"/>
    <n v="1"/>
    <n v="974"/>
    <n v="5"/>
    <n v="925.3"/>
    <n v="669.37"/>
    <n v="255.93"/>
    <x v="3"/>
    <x v="1"/>
    <n v="0.27659137577002058"/>
  </r>
  <r>
    <n v="129"/>
    <d v="2024-03-15T00:00:00"/>
    <x v="2"/>
    <x v="2"/>
    <x v="10"/>
    <x v="3"/>
    <n v="2"/>
    <n v="522"/>
    <n v="20"/>
    <n v="835.2"/>
    <n v="561.49"/>
    <n v="273.70999999999998"/>
    <x v="8"/>
    <x v="0"/>
    <n v="0.32771791187739457"/>
  </r>
  <r>
    <n v="130"/>
    <d v="2024-05-17T00:00:00"/>
    <x v="3"/>
    <x v="2"/>
    <x v="3"/>
    <x v="5"/>
    <n v="4"/>
    <n v="423"/>
    <n v="5"/>
    <n v="1607.4"/>
    <n v="1047.45"/>
    <n v="559.95000000000005"/>
    <x v="7"/>
    <x v="0"/>
    <n v="0.34835759611795447"/>
  </r>
  <r>
    <n v="131"/>
    <d v="2024-11-20T00:00:00"/>
    <x v="3"/>
    <x v="2"/>
    <x v="3"/>
    <x v="2"/>
    <n v="3"/>
    <n v="293"/>
    <n v="0"/>
    <n v="879"/>
    <n v="534.12"/>
    <n v="344.88"/>
    <x v="3"/>
    <x v="0"/>
    <n v="0.39235494880546073"/>
  </r>
  <r>
    <n v="132"/>
    <d v="2024-12-29T00:00:00"/>
    <x v="2"/>
    <x v="1"/>
    <x v="16"/>
    <x v="4"/>
    <n v="4"/>
    <n v="813"/>
    <n v="20"/>
    <n v="2601.6"/>
    <n v="1809.68"/>
    <n v="791.92"/>
    <x v="6"/>
    <x v="0"/>
    <n v="0.30439729397293974"/>
  </r>
  <r>
    <n v="133"/>
    <d v="2024-10-31T00:00:00"/>
    <x v="3"/>
    <x v="1"/>
    <x v="7"/>
    <x v="4"/>
    <n v="2"/>
    <n v="725"/>
    <n v="0"/>
    <n v="1450"/>
    <n v="863.49"/>
    <n v="586.51"/>
    <x v="1"/>
    <x v="0"/>
    <n v="0.40448965517241381"/>
  </r>
  <r>
    <n v="134"/>
    <d v="2024-08-02T00:00:00"/>
    <x v="2"/>
    <x v="3"/>
    <x v="19"/>
    <x v="5"/>
    <n v="7"/>
    <n v="587"/>
    <n v="5"/>
    <n v="3903.55"/>
    <n v="2272.4699999999998"/>
    <n v="1631.08"/>
    <x v="2"/>
    <x v="0"/>
    <n v="0.41784529466767428"/>
  </r>
  <r>
    <n v="135"/>
    <d v="2023-06-21T00:00:00"/>
    <x v="2"/>
    <x v="1"/>
    <x v="7"/>
    <x v="2"/>
    <n v="10"/>
    <n v="223"/>
    <n v="0"/>
    <n v="2230"/>
    <n v="1229.3599999999999"/>
    <n v="1000.64"/>
    <x v="4"/>
    <x v="1"/>
    <n v="0.44871748878923767"/>
  </r>
  <r>
    <n v="136"/>
    <d v="2024-01-12T00:00:00"/>
    <x v="2"/>
    <x v="0"/>
    <x v="1"/>
    <x v="4"/>
    <n v="5"/>
    <n v="18"/>
    <n v="15"/>
    <n v="76.5"/>
    <n v="53.68"/>
    <n v="22.82"/>
    <x v="11"/>
    <x v="0"/>
    <n v="0.29830065359477126"/>
  </r>
  <r>
    <n v="137"/>
    <d v="2024-10-26T00:00:00"/>
    <x v="2"/>
    <x v="3"/>
    <x v="4"/>
    <x v="4"/>
    <n v="2"/>
    <n v="804"/>
    <n v="5"/>
    <n v="1527.6"/>
    <n v="1001.77"/>
    <n v="525.83000000000004"/>
    <x v="1"/>
    <x v="0"/>
    <n v="0.34421969101859129"/>
  </r>
  <r>
    <n v="138"/>
    <d v="2024-02-21T00:00:00"/>
    <x v="1"/>
    <x v="4"/>
    <x v="18"/>
    <x v="4"/>
    <n v="4"/>
    <n v="665"/>
    <n v="15"/>
    <n v="2261"/>
    <n v="1783.21"/>
    <n v="477.79"/>
    <x v="9"/>
    <x v="0"/>
    <n v="0.21131800088456437"/>
  </r>
  <r>
    <n v="139"/>
    <d v="2024-12-29T00:00:00"/>
    <x v="1"/>
    <x v="2"/>
    <x v="6"/>
    <x v="2"/>
    <n v="6"/>
    <n v="595"/>
    <n v="5"/>
    <n v="3391.5"/>
    <n v="2537.52"/>
    <n v="853.98"/>
    <x v="6"/>
    <x v="0"/>
    <n v="0.2518000884564352"/>
  </r>
  <r>
    <n v="140"/>
    <d v="2023-06-16T00:00:00"/>
    <x v="1"/>
    <x v="4"/>
    <x v="8"/>
    <x v="0"/>
    <n v="5"/>
    <n v="519"/>
    <n v="10"/>
    <n v="2335.5"/>
    <n v="1499.04"/>
    <n v="836.46"/>
    <x v="4"/>
    <x v="1"/>
    <n v="0.35815028901734108"/>
  </r>
  <r>
    <n v="141"/>
    <d v="2024-08-08T00:00:00"/>
    <x v="0"/>
    <x v="3"/>
    <x v="15"/>
    <x v="5"/>
    <n v="1"/>
    <n v="408"/>
    <n v="5"/>
    <n v="387.6"/>
    <n v="298.16000000000003"/>
    <n v="89.44"/>
    <x v="2"/>
    <x v="0"/>
    <n v="0.23075335397316821"/>
  </r>
  <r>
    <n v="142"/>
    <d v="2024-05-18T00:00:00"/>
    <x v="1"/>
    <x v="1"/>
    <x v="5"/>
    <x v="5"/>
    <n v="9"/>
    <n v="926"/>
    <n v="10"/>
    <n v="7500.6"/>
    <n v="4104.32"/>
    <n v="3396.28"/>
    <x v="7"/>
    <x v="0"/>
    <n v="0.45280110924459377"/>
  </r>
  <r>
    <n v="143"/>
    <d v="2023-06-07T00:00:00"/>
    <x v="1"/>
    <x v="1"/>
    <x v="5"/>
    <x v="1"/>
    <n v="4"/>
    <n v="342"/>
    <n v="0"/>
    <n v="1368"/>
    <n v="728.63"/>
    <n v="639.37"/>
    <x v="4"/>
    <x v="1"/>
    <n v="0.46737573099415203"/>
  </r>
  <r>
    <n v="144"/>
    <d v="2023-01-31T00:00:00"/>
    <x v="1"/>
    <x v="4"/>
    <x v="14"/>
    <x v="4"/>
    <n v="6"/>
    <n v="457"/>
    <n v="0"/>
    <n v="2742"/>
    <n v="1876.86"/>
    <n v="865.14"/>
    <x v="11"/>
    <x v="1"/>
    <n v="0.31551422319474837"/>
  </r>
  <r>
    <n v="145"/>
    <d v="2024-09-25T00:00:00"/>
    <x v="3"/>
    <x v="1"/>
    <x v="2"/>
    <x v="1"/>
    <n v="8"/>
    <n v="508"/>
    <n v="10"/>
    <n v="3657.6"/>
    <n v="2256.81"/>
    <n v="1400.79"/>
    <x v="0"/>
    <x v="0"/>
    <n v="0.38298064304461943"/>
  </r>
  <r>
    <n v="146"/>
    <d v="2024-10-26T00:00:00"/>
    <x v="0"/>
    <x v="4"/>
    <x v="9"/>
    <x v="3"/>
    <n v="5"/>
    <n v="149"/>
    <n v="10"/>
    <n v="670.5"/>
    <n v="421.74"/>
    <n v="248.76"/>
    <x v="1"/>
    <x v="0"/>
    <n v="0.37100671140939595"/>
  </r>
  <r>
    <n v="147"/>
    <d v="2024-06-29T00:00:00"/>
    <x v="0"/>
    <x v="0"/>
    <x v="1"/>
    <x v="3"/>
    <n v="8"/>
    <n v="477"/>
    <n v="0"/>
    <n v="3816"/>
    <n v="2520.4699999999998"/>
    <n v="1295.53"/>
    <x v="4"/>
    <x v="0"/>
    <n v="0.33949947589098534"/>
  </r>
  <r>
    <n v="148"/>
    <d v="2024-02-23T00:00:00"/>
    <x v="0"/>
    <x v="2"/>
    <x v="10"/>
    <x v="4"/>
    <n v="2"/>
    <n v="215"/>
    <n v="0"/>
    <n v="430"/>
    <n v="315.98"/>
    <n v="114.02"/>
    <x v="9"/>
    <x v="0"/>
    <n v="0.2651627906976744"/>
  </r>
  <r>
    <n v="149"/>
    <d v="2023-12-04T00:00:00"/>
    <x v="0"/>
    <x v="3"/>
    <x v="11"/>
    <x v="0"/>
    <n v="1"/>
    <n v="532"/>
    <n v="15"/>
    <n v="452.2"/>
    <n v="344.56"/>
    <n v="107.64"/>
    <x v="6"/>
    <x v="1"/>
    <n v="0.23803626713843432"/>
  </r>
  <r>
    <n v="150"/>
    <d v="2023-06-19T00:00:00"/>
    <x v="1"/>
    <x v="1"/>
    <x v="2"/>
    <x v="0"/>
    <n v="4"/>
    <n v="955"/>
    <n v="20"/>
    <n v="3056"/>
    <n v="1755.26"/>
    <n v="1300.74"/>
    <x v="4"/>
    <x v="1"/>
    <n v="0.42563481675392673"/>
  </r>
  <r>
    <n v="151"/>
    <d v="2024-06-20T00:00:00"/>
    <x v="0"/>
    <x v="2"/>
    <x v="10"/>
    <x v="4"/>
    <n v="9"/>
    <n v="171"/>
    <n v="0"/>
    <n v="1539"/>
    <n v="784.69"/>
    <n v="754.31"/>
    <x v="4"/>
    <x v="0"/>
    <n v="0.4901299545159194"/>
  </r>
  <r>
    <n v="152"/>
    <d v="2023-08-17T00:00:00"/>
    <x v="2"/>
    <x v="2"/>
    <x v="6"/>
    <x v="3"/>
    <n v="10"/>
    <n v="587"/>
    <n v="20"/>
    <n v="4696"/>
    <n v="2703.42"/>
    <n v="1992.58"/>
    <x v="2"/>
    <x v="1"/>
    <n v="0.42431431005110731"/>
  </r>
  <r>
    <n v="153"/>
    <d v="2024-10-12T00:00:00"/>
    <x v="0"/>
    <x v="4"/>
    <x v="18"/>
    <x v="4"/>
    <n v="3"/>
    <n v="629"/>
    <n v="5"/>
    <n v="1792.65"/>
    <n v="1378.13"/>
    <n v="414.52"/>
    <x v="1"/>
    <x v="0"/>
    <n v="0.2312330906758151"/>
  </r>
  <r>
    <n v="154"/>
    <d v="2024-11-10T00:00:00"/>
    <x v="0"/>
    <x v="3"/>
    <x v="15"/>
    <x v="2"/>
    <n v="2"/>
    <n v="856"/>
    <n v="0"/>
    <n v="1712"/>
    <n v="971.95"/>
    <n v="740.05"/>
    <x v="3"/>
    <x v="0"/>
    <n v="0.43227219626168223"/>
  </r>
  <r>
    <n v="155"/>
    <d v="2024-02-29T00:00:00"/>
    <x v="3"/>
    <x v="1"/>
    <x v="2"/>
    <x v="1"/>
    <n v="3"/>
    <n v="169"/>
    <n v="15"/>
    <n v="430.95"/>
    <n v="344.45"/>
    <n v="86.5"/>
    <x v="9"/>
    <x v="0"/>
    <n v="0.20071934099083422"/>
  </r>
  <r>
    <n v="156"/>
    <d v="2023-10-15T00:00:00"/>
    <x v="1"/>
    <x v="2"/>
    <x v="17"/>
    <x v="4"/>
    <n v="8"/>
    <n v="758"/>
    <n v="15"/>
    <n v="5154.3999999999996"/>
    <n v="3204.09"/>
    <n v="1950.31"/>
    <x v="1"/>
    <x v="1"/>
    <n v="0.37837769672512805"/>
  </r>
  <r>
    <n v="157"/>
    <d v="2024-03-14T00:00:00"/>
    <x v="0"/>
    <x v="4"/>
    <x v="18"/>
    <x v="5"/>
    <n v="7"/>
    <n v="886"/>
    <n v="5"/>
    <n v="5891.9"/>
    <n v="3169.45"/>
    <n v="2722.45"/>
    <x v="8"/>
    <x v="0"/>
    <n v="0.46206656596344131"/>
  </r>
  <r>
    <n v="158"/>
    <d v="2023-11-22T00:00:00"/>
    <x v="3"/>
    <x v="2"/>
    <x v="17"/>
    <x v="2"/>
    <n v="8"/>
    <n v="856"/>
    <n v="10"/>
    <n v="6163.2"/>
    <n v="3383.34"/>
    <n v="2779.86"/>
    <x v="3"/>
    <x v="1"/>
    <n v="0.45104166666666667"/>
  </r>
  <r>
    <n v="159"/>
    <d v="2024-09-15T00:00:00"/>
    <x v="1"/>
    <x v="0"/>
    <x v="0"/>
    <x v="1"/>
    <n v="10"/>
    <n v="860"/>
    <n v="5"/>
    <n v="8170"/>
    <n v="5826.56"/>
    <n v="2343.44"/>
    <x v="0"/>
    <x v="0"/>
    <n v="0.28683476132190944"/>
  </r>
  <r>
    <n v="160"/>
    <d v="2024-01-15T00:00:00"/>
    <x v="2"/>
    <x v="2"/>
    <x v="3"/>
    <x v="1"/>
    <n v="2"/>
    <n v="349"/>
    <n v="20"/>
    <n v="558.4"/>
    <n v="289.29000000000002"/>
    <n v="269.11"/>
    <x v="11"/>
    <x v="0"/>
    <n v="0.48193051575931234"/>
  </r>
  <r>
    <n v="161"/>
    <d v="2023-02-16T00:00:00"/>
    <x v="0"/>
    <x v="0"/>
    <x v="12"/>
    <x v="5"/>
    <n v="6"/>
    <n v="937"/>
    <n v="20"/>
    <n v="4497.6000000000004"/>
    <n v="3266.64"/>
    <n v="1230.96"/>
    <x v="9"/>
    <x v="1"/>
    <n v="0.27369263607257205"/>
  </r>
  <r>
    <n v="162"/>
    <d v="2024-04-26T00:00:00"/>
    <x v="3"/>
    <x v="1"/>
    <x v="16"/>
    <x v="2"/>
    <n v="2"/>
    <n v="312"/>
    <n v="15"/>
    <n v="530.4"/>
    <n v="286.20999999999998"/>
    <n v="244.19"/>
    <x v="10"/>
    <x v="0"/>
    <n v="0.46038838612368027"/>
  </r>
  <r>
    <n v="163"/>
    <d v="2023-05-27T00:00:00"/>
    <x v="0"/>
    <x v="3"/>
    <x v="15"/>
    <x v="4"/>
    <n v="10"/>
    <n v="584"/>
    <n v="5"/>
    <n v="5548"/>
    <n v="3304.13"/>
    <n v="2243.87"/>
    <x v="7"/>
    <x v="1"/>
    <n v="0.40444664744051911"/>
  </r>
  <r>
    <n v="164"/>
    <d v="2023-03-10T00:00:00"/>
    <x v="3"/>
    <x v="2"/>
    <x v="17"/>
    <x v="1"/>
    <n v="1"/>
    <n v="691"/>
    <n v="0"/>
    <n v="691"/>
    <n v="549.94000000000005"/>
    <n v="141.06"/>
    <x v="8"/>
    <x v="1"/>
    <n v="0.20413892908827785"/>
  </r>
  <r>
    <n v="165"/>
    <d v="2024-03-29T00:00:00"/>
    <x v="0"/>
    <x v="4"/>
    <x v="9"/>
    <x v="2"/>
    <n v="6"/>
    <n v="159"/>
    <n v="10"/>
    <n v="858.6"/>
    <n v="628.54"/>
    <n v="230.06"/>
    <x v="8"/>
    <x v="0"/>
    <n v="0.26794782203587236"/>
  </r>
  <r>
    <n v="166"/>
    <d v="2024-10-05T00:00:00"/>
    <x v="1"/>
    <x v="3"/>
    <x v="15"/>
    <x v="1"/>
    <n v="2"/>
    <n v="225"/>
    <n v="0"/>
    <n v="450"/>
    <n v="326.60000000000002"/>
    <n v="123.4"/>
    <x v="1"/>
    <x v="0"/>
    <n v="0.27422222222222226"/>
  </r>
  <r>
    <n v="167"/>
    <d v="2023-03-06T00:00:00"/>
    <x v="3"/>
    <x v="2"/>
    <x v="17"/>
    <x v="3"/>
    <n v="10"/>
    <n v="36"/>
    <n v="5"/>
    <n v="342"/>
    <n v="184.28"/>
    <n v="157.72"/>
    <x v="8"/>
    <x v="1"/>
    <n v="0.46116959064327484"/>
  </r>
  <r>
    <n v="168"/>
    <d v="2023-08-08T00:00:00"/>
    <x v="3"/>
    <x v="1"/>
    <x v="5"/>
    <x v="0"/>
    <n v="1"/>
    <n v="802"/>
    <n v="20"/>
    <n v="641.6"/>
    <n v="330.39"/>
    <n v="311.20999999999998"/>
    <x v="2"/>
    <x v="1"/>
    <n v="0.48505299251870321"/>
  </r>
  <r>
    <n v="169"/>
    <d v="2023-05-16T00:00:00"/>
    <x v="3"/>
    <x v="2"/>
    <x v="3"/>
    <x v="3"/>
    <n v="3"/>
    <n v="448"/>
    <n v="10"/>
    <n v="1209.5999999999999"/>
    <n v="853.02"/>
    <n v="356.58"/>
    <x v="7"/>
    <x v="1"/>
    <n v="0.29479166666666667"/>
  </r>
  <r>
    <n v="170"/>
    <d v="2023-12-23T00:00:00"/>
    <x v="3"/>
    <x v="1"/>
    <x v="5"/>
    <x v="5"/>
    <n v="1"/>
    <n v="553"/>
    <n v="15"/>
    <n v="470.05"/>
    <n v="296.83"/>
    <n v="173.22"/>
    <x v="6"/>
    <x v="1"/>
    <n v="0.36851398787363043"/>
  </r>
  <r>
    <n v="171"/>
    <d v="2023-05-30T00:00:00"/>
    <x v="1"/>
    <x v="3"/>
    <x v="11"/>
    <x v="2"/>
    <n v="1"/>
    <n v="968"/>
    <n v="0"/>
    <n v="968"/>
    <n v="654.5"/>
    <n v="313.5"/>
    <x v="7"/>
    <x v="1"/>
    <n v="0.32386363636363635"/>
  </r>
  <r>
    <n v="172"/>
    <d v="2024-08-08T00:00:00"/>
    <x v="1"/>
    <x v="4"/>
    <x v="14"/>
    <x v="3"/>
    <n v="2"/>
    <n v="688"/>
    <n v="15"/>
    <n v="1169.5999999999999"/>
    <n v="678.1"/>
    <n v="491.5"/>
    <x v="2"/>
    <x v="0"/>
    <n v="0.42022913816689472"/>
  </r>
  <r>
    <n v="173"/>
    <d v="2023-08-03T00:00:00"/>
    <x v="0"/>
    <x v="0"/>
    <x v="1"/>
    <x v="2"/>
    <n v="7"/>
    <n v="95"/>
    <n v="0"/>
    <n v="665"/>
    <n v="341.43"/>
    <n v="323.57"/>
    <x v="2"/>
    <x v="1"/>
    <n v="0.48657142857142854"/>
  </r>
  <r>
    <n v="174"/>
    <d v="2024-10-07T00:00:00"/>
    <x v="2"/>
    <x v="3"/>
    <x v="15"/>
    <x v="3"/>
    <n v="5"/>
    <n v="755"/>
    <n v="20"/>
    <n v="3020"/>
    <n v="1951.19"/>
    <n v="1068.81"/>
    <x v="1"/>
    <x v="0"/>
    <n v="0.35391059602649005"/>
  </r>
  <r>
    <n v="175"/>
    <d v="2024-10-04T00:00:00"/>
    <x v="3"/>
    <x v="3"/>
    <x v="4"/>
    <x v="2"/>
    <n v="4"/>
    <n v="762"/>
    <n v="15"/>
    <n v="2590.8000000000002"/>
    <n v="1370.74"/>
    <n v="1220.06"/>
    <x v="1"/>
    <x v="0"/>
    <n v="0.47092017909526007"/>
  </r>
  <r>
    <n v="176"/>
    <d v="2024-11-23T00:00:00"/>
    <x v="1"/>
    <x v="2"/>
    <x v="17"/>
    <x v="2"/>
    <n v="8"/>
    <n v="107"/>
    <n v="20"/>
    <n v="684.8"/>
    <n v="444.27"/>
    <n v="240.53"/>
    <x v="3"/>
    <x v="0"/>
    <n v="0.35124123831775705"/>
  </r>
  <r>
    <n v="177"/>
    <d v="2024-03-10T00:00:00"/>
    <x v="3"/>
    <x v="1"/>
    <x v="16"/>
    <x v="5"/>
    <n v="3"/>
    <n v="634"/>
    <n v="0"/>
    <n v="1902"/>
    <n v="1471.96"/>
    <n v="430.04"/>
    <x v="8"/>
    <x v="0"/>
    <n v="0.2260988433228181"/>
  </r>
  <r>
    <n v="178"/>
    <d v="2024-02-17T00:00:00"/>
    <x v="3"/>
    <x v="4"/>
    <x v="14"/>
    <x v="5"/>
    <n v="6"/>
    <n v="40"/>
    <n v="10"/>
    <n v="216"/>
    <n v="113.39"/>
    <n v="102.61"/>
    <x v="9"/>
    <x v="0"/>
    <n v="0.4750462962962963"/>
  </r>
  <r>
    <n v="179"/>
    <d v="2024-12-02T00:00:00"/>
    <x v="3"/>
    <x v="0"/>
    <x v="12"/>
    <x v="0"/>
    <n v="3"/>
    <n v="611"/>
    <n v="15"/>
    <n v="1558.05"/>
    <n v="1140.6099999999999"/>
    <n v="417.44"/>
    <x v="6"/>
    <x v="0"/>
    <n v="0.26792464940149546"/>
  </r>
  <r>
    <n v="180"/>
    <d v="2024-02-19T00:00:00"/>
    <x v="1"/>
    <x v="4"/>
    <x v="8"/>
    <x v="1"/>
    <n v="4"/>
    <n v="165"/>
    <n v="5"/>
    <n v="627"/>
    <n v="412.5"/>
    <n v="214.5"/>
    <x v="9"/>
    <x v="0"/>
    <n v="0.34210526315789475"/>
  </r>
  <r>
    <n v="181"/>
    <d v="2024-01-31T00:00:00"/>
    <x v="0"/>
    <x v="0"/>
    <x v="12"/>
    <x v="5"/>
    <n v="2"/>
    <n v="350"/>
    <n v="15"/>
    <n v="595"/>
    <n v="456.88"/>
    <n v="138.12"/>
    <x v="11"/>
    <x v="0"/>
    <n v="0.23213445378151262"/>
  </r>
  <r>
    <n v="182"/>
    <d v="2024-03-06T00:00:00"/>
    <x v="3"/>
    <x v="2"/>
    <x v="17"/>
    <x v="2"/>
    <n v="10"/>
    <n v="414"/>
    <n v="20"/>
    <n v="3312"/>
    <n v="2562.44"/>
    <n v="749.56"/>
    <x v="8"/>
    <x v="0"/>
    <n v="0.22631642512077293"/>
  </r>
  <r>
    <n v="183"/>
    <d v="2023-07-23T00:00:00"/>
    <x v="0"/>
    <x v="4"/>
    <x v="8"/>
    <x v="2"/>
    <n v="2"/>
    <n v="234"/>
    <n v="10"/>
    <n v="421.2"/>
    <n v="251.06"/>
    <n v="170.14"/>
    <x v="5"/>
    <x v="1"/>
    <n v="0.40394112060778725"/>
  </r>
  <r>
    <n v="184"/>
    <d v="2023-01-26T00:00:00"/>
    <x v="1"/>
    <x v="4"/>
    <x v="9"/>
    <x v="0"/>
    <n v="2"/>
    <n v="830"/>
    <n v="20"/>
    <n v="1328"/>
    <n v="1025.53"/>
    <n v="302.47000000000003"/>
    <x v="11"/>
    <x v="1"/>
    <n v="0.2277635542168675"/>
  </r>
  <r>
    <n v="185"/>
    <d v="2023-12-26T00:00:00"/>
    <x v="3"/>
    <x v="1"/>
    <x v="16"/>
    <x v="2"/>
    <n v="10"/>
    <n v="937"/>
    <n v="10"/>
    <n v="8433"/>
    <n v="4266.17"/>
    <n v="4166.83"/>
    <x v="6"/>
    <x v="1"/>
    <n v="0.49411004387525198"/>
  </r>
  <r>
    <n v="186"/>
    <d v="2023-06-05T00:00:00"/>
    <x v="3"/>
    <x v="0"/>
    <x v="12"/>
    <x v="4"/>
    <n v="3"/>
    <n v="172"/>
    <n v="10"/>
    <n v="464.4"/>
    <n v="274.5"/>
    <n v="189.9"/>
    <x v="4"/>
    <x v="1"/>
    <n v="0.40891472868217055"/>
  </r>
  <r>
    <n v="187"/>
    <d v="2023-01-04T00:00:00"/>
    <x v="2"/>
    <x v="2"/>
    <x v="3"/>
    <x v="5"/>
    <n v="8"/>
    <n v="421"/>
    <n v="0"/>
    <n v="3368"/>
    <n v="2567.9299999999998"/>
    <n v="800.07"/>
    <x v="11"/>
    <x v="1"/>
    <n v="0.23755047505938243"/>
  </r>
  <r>
    <n v="188"/>
    <d v="2024-01-10T00:00:00"/>
    <x v="2"/>
    <x v="1"/>
    <x v="5"/>
    <x v="4"/>
    <n v="10"/>
    <n v="306"/>
    <n v="20"/>
    <n v="2448"/>
    <n v="1564.58"/>
    <n v="883.42"/>
    <x v="11"/>
    <x v="0"/>
    <n v="0.36087418300653595"/>
  </r>
  <r>
    <n v="189"/>
    <d v="2024-09-03T00:00:00"/>
    <x v="1"/>
    <x v="4"/>
    <x v="9"/>
    <x v="3"/>
    <n v="9"/>
    <n v="183"/>
    <n v="10"/>
    <n v="1482.3"/>
    <n v="917.11"/>
    <n v="565.19000000000005"/>
    <x v="0"/>
    <x v="0"/>
    <n v="0.38129258584631998"/>
  </r>
  <r>
    <n v="190"/>
    <d v="2023-05-30T00:00:00"/>
    <x v="1"/>
    <x v="1"/>
    <x v="5"/>
    <x v="1"/>
    <n v="5"/>
    <n v="275"/>
    <n v="0"/>
    <n v="1375"/>
    <n v="1030.19"/>
    <n v="344.81"/>
    <x v="7"/>
    <x v="1"/>
    <n v="0.2507709090909091"/>
  </r>
  <r>
    <n v="191"/>
    <d v="2024-06-09T00:00:00"/>
    <x v="1"/>
    <x v="1"/>
    <x v="16"/>
    <x v="1"/>
    <n v="10"/>
    <n v="223"/>
    <n v="0"/>
    <n v="2230"/>
    <n v="1166.78"/>
    <n v="1063.22"/>
    <x v="4"/>
    <x v="0"/>
    <n v="0.47678026905829596"/>
  </r>
  <r>
    <n v="192"/>
    <d v="2023-08-06T00:00:00"/>
    <x v="1"/>
    <x v="0"/>
    <x v="12"/>
    <x v="0"/>
    <n v="1"/>
    <n v="257"/>
    <n v="20"/>
    <n v="205.6"/>
    <n v="102.9"/>
    <n v="102.7"/>
    <x v="2"/>
    <x v="1"/>
    <n v="0.4995136186770428"/>
  </r>
  <r>
    <n v="193"/>
    <d v="2023-10-18T00:00:00"/>
    <x v="0"/>
    <x v="2"/>
    <x v="6"/>
    <x v="4"/>
    <n v="9"/>
    <n v="364"/>
    <n v="10"/>
    <n v="2948.4"/>
    <n v="2186.2800000000002"/>
    <n v="762.12"/>
    <x v="1"/>
    <x v="1"/>
    <n v="0.25848595848595846"/>
  </r>
  <r>
    <n v="194"/>
    <d v="2024-10-20T00:00:00"/>
    <x v="1"/>
    <x v="0"/>
    <x v="1"/>
    <x v="2"/>
    <n v="6"/>
    <n v="605"/>
    <n v="20"/>
    <n v="2904"/>
    <n v="1881.95"/>
    <n v="1022.05"/>
    <x v="1"/>
    <x v="0"/>
    <n v="0.35194559228650135"/>
  </r>
  <r>
    <n v="195"/>
    <d v="2023-06-03T00:00:00"/>
    <x v="1"/>
    <x v="2"/>
    <x v="17"/>
    <x v="0"/>
    <n v="1"/>
    <n v="532"/>
    <n v="20"/>
    <n v="425.6"/>
    <n v="282.74"/>
    <n v="142.86000000000001"/>
    <x v="4"/>
    <x v="1"/>
    <n v="0.3356672932330827"/>
  </r>
  <r>
    <n v="196"/>
    <d v="2023-12-28T00:00:00"/>
    <x v="3"/>
    <x v="0"/>
    <x v="13"/>
    <x v="5"/>
    <n v="2"/>
    <n v="949"/>
    <n v="15"/>
    <n v="1613.3"/>
    <n v="808.78"/>
    <n v="804.52"/>
    <x v="6"/>
    <x v="1"/>
    <n v="0.49867972478770223"/>
  </r>
  <r>
    <n v="197"/>
    <d v="2023-11-30T00:00:00"/>
    <x v="3"/>
    <x v="2"/>
    <x v="17"/>
    <x v="2"/>
    <n v="2"/>
    <n v="120"/>
    <n v="5"/>
    <n v="228"/>
    <n v="124.6"/>
    <n v="103.4"/>
    <x v="3"/>
    <x v="1"/>
    <n v="0.45350877192982458"/>
  </r>
  <r>
    <n v="198"/>
    <d v="2024-10-14T00:00:00"/>
    <x v="0"/>
    <x v="0"/>
    <x v="1"/>
    <x v="0"/>
    <n v="6"/>
    <n v="234"/>
    <n v="20"/>
    <n v="1123.2"/>
    <n v="858.55"/>
    <n v="264.64999999999998"/>
    <x v="1"/>
    <x v="0"/>
    <n v="0.23562143874643871"/>
  </r>
  <r>
    <n v="199"/>
    <d v="2024-07-14T00:00:00"/>
    <x v="3"/>
    <x v="1"/>
    <x v="16"/>
    <x v="1"/>
    <n v="7"/>
    <n v="97"/>
    <n v="20"/>
    <n v="543.20000000000005"/>
    <n v="321.83999999999997"/>
    <n v="221.36"/>
    <x v="5"/>
    <x v="0"/>
    <n v="0.40751104565537555"/>
  </r>
  <r>
    <n v="200"/>
    <d v="2024-01-13T00:00:00"/>
    <x v="0"/>
    <x v="2"/>
    <x v="3"/>
    <x v="3"/>
    <n v="8"/>
    <n v="306"/>
    <n v="10"/>
    <n v="2203.1999999999998"/>
    <n v="1440.05"/>
    <n v="763.15"/>
    <x v="11"/>
    <x v="0"/>
    <n v="0.34638253449527961"/>
  </r>
  <r>
    <n v="201"/>
    <d v="2023-10-20T00:00:00"/>
    <x v="2"/>
    <x v="4"/>
    <x v="18"/>
    <x v="2"/>
    <n v="5"/>
    <n v="20"/>
    <n v="15"/>
    <n v="85"/>
    <n v="43.32"/>
    <n v="41.68"/>
    <x v="1"/>
    <x v="1"/>
    <n v="0.4903529411764706"/>
  </r>
  <r>
    <n v="202"/>
    <d v="2024-04-17T00:00:00"/>
    <x v="1"/>
    <x v="0"/>
    <x v="0"/>
    <x v="1"/>
    <n v="10"/>
    <n v="132"/>
    <n v="20"/>
    <n v="1056"/>
    <n v="663.55"/>
    <n v="392.45"/>
    <x v="10"/>
    <x v="0"/>
    <n v="0.37163825757575758"/>
  </r>
  <r>
    <n v="203"/>
    <d v="2023-08-12T00:00:00"/>
    <x v="2"/>
    <x v="3"/>
    <x v="11"/>
    <x v="4"/>
    <n v="7"/>
    <n v="763"/>
    <n v="0"/>
    <n v="5341"/>
    <n v="3423.76"/>
    <n v="1917.24"/>
    <x v="2"/>
    <x v="1"/>
    <n v="0.35896648567683953"/>
  </r>
  <r>
    <n v="204"/>
    <d v="2024-01-10T00:00:00"/>
    <x v="0"/>
    <x v="1"/>
    <x v="5"/>
    <x v="2"/>
    <n v="10"/>
    <n v="561"/>
    <n v="10"/>
    <n v="5049"/>
    <n v="3883.61"/>
    <n v="1165.3900000000001"/>
    <x v="11"/>
    <x v="0"/>
    <n v="0.23081600316894438"/>
  </r>
  <r>
    <n v="205"/>
    <d v="2023-03-23T00:00:00"/>
    <x v="3"/>
    <x v="3"/>
    <x v="11"/>
    <x v="5"/>
    <n v="9"/>
    <n v="536"/>
    <n v="15"/>
    <n v="4100.3999999999996"/>
    <n v="2649.21"/>
    <n v="1451.19"/>
    <x v="8"/>
    <x v="1"/>
    <n v="0.35391425226807144"/>
  </r>
  <r>
    <n v="206"/>
    <d v="2024-10-04T00:00:00"/>
    <x v="3"/>
    <x v="1"/>
    <x v="7"/>
    <x v="0"/>
    <n v="8"/>
    <n v="924"/>
    <n v="10"/>
    <n v="6652.8"/>
    <n v="5300.35"/>
    <n v="1352.45"/>
    <x v="1"/>
    <x v="0"/>
    <n v="0.20329034391534392"/>
  </r>
  <r>
    <n v="207"/>
    <d v="2024-01-02T00:00:00"/>
    <x v="2"/>
    <x v="1"/>
    <x v="2"/>
    <x v="0"/>
    <n v="8"/>
    <n v="296"/>
    <n v="5"/>
    <n v="2249.6"/>
    <n v="1457.53"/>
    <n v="792.07"/>
    <x v="11"/>
    <x v="0"/>
    <n v="0.35209370554765296"/>
  </r>
  <r>
    <n v="208"/>
    <d v="2023-03-06T00:00:00"/>
    <x v="2"/>
    <x v="4"/>
    <x v="14"/>
    <x v="3"/>
    <n v="9"/>
    <n v="353"/>
    <n v="5"/>
    <n v="3018.15"/>
    <n v="2287.0500000000002"/>
    <n v="731.1"/>
    <x v="8"/>
    <x v="1"/>
    <n v="0.24223448138760498"/>
  </r>
  <r>
    <n v="209"/>
    <d v="2023-06-17T00:00:00"/>
    <x v="0"/>
    <x v="4"/>
    <x v="9"/>
    <x v="5"/>
    <n v="3"/>
    <n v="905"/>
    <n v="0"/>
    <n v="2715"/>
    <n v="1984.03"/>
    <n v="730.97"/>
    <x v="4"/>
    <x v="1"/>
    <n v="0.26923388581952118"/>
  </r>
  <r>
    <n v="210"/>
    <d v="2023-06-08T00:00:00"/>
    <x v="0"/>
    <x v="0"/>
    <x v="13"/>
    <x v="4"/>
    <n v="2"/>
    <n v="124"/>
    <n v="10"/>
    <n v="223.2"/>
    <n v="139.46"/>
    <n v="83.74"/>
    <x v="4"/>
    <x v="1"/>
    <n v="0.37517921146953404"/>
  </r>
  <r>
    <n v="211"/>
    <d v="2024-11-13T00:00:00"/>
    <x v="0"/>
    <x v="2"/>
    <x v="3"/>
    <x v="4"/>
    <n v="7"/>
    <n v="526"/>
    <n v="0"/>
    <n v="3682"/>
    <n v="2928.98"/>
    <n v="753.02"/>
    <x v="3"/>
    <x v="0"/>
    <n v="0.20451385116784357"/>
  </r>
  <r>
    <n v="212"/>
    <d v="2023-10-18T00:00:00"/>
    <x v="3"/>
    <x v="3"/>
    <x v="11"/>
    <x v="4"/>
    <n v="5"/>
    <n v="740"/>
    <n v="10"/>
    <n v="3330"/>
    <n v="2648.77"/>
    <n v="681.23"/>
    <x v="1"/>
    <x v="1"/>
    <n v="0.20457357357357359"/>
  </r>
  <r>
    <n v="213"/>
    <d v="2024-02-25T00:00:00"/>
    <x v="2"/>
    <x v="2"/>
    <x v="3"/>
    <x v="4"/>
    <n v="9"/>
    <n v="333"/>
    <n v="20"/>
    <n v="2397.6"/>
    <n v="1823.43"/>
    <n v="574.16999999999996"/>
    <x v="9"/>
    <x v="0"/>
    <n v="0.23947697697697698"/>
  </r>
  <r>
    <n v="214"/>
    <d v="2024-12-02T00:00:00"/>
    <x v="0"/>
    <x v="0"/>
    <x v="0"/>
    <x v="5"/>
    <n v="7"/>
    <n v="705"/>
    <n v="5"/>
    <n v="4688.25"/>
    <n v="2552.8200000000002"/>
    <n v="2135.4299999999998"/>
    <x v="6"/>
    <x v="0"/>
    <n v="0.45548552231642936"/>
  </r>
  <r>
    <n v="215"/>
    <d v="2024-08-07T00:00:00"/>
    <x v="0"/>
    <x v="0"/>
    <x v="12"/>
    <x v="5"/>
    <n v="4"/>
    <n v="643"/>
    <n v="10"/>
    <n v="2314.8000000000002"/>
    <n v="1817.12"/>
    <n v="497.68"/>
    <x v="2"/>
    <x v="0"/>
    <n v="0.21499913599447035"/>
  </r>
  <r>
    <n v="216"/>
    <d v="2024-08-09T00:00:00"/>
    <x v="1"/>
    <x v="2"/>
    <x v="17"/>
    <x v="3"/>
    <n v="1"/>
    <n v="997"/>
    <n v="10"/>
    <n v="897.3"/>
    <n v="547.97"/>
    <n v="349.33"/>
    <x v="2"/>
    <x v="0"/>
    <n v="0.38931238158921211"/>
  </r>
  <r>
    <n v="217"/>
    <d v="2023-07-08T00:00:00"/>
    <x v="3"/>
    <x v="3"/>
    <x v="19"/>
    <x v="4"/>
    <n v="9"/>
    <n v="417"/>
    <n v="5"/>
    <n v="3565.35"/>
    <n v="1954.15"/>
    <n v="1611.2"/>
    <x v="5"/>
    <x v="1"/>
    <n v="0.45190514255262459"/>
  </r>
  <r>
    <n v="218"/>
    <d v="2023-02-28T00:00:00"/>
    <x v="2"/>
    <x v="0"/>
    <x v="13"/>
    <x v="1"/>
    <n v="8"/>
    <n v="703"/>
    <n v="10"/>
    <n v="5061.6000000000004"/>
    <n v="2756.23"/>
    <n v="2305.37"/>
    <x v="9"/>
    <x v="1"/>
    <n v="0.45546269954164686"/>
  </r>
  <r>
    <n v="219"/>
    <d v="2024-07-24T00:00:00"/>
    <x v="3"/>
    <x v="3"/>
    <x v="11"/>
    <x v="5"/>
    <n v="1"/>
    <n v="905"/>
    <n v="0"/>
    <n v="905"/>
    <n v="516.66"/>
    <n v="388.34"/>
    <x v="5"/>
    <x v="0"/>
    <n v="0.42910497237569056"/>
  </r>
  <r>
    <n v="220"/>
    <d v="2023-09-10T00:00:00"/>
    <x v="3"/>
    <x v="1"/>
    <x v="7"/>
    <x v="0"/>
    <n v="6"/>
    <n v="29"/>
    <n v="20"/>
    <n v="139.19999999999999"/>
    <n v="75.33"/>
    <n v="63.87"/>
    <x v="0"/>
    <x v="1"/>
    <n v="0.45883620689655175"/>
  </r>
  <r>
    <n v="221"/>
    <d v="2023-09-19T00:00:00"/>
    <x v="0"/>
    <x v="2"/>
    <x v="6"/>
    <x v="1"/>
    <n v="7"/>
    <n v="884"/>
    <n v="5"/>
    <n v="5878.6"/>
    <n v="4373.7299999999996"/>
    <n v="1504.87"/>
    <x v="0"/>
    <x v="1"/>
    <n v="0.25599122239989108"/>
  </r>
  <r>
    <n v="222"/>
    <d v="2023-08-27T00:00:00"/>
    <x v="2"/>
    <x v="1"/>
    <x v="2"/>
    <x v="0"/>
    <n v="4"/>
    <n v="161"/>
    <n v="10"/>
    <n v="579.6"/>
    <n v="396.08"/>
    <n v="183.52"/>
    <x v="2"/>
    <x v="1"/>
    <n v="0.316632160110421"/>
  </r>
  <r>
    <n v="223"/>
    <d v="2024-03-07T00:00:00"/>
    <x v="2"/>
    <x v="1"/>
    <x v="16"/>
    <x v="1"/>
    <n v="4"/>
    <n v="436"/>
    <n v="0"/>
    <n v="1744"/>
    <n v="1201.5"/>
    <n v="542.5"/>
    <x v="8"/>
    <x v="0"/>
    <n v="0.31106651376146788"/>
  </r>
  <r>
    <n v="224"/>
    <d v="2024-12-01T00:00:00"/>
    <x v="0"/>
    <x v="2"/>
    <x v="6"/>
    <x v="0"/>
    <n v="4"/>
    <n v="397"/>
    <n v="20"/>
    <n v="1270.4000000000001"/>
    <n v="693.46"/>
    <n v="576.94000000000005"/>
    <x v="6"/>
    <x v="0"/>
    <n v="0.4541404282115869"/>
  </r>
  <r>
    <n v="225"/>
    <d v="2024-11-12T00:00:00"/>
    <x v="3"/>
    <x v="1"/>
    <x v="2"/>
    <x v="1"/>
    <n v="3"/>
    <n v="27"/>
    <n v="10"/>
    <n v="72.900000000000006"/>
    <n v="43.48"/>
    <n v="29.42"/>
    <x v="3"/>
    <x v="0"/>
    <n v="0.40356652949245542"/>
  </r>
  <r>
    <n v="226"/>
    <d v="2024-08-12T00:00:00"/>
    <x v="3"/>
    <x v="4"/>
    <x v="9"/>
    <x v="5"/>
    <n v="7"/>
    <n v="443"/>
    <n v="0"/>
    <n v="3101"/>
    <n v="1732.83"/>
    <n v="1368.17"/>
    <x v="2"/>
    <x v="0"/>
    <n v="0.44120283779425995"/>
  </r>
  <r>
    <n v="227"/>
    <d v="2024-09-25T00:00:00"/>
    <x v="2"/>
    <x v="2"/>
    <x v="10"/>
    <x v="5"/>
    <n v="7"/>
    <n v="798"/>
    <n v="15"/>
    <n v="4748.1000000000004"/>
    <n v="2928.7"/>
    <n v="1819.4"/>
    <x v="0"/>
    <x v="0"/>
    <n v="0.38318485288852383"/>
  </r>
  <r>
    <n v="228"/>
    <d v="2023-05-15T00:00:00"/>
    <x v="2"/>
    <x v="3"/>
    <x v="11"/>
    <x v="3"/>
    <n v="7"/>
    <n v="541"/>
    <n v="20"/>
    <n v="3029.6"/>
    <n v="2240.88"/>
    <n v="788.72"/>
    <x v="7"/>
    <x v="1"/>
    <n v="0.26033799841563243"/>
  </r>
  <r>
    <n v="229"/>
    <d v="2024-08-23T00:00:00"/>
    <x v="0"/>
    <x v="1"/>
    <x v="5"/>
    <x v="1"/>
    <n v="8"/>
    <n v="69"/>
    <n v="5"/>
    <n v="524.4"/>
    <n v="360.73"/>
    <n v="163.66999999999999"/>
    <x v="2"/>
    <x v="0"/>
    <n v="0.31210907704042712"/>
  </r>
  <r>
    <n v="230"/>
    <d v="2024-08-07T00:00:00"/>
    <x v="0"/>
    <x v="4"/>
    <x v="18"/>
    <x v="5"/>
    <n v="10"/>
    <n v="649"/>
    <n v="20"/>
    <n v="5192"/>
    <n v="4145.8999999999996"/>
    <n v="1046.0999999999999"/>
    <x v="2"/>
    <x v="0"/>
    <n v="0.2014830508474576"/>
  </r>
  <r>
    <n v="231"/>
    <d v="2023-12-18T00:00:00"/>
    <x v="3"/>
    <x v="1"/>
    <x v="5"/>
    <x v="2"/>
    <n v="1"/>
    <n v="388"/>
    <n v="15"/>
    <n v="329.8"/>
    <n v="239.14"/>
    <n v="90.66"/>
    <x v="6"/>
    <x v="1"/>
    <n v="0.27489387507580348"/>
  </r>
  <r>
    <n v="232"/>
    <d v="2024-06-01T00:00:00"/>
    <x v="2"/>
    <x v="0"/>
    <x v="1"/>
    <x v="5"/>
    <n v="3"/>
    <n v="826"/>
    <n v="10"/>
    <n v="2230.1999999999998"/>
    <n v="1354.58"/>
    <n v="875.62"/>
    <x v="4"/>
    <x v="0"/>
    <n v="0.39261949600932655"/>
  </r>
  <r>
    <n v="233"/>
    <d v="2023-06-02T00:00:00"/>
    <x v="0"/>
    <x v="0"/>
    <x v="12"/>
    <x v="2"/>
    <n v="7"/>
    <n v="582"/>
    <n v="0"/>
    <n v="4074"/>
    <n v="2879.29"/>
    <n v="1194.71"/>
    <x v="4"/>
    <x v="1"/>
    <n v="0.29325233186057931"/>
  </r>
  <r>
    <n v="234"/>
    <d v="2023-10-11T00:00:00"/>
    <x v="2"/>
    <x v="0"/>
    <x v="12"/>
    <x v="4"/>
    <n v="9"/>
    <n v="325"/>
    <n v="15"/>
    <n v="2486.25"/>
    <n v="1648.68"/>
    <n v="837.57"/>
    <x v="1"/>
    <x v="1"/>
    <n v="0.33688084464555057"/>
  </r>
  <r>
    <n v="235"/>
    <d v="2023-08-10T00:00:00"/>
    <x v="2"/>
    <x v="1"/>
    <x v="16"/>
    <x v="2"/>
    <n v="6"/>
    <n v="782"/>
    <n v="0"/>
    <n v="4692"/>
    <n v="2727.65"/>
    <n v="1964.35"/>
    <x v="2"/>
    <x v="1"/>
    <n v="0.41865942028985503"/>
  </r>
  <r>
    <n v="236"/>
    <d v="2024-10-25T00:00:00"/>
    <x v="3"/>
    <x v="1"/>
    <x v="2"/>
    <x v="5"/>
    <n v="1"/>
    <n v="102"/>
    <n v="10"/>
    <n v="91.8"/>
    <n v="57.8"/>
    <n v="34"/>
    <x v="1"/>
    <x v="0"/>
    <n v="0.37037037037037041"/>
  </r>
  <r>
    <n v="237"/>
    <d v="2023-09-05T00:00:00"/>
    <x v="0"/>
    <x v="1"/>
    <x v="2"/>
    <x v="0"/>
    <n v="6"/>
    <n v="840"/>
    <n v="10"/>
    <n v="4536"/>
    <n v="2919.94"/>
    <n v="1616.06"/>
    <x v="0"/>
    <x v="1"/>
    <n v="0.3562742504409171"/>
  </r>
  <r>
    <n v="238"/>
    <d v="2024-09-29T00:00:00"/>
    <x v="2"/>
    <x v="4"/>
    <x v="18"/>
    <x v="3"/>
    <n v="2"/>
    <n v="349"/>
    <n v="20"/>
    <n v="558.4"/>
    <n v="331.13"/>
    <n v="227.27"/>
    <x v="0"/>
    <x v="0"/>
    <n v="0.40700214899713472"/>
  </r>
  <r>
    <n v="239"/>
    <d v="2023-08-15T00:00:00"/>
    <x v="1"/>
    <x v="3"/>
    <x v="11"/>
    <x v="3"/>
    <n v="1"/>
    <n v="208"/>
    <n v="0"/>
    <n v="208"/>
    <n v="138.4"/>
    <n v="69.599999999999994"/>
    <x v="2"/>
    <x v="1"/>
    <n v="0.33461538461538459"/>
  </r>
  <r>
    <n v="240"/>
    <d v="2023-03-31T00:00:00"/>
    <x v="2"/>
    <x v="3"/>
    <x v="11"/>
    <x v="4"/>
    <n v="3"/>
    <n v="656"/>
    <n v="0"/>
    <n v="1968"/>
    <n v="1472.84"/>
    <n v="495.16"/>
    <x v="8"/>
    <x v="1"/>
    <n v="0.25160569105691061"/>
  </r>
  <r>
    <n v="241"/>
    <d v="2024-12-10T00:00:00"/>
    <x v="0"/>
    <x v="2"/>
    <x v="6"/>
    <x v="4"/>
    <n v="9"/>
    <n v="417"/>
    <n v="15"/>
    <n v="3190.05"/>
    <n v="2227.31"/>
    <n v="962.74"/>
    <x v="6"/>
    <x v="0"/>
    <n v="0.3017946427171988"/>
  </r>
  <r>
    <n v="242"/>
    <d v="2023-08-11T00:00:00"/>
    <x v="0"/>
    <x v="2"/>
    <x v="17"/>
    <x v="1"/>
    <n v="2"/>
    <n v="104"/>
    <n v="0"/>
    <n v="208"/>
    <n v="106.88"/>
    <n v="101.12"/>
    <x v="2"/>
    <x v="1"/>
    <n v="0.48615384615384616"/>
  </r>
  <r>
    <n v="243"/>
    <d v="2023-03-12T00:00:00"/>
    <x v="3"/>
    <x v="4"/>
    <x v="14"/>
    <x v="0"/>
    <n v="4"/>
    <n v="454"/>
    <n v="5"/>
    <n v="1725.2"/>
    <n v="867.24"/>
    <n v="857.96"/>
    <x v="8"/>
    <x v="1"/>
    <n v="0.49731045675863667"/>
  </r>
  <r>
    <n v="244"/>
    <d v="2024-07-05T00:00:00"/>
    <x v="0"/>
    <x v="4"/>
    <x v="8"/>
    <x v="0"/>
    <n v="3"/>
    <n v="885"/>
    <n v="0"/>
    <n v="2655"/>
    <n v="1582.67"/>
    <n v="1072.33"/>
    <x v="5"/>
    <x v="0"/>
    <n v="0.40389077212806024"/>
  </r>
  <r>
    <n v="245"/>
    <d v="2023-11-29T00:00:00"/>
    <x v="0"/>
    <x v="2"/>
    <x v="3"/>
    <x v="3"/>
    <n v="7"/>
    <n v="782"/>
    <n v="0"/>
    <n v="5474"/>
    <n v="3220.89"/>
    <n v="2253.11"/>
    <x v="3"/>
    <x v="1"/>
    <n v="0.41160211910851302"/>
  </r>
  <r>
    <n v="246"/>
    <d v="2024-05-19T00:00:00"/>
    <x v="0"/>
    <x v="4"/>
    <x v="14"/>
    <x v="0"/>
    <n v="5"/>
    <n v="439"/>
    <n v="5"/>
    <n v="2085.25"/>
    <n v="1398.98"/>
    <n v="686.27"/>
    <x v="7"/>
    <x v="0"/>
    <n v="0.3291068217240139"/>
  </r>
  <r>
    <n v="247"/>
    <d v="2023-09-01T00:00:00"/>
    <x v="2"/>
    <x v="4"/>
    <x v="9"/>
    <x v="3"/>
    <n v="3"/>
    <n v="724"/>
    <n v="20"/>
    <n v="1737.6"/>
    <n v="1014.46"/>
    <n v="723.14"/>
    <x v="0"/>
    <x v="1"/>
    <n v="0.41617173112338862"/>
  </r>
  <r>
    <n v="248"/>
    <d v="2023-08-25T00:00:00"/>
    <x v="3"/>
    <x v="4"/>
    <x v="9"/>
    <x v="3"/>
    <n v="5"/>
    <n v="361"/>
    <n v="0"/>
    <n v="1805"/>
    <n v="945.33"/>
    <n v="859.67"/>
    <x v="2"/>
    <x v="1"/>
    <n v="0.47627146814404431"/>
  </r>
  <r>
    <n v="249"/>
    <d v="2024-11-12T00:00:00"/>
    <x v="0"/>
    <x v="2"/>
    <x v="17"/>
    <x v="2"/>
    <n v="6"/>
    <n v="36"/>
    <n v="15"/>
    <n v="183.6"/>
    <n v="108.55"/>
    <n v="75.05"/>
    <x v="3"/>
    <x v="0"/>
    <n v="0.4087690631808279"/>
  </r>
  <r>
    <n v="250"/>
    <d v="2023-05-04T00:00:00"/>
    <x v="1"/>
    <x v="4"/>
    <x v="8"/>
    <x v="3"/>
    <n v="8"/>
    <n v="306"/>
    <n v="20"/>
    <n v="1958.4"/>
    <n v="1462.39"/>
    <n v="496.01"/>
    <x v="7"/>
    <x v="1"/>
    <n v="0.25327308006535948"/>
  </r>
  <r>
    <n v="251"/>
    <d v="2024-06-09T00:00:00"/>
    <x v="2"/>
    <x v="3"/>
    <x v="15"/>
    <x v="1"/>
    <n v="3"/>
    <n v="193"/>
    <n v="10"/>
    <n v="521.1"/>
    <n v="262.68"/>
    <n v="258.42"/>
    <x v="4"/>
    <x v="0"/>
    <n v="0.49591249280368455"/>
  </r>
  <r>
    <n v="252"/>
    <d v="2024-11-23T00:00:00"/>
    <x v="0"/>
    <x v="1"/>
    <x v="16"/>
    <x v="4"/>
    <n v="4"/>
    <n v="844"/>
    <n v="10"/>
    <n v="3038.4"/>
    <n v="2315.0100000000002"/>
    <n v="723.39"/>
    <x v="3"/>
    <x v="0"/>
    <n v="0.23808254344391783"/>
  </r>
  <r>
    <n v="253"/>
    <d v="2024-06-03T00:00:00"/>
    <x v="3"/>
    <x v="0"/>
    <x v="13"/>
    <x v="1"/>
    <n v="5"/>
    <n v="978"/>
    <n v="15"/>
    <n v="4156.5"/>
    <n v="2389.64"/>
    <n v="1766.86"/>
    <x v="4"/>
    <x v="0"/>
    <n v="0.42508360399374473"/>
  </r>
  <r>
    <n v="254"/>
    <d v="2024-10-14T00:00:00"/>
    <x v="0"/>
    <x v="0"/>
    <x v="1"/>
    <x v="4"/>
    <n v="6"/>
    <n v="60"/>
    <n v="20"/>
    <n v="288"/>
    <n v="227"/>
    <n v="61"/>
    <x v="1"/>
    <x v="0"/>
    <n v="0.21180555555555555"/>
  </r>
  <r>
    <n v="255"/>
    <d v="2024-04-24T00:00:00"/>
    <x v="0"/>
    <x v="0"/>
    <x v="12"/>
    <x v="0"/>
    <n v="2"/>
    <n v="774"/>
    <n v="10"/>
    <n v="1393.2"/>
    <n v="750.17"/>
    <n v="643.03"/>
    <x v="10"/>
    <x v="0"/>
    <n v="0.46154895205282798"/>
  </r>
  <r>
    <n v="256"/>
    <d v="2024-04-11T00:00:00"/>
    <x v="0"/>
    <x v="3"/>
    <x v="15"/>
    <x v="1"/>
    <n v="3"/>
    <n v="643"/>
    <n v="20"/>
    <n v="1543.2"/>
    <n v="1012.88"/>
    <n v="530.32000000000005"/>
    <x v="10"/>
    <x v="0"/>
    <n v="0.34364955935717989"/>
  </r>
  <r>
    <n v="257"/>
    <d v="2024-07-03T00:00:00"/>
    <x v="2"/>
    <x v="3"/>
    <x v="4"/>
    <x v="4"/>
    <n v="3"/>
    <n v="653"/>
    <n v="10"/>
    <n v="1763.1"/>
    <n v="990.29"/>
    <n v="772.81"/>
    <x v="5"/>
    <x v="0"/>
    <n v="0.43832454199988657"/>
  </r>
  <r>
    <n v="258"/>
    <d v="2023-11-25T00:00:00"/>
    <x v="3"/>
    <x v="3"/>
    <x v="11"/>
    <x v="0"/>
    <n v="8"/>
    <n v="851"/>
    <n v="0"/>
    <n v="6808"/>
    <n v="4806.87"/>
    <n v="2001.13"/>
    <x v="3"/>
    <x v="1"/>
    <n v="0.29393801410105758"/>
  </r>
  <r>
    <n v="259"/>
    <d v="2023-07-07T00:00:00"/>
    <x v="0"/>
    <x v="0"/>
    <x v="12"/>
    <x v="2"/>
    <n v="6"/>
    <n v="701"/>
    <n v="0"/>
    <n v="4206"/>
    <n v="3285.5"/>
    <n v="920.5"/>
    <x v="5"/>
    <x v="1"/>
    <n v="0.21885401806942464"/>
  </r>
  <r>
    <n v="260"/>
    <d v="2023-10-12T00:00:00"/>
    <x v="3"/>
    <x v="2"/>
    <x v="6"/>
    <x v="0"/>
    <n v="1"/>
    <n v="269"/>
    <n v="5"/>
    <n v="255.55"/>
    <n v="186.39"/>
    <n v="69.16"/>
    <x v="1"/>
    <x v="1"/>
    <n v="0.27063197026022301"/>
  </r>
  <r>
    <n v="261"/>
    <d v="2023-05-06T00:00:00"/>
    <x v="3"/>
    <x v="1"/>
    <x v="2"/>
    <x v="3"/>
    <n v="10"/>
    <n v="598"/>
    <n v="0"/>
    <n v="5980"/>
    <n v="3014"/>
    <n v="2966"/>
    <x v="7"/>
    <x v="1"/>
    <n v="0.49598662207357858"/>
  </r>
  <r>
    <n v="262"/>
    <d v="2024-10-05T00:00:00"/>
    <x v="2"/>
    <x v="4"/>
    <x v="8"/>
    <x v="0"/>
    <n v="10"/>
    <n v="39"/>
    <n v="20"/>
    <n v="312"/>
    <n v="204.94"/>
    <n v="107.06"/>
    <x v="1"/>
    <x v="0"/>
    <n v="0.34314102564102567"/>
  </r>
  <r>
    <n v="263"/>
    <d v="2023-08-15T00:00:00"/>
    <x v="3"/>
    <x v="0"/>
    <x v="0"/>
    <x v="0"/>
    <n v="10"/>
    <n v="637"/>
    <n v="10"/>
    <n v="5733"/>
    <n v="3157.86"/>
    <n v="2575.14"/>
    <x v="2"/>
    <x v="1"/>
    <n v="0.44917844060701201"/>
  </r>
  <r>
    <n v="264"/>
    <d v="2023-02-12T00:00:00"/>
    <x v="3"/>
    <x v="1"/>
    <x v="2"/>
    <x v="2"/>
    <n v="1"/>
    <n v="828"/>
    <n v="20"/>
    <n v="662.4"/>
    <n v="399.58"/>
    <n v="262.82"/>
    <x v="9"/>
    <x v="1"/>
    <n v="0.39676932367149759"/>
  </r>
  <r>
    <n v="265"/>
    <d v="2023-11-24T00:00:00"/>
    <x v="0"/>
    <x v="2"/>
    <x v="6"/>
    <x v="1"/>
    <n v="9"/>
    <n v="442"/>
    <n v="0"/>
    <n v="3978"/>
    <n v="2468.56"/>
    <n v="1509.44"/>
    <x v="3"/>
    <x v="1"/>
    <n v="0.37944695827048769"/>
  </r>
  <r>
    <n v="266"/>
    <d v="2023-03-30T00:00:00"/>
    <x v="2"/>
    <x v="1"/>
    <x v="2"/>
    <x v="0"/>
    <n v="9"/>
    <n v="11"/>
    <n v="0"/>
    <n v="99"/>
    <n v="70.86"/>
    <n v="28.14"/>
    <x v="8"/>
    <x v="1"/>
    <n v="0.28424242424242424"/>
  </r>
  <r>
    <n v="267"/>
    <d v="2023-10-26T00:00:00"/>
    <x v="2"/>
    <x v="0"/>
    <x v="13"/>
    <x v="1"/>
    <n v="7"/>
    <n v="989"/>
    <n v="0"/>
    <n v="6923"/>
    <n v="4802.08"/>
    <n v="2120.92"/>
    <x v="1"/>
    <x v="1"/>
    <n v="0.30635851509461215"/>
  </r>
  <r>
    <n v="268"/>
    <d v="2023-10-26T00:00:00"/>
    <x v="2"/>
    <x v="3"/>
    <x v="19"/>
    <x v="1"/>
    <n v="8"/>
    <n v="393"/>
    <n v="15"/>
    <n v="2672.4"/>
    <n v="1454.62"/>
    <n v="1217.78"/>
    <x v="1"/>
    <x v="1"/>
    <n v="0.45568777129172278"/>
  </r>
  <r>
    <n v="269"/>
    <d v="2024-06-13T00:00:00"/>
    <x v="0"/>
    <x v="4"/>
    <x v="14"/>
    <x v="0"/>
    <n v="5"/>
    <n v="537"/>
    <n v="15"/>
    <n v="2282.25"/>
    <n v="1414.63"/>
    <n v="867.62"/>
    <x v="4"/>
    <x v="0"/>
    <n v="0.3801599298937452"/>
  </r>
  <r>
    <n v="270"/>
    <d v="2023-01-19T00:00:00"/>
    <x v="3"/>
    <x v="1"/>
    <x v="16"/>
    <x v="1"/>
    <n v="2"/>
    <n v="230"/>
    <n v="20"/>
    <n v="368"/>
    <n v="245.11"/>
    <n v="122.89"/>
    <x v="11"/>
    <x v="1"/>
    <n v="0.33394021739130436"/>
  </r>
  <r>
    <n v="271"/>
    <d v="2023-05-05T00:00:00"/>
    <x v="3"/>
    <x v="1"/>
    <x v="16"/>
    <x v="2"/>
    <n v="9"/>
    <n v="771"/>
    <n v="0"/>
    <n v="6939"/>
    <n v="4710.25"/>
    <n v="2228.75"/>
    <x v="7"/>
    <x v="1"/>
    <n v="0.32119181438247585"/>
  </r>
  <r>
    <n v="272"/>
    <d v="2024-04-09T00:00:00"/>
    <x v="2"/>
    <x v="4"/>
    <x v="9"/>
    <x v="5"/>
    <n v="10"/>
    <n v="272"/>
    <n v="20"/>
    <n v="2176"/>
    <n v="1589.09"/>
    <n v="586.91"/>
    <x v="10"/>
    <x v="0"/>
    <n v="0.26971966911764705"/>
  </r>
  <r>
    <n v="273"/>
    <d v="2024-09-14T00:00:00"/>
    <x v="2"/>
    <x v="1"/>
    <x v="7"/>
    <x v="1"/>
    <n v="7"/>
    <n v="523"/>
    <n v="15"/>
    <n v="3111.85"/>
    <n v="2186.09"/>
    <n v="925.76"/>
    <x v="0"/>
    <x v="0"/>
    <n v="0.29749505920915209"/>
  </r>
  <r>
    <n v="274"/>
    <d v="2024-10-21T00:00:00"/>
    <x v="2"/>
    <x v="2"/>
    <x v="6"/>
    <x v="2"/>
    <n v="2"/>
    <n v="172"/>
    <n v="0"/>
    <n v="344"/>
    <n v="224.47"/>
    <n v="119.53"/>
    <x v="1"/>
    <x v="0"/>
    <n v="0.34747093023255815"/>
  </r>
  <r>
    <n v="275"/>
    <d v="2023-08-06T00:00:00"/>
    <x v="1"/>
    <x v="3"/>
    <x v="19"/>
    <x v="5"/>
    <n v="6"/>
    <n v="396"/>
    <n v="10"/>
    <n v="2138.4"/>
    <n v="1656.85"/>
    <n v="481.55"/>
    <x v="2"/>
    <x v="1"/>
    <n v="0.22519173213617658"/>
  </r>
  <r>
    <n v="276"/>
    <d v="2024-10-20T00:00:00"/>
    <x v="2"/>
    <x v="1"/>
    <x v="7"/>
    <x v="0"/>
    <n v="4"/>
    <n v="977"/>
    <n v="15"/>
    <n v="3321.8"/>
    <n v="2077.34"/>
    <n v="1244.46"/>
    <x v="1"/>
    <x v="0"/>
    <n v="0.37463423445120114"/>
  </r>
  <r>
    <n v="277"/>
    <d v="2023-11-23T00:00:00"/>
    <x v="2"/>
    <x v="3"/>
    <x v="4"/>
    <x v="4"/>
    <n v="9"/>
    <n v="151"/>
    <n v="5"/>
    <n v="1291.05"/>
    <n v="824.06"/>
    <n v="466.99"/>
    <x v="3"/>
    <x v="1"/>
    <n v="0.36171333410789669"/>
  </r>
  <r>
    <n v="278"/>
    <d v="2023-03-26T00:00:00"/>
    <x v="3"/>
    <x v="3"/>
    <x v="19"/>
    <x v="4"/>
    <n v="3"/>
    <n v="833"/>
    <n v="20"/>
    <n v="1999.2"/>
    <n v="1354.08"/>
    <n v="645.12"/>
    <x v="8"/>
    <x v="1"/>
    <n v="0.32268907563025212"/>
  </r>
  <r>
    <n v="279"/>
    <d v="2024-09-17T00:00:00"/>
    <x v="1"/>
    <x v="3"/>
    <x v="11"/>
    <x v="2"/>
    <n v="2"/>
    <n v="417"/>
    <n v="20"/>
    <n v="667.2"/>
    <n v="519.32000000000005"/>
    <n v="147.88"/>
    <x v="0"/>
    <x v="0"/>
    <n v="0.22164268585131891"/>
  </r>
  <r>
    <n v="280"/>
    <d v="2023-05-19T00:00:00"/>
    <x v="0"/>
    <x v="1"/>
    <x v="16"/>
    <x v="0"/>
    <n v="2"/>
    <n v="137"/>
    <n v="15"/>
    <n v="232.9"/>
    <n v="167.97"/>
    <n v="64.930000000000007"/>
    <x v="7"/>
    <x v="1"/>
    <n v="0.27878917990553886"/>
  </r>
  <r>
    <n v="281"/>
    <d v="2024-01-29T00:00:00"/>
    <x v="3"/>
    <x v="3"/>
    <x v="4"/>
    <x v="1"/>
    <n v="6"/>
    <n v="997"/>
    <n v="5"/>
    <n v="5682.9"/>
    <n v="3892.28"/>
    <n v="1790.62"/>
    <x v="11"/>
    <x v="0"/>
    <n v="0.31508912703021347"/>
  </r>
  <r>
    <n v="282"/>
    <d v="2023-08-29T00:00:00"/>
    <x v="2"/>
    <x v="4"/>
    <x v="14"/>
    <x v="0"/>
    <n v="4"/>
    <n v="836"/>
    <n v="10"/>
    <n v="3009.6"/>
    <n v="1531.53"/>
    <n v="1478.07"/>
    <x v="2"/>
    <x v="1"/>
    <n v="0.49111842105263159"/>
  </r>
  <r>
    <n v="283"/>
    <d v="2024-06-20T00:00:00"/>
    <x v="1"/>
    <x v="0"/>
    <x v="13"/>
    <x v="1"/>
    <n v="4"/>
    <n v="588"/>
    <n v="10"/>
    <n v="2116.8000000000002"/>
    <n v="1689.79"/>
    <n v="427.01"/>
    <x v="4"/>
    <x v="0"/>
    <n v="0.20172430083144366"/>
  </r>
  <r>
    <n v="284"/>
    <d v="2024-11-08T00:00:00"/>
    <x v="1"/>
    <x v="1"/>
    <x v="2"/>
    <x v="4"/>
    <n v="2"/>
    <n v="584"/>
    <n v="10"/>
    <n v="1051.2"/>
    <n v="572.89"/>
    <n v="478.31"/>
    <x v="3"/>
    <x v="0"/>
    <n v="0.45501331811263318"/>
  </r>
  <r>
    <n v="285"/>
    <d v="2023-09-12T00:00:00"/>
    <x v="2"/>
    <x v="4"/>
    <x v="14"/>
    <x v="3"/>
    <n v="6"/>
    <n v="924"/>
    <n v="15"/>
    <n v="4712.3999999999996"/>
    <n v="3478.27"/>
    <n v="1234.1300000000001"/>
    <x v="0"/>
    <x v="1"/>
    <n v="0.26188990747814284"/>
  </r>
  <r>
    <n v="286"/>
    <d v="2023-10-27T00:00:00"/>
    <x v="0"/>
    <x v="2"/>
    <x v="17"/>
    <x v="4"/>
    <n v="5"/>
    <n v="927"/>
    <n v="20"/>
    <n v="3708"/>
    <n v="1867.92"/>
    <n v="1840.08"/>
    <x v="1"/>
    <x v="1"/>
    <n v="0.49624595469255661"/>
  </r>
  <r>
    <n v="287"/>
    <d v="2023-05-12T00:00:00"/>
    <x v="1"/>
    <x v="2"/>
    <x v="17"/>
    <x v="4"/>
    <n v="8"/>
    <n v="258"/>
    <n v="5"/>
    <n v="1960.8"/>
    <n v="1354.37"/>
    <n v="606.42999999999995"/>
    <x v="7"/>
    <x v="1"/>
    <n v="0.30927682578539367"/>
  </r>
  <r>
    <n v="288"/>
    <d v="2024-10-17T00:00:00"/>
    <x v="3"/>
    <x v="1"/>
    <x v="2"/>
    <x v="4"/>
    <n v="7"/>
    <n v="695"/>
    <n v="0"/>
    <n v="4865"/>
    <n v="3601.03"/>
    <n v="1263.97"/>
    <x v="1"/>
    <x v="0"/>
    <n v="0.25980883864337101"/>
  </r>
  <r>
    <n v="289"/>
    <d v="2024-09-20T00:00:00"/>
    <x v="3"/>
    <x v="3"/>
    <x v="4"/>
    <x v="2"/>
    <n v="3"/>
    <n v="58"/>
    <n v="20"/>
    <n v="139.19999999999999"/>
    <n v="110.66"/>
    <n v="28.54"/>
    <x v="0"/>
    <x v="0"/>
    <n v="0.20502873563218391"/>
  </r>
  <r>
    <n v="290"/>
    <d v="2023-02-03T00:00:00"/>
    <x v="3"/>
    <x v="1"/>
    <x v="7"/>
    <x v="0"/>
    <n v="1"/>
    <n v="162"/>
    <n v="10"/>
    <n v="145.80000000000001"/>
    <n v="108.24"/>
    <n v="37.56"/>
    <x v="9"/>
    <x v="1"/>
    <n v="0.25761316872427981"/>
  </r>
  <r>
    <n v="291"/>
    <d v="2023-06-23T00:00:00"/>
    <x v="0"/>
    <x v="4"/>
    <x v="9"/>
    <x v="5"/>
    <n v="3"/>
    <n v="498"/>
    <n v="10"/>
    <n v="1344.6"/>
    <n v="919.44"/>
    <n v="425.16"/>
    <x v="4"/>
    <x v="1"/>
    <n v="0.31619812583668011"/>
  </r>
  <r>
    <n v="292"/>
    <d v="2023-04-02T00:00:00"/>
    <x v="1"/>
    <x v="2"/>
    <x v="17"/>
    <x v="4"/>
    <n v="7"/>
    <n v="724"/>
    <n v="10"/>
    <n v="4561.2"/>
    <n v="3505.28"/>
    <n v="1055.92"/>
    <x v="10"/>
    <x v="1"/>
    <n v="0.23150048232921164"/>
  </r>
  <r>
    <n v="293"/>
    <d v="2024-06-14T00:00:00"/>
    <x v="0"/>
    <x v="0"/>
    <x v="13"/>
    <x v="4"/>
    <n v="10"/>
    <n v="468"/>
    <n v="10"/>
    <n v="4212"/>
    <n v="3000.97"/>
    <n v="1211.03"/>
    <x v="4"/>
    <x v="0"/>
    <n v="0.28751899335232667"/>
  </r>
  <r>
    <n v="294"/>
    <d v="2024-09-01T00:00:00"/>
    <x v="1"/>
    <x v="0"/>
    <x v="0"/>
    <x v="3"/>
    <n v="5"/>
    <n v="22"/>
    <n v="20"/>
    <n v="88"/>
    <n v="48.35"/>
    <n v="39.65"/>
    <x v="0"/>
    <x v="0"/>
    <n v="0.45056818181818181"/>
  </r>
  <r>
    <n v="295"/>
    <d v="2023-10-11T00:00:00"/>
    <x v="0"/>
    <x v="1"/>
    <x v="5"/>
    <x v="4"/>
    <n v="10"/>
    <n v="872"/>
    <n v="0"/>
    <n v="8720"/>
    <n v="4535.83"/>
    <n v="4184.17"/>
    <x v="1"/>
    <x v="1"/>
    <n v="0.47983600917431196"/>
  </r>
  <r>
    <n v="296"/>
    <d v="2023-09-26T00:00:00"/>
    <x v="1"/>
    <x v="2"/>
    <x v="10"/>
    <x v="0"/>
    <n v="6"/>
    <n v="572"/>
    <n v="0"/>
    <n v="3432"/>
    <n v="2069.8000000000002"/>
    <n v="1362.2"/>
    <x v="0"/>
    <x v="1"/>
    <n v="0.39691142191142192"/>
  </r>
  <r>
    <n v="297"/>
    <d v="2024-11-06T00:00:00"/>
    <x v="0"/>
    <x v="1"/>
    <x v="5"/>
    <x v="2"/>
    <n v="3"/>
    <n v="926"/>
    <n v="15"/>
    <n v="2361.3000000000002"/>
    <n v="1664.38"/>
    <n v="696.92"/>
    <x v="3"/>
    <x v="0"/>
    <n v="0.29514250624655908"/>
  </r>
  <r>
    <n v="298"/>
    <d v="2024-09-10T00:00:00"/>
    <x v="1"/>
    <x v="2"/>
    <x v="10"/>
    <x v="3"/>
    <n v="8"/>
    <n v="652"/>
    <n v="5"/>
    <n v="4955.2"/>
    <n v="3867.45"/>
    <n v="1087.75"/>
    <x v="0"/>
    <x v="0"/>
    <n v="0.21951687116564417"/>
  </r>
  <r>
    <n v="299"/>
    <d v="2024-08-03T00:00:00"/>
    <x v="2"/>
    <x v="3"/>
    <x v="19"/>
    <x v="0"/>
    <n v="3"/>
    <n v="943"/>
    <n v="20"/>
    <n v="2263.1999999999998"/>
    <n v="1499.16"/>
    <n v="764.04"/>
    <x v="2"/>
    <x v="0"/>
    <n v="0.33759278897136796"/>
  </r>
  <r>
    <n v="300"/>
    <d v="2024-06-06T00:00:00"/>
    <x v="3"/>
    <x v="3"/>
    <x v="15"/>
    <x v="2"/>
    <n v="10"/>
    <n v="180"/>
    <n v="5"/>
    <n v="1710"/>
    <n v="1144.1300000000001"/>
    <n v="565.87"/>
    <x v="4"/>
    <x v="0"/>
    <n v="0.33091812865497078"/>
  </r>
  <r>
    <n v="301"/>
    <d v="2023-03-19T00:00:00"/>
    <x v="2"/>
    <x v="0"/>
    <x v="1"/>
    <x v="1"/>
    <n v="4"/>
    <n v="108"/>
    <n v="5"/>
    <n v="410.4"/>
    <n v="266.47000000000003"/>
    <n v="143.93"/>
    <x v="8"/>
    <x v="1"/>
    <n v="0.35070662768031191"/>
  </r>
  <r>
    <n v="302"/>
    <d v="2024-11-10T00:00:00"/>
    <x v="0"/>
    <x v="1"/>
    <x v="7"/>
    <x v="3"/>
    <n v="2"/>
    <n v="470"/>
    <n v="15"/>
    <n v="799"/>
    <n v="578.69000000000005"/>
    <n v="220.31"/>
    <x v="3"/>
    <x v="0"/>
    <n v="0.27573216520650812"/>
  </r>
  <r>
    <n v="303"/>
    <d v="2023-12-03T00:00:00"/>
    <x v="3"/>
    <x v="4"/>
    <x v="9"/>
    <x v="4"/>
    <n v="10"/>
    <n v="268"/>
    <n v="15"/>
    <n v="2278"/>
    <n v="1445.63"/>
    <n v="832.37"/>
    <x v="6"/>
    <x v="1"/>
    <n v="0.36539508340649696"/>
  </r>
  <r>
    <n v="304"/>
    <d v="2024-05-09T00:00:00"/>
    <x v="2"/>
    <x v="3"/>
    <x v="11"/>
    <x v="1"/>
    <n v="6"/>
    <n v="378"/>
    <n v="15"/>
    <n v="1927.8"/>
    <n v="1241.8900000000001"/>
    <n v="685.91"/>
    <x v="7"/>
    <x v="0"/>
    <n v="0.35579935677974894"/>
  </r>
  <r>
    <n v="305"/>
    <d v="2024-07-14T00:00:00"/>
    <x v="2"/>
    <x v="0"/>
    <x v="12"/>
    <x v="2"/>
    <n v="4"/>
    <n v="705"/>
    <n v="15"/>
    <n v="2397"/>
    <n v="1760.4"/>
    <n v="636.6"/>
    <x v="5"/>
    <x v="0"/>
    <n v="0.26558197747183981"/>
  </r>
  <r>
    <n v="306"/>
    <d v="2023-11-10T00:00:00"/>
    <x v="1"/>
    <x v="1"/>
    <x v="2"/>
    <x v="0"/>
    <n v="3"/>
    <n v="422"/>
    <n v="15"/>
    <n v="1076.0999999999999"/>
    <n v="742.44"/>
    <n v="333.66"/>
    <x v="3"/>
    <x v="1"/>
    <n v="0.31006412043490389"/>
  </r>
  <r>
    <n v="307"/>
    <d v="2024-03-19T00:00:00"/>
    <x v="2"/>
    <x v="0"/>
    <x v="0"/>
    <x v="4"/>
    <n v="5"/>
    <n v="40"/>
    <n v="20"/>
    <n v="160"/>
    <n v="100.29"/>
    <n v="59.71"/>
    <x v="8"/>
    <x v="0"/>
    <n v="0.37318750000000001"/>
  </r>
  <r>
    <n v="308"/>
    <d v="2023-01-13T00:00:00"/>
    <x v="2"/>
    <x v="2"/>
    <x v="3"/>
    <x v="3"/>
    <n v="6"/>
    <n v="620"/>
    <n v="0"/>
    <n v="3720"/>
    <n v="1958.81"/>
    <n v="1761.19"/>
    <x v="11"/>
    <x v="1"/>
    <n v="0.47343817204301075"/>
  </r>
  <r>
    <n v="309"/>
    <d v="2023-03-16T00:00:00"/>
    <x v="0"/>
    <x v="2"/>
    <x v="6"/>
    <x v="1"/>
    <n v="10"/>
    <n v="295"/>
    <n v="10"/>
    <n v="2655"/>
    <n v="1539.46"/>
    <n v="1115.54"/>
    <x v="8"/>
    <x v="1"/>
    <n v="0.42016572504708094"/>
  </r>
  <r>
    <n v="310"/>
    <d v="2023-09-16T00:00:00"/>
    <x v="2"/>
    <x v="4"/>
    <x v="18"/>
    <x v="3"/>
    <n v="8"/>
    <n v="944"/>
    <n v="20"/>
    <n v="6041.6"/>
    <n v="4287.43"/>
    <n v="1754.17"/>
    <x v="0"/>
    <x v="1"/>
    <n v="0.29034858315677964"/>
  </r>
  <r>
    <n v="311"/>
    <d v="2024-08-23T00:00:00"/>
    <x v="3"/>
    <x v="1"/>
    <x v="16"/>
    <x v="1"/>
    <n v="9"/>
    <n v="707"/>
    <n v="5"/>
    <n v="6044.85"/>
    <n v="3641.84"/>
    <n v="2403.0100000000002"/>
    <x v="2"/>
    <x v="0"/>
    <n v="0.39753012895274492"/>
  </r>
  <r>
    <n v="312"/>
    <d v="2023-11-24T00:00:00"/>
    <x v="2"/>
    <x v="4"/>
    <x v="8"/>
    <x v="4"/>
    <n v="4"/>
    <n v="395"/>
    <n v="10"/>
    <n v="1422"/>
    <n v="968.25"/>
    <n v="453.75"/>
    <x v="3"/>
    <x v="1"/>
    <n v="0.31909282700421943"/>
  </r>
  <r>
    <n v="313"/>
    <d v="2024-01-28T00:00:00"/>
    <x v="0"/>
    <x v="2"/>
    <x v="3"/>
    <x v="3"/>
    <n v="5"/>
    <n v="180"/>
    <n v="0"/>
    <n v="900"/>
    <n v="521.95000000000005"/>
    <n v="378.05"/>
    <x v="11"/>
    <x v="0"/>
    <n v="0.42005555555555557"/>
  </r>
  <r>
    <n v="314"/>
    <d v="2023-09-28T00:00:00"/>
    <x v="2"/>
    <x v="0"/>
    <x v="12"/>
    <x v="2"/>
    <n v="9"/>
    <n v="530"/>
    <n v="15"/>
    <n v="4054.5"/>
    <n v="2547.81"/>
    <n v="1506.69"/>
    <x v="0"/>
    <x v="1"/>
    <n v="0.3716093229744728"/>
  </r>
  <r>
    <n v="315"/>
    <d v="2024-02-20T00:00:00"/>
    <x v="1"/>
    <x v="3"/>
    <x v="15"/>
    <x v="1"/>
    <n v="7"/>
    <n v="570"/>
    <n v="20"/>
    <n v="3192"/>
    <n v="2383.52"/>
    <n v="808.48"/>
    <x v="9"/>
    <x v="0"/>
    <n v="0.25328320802005011"/>
  </r>
  <r>
    <n v="316"/>
    <d v="2024-08-07T00:00:00"/>
    <x v="2"/>
    <x v="2"/>
    <x v="6"/>
    <x v="5"/>
    <n v="4"/>
    <n v="833"/>
    <n v="10"/>
    <n v="2998.8"/>
    <n v="2393.0700000000002"/>
    <n v="605.73"/>
    <x v="2"/>
    <x v="0"/>
    <n v="0.2019907963185274"/>
  </r>
  <r>
    <n v="317"/>
    <d v="2024-08-09T00:00:00"/>
    <x v="0"/>
    <x v="3"/>
    <x v="4"/>
    <x v="0"/>
    <n v="10"/>
    <n v="324"/>
    <n v="0"/>
    <n v="3240"/>
    <n v="2009.77"/>
    <n v="1230.23"/>
    <x v="2"/>
    <x v="0"/>
    <n v="0.3797006172839506"/>
  </r>
  <r>
    <n v="318"/>
    <d v="2024-02-12T00:00:00"/>
    <x v="2"/>
    <x v="4"/>
    <x v="9"/>
    <x v="4"/>
    <n v="4"/>
    <n v="400"/>
    <n v="0"/>
    <n v="1600"/>
    <n v="1221.94"/>
    <n v="378.06"/>
    <x v="9"/>
    <x v="0"/>
    <n v="0.23628750000000001"/>
  </r>
  <r>
    <n v="319"/>
    <d v="2023-02-13T00:00:00"/>
    <x v="3"/>
    <x v="0"/>
    <x v="12"/>
    <x v="5"/>
    <n v="1"/>
    <n v="61"/>
    <n v="0"/>
    <n v="61"/>
    <n v="48.3"/>
    <n v="12.7"/>
    <x v="9"/>
    <x v="1"/>
    <n v="0.2081967213114754"/>
  </r>
  <r>
    <n v="320"/>
    <d v="2023-03-11T00:00:00"/>
    <x v="0"/>
    <x v="1"/>
    <x v="5"/>
    <x v="5"/>
    <n v="6"/>
    <n v="824"/>
    <n v="5"/>
    <n v="4696.8"/>
    <n v="2426.77"/>
    <n v="2270.0300000000002"/>
    <x v="8"/>
    <x v="1"/>
    <n v="0.48331417135070687"/>
  </r>
  <r>
    <n v="321"/>
    <d v="2024-06-05T00:00:00"/>
    <x v="2"/>
    <x v="0"/>
    <x v="1"/>
    <x v="1"/>
    <n v="5"/>
    <n v="619"/>
    <n v="10"/>
    <n v="2785.5"/>
    <n v="1924.87"/>
    <n v="860.63"/>
    <x v="4"/>
    <x v="0"/>
    <n v="0.3089678693232813"/>
  </r>
  <r>
    <n v="322"/>
    <d v="2024-06-11T00:00:00"/>
    <x v="3"/>
    <x v="1"/>
    <x v="2"/>
    <x v="1"/>
    <n v="10"/>
    <n v="98"/>
    <n v="0"/>
    <n v="980"/>
    <n v="691.05"/>
    <n v="288.95"/>
    <x v="4"/>
    <x v="0"/>
    <n v="0.29484693877551021"/>
  </r>
  <r>
    <n v="323"/>
    <d v="2023-06-22T00:00:00"/>
    <x v="0"/>
    <x v="2"/>
    <x v="3"/>
    <x v="3"/>
    <n v="2"/>
    <n v="473"/>
    <n v="15"/>
    <n v="804.1"/>
    <n v="547.44000000000005"/>
    <n v="256.66000000000003"/>
    <x v="4"/>
    <x v="1"/>
    <n v="0.31918915557766447"/>
  </r>
  <r>
    <n v="324"/>
    <d v="2023-09-27T00:00:00"/>
    <x v="3"/>
    <x v="1"/>
    <x v="7"/>
    <x v="5"/>
    <n v="10"/>
    <n v="100"/>
    <n v="20"/>
    <n v="800"/>
    <n v="601.79999999999995"/>
    <n v="198.2"/>
    <x v="0"/>
    <x v="1"/>
    <n v="0.24775"/>
  </r>
  <r>
    <n v="325"/>
    <d v="2024-09-20T00:00:00"/>
    <x v="0"/>
    <x v="2"/>
    <x v="17"/>
    <x v="4"/>
    <n v="8"/>
    <n v="560"/>
    <n v="0"/>
    <n v="4480"/>
    <n v="2907.17"/>
    <n v="1572.83"/>
    <x v="0"/>
    <x v="0"/>
    <n v="0.35107812499999996"/>
  </r>
  <r>
    <n v="326"/>
    <d v="2024-09-11T00:00:00"/>
    <x v="0"/>
    <x v="0"/>
    <x v="12"/>
    <x v="1"/>
    <n v="9"/>
    <n v="193"/>
    <n v="5"/>
    <n v="1650.15"/>
    <n v="941.4"/>
    <n v="708.75"/>
    <x v="0"/>
    <x v="0"/>
    <n v="0.42950640850831739"/>
  </r>
  <r>
    <n v="327"/>
    <d v="2023-09-21T00:00:00"/>
    <x v="1"/>
    <x v="4"/>
    <x v="9"/>
    <x v="0"/>
    <n v="9"/>
    <n v="556"/>
    <n v="5"/>
    <n v="4753.8"/>
    <n v="2437.1"/>
    <n v="2316.6999999999998"/>
    <x v="0"/>
    <x v="1"/>
    <n v="0.48733644663216791"/>
  </r>
  <r>
    <n v="328"/>
    <d v="2023-06-20T00:00:00"/>
    <x v="0"/>
    <x v="4"/>
    <x v="18"/>
    <x v="5"/>
    <n v="3"/>
    <n v="131"/>
    <n v="20"/>
    <n v="314.39999999999998"/>
    <n v="197.98"/>
    <n v="116.42"/>
    <x v="4"/>
    <x v="1"/>
    <n v="0.37029262086513998"/>
  </r>
  <r>
    <n v="329"/>
    <d v="2023-06-13T00:00:00"/>
    <x v="0"/>
    <x v="1"/>
    <x v="16"/>
    <x v="2"/>
    <n v="4"/>
    <n v="714"/>
    <n v="10"/>
    <n v="2570.4"/>
    <n v="1771.3"/>
    <n v="799.1"/>
    <x v="4"/>
    <x v="1"/>
    <n v="0.31088546529722999"/>
  </r>
  <r>
    <n v="330"/>
    <d v="2024-01-27T00:00:00"/>
    <x v="1"/>
    <x v="3"/>
    <x v="11"/>
    <x v="3"/>
    <n v="10"/>
    <n v="307"/>
    <n v="10"/>
    <n v="2763"/>
    <n v="2150.0300000000002"/>
    <n v="612.97"/>
    <x v="11"/>
    <x v="0"/>
    <n v="0.22184943901556281"/>
  </r>
  <r>
    <n v="331"/>
    <d v="2024-03-26T00:00:00"/>
    <x v="2"/>
    <x v="4"/>
    <x v="8"/>
    <x v="3"/>
    <n v="2"/>
    <n v="777"/>
    <n v="0"/>
    <n v="1554"/>
    <n v="1204.5999999999999"/>
    <n v="349.4"/>
    <x v="8"/>
    <x v="0"/>
    <n v="0.22483912483912483"/>
  </r>
  <r>
    <n v="332"/>
    <d v="2024-01-06T00:00:00"/>
    <x v="3"/>
    <x v="2"/>
    <x v="6"/>
    <x v="0"/>
    <n v="4"/>
    <n v="87"/>
    <n v="0"/>
    <n v="348"/>
    <n v="234.15"/>
    <n v="113.85"/>
    <x v="11"/>
    <x v="0"/>
    <n v="0.3271551724137931"/>
  </r>
  <r>
    <n v="333"/>
    <d v="2023-07-16T00:00:00"/>
    <x v="3"/>
    <x v="1"/>
    <x v="7"/>
    <x v="1"/>
    <n v="4"/>
    <n v="794"/>
    <n v="0"/>
    <n v="3176"/>
    <n v="2363.27"/>
    <n v="812.73"/>
    <x v="5"/>
    <x v="1"/>
    <n v="0.25589735516372797"/>
  </r>
  <r>
    <n v="334"/>
    <d v="2023-07-11T00:00:00"/>
    <x v="2"/>
    <x v="1"/>
    <x v="2"/>
    <x v="3"/>
    <n v="6"/>
    <n v="436"/>
    <n v="10"/>
    <n v="2354.4"/>
    <n v="1585.07"/>
    <n v="769.33"/>
    <x v="5"/>
    <x v="1"/>
    <n v="0.32676265715256542"/>
  </r>
  <r>
    <n v="335"/>
    <d v="2023-09-16T00:00:00"/>
    <x v="3"/>
    <x v="0"/>
    <x v="1"/>
    <x v="3"/>
    <n v="5"/>
    <n v="816"/>
    <n v="0"/>
    <n v="4080"/>
    <n v="2725.77"/>
    <n v="1354.23"/>
    <x v="0"/>
    <x v="1"/>
    <n v="0.33191911764705884"/>
  </r>
  <r>
    <n v="336"/>
    <d v="2024-11-05T00:00:00"/>
    <x v="0"/>
    <x v="2"/>
    <x v="17"/>
    <x v="0"/>
    <n v="9"/>
    <n v="294"/>
    <n v="0"/>
    <n v="2646"/>
    <n v="1733.03"/>
    <n v="912.97"/>
    <x v="3"/>
    <x v="0"/>
    <n v="0.34503779289493575"/>
  </r>
  <r>
    <n v="337"/>
    <d v="2024-12-06T00:00:00"/>
    <x v="1"/>
    <x v="4"/>
    <x v="8"/>
    <x v="4"/>
    <n v="4"/>
    <n v="728"/>
    <n v="15"/>
    <n v="2475.1999999999998"/>
    <n v="1839.09"/>
    <n v="636.11"/>
    <x v="6"/>
    <x v="0"/>
    <n v="0.25699337427278607"/>
  </r>
  <r>
    <n v="338"/>
    <d v="2024-11-25T00:00:00"/>
    <x v="3"/>
    <x v="2"/>
    <x v="6"/>
    <x v="3"/>
    <n v="10"/>
    <n v="66"/>
    <n v="10"/>
    <n v="594"/>
    <n v="367.02"/>
    <n v="226.98"/>
    <x v="3"/>
    <x v="0"/>
    <n v="0.38212121212121208"/>
  </r>
  <r>
    <n v="339"/>
    <d v="2024-12-04T00:00:00"/>
    <x v="3"/>
    <x v="2"/>
    <x v="17"/>
    <x v="4"/>
    <n v="1"/>
    <n v="694"/>
    <n v="5"/>
    <n v="659.3"/>
    <n v="388.72"/>
    <n v="270.58"/>
    <x v="6"/>
    <x v="0"/>
    <n v="0.41040497497345668"/>
  </r>
  <r>
    <n v="340"/>
    <d v="2024-05-02T00:00:00"/>
    <x v="1"/>
    <x v="1"/>
    <x v="5"/>
    <x v="4"/>
    <n v="5"/>
    <n v="785"/>
    <n v="0"/>
    <n v="3925"/>
    <n v="2236.16"/>
    <n v="1688.84"/>
    <x v="7"/>
    <x v="0"/>
    <n v="0.43027770700636941"/>
  </r>
  <r>
    <n v="341"/>
    <d v="2024-02-13T00:00:00"/>
    <x v="3"/>
    <x v="3"/>
    <x v="19"/>
    <x v="2"/>
    <n v="2"/>
    <n v="165"/>
    <n v="0"/>
    <n v="330"/>
    <n v="234.37"/>
    <n v="95.63"/>
    <x v="9"/>
    <x v="0"/>
    <n v="0.28978787878787876"/>
  </r>
  <r>
    <n v="342"/>
    <d v="2024-07-12T00:00:00"/>
    <x v="2"/>
    <x v="4"/>
    <x v="8"/>
    <x v="5"/>
    <n v="2"/>
    <n v="811"/>
    <n v="20"/>
    <n v="1297.5999999999999"/>
    <n v="897.7"/>
    <n v="399.9"/>
    <x v="5"/>
    <x v="0"/>
    <n v="0.30818434032059189"/>
  </r>
  <r>
    <n v="343"/>
    <d v="2023-12-18T00:00:00"/>
    <x v="1"/>
    <x v="4"/>
    <x v="14"/>
    <x v="3"/>
    <n v="8"/>
    <n v="163"/>
    <n v="20"/>
    <n v="1043.2"/>
    <n v="626.34"/>
    <n v="416.86"/>
    <x v="6"/>
    <x v="1"/>
    <n v="0.39959739263803679"/>
  </r>
  <r>
    <n v="344"/>
    <d v="2024-02-05T00:00:00"/>
    <x v="2"/>
    <x v="2"/>
    <x v="10"/>
    <x v="2"/>
    <n v="4"/>
    <n v="481"/>
    <n v="0"/>
    <n v="1924"/>
    <n v="1009.51"/>
    <n v="914.49"/>
    <x v="9"/>
    <x v="0"/>
    <n v="0.4753066528066528"/>
  </r>
  <r>
    <n v="345"/>
    <d v="2023-07-17T00:00:00"/>
    <x v="2"/>
    <x v="2"/>
    <x v="6"/>
    <x v="4"/>
    <n v="7"/>
    <n v="417"/>
    <n v="15"/>
    <n v="2481.15"/>
    <n v="1890.59"/>
    <n v="590.55999999999995"/>
    <x v="5"/>
    <x v="1"/>
    <n v="0.23801866070169073"/>
  </r>
  <r>
    <n v="346"/>
    <d v="2023-10-30T00:00:00"/>
    <x v="3"/>
    <x v="3"/>
    <x v="4"/>
    <x v="2"/>
    <n v="3"/>
    <n v="475"/>
    <n v="20"/>
    <n v="1140"/>
    <n v="639"/>
    <n v="501"/>
    <x v="1"/>
    <x v="1"/>
    <n v="0.43947368421052629"/>
  </r>
  <r>
    <n v="347"/>
    <d v="2023-11-04T00:00:00"/>
    <x v="2"/>
    <x v="1"/>
    <x v="5"/>
    <x v="1"/>
    <n v="8"/>
    <n v="651"/>
    <n v="15"/>
    <n v="4426.8"/>
    <n v="3505.85"/>
    <n v="920.95"/>
    <x v="3"/>
    <x v="1"/>
    <n v="0.20803966747989519"/>
  </r>
  <r>
    <n v="348"/>
    <d v="2024-05-03T00:00:00"/>
    <x v="1"/>
    <x v="4"/>
    <x v="18"/>
    <x v="1"/>
    <n v="10"/>
    <n v="205"/>
    <n v="10"/>
    <n v="1845"/>
    <n v="1112.25"/>
    <n v="732.75"/>
    <x v="7"/>
    <x v="0"/>
    <n v="0.39715447154471545"/>
  </r>
  <r>
    <n v="349"/>
    <d v="2023-12-29T00:00:00"/>
    <x v="3"/>
    <x v="4"/>
    <x v="18"/>
    <x v="1"/>
    <n v="7"/>
    <n v="467"/>
    <n v="5"/>
    <n v="3105.55"/>
    <n v="2445.8000000000002"/>
    <n v="659.75"/>
    <x v="6"/>
    <x v="1"/>
    <n v="0.21244224050490251"/>
  </r>
  <r>
    <n v="350"/>
    <d v="2024-12-02T00:00:00"/>
    <x v="0"/>
    <x v="3"/>
    <x v="15"/>
    <x v="2"/>
    <n v="4"/>
    <n v="586"/>
    <n v="5"/>
    <n v="2226.8000000000002"/>
    <n v="1709.58"/>
    <n v="517.22"/>
    <x v="6"/>
    <x v="0"/>
    <n v="0.23227052272319021"/>
  </r>
  <r>
    <n v="351"/>
    <d v="2023-12-27T00:00:00"/>
    <x v="3"/>
    <x v="3"/>
    <x v="19"/>
    <x v="5"/>
    <n v="9"/>
    <n v="626"/>
    <n v="15"/>
    <n v="4788.8999999999996"/>
    <n v="3005.28"/>
    <n v="1783.62"/>
    <x v="6"/>
    <x v="1"/>
    <n v="0.37244878782183799"/>
  </r>
  <r>
    <n v="352"/>
    <d v="2023-10-19T00:00:00"/>
    <x v="0"/>
    <x v="0"/>
    <x v="0"/>
    <x v="2"/>
    <n v="1"/>
    <n v="644"/>
    <n v="0"/>
    <n v="644"/>
    <n v="357.01"/>
    <n v="286.99"/>
    <x v="1"/>
    <x v="1"/>
    <n v="0.44563664596273295"/>
  </r>
  <r>
    <n v="353"/>
    <d v="2023-10-29T00:00:00"/>
    <x v="0"/>
    <x v="0"/>
    <x v="0"/>
    <x v="2"/>
    <n v="1"/>
    <n v="562"/>
    <n v="5"/>
    <n v="533.9"/>
    <n v="312"/>
    <n v="221.9"/>
    <x v="1"/>
    <x v="1"/>
    <n v="0.41562090279078484"/>
  </r>
  <r>
    <n v="354"/>
    <d v="2024-02-12T00:00:00"/>
    <x v="1"/>
    <x v="2"/>
    <x v="10"/>
    <x v="2"/>
    <n v="7"/>
    <n v="893"/>
    <n v="5"/>
    <n v="5938.45"/>
    <n v="4472.0200000000004"/>
    <n v="1466.43"/>
    <x v="9"/>
    <x v="0"/>
    <n v="0.24693817410266991"/>
  </r>
  <r>
    <n v="355"/>
    <d v="2023-06-28T00:00:00"/>
    <x v="3"/>
    <x v="3"/>
    <x v="11"/>
    <x v="2"/>
    <n v="9"/>
    <n v="322"/>
    <n v="5"/>
    <n v="2753.1"/>
    <n v="1751.29"/>
    <n v="1001.81"/>
    <x v="4"/>
    <x v="1"/>
    <n v="0.36388434855254076"/>
  </r>
  <r>
    <n v="356"/>
    <d v="2023-01-04T00:00:00"/>
    <x v="2"/>
    <x v="1"/>
    <x v="16"/>
    <x v="0"/>
    <n v="1"/>
    <n v="406"/>
    <n v="5"/>
    <n v="385.7"/>
    <n v="253.24"/>
    <n v="132.46"/>
    <x v="11"/>
    <x v="1"/>
    <n v="0.34342753435312423"/>
  </r>
  <r>
    <n v="357"/>
    <d v="2023-12-04T00:00:00"/>
    <x v="0"/>
    <x v="3"/>
    <x v="15"/>
    <x v="0"/>
    <n v="9"/>
    <n v="947"/>
    <n v="5"/>
    <n v="8096.85"/>
    <n v="6456.14"/>
    <n v="1640.71"/>
    <x v="6"/>
    <x v="1"/>
    <n v="0.20263559285401112"/>
  </r>
  <r>
    <n v="358"/>
    <d v="2023-06-03T00:00:00"/>
    <x v="0"/>
    <x v="3"/>
    <x v="4"/>
    <x v="1"/>
    <n v="4"/>
    <n v="399"/>
    <n v="5"/>
    <n v="1516.2"/>
    <n v="760.38"/>
    <n v="755.82"/>
    <x v="4"/>
    <x v="1"/>
    <n v="0.49849624060150377"/>
  </r>
  <r>
    <n v="359"/>
    <d v="2024-12-28T00:00:00"/>
    <x v="1"/>
    <x v="3"/>
    <x v="19"/>
    <x v="2"/>
    <n v="8"/>
    <n v="77"/>
    <n v="10"/>
    <n v="554.4"/>
    <n v="300.88"/>
    <n v="253.52"/>
    <x v="6"/>
    <x v="0"/>
    <n v="0.4572871572871573"/>
  </r>
  <r>
    <n v="360"/>
    <d v="2023-11-21T00:00:00"/>
    <x v="2"/>
    <x v="0"/>
    <x v="12"/>
    <x v="4"/>
    <n v="3"/>
    <n v="240"/>
    <n v="15"/>
    <n v="612"/>
    <n v="354.36"/>
    <n v="257.64"/>
    <x v="3"/>
    <x v="1"/>
    <n v="0.42098039215686273"/>
  </r>
  <r>
    <n v="361"/>
    <d v="2024-02-13T00:00:00"/>
    <x v="0"/>
    <x v="1"/>
    <x v="7"/>
    <x v="5"/>
    <n v="6"/>
    <n v="767"/>
    <n v="15"/>
    <n v="3911.7"/>
    <n v="2411.79"/>
    <n v="1499.91"/>
    <x v="9"/>
    <x v="0"/>
    <n v="0.38344198174706651"/>
  </r>
  <r>
    <n v="362"/>
    <d v="2024-01-04T00:00:00"/>
    <x v="3"/>
    <x v="4"/>
    <x v="18"/>
    <x v="4"/>
    <n v="3"/>
    <n v="921"/>
    <n v="5"/>
    <n v="2624.85"/>
    <n v="1464.14"/>
    <n v="1160.71"/>
    <x v="11"/>
    <x v="0"/>
    <n v="0.44220050669562072"/>
  </r>
  <r>
    <n v="363"/>
    <d v="2024-06-15T00:00:00"/>
    <x v="1"/>
    <x v="1"/>
    <x v="2"/>
    <x v="5"/>
    <n v="1"/>
    <n v="922"/>
    <n v="0"/>
    <n v="922"/>
    <n v="539.20000000000005"/>
    <n v="382.8"/>
    <x v="4"/>
    <x v="0"/>
    <n v="0.4151843817787419"/>
  </r>
  <r>
    <n v="364"/>
    <d v="2023-03-11T00:00:00"/>
    <x v="1"/>
    <x v="3"/>
    <x v="11"/>
    <x v="2"/>
    <n v="6"/>
    <n v="616"/>
    <n v="10"/>
    <n v="3326.4"/>
    <n v="1810.24"/>
    <n v="1516.16"/>
    <x v="8"/>
    <x v="1"/>
    <n v="0.45579605579605581"/>
  </r>
  <r>
    <n v="365"/>
    <d v="2023-03-27T00:00:00"/>
    <x v="1"/>
    <x v="3"/>
    <x v="19"/>
    <x v="0"/>
    <n v="8"/>
    <n v="33"/>
    <n v="0"/>
    <n v="264"/>
    <n v="163.95"/>
    <n v="100.05"/>
    <x v="8"/>
    <x v="1"/>
    <n v="0.37897727272727272"/>
  </r>
  <r>
    <n v="366"/>
    <d v="2024-06-10T00:00:00"/>
    <x v="3"/>
    <x v="3"/>
    <x v="4"/>
    <x v="1"/>
    <n v="3"/>
    <n v="331"/>
    <n v="15"/>
    <n v="844.05"/>
    <n v="492.12"/>
    <n v="351.93"/>
    <x v="4"/>
    <x v="0"/>
    <n v="0.41695397192109473"/>
  </r>
  <r>
    <n v="367"/>
    <d v="2024-01-27T00:00:00"/>
    <x v="3"/>
    <x v="0"/>
    <x v="12"/>
    <x v="0"/>
    <n v="1"/>
    <n v="579"/>
    <n v="10"/>
    <n v="521.1"/>
    <n v="361.26"/>
    <n v="159.84"/>
    <x v="11"/>
    <x v="0"/>
    <n v="0.30673575129533676"/>
  </r>
  <r>
    <n v="368"/>
    <d v="2023-01-15T00:00:00"/>
    <x v="2"/>
    <x v="0"/>
    <x v="1"/>
    <x v="0"/>
    <n v="3"/>
    <n v="834"/>
    <n v="10"/>
    <n v="2251.8000000000002"/>
    <n v="1529.07"/>
    <n v="722.73"/>
    <x v="11"/>
    <x v="1"/>
    <n v="0.32095656807887024"/>
  </r>
  <r>
    <n v="369"/>
    <d v="2024-12-06T00:00:00"/>
    <x v="1"/>
    <x v="3"/>
    <x v="11"/>
    <x v="0"/>
    <n v="3"/>
    <n v="961"/>
    <n v="10"/>
    <n v="2594.6999999999998"/>
    <n v="1515.18"/>
    <n v="1079.52"/>
    <x v="6"/>
    <x v="0"/>
    <n v="0.41604809804601689"/>
  </r>
  <r>
    <n v="370"/>
    <d v="2024-08-26T00:00:00"/>
    <x v="1"/>
    <x v="2"/>
    <x v="17"/>
    <x v="3"/>
    <n v="2"/>
    <n v="805"/>
    <n v="0"/>
    <n v="1610"/>
    <n v="1190.96"/>
    <n v="419.04"/>
    <x v="2"/>
    <x v="0"/>
    <n v="0.26027329192546583"/>
  </r>
  <r>
    <n v="371"/>
    <d v="2023-08-27T00:00:00"/>
    <x v="2"/>
    <x v="4"/>
    <x v="18"/>
    <x v="4"/>
    <n v="3"/>
    <n v="98"/>
    <n v="15"/>
    <n v="249.9"/>
    <n v="156.96"/>
    <n v="92.94"/>
    <x v="2"/>
    <x v="1"/>
    <n v="0.37190876350540214"/>
  </r>
  <r>
    <n v="372"/>
    <d v="2024-11-11T00:00:00"/>
    <x v="3"/>
    <x v="4"/>
    <x v="9"/>
    <x v="1"/>
    <n v="8"/>
    <n v="16"/>
    <n v="20"/>
    <n v="102.4"/>
    <n v="52.05"/>
    <n v="50.35"/>
    <x v="3"/>
    <x v="0"/>
    <n v="0.49169921875"/>
  </r>
  <r>
    <n v="373"/>
    <d v="2024-02-07T00:00:00"/>
    <x v="0"/>
    <x v="1"/>
    <x v="7"/>
    <x v="0"/>
    <n v="2"/>
    <n v="423"/>
    <n v="5"/>
    <n v="803.7"/>
    <n v="403.13"/>
    <n v="400.57"/>
    <x v="9"/>
    <x v="0"/>
    <n v="0.49840736593256185"/>
  </r>
  <r>
    <n v="374"/>
    <d v="2024-03-17T00:00:00"/>
    <x v="0"/>
    <x v="2"/>
    <x v="3"/>
    <x v="1"/>
    <n v="6"/>
    <n v="324"/>
    <n v="20"/>
    <n v="1555.2"/>
    <n v="1148.32"/>
    <n v="406.88"/>
    <x v="8"/>
    <x v="0"/>
    <n v="0.26162551440329218"/>
  </r>
  <r>
    <n v="375"/>
    <d v="2023-04-30T00:00:00"/>
    <x v="3"/>
    <x v="1"/>
    <x v="5"/>
    <x v="4"/>
    <n v="3"/>
    <n v="175"/>
    <n v="20"/>
    <n v="420"/>
    <n v="287.52"/>
    <n v="132.47999999999999"/>
    <x v="10"/>
    <x v="1"/>
    <n v="0.31542857142857139"/>
  </r>
  <r>
    <n v="376"/>
    <d v="2023-01-19T00:00:00"/>
    <x v="3"/>
    <x v="0"/>
    <x v="13"/>
    <x v="1"/>
    <n v="2"/>
    <n v="513"/>
    <n v="15"/>
    <n v="872.1"/>
    <n v="528.16"/>
    <n v="343.94"/>
    <x v="11"/>
    <x v="1"/>
    <n v="0.39438137828230707"/>
  </r>
  <r>
    <n v="377"/>
    <d v="2024-03-03T00:00:00"/>
    <x v="0"/>
    <x v="0"/>
    <x v="13"/>
    <x v="2"/>
    <n v="7"/>
    <n v="981"/>
    <n v="5"/>
    <n v="6523.65"/>
    <n v="4512.3999999999996"/>
    <n v="2011.25"/>
    <x v="8"/>
    <x v="0"/>
    <n v="0.30830133437569462"/>
  </r>
  <r>
    <n v="378"/>
    <d v="2023-09-21T00:00:00"/>
    <x v="3"/>
    <x v="2"/>
    <x v="3"/>
    <x v="2"/>
    <n v="3"/>
    <n v="694"/>
    <n v="0"/>
    <n v="2082"/>
    <n v="1418.14"/>
    <n v="663.86"/>
    <x v="0"/>
    <x v="1"/>
    <n v="0.31885686839577332"/>
  </r>
  <r>
    <n v="379"/>
    <d v="2024-05-13T00:00:00"/>
    <x v="2"/>
    <x v="4"/>
    <x v="14"/>
    <x v="4"/>
    <n v="7"/>
    <n v="957"/>
    <n v="15"/>
    <n v="5694.15"/>
    <n v="4240.76"/>
    <n v="1453.39"/>
    <x v="7"/>
    <x v="0"/>
    <n v="0.25524266132785406"/>
  </r>
  <r>
    <n v="380"/>
    <d v="2024-05-06T00:00:00"/>
    <x v="1"/>
    <x v="4"/>
    <x v="9"/>
    <x v="2"/>
    <n v="2"/>
    <n v="809"/>
    <n v="5"/>
    <n v="1537.1"/>
    <n v="880.46"/>
    <n v="656.64"/>
    <x v="7"/>
    <x v="0"/>
    <n v="0.42719406674907295"/>
  </r>
  <r>
    <n v="381"/>
    <d v="2023-04-20T00:00:00"/>
    <x v="0"/>
    <x v="1"/>
    <x v="7"/>
    <x v="1"/>
    <n v="7"/>
    <n v="811"/>
    <n v="0"/>
    <n v="5677"/>
    <n v="3691.85"/>
    <n v="1985.15"/>
    <x v="10"/>
    <x v="1"/>
    <n v="0.34968293112559451"/>
  </r>
  <r>
    <n v="382"/>
    <d v="2023-10-08T00:00:00"/>
    <x v="3"/>
    <x v="2"/>
    <x v="3"/>
    <x v="1"/>
    <n v="8"/>
    <n v="82"/>
    <n v="0"/>
    <n v="656"/>
    <n v="391.69"/>
    <n v="264.31"/>
    <x v="1"/>
    <x v="1"/>
    <n v="0.40291158536585364"/>
  </r>
  <r>
    <n v="383"/>
    <d v="2024-10-23T00:00:00"/>
    <x v="1"/>
    <x v="2"/>
    <x v="6"/>
    <x v="3"/>
    <n v="9"/>
    <n v="374"/>
    <n v="5"/>
    <n v="3197.7"/>
    <n v="1657.27"/>
    <n v="1540.43"/>
    <x v="1"/>
    <x v="0"/>
    <n v="0.48173061888232172"/>
  </r>
  <r>
    <n v="384"/>
    <d v="2024-10-10T00:00:00"/>
    <x v="1"/>
    <x v="3"/>
    <x v="4"/>
    <x v="1"/>
    <n v="4"/>
    <n v="113"/>
    <n v="20"/>
    <n v="361.6"/>
    <n v="243.98"/>
    <n v="117.62"/>
    <x v="1"/>
    <x v="0"/>
    <n v="0.32527654867256639"/>
  </r>
  <r>
    <n v="385"/>
    <d v="2023-04-22T00:00:00"/>
    <x v="2"/>
    <x v="2"/>
    <x v="10"/>
    <x v="4"/>
    <n v="2"/>
    <n v="692"/>
    <n v="15"/>
    <n v="1176.4000000000001"/>
    <n v="686.25"/>
    <n v="490.15"/>
    <x v="10"/>
    <x v="1"/>
    <n v="0.41665249914994895"/>
  </r>
  <r>
    <n v="386"/>
    <d v="2024-12-15T00:00:00"/>
    <x v="2"/>
    <x v="3"/>
    <x v="19"/>
    <x v="3"/>
    <n v="3"/>
    <n v="550"/>
    <n v="10"/>
    <n v="1485"/>
    <n v="807"/>
    <n v="678"/>
    <x v="6"/>
    <x v="0"/>
    <n v="0.45656565656565656"/>
  </r>
  <r>
    <n v="387"/>
    <d v="2023-08-13T00:00:00"/>
    <x v="2"/>
    <x v="2"/>
    <x v="10"/>
    <x v="5"/>
    <n v="8"/>
    <n v="273"/>
    <n v="10"/>
    <n v="1965.6"/>
    <n v="1125.48"/>
    <n v="840.12"/>
    <x v="2"/>
    <x v="1"/>
    <n v="0.42741147741147745"/>
  </r>
  <r>
    <n v="388"/>
    <d v="2023-05-12T00:00:00"/>
    <x v="3"/>
    <x v="3"/>
    <x v="19"/>
    <x v="0"/>
    <n v="5"/>
    <n v="743"/>
    <n v="10"/>
    <n v="3343.5"/>
    <n v="2136.29"/>
    <n v="1207.21"/>
    <x v="7"/>
    <x v="1"/>
    <n v="0.36106176162703757"/>
  </r>
  <r>
    <n v="389"/>
    <d v="2024-05-10T00:00:00"/>
    <x v="3"/>
    <x v="1"/>
    <x v="2"/>
    <x v="0"/>
    <n v="2"/>
    <n v="839"/>
    <n v="15"/>
    <n v="1426.3"/>
    <n v="1137.04"/>
    <n v="289.26"/>
    <x v="7"/>
    <x v="0"/>
    <n v="0.20280445908995304"/>
  </r>
  <r>
    <n v="390"/>
    <d v="2023-09-11T00:00:00"/>
    <x v="1"/>
    <x v="0"/>
    <x v="13"/>
    <x v="5"/>
    <n v="10"/>
    <n v="253"/>
    <n v="15"/>
    <n v="2150.5"/>
    <n v="1349.17"/>
    <n v="801.33"/>
    <x v="0"/>
    <x v="1"/>
    <n v="0.37262497093699143"/>
  </r>
  <r>
    <n v="391"/>
    <d v="2023-09-08T00:00:00"/>
    <x v="0"/>
    <x v="4"/>
    <x v="9"/>
    <x v="0"/>
    <n v="6"/>
    <n v="42"/>
    <n v="20"/>
    <n v="201.6"/>
    <n v="122.37"/>
    <n v="79.23"/>
    <x v="0"/>
    <x v="1"/>
    <n v="0.39300595238095243"/>
  </r>
  <r>
    <n v="392"/>
    <d v="2023-08-29T00:00:00"/>
    <x v="0"/>
    <x v="3"/>
    <x v="11"/>
    <x v="1"/>
    <n v="5"/>
    <n v="661"/>
    <n v="5"/>
    <n v="3139.75"/>
    <n v="1668.67"/>
    <n v="1471.08"/>
    <x v="2"/>
    <x v="1"/>
    <n v="0.46853411895851577"/>
  </r>
  <r>
    <n v="393"/>
    <d v="2024-06-29T00:00:00"/>
    <x v="0"/>
    <x v="1"/>
    <x v="2"/>
    <x v="2"/>
    <n v="10"/>
    <n v="496"/>
    <n v="5"/>
    <n v="4712"/>
    <n v="3226.83"/>
    <n v="1485.17"/>
    <x v="4"/>
    <x v="0"/>
    <n v="0.31518887945670632"/>
  </r>
  <r>
    <n v="394"/>
    <d v="2023-01-16T00:00:00"/>
    <x v="1"/>
    <x v="0"/>
    <x v="12"/>
    <x v="0"/>
    <n v="4"/>
    <n v="918"/>
    <n v="0"/>
    <n v="3672"/>
    <n v="2240.1799999999998"/>
    <n v="1431.82"/>
    <x v="11"/>
    <x v="1"/>
    <n v="0.38992919389978214"/>
  </r>
  <r>
    <n v="395"/>
    <d v="2023-12-20T00:00:00"/>
    <x v="2"/>
    <x v="2"/>
    <x v="10"/>
    <x v="2"/>
    <n v="5"/>
    <n v="317"/>
    <n v="10"/>
    <n v="1426.5"/>
    <n v="901.21"/>
    <n v="525.29"/>
    <x v="6"/>
    <x v="1"/>
    <n v="0.36823694356817382"/>
  </r>
  <r>
    <n v="396"/>
    <d v="2024-02-15T00:00:00"/>
    <x v="3"/>
    <x v="1"/>
    <x v="16"/>
    <x v="3"/>
    <n v="1"/>
    <n v="305"/>
    <n v="5"/>
    <n v="289.75"/>
    <n v="197.43"/>
    <n v="92.32"/>
    <x v="9"/>
    <x v="0"/>
    <n v="0.31861949956859359"/>
  </r>
  <r>
    <n v="397"/>
    <d v="2023-01-21T00:00:00"/>
    <x v="1"/>
    <x v="0"/>
    <x v="0"/>
    <x v="0"/>
    <n v="10"/>
    <n v="665"/>
    <n v="0"/>
    <n v="6650"/>
    <n v="4888.4399999999996"/>
    <n v="1761.56"/>
    <x v="11"/>
    <x v="1"/>
    <n v="0.26489624060150374"/>
  </r>
  <r>
    <n v="398"/>
    <d v="2023-08-01T00:00:00"/>
    <x v="0"/>
    <x v="4"/>
    <x v="18"/>
    <x v="0"/>
    <n v="8"/>
    <n v="951"/>
    <n v="10"/>
    <n v="6847.2"/>
    <n v="3945.85"/>
    <n v="2901.35"/>
    <x v="2"/>
    <x v="1"/>
    <n v="0.42372794719009232"/>
  </r>
  <r>
    <n v="399"/>
    <d v="2023-11-20T00:00:00"/>
    <x v="3"/>
    <x v="2"/>
    <x v="6"/>
    <x v="5"/>
    <n v="9"/>
    <n v="341"/>
    <n v="10"/>
    <n v="2762.1"/>
    <n v="1830.25"/>
    <n v="931.85"/>
    <x v="3"/>
    <x v="1"/>
    <n v="0.33737011694000946"/>
  </r>
  <r>
    <n v="400"/>
    <d v="2024-12-29T00:00:00"/>
    <x v="1"/>
    <x v="4"/>
    <x v="18"/>
    <x v="3"/>
    <n v="1"/>
    <n v="427"/>
    <n v="20"/>
    <n v="341.6"/>
    <n v="225.91"/>
    <n v="115.69"/>
    <x v="6"/>
    <x v="0"/>
    <n v="0.3386709601873536"/>
  </r>
  <r>
    <n v="401"/>
    <d v="2023-07-22T00:00:00"/>
    <x v="1"/>
    <x v="4"/>
    <x v="9"/>
    <x v="0"/>
    <n v="3"/>
    <n v="542"/>
    <n v="15"/>
    <n v="1382.1"/>
    <n v="1043.9000000000001"/>
    <n v="338.2"/>
    <x v="5"/>
    <x v="1"/>
    <n v="0.24470009405976414"/>
  </r>
  <r>
    <n v="402"/>
    <d v="2023-11-27T00:00:00"/>
    <x v="1"/>
    <x v="0"/>
    <x v="1"/>
    <x v="3"/>
    <n v="3"/>
    <n v="746"/>
    <n v="10"/>
    <n v="2014.2"/>
    <n v="1199.8800000000001"/>
    <n v="814.32"/>
    <x v="3"/>
    <x v="1"/>
    <n v="0.40428954423592495"/>
  </r>
  <r>
    <n v="403"/>
    <d v="2024-08-22T00:00:00"/>
    <x v="3"/>
    <x v="2"/>
    <x v="6"/>
    <x v="2"/>
    <n v="8"/>
    <n v="905"/>
    <n v="0"/>
    <n v="7240"/>
    <n v="3953.14"/>
    <n v="3286.86"/>
    <x v="2"/>
    <x v="0"/>
    <n v="0.45398618784530387"/>
  </r>
  <r>
    <n v="404"/>
    <d v="2024-12-14T00:00:00"/>
    <x v="1"/>
    <x v="1"/>
    <x v="16"/>
    <x v="3"/>
    <n v="10"/>
    <n v="896"/>
    <n v="10"/>
    <n v="8064"/>
    <n v="4434.72"/>
    <n v="3629.28"/>
    <x v="6"/>
    <x v="0"/>
    <n v="0.45005952380952385"/>
  </r>
  <r>
    <n v="405"/>
    <d v="2023-11-17T00:00:00"/>
    <x v="2"/>
    <x v="2"/>
    <x v="6"/>
    <x v="1"/>
    <n v="1"/>
    <n v="998"/>
    <n v="10"/>
    <n v="898.2"/>
    <n v="472.75"/>
    <n v="425.45"/>
    <x v="3"/>
    <x v="1"/>
    <n v="0.473669561344912"/>
  </r>
  <r>
    <n v="406"/>
    <d v="2024-03-07T00:00:00"/>
    <x v="1"/>
    <x v="4"/>
    <x v="9"/>
    <x v="4"/>
    <n v="6"/>
    <n v="504"/>
    <n v="10"/>
    <n v="2721.6"/>
    <n v="1476.3"/>
    <n v="1245.3"/>
    <x v="8"/>
    <x v="0"/>
    <n v="0.45756172839506171"/>
  </r>
  <r>
    <n v="407"/>
    <d v="2023-11-20T00:00:00"/>
    <x v="0"/>
    <x v="4"/>
    <x v="9"/>
    <x v="2"/>
    <n v="1"/>
    <n v="126"/>
    <n v="15"/>
    <n v="107.1"/>
    <n v="75.23"/>
    <n v="31.87"/>
    <x v="3"/>
    <x v="1"/>
    <n v="0.29757236227824463"/>
  </r>
  <r>
    <n v="408"/>
    <d v="2024-01-21T00:00:00"/>
    <x v="1"/>
    <x v="4"/>
    <x v="8"/>
    <x v="3"/>
    <n v="9"/>
    <n v="966"/>
    <n v="15"/>
    <n v="7389.9"/>
    <n v="4204.24"/>
    <n v="3185.66"/>
    <x v="11"/>
    <x v="0"/>
    <n v="0.4310829645868009"/>
  </r>
  <r>
    <n v="409"/>
    <d v="2024-08-20T00:00:00"/>
    <x v="2"/>
    <x v="1"/>
    <x v="16"/>
    <x v="0"/>
    <n v="8"/>
    <n v="95"/>
    <n v="20"/>
    <n v="608"/>
    <n v="448.06"/>
    <n v="159.94"/>
    <x v="2"/>
    <x v="0"/>
    <n v="0.26305921052631581"/>
  </r>
  <r>
    <n v="410"/>
    <d v="2023-08-17T00:00:00"/>
    <x v="2"/>
    <x v="1"/>
    <x v="16"/>
    <x v="0"/>
    <n v="7"/>
    <n v="139"/>
    <n v="10"/>
    <n v="875.7"/>
    <n v="565.95000000000005"/>
    <n v="309.75"/>
    <x v="2"/>
    <x v="1"/>
    <n v="0.35371702637889685"/>
  </r>
  <r>
    <n v="411"/>
    <d v="2023-04-26T00:00:00"/>
    <x v="0"/>
    <x v="1"/>
    <x v="16"/>
    <x v="1"/>
    <n v="7"/>
    <n v="283"/>
    <n v="10"/>
    <n v="1782.9"/>
    <n v="1028.8699999999999"/>
    <n v="754.03"/>
    <x v="10"/>
    <x v="1"/>
    <n v="0.42292332716360981"/>
  </r>
  <r>
    <n v="412"/>
    <d v="2023-01-27T00:00:00"/>
    <x v="2"/>
    <x v="1"/>
    <x v="7"/>
    <x v="3"/>
    <n v="5"/>
    <n v="426"/>
    <n v="10"/>
    <n v="1917"/>
    <n v="1354.86"/>
    <n v="562.14"/>
    <x v="11"/>
    <x v="1"/>
    <n v="0.2932394366197183"/>
  </r>
  <r>
    <n v="413"/>
    <d v="2023-09-23T00:00:00"/>
    <x v="2"/>
    <x v="0"/>
    <x v="12"/>
    <x v="2"/>
    <n v="3"/>
    <n v="163"/>
    <n v="0"/>
    <n v="489"/>
    <n v="386.73"/>
    <n v="102.27"/>
    <x v="0"/>
    <x v="1"/>
    <n v="0.20914110429447852"/>
  </r>
  <r>
    <n v="414"/>
    <d v="2023-12-11T00:00:00"/>
    <x v="1"/>
    <x v="4"/>
    <x v="9"/>
    <x v="4"/>
    <n v="9"/>
    <n v="787"/>
    <n v="0"/>
    <n v="7083"/>
    <n v="4124.6899999999996"/>
    <n v="2958.31"/>
    <x v="6"/>
    <x v="1"/>
    <n v="0.41766341945503316"/>
  </r>
  <r>
    <n v="415"/>
    <d v="2024-08-21T00:00:00"/>
    <x v="3"/>
    <x v="4"/>
    <x v="14"/>
    <x v="1"/>
    <n v="10"/>
    <n v="987"/>
    <n v="10"/>
    <n v="8883"/>
    <n v="5152.0200000000004"/>
    <n v="3730.98"/>
    <x v="2"/>
    <x v="0"/>
    <n v="0.42001350894967915"/>
  </r>
  <r>
    <n v="416"/>
    <d v="2024-08-06T00:00:00"/>
    <x v="3"/>
    <x v="3"/>
    <x v="11"/>
    <x v="3"/>
    <n v="4"/>
    <n v="949"/>
    <n v="5"/>
    <n v="3606.2"/>
    <n v="2342.23"/>
    <n v="1263.97"/>
    <x v="2"/>
    <x v="0"/>
    <n v="0.35049914036936392"/>
  </r>
  <r>
    <n v="417"/>
    <d v="2024-01-05T00:00:00"/>
    <x v="1"/>
    <x v="3"/>
    <x v="11"/>
    <x v="5"/>
    <n v="1"/>
    <n v="116"/>
    <n v="0"/>
    <n v="116"/>
    <n v="84.88"/>
    <n v="31.12"/>
    <x v="11"/>
    <x v="0"/>
    <n v="0.26827586206896553"/>
  </r>
  <r>
    <n v="418"/>
    <d v="2023-04-29T00:00:00"/>
    <x v="3"/>
    <x v="4"/>
    <x v="14"/>
    <x v="3"/>
    <n v="10"/>
    <n v="565"/>
    <n v="0"/>
    <n v="5650"/>
    <n v="3648.59"/>
    <n v="2001.41"/>
    <x v="10"/>
    <x v="1"/>
    <n v="0.35423185840707966"/>
  </r>
  <r>
    <n v="419"/>
    <d v="2024-07-25T00:00:00"/>
    <x v="0"/>
    <x v="1"/>
    <x v="7"/>
    <x v="1"/>
    <n v="6"/>
    <n v="333"/>
    <n v="20"/>
    <n v="1598.4"/>
    <n v="1253.26"/>
    <n v="345.14"/>
    <x v="5"/>
    <x v="0"/>
    <n v="0.21592842842842841"/>
  </r>
  <r>
    <n v="420"/>
    <d v="2024-07-01T00:00:00"/>
    <x v="3"/>
    <x v="3"/>
    <x v="19"/>
    <x v="1"/>
    <n v="8"/>
    <n v="921"/>
    <n v="20"/>
    <n v="5894.4"/>
    <n v="3284.09"/>
    <n v="2610.31"/>
    <x v="5"/>
    <x v="0"/>
    <n v="0.44284575190010861"/>
  </r>
  <r>
    <n v="421"/>
    <d v="2024-03-20T00:00:00"/>
    <x v="2"/>
    <x v="4"/>
    <x v="8"/>
    <x v="3"/>
    <n v="5"/>
    <n v="227"/>
    <n v="10"/>
    <n v="1021.5"/>
    <n v="527.25"/>
    <n v="494.25"/>
    <x v="8"/>
    <x v="0"/>
    <n v="0.48384728340675476"/>
  </r>
  <r>
    <n v="422"/>
    <d v="2024-01-08T00:00:00"/>
    <x v="2"/>
    <x v="0"/>
    <x v="1"/>
    <x v="3"/>
    <n v="1"/>
    <n v="410"/>
    <n v="15"/>
    <n v="348.5"/>
    <n v="217.85"/>
    <n v="130.65"/>
    <x v="11"/>
    <x v="0"/>
    <n v="0.3748923959827834"/>
  </r>
  <r>
    <n v="423"/>
    <d v="2024-12-07T00:00:00"/>
    <x v="3"/>
    <x v="3"/>
    <x v="19"/>
    <x v="4"/>
    <n v="9"/>
    <n v="694"/>
    <n v="20"/>
    <n v="4996.8"/>
    <n v="3129.22"/>
    <n v="1867.58"/>
    <x v="6"/>
    <x v="0"/>
    <n v="0.37375520333013124"/>
  </r>
  <r>
    <n v="424"/>
    <d v="2023-03-08T00:00:00"/>
    <x v="2"/>
    <x v="1"/>
    <x v="7"/>
    <x v="3"/>
    <n v="2"/>
    <n v="92"/>
    <n v="15"/>
    <n v="156.4"/>
    <n v="106.94"/>
    <n v="49.46"/>
    <x v="8"/>
    <x v="1"/>
    <n v="0.31624040920716112"/>
  </r>
  <r>
    <n v="425"/>
    <d v="2024-10-27T00:00:00"/>
    <x v="0"/>
    <x v="1"/>
    <x v="2"/>
    <x v="2"/>
    <n v="10"/>
    <n v="68"/>
    <n v="0"/>
    <n v="680"/>
    <n v="513.79999999999995"/>
    <n v="166.2"/>
    <x v="1"/>
    <x v="0"/>
    <n v="0.24441176470588233"/>
  </r>
  <r>
    <n v="426"/>
    <d v="2023-12-26T00:00:00"/>
    <x v="0"/>
    <x v="0"/>
    <x v="0"/>
    <x v="5"/>
    <n v="9"/>
    <n v="943"/>
    <n v="0"/>
    <n v="8487"/>
    <n v="5410.21"/>
    <n v="3076.79"/>
    <x v="6"/>
    <x v="1"/>
    <n v="0.36252975138447036"/>
  </r>
  <r>
    <n v="427"/>
    <d v="2023-10-25T00:00:00"/>
    <x v="1"/>
    <x v="4"/>
    <x v="9"/>
    <x v="3"/>
    <n v="2"/>
    <n v="546"/>
    <n v="15"/>
    <n v="928.2"/>
    <n v="702.08"/>
    <n v="226.12"/>
    <x v="1"/>
    <x v="1"/>
    <n v="0.24361129067011419"/>
  </r>
  <r>
    <n v="428"/>
    <d v="2023-06-09T00:00:00"/>
    <x v="2"/>
    <x v="3"/>
    <x v="11"/>
    <x v="3"/>
    <n v="5"/>
    <n v="271"/>
    <n v="15"/>
    <n v="1151.75"/>
    <n v="588.14"/>
    <n v="563.61"/>
    <x v="4"/>
    <x v="1"/>
    <n v="0.48935098762752333"/>
  </r>
  <r>
    <n v="429"/>
    <d v="2023-05-16T00:00:00"/>
    <x v="0"/>
    <x v="2"/>
    <x v="6"/>
    <x v="3"/>
    <n v="5"/>
    <n v="344"/>
    <n v="10"/>
    <n v="1548"/>
    <n v="996.1"/>
    <n v="551.9"/>
    <x v="7"/>
    <x v="1"/>
    <n v="0.35652454780361753"/>
  </r>
  <r>
    <n v="430"/>
    <d v="2023-02-20T00:00:00"/>
    <x v="2"/>
    <x v="4"/>
    <x v="9"/>
    <x v="0"/>
    <n v="6"/>
    <n v="232"/>
    <n v="20"/>
    <n v="1113.5999999999999"/>
    <n v="637.05999999999995"/>
    <n v="476.54"/>
    <x v="9"/>
    <x v="1"/>
    <n v="0.42792744252873571"/>
  </r>
  <r>
    <n v="431"/>
    <d v="2024-12-04T00:00:00"/>
    <x v="1"/>
    <x v="4"/>
    <x v="9"/>
    <x v="1"/>
    <n v="8"/>
    <n v="632"/>
    <n v="5"/>
    <n v="4803.2"/>
    <n v="3391.61"/>
    <n v="1411.59"/>
    <x v="6"/>
    <x v="0"/>
    <n v="0.29388532644903398"/>
  </r>
  <r>
    <n v="432"/>
    <d v="2023-01-27T00:00:00"/>
    <x v="2"/>
    <x v="3"/>
    <x v="15"/>
    <x v="5"/>
    <n v="3"/>
    <n v="774"/>
    <n v="20"/>
    <n v="1857.6"/>
    <n v="1236.6400000000001"/>
    <n v="620.96"/>
    <x v="11"/>
    <x v="1"/>
    <n v="0.33428079242032732"/>
  </r>
  <r>
    <n v="433"/>
    <d v="2024-10-12T00:00:00"/>
    <x v="0"/>
    <x v="1"/>
    <x v="2"/>
    <x v="5"/>
    <n v="10"/>
    <n v="262"/>
    <n v="5"/>
    <n v="2489"/>
    <n v="1644.6"/>
    <n v="844.4"/>
    <x v="1"/>
    <x v="0"/>
    <n v="0.339252711932503"/>
  </r>
  <r>
    <n v="434"/>
    <d v="2024-06-03T00:00:00"/>
    <x v="3"/>
    <x v="2"/>
    <x v="6"/>
    <x v="5"/>
    <n v="6"/>
    <n v="274"/>
    <n v="15"/>
    <n v="1397.4"/>
    <n v="889.68"/>
    <n v="507.72"/>
    <x v="4"/>
    <x v="0"/>
    <n v="0.36333190210390726"/>
  </r>
  <r>
    <n v="435"/>
    <d v="2024-04-12T00:00:00"/>
    <x v="0"/>
    <x v="2"/>
    <x v="10"/>
    <x v="4"/>
    <n v="5"/>
    <n v="883"/>
    <n v="20"/>
    <n v="3532"/>
    <n v="2153.63"/>
    <n v="1378.37"/>
    <x v="10"/>
    <x v="0"/>
    <n v="0.39025198187995469"/>
  </r>
  <r>
    <n v="436"/>
    <d v="2023-06-25T00:00:00"/>
    <x v="2"/>
    <x v="2"/>
    <x v="6"/>
    <x v="5"/>
    <n v="8"/>
    <n v="17"/>
    <n v="15"/>
    <n v="115.6"/>
    <n v="76.69"/>
    <n v="38.909999999999997"/>
    <x v="4"/>
    <x v="1"/>
    <n v="0.33659169550173007"/>
  </r>
  <r>
    <n v="437"/>
    <d v="2024-02-06T00:00:00"/>
    <x v="3"/>
    <x v="4"/>
    <x v="18"/>
    <x v="0"/>
    <n v="5"/>
    <n v="179"/>
    <n v="0"/>
    <n v="895"/>
    <n v="660.11"/>
    <n v="234.89"/>
    <x v="9"/>
    <x v="0"/>
    <n v="0.26244692737430164"/>
  </r>
  <r>
    <n v="438"/>
    <d v="2023-10-19T00:00:00"/>
    <x v="0"/>
    <x v="3"/>
    <x v="15"/>
    <x v="3"/>
    <n v="6"/>
    <n v="372"/>
    <n v="5"/>
    <n v="2120.4"/>
    <n v="1329.79"/>
    <n v="790.61"/>
    <x v="1"/>
    <x v="1"/>
    <n v="0.37285889454819843"/>
  </r>
  <r>
    <n v="439"/>
    <d v="2023-11-28T00:00:00"/>
    <x v="3"/>
    <x v="4"/>
    <x v="18"/>
    <x v="1"/>
    <n v="3"/>
    <n v="46"/>
    <n v="15"/>
    <n v="117.3"/>
    <n v="78.599999999999994"/>
    <n v="38.700000000000003"/>
    <x v="3"/>
    <x v="1"/>
    <n v="0.32992327365728902"/>
  </r>
  <r>
    <n v="440"/>
    <d v="2023-01-16T00:00:00"/>
    <x v="0"/>
    <x v="0"/>
    <x v="12"/>
    <x v="1"/>
    <n v="1"/>
    <n v="294"/>
    <n v="15"/>
    <n v="249.9"/>
    <n v="175.48"/>
    <n v="74.42"/>
    <x v="11"/>
    <x v="1"/>
    <n v="0.29779911964785916"/>
  </r>
  <r>
    <n v="441"/>
    <d v="2023-11-01T00:00:00"/>
    <x v="3"/>
    <x v="3"/>
    <x v="19"/>
    <x v="0"/>
    <n v="4"/>
    <n v="891"/>
    <n v="0"/>
    <n v="3564"/>
    <n v="2552.38"/>
    <n v="1011.62"/>
    <x v="3"/>
    <x v="1"/>
    <n v="0.28384399551066219"/>
  </r>
  <r>
    <n v="442"/>
    <d v="2023-11-28T00:00:00"/>
    <x v="2"/>
    <x v="1"/>
    <x v="7"/>
    <x v="5"/>
    <n v="2"/>
    <n v="574"/>
    <n v="0"/>
    <n v="1148"/>
    <n v="749.37"/>
    <n v="398.63"/>
    <x v="3"/>
    <x v="1"/>
    <n v="0.34723867595818814"/>
  </r>
  <r>
    <n v="443"/>
    <d v="2024-03-02T00:00:00"/>
    <x v="2"/>
    <x v="3"/>
    <x v="15"/>
    <x v="0"/>
    <n v="6"/>
    <n v="316"/>
    <n v="0"/>
    <n v="1896"/>
    <n v="1110.44"/>
    <n v="785.56"/>
    <x v="8"/>
    <x v="0"/>
    <n v="0.41432489451476789"/>
  </r>
  <r>
    <n v="444"/>
    <d v="2024-11-09T00:00:00"/>
    <x v="1"/>
    <x v="4"/>
    <x v="9"/>
    <x v="0"/>
    <n v="5"/>
    <n v="743"/>
    <n v="15"/>
    <n v="3157.75"/>
    <n v="1759.31"/>
    <n v="1398.44"/>
    <x v="3"/>
    <x v="0"/>
    <n v="0.4428596310664239"/>
  </r>
  <r>
    <n v="445"/>
    <d v="2024-05-26T00:00:00"/>
    <x v="1"/>
    <x v="3"/>
    <x v="11"/>
    <x v="0"/>
    <n v="4"/>
    <n v="957"/>
    <n v="10"/>
    <n v="3445.2"/>
    <n v="1934.37"/>
    <n v="1510.83"/>
    <x v="7"/>
    <x v="0"/>
    <n v="0.43853187042842218"/>
  </r>
  <r>
    <n v="446"/>
    <d v="2024-07-26T00:00:00"/>
    <x v="3"/>
    <x v="0"/>
    <x v="12"/>
    <x v="5"/>
    <n v="10"/>
    <n v="807"/>
    <n v="20"/>
    <n v="6456"/>
    <n v="3573.62"/>
    <n v="2882.38"/>
    <x v="5"/>
    <x v="0"/>
    <n v="0.44646530359355641"/>
  </r>
  <r>
    <n v="447"/>
    <d v="2023-10-28T00:00:00"/>
    <x v="2"/>
    <x v="0"/>
    <x v="1"/>
    <x v="0"/>
    <n v="9"/>
    <n v="413"/>
    <n v="20"/>
    <n v="2973.6"/>
    <n v="1577.1"/>
    <n v="1396.5"/>
    <x v="1"/>
    <x v="1"/>
    <n v="0.46963276836158191"/>
  </r>
  <r>
    <n v="448"/>
    <d v="2024-03-24T00:00:00"/>
    <x v="0"/>
    <x v="2"/>
    <x v="6"/>
    <x v="5"/>
    <n v="10"/>
    <n v="706"/>
    <n v="0"/>
    <n v="7060"/>
    <n v="5117.74"/>
    <n v="1942.26"/>
    <x v="8"/>
    <x v="0"/>
    <n v="0.27510764872521248"/>
  </r>
  <r>
    <n v="449"/>
    <d v="2024-11-02T00:00:00"/>
    <x v="0"/>
    <x v="4"/>
    <x v="18"/>
    <x v="5"/>
    <n v="10"/>
    <n v="119"/>
    <n v="0"/>
    <n v="1190"/>
    <n v="845.98"/>
    <n v="344.02"/>
    <x v="3"/>
    <x v="0"/>
    <n v="0.28909243697478992"/>
  </r>
  <r>
    <n v="450"/>
    <d v="2023-08-03T00:00:00"/>
    <x v="2"/>
    <x v="1"/>
    <x v="2"/>
    <x v="1"/>
    <n v="3"/>
    <n v="51"/>
    <n v="15"/>
    <n v="130.05000000000001"/>
    <n v="97.45"/>
    <n v="32.6"/>
    <x v="2"/>
    <x v="1"/>
    <n v="0.25067281814686659"/>
  </r>
  <r>
    <n v="451"/>
    <d v="2024-09-17T00:00:00"/>
    <x v="1"/>
    <x v="3"/>
    <x v="19"/>
    <x v="1"/>
    <n v="10"/>
    <n v="671"/>
    <n v="0"/>
    <n v="6710"/>
    <n v="4338.26"/>
    <n v="2371.7399999999998"/>
    <x v="0"/>
    <x v="0"/>
    <n v="0.35346348733233973"/>
  </r>
  <r>
    <n v="452"/>
    <d v="2024-11-26T00:00:00"/>
    <x v="3"/>
    <x v="0"/>
    <x v="1"/>
    <x v="0"/>
    <n v="8"/>
    <n v="72"/>
    <n v="15"/>
    <n v="489.6"/>
    <n v="313.66000000000003"/>
    <n v="175.94"/>
    <x v="3"/>
    <x v="0"/>
    <n v="0.35935457516339869"/>
  </r>
  <r>
    <n v="453"/>
    <d v="2023-07-07T00:00:00"/>
    <x v="1"/>
    <x v="0"/>
    <x v="1"/>
    <x v="3"/>
    <n v="7"/>
    <n v="12"/>
    <n v="20"/>
    <n v="67.2"/>
    <n v="44.55"/>
    <n v="22.65"/>
    <x v="5"/>
    <x v="1"/>
    <n v="0.3370535714285714"/>
  </r>
  <r>
    <n v="454"/>
    <d v="2023-06-30T00:00:00"/>
    <x v="3"/>
    <x v="0"/>
    <x v="12"/>
    <x v="3"/>
    <n v="2"/>
    <n v="925"/>
    <n v="10"/>
    <n v="1665"/>
    <n v="1149.04"/>
    <n v="515.96"/>
    <x v="4"/>
    <x v="1"/>
    <n v="0.30988588588588589"/>
  </r>
  <r>
    <n v="455"/>
    <d v="2024-04-01T00:00:00"/>
    <x v="3"/>
    <x v="1"/>
    <x v="5"/>
    <x v="1"/>
    <n v="8"/>
    <n v="778"/>
    <n v="15"/>
    <n v="5290.4"/>
    <n v="3551.08"/>
    <n v="1739.32"/>
    <x v="10"/>
    <x v="0"/>
    <n v="0.32876909118403147"/>
  </r>
  <r>
    <n v="456"/>
    <d v="2023-02-16T00:00:00"/>
    <x v="2"/>
    <x v="2"/>
    <x v="6"/>
    <x v="4"/>
    <n v="5"/>
    <n v="788"/>
    <n v="10"/>
    <n v="3546"/>
    <n v="2323.4499999999998"/>
    <n v="1222.55"/>
    <x v="9"/>
    <x v="1"/>
    <n v="0.34476875352509867"/>
  </r>
  <r>
    <n v="457"/>
    <d v="2023-03-16T00:00:00"/>
    <x v="0"/>
    <x v="2"/>
    <x v="3"/>
    <x v="0"/>
    <n v="7"/>
    <n v="795"/>
    <n v="0"/>
    <n v="5565"/>
    <n v="3878.71"/>
    <n v="1686.29"/>
    <x v="8"/>
    <x v="1"/>
    <n v="0.30301707097933511"/>
  </r>
  <r>
    <n v="458"/>
    <d v="2023-03-22T00:00:00"/>
    <x v="1"/>
    <x v="1"/>
    <x v="2"/>
    <x v="5"/>
    <n v="6"/>
    <n v="756"/>
    <n v="10"/>
    <n v="4082.4"/>
    <n v="3233.93"/>
    <n v="848.47"/>
    <x v="8"/>
    <x v="1"/>
    <n v="0.20783607681755831"/>
  </r>
  <r>
    <n v="459"/>
    <d v="2024-11-18T00:00:00"/>
    <x v="0"/>
    <x v="3"/>
    <x v="15"/>
    <x v="5"/>
    <n v="1"/>
    <n v="446"/>
    <n v="20"/>
    <n v="356.8"/>
    <n v="221.44"/>
    <n v="135.36000000000001"/>
    <x v="3"/>
    <x v="0"/>
    <n v="0.37937219730941707"/>
  </r>
  <r>
    <n v="460"/>
    <d v="2024-12-02T00:00:00"/>
    <x v="3"/>
    <x v="1"/>
    <x v="2"/>
    <x v="0"/>
    <n v="9"/>
    <n v="392"/>
    <n v="20"/>
    <n v="2822.4"/>
    <n v="1646.52"/>
    <n v="1175.8800000000001"/>
    <x v="6"/>
    <x v="0"/>
    <n v="0.416624149659864"/>
  </r>
  <r>
    <n v="461"/>
    <d v="2023-03-09T00:00:00"/>
    <x v="2"/>
    <x v="2"/>
    <x v="17"/>
    <x v="1"/>
    <n v="6"/>
    <n v="826"/>
    <n v="20"/>
    <n v="3964.8"/>
    <n v="2101.62"/>
    <n v="1863.18"/>
    <x v="8"/>
    <x v="1"/>
    <n v="0.46993038740920096"/>
  </r>
  <r>
    <n v="462"/>
    <d v="2023-07-04T00:00:00"/>
    <x v="0"/>
    <x v="1"/>
    <x v="2"/>
    <x v="4"/>
    <n v="8"/>
    <n v="118"/>
    <n v="0"/>
    <n v="944"/>
    <n v="703.27"/>
    <n v="240.73"/>
    <x v="5"/>
    <x v="1"/>
    <n v="0.25501059322033898"/>
  </r>
  <r>
    <n v="463"/>
    <d v="2023-08-16T00:00:00"/>
    <x v="2"/>
    <x v="3"/>
    <x v="11"/>
    <x v="2"/>
    <n v="5"/>
    <n v="30"/>
    <n v="5"/>
    <n v="142.5"/>
    <n v="71.38"/>
    <n v="71.12"/>
    <x v="2"/>
    <x v="1"/>
    <n v="0.49908771929824564"/>
  </r>
  <r>
    <n v="464"/>
    <d v="2023-06-16T00:00:00"/>
    <x v="3"/>
    <x v="2"/>
    <x v="10"/>
    <x v="3"/>
    <n v="5"/>
    <n v="671"/>
    <n v="0"/>
    <n v="3355"/>
    <n v="2087.1"/>
    <n v="1267.9000000000001"/>
    <x v="4"/>
    <x v="1"/>
    <n v="0.37791356184798808"/>
  </r>
  <r>
    <n v="465"/>
    <d v="2023-12-22T00:00:00"/>
    <x v="1"/>
    <x v="3"/>
    <x v="15"/>
    <x v="4"/>
    <n v="5"/>
    <n v="169"/>
    <n v="15"/>
    <n v="718.25"/>
    <n v="532.21"/>
    <n v="186.04"/>
    <x v="6"/>
    <x v="1"/>
    <n v="0.25901844761573267"/>
  </r>
  <r>
    <n v="466"/>
    <d v="2024-01-19T00:00:00"/>
    <x v="2"/>
    <x v="2"/>
    <x v="17"/>
    <x v="4"/>
    <n v="4"/>
    <n v="868"/>
    <n v="10"/>
    <n v="3124.8"/>
    <n v="1581.23"/>
    <n v="1543.57"/>
    <x v="11"/>
    <x v="0"/>
    <n v="0.49397401433691751"/>
  </r>
  <r>
    <n v="467"/>
    <d v="2024-05-19T00:00:00"/>
    <x v="1"/>
    <x v="0"/>
    <x v="1"/>
    <x v="1"/>
    <n v="8"/>
    <n v="396"/>
    <n v="0"/>
    <n v="3168"/>
    <n v="2256.7800000000002"/>
    <n v="911.22"/>
    <x v="7"/>
    <x v="0"/>
    <n v="0.28763257575757578"/>
  </r>
  <r>
    <n v="468"/>
    <d v="2023-01-18T00:00:00"/>
    <x v="0"/>
    <x v="3"/>
    <x v="4"/>
    <x v="2"/>
    <n v="8"/>
    <n v="864"/>
    <n v="10"/>
    <n v="6220.8"/>
    <n v="3168.31"/>
    <n v="3052.49"/>
    <x v="11"/>
    <x v="1"/>
    <n v="0.49069090792181064"/>
  </r>
  <r>
    <n v="469"/>
    <d v="2023-12-12T00:00:00"/>
    <x v="0"/>
    <x v="2"/>
    <x v="10"/>
    <x v="5"/>
    <n v="9"/>
    <n v="870"/>
    <n v="10"/>
    <n v="7047"/>
    <n v="5252.84"/>
    <n v="1794.16"/>
    <x v="6"/>
    <x v="1"/>
    <n v="0.25459912019298991"/>
  </r>
  <r>
    <n v="470"/>
    <d v="2024-07-25T00:00:00"/>
    <x v="1"/>
    <x v="2"/>
    <x v="3"/>
    <x v="3"/>
    <n v="10"/>
    <n v="190"/>
    <n v="0"/>
    <n v="1900"/>
    <n v="1138.99"/>
    <n v="761.01"/>
    <x v="5"/>
    <x v="0"/>
    <n v="0.40053157894736841"/>
  </r>
  <r>
    <n v="471"/>
    <d v="2024-12-04T00:00:00"/>
    <x v="2"/>
    <x v="0"/>
    <x v="0"/>
    <x v="0"/>
    <n v="5"/>
    <n v="103"/>
    <n v="0"/>
    <n v="515"/>
    <n v="279.2"/>
    <n v="235.8"/>
    <x v="6"/>
    <x v="0"/>
    <n v="0.45786407766990295"/>
  </r>
  <r>
    <n v="472"/>
    <d v="2024-08-25T00:00:00"/>
    <x v="2"/>
    <x v="0"/>
    <x v="12"/>
    <x v="2"/>
    <n v="5"/>
    <n v="495"/>
    <n v="20"/>
    <n v="1980"/>
    <n v="1332.89"/>
    <n v="647.11"/>
    <x v="2"/>
    <x v="0"/>
    <n v="0.32682323232323235"/>
  </r>
  <r>
    <n v="473"/>
    <d v="2024-01-22T00:00:00"/>
    <x v="1"/>
    <x v="2"/>
    <x v="17"/>
    <x v="4"/>
    <n v="6"/>
    <n v="688"/>
    <n v="5"/>
    <n v="3921.6"/>
    <n v="2199"/>
    <n v="1722.6"/>
    <x v="11"/>
    <x v="0"/>
    <n v="0.43925948592411257"/>
  </r>
  <r>
    <n v="474"/>
    <d v="2024-06-21T00:00:00"/>
    <x v="0"/>
    <x v="1"/>
    <x v="2"/>
    <x v="5"/>
    <n v="3"/>
    <n v="306"/>
    <n v="5"/>
    <n v="872.1"/>
    <n v="536.83000000000004"/>
    <n v="335.27"/>
    <x v="4"/>
    <x v="0"/>
    <n v="0.38443985781447076"/>
  </r>
  <r>
    <n v="475"/>
    <d v="2024-12-16T00:00:00"/>
    <x v="1"/>
    <x v="4"/>
    <x v="14"/>
    <x v="4"/>
    <n v="7"/>
    <n v="626"/>
    <n v="10"/>
    <n v="3943.8"/>
    <n v="2941.7"/>
    <n v="1002.1"/>
    <x v="6"/>
    <x v="0"/>
    <n v="0.254095035245195"/>
  </r>
  <r>
    <n v="476"/>
    <d v="2023-07-26T00:00:00"/>
    <x v="3"/>
    <x v="3"/>
    <x v="19"/>
    <x v="5"/>
    <n v="3"/>
    <n v="68"/>
    <n v="15"/>
    <n v="173.4"/>
    <n v="98.19"/>
    <n v="75.209999999999994"/>
    <x v="5"/>
    <x v="1"/>
    <n v="0.43373702422145322"/>
  </r>
  <r>
    <n v="477"/>
    <d v="2023-12-07T00:00:00"/>
    <x v="3"/>
    <x v="3"/>
    <x v="4"/>
    <x v="2"/>
    <n v="6"/>
    <n v="71"/>
    <n v="10"/>
    <n v="383.4"/>
    <n v="242.12"/>
    <n v="141.28"/>
    <x v="6"/>
    <x v="1"/>
    <n v="0.36849243609806992"/>
  </r>
  <r>
    <n v="478"/>
    <d v="2023-09-16T00:00:00"/>
    <x v="3"/>
    <x v="4"/>
    <x v="14"/>
    <x v="2"/>
    <n v="6"/>
    <n v="746"/>
    <n v="15"/>
    <n v="3804.6"/>
    <n v="2799.13"/>
    <n v="1005.47"/>
    <x v="0"/>
    <x v="1"/>
    <n v="0.26427745360878935"/>
  </r>
  <r>
    <n v="479"/>
    <d v="2024-12-25T00:00:00"/>
    <x v="2"/>
    <x v="1"/>
    <x v="5"/>
    <x v="1"/>
    <n v="6"/>
    <n v="581"/>
    <n v="5"/>
    <n v="3311.7"/>
    <n v="2094.83"/>
    <n v="1216.8699999999999"/>
    <x v="6"/>
    <x v="0"/>
    <n v="0.3674457227405864"/>
  </r>
  <r>
    <n v="480"/>
    <d v="2024-04-09T00:00:00"/>
    <x v="1"/>
    <x v="1"/>
    <x v="7"/>
    <x v="4"/>
    <n v="2"/>
    <n v="250"/>
    <n v="10"/>
    <n v="450"/>
    <n v="267.3"/>
    <n v="182.7"/>
    <x v="10"/>
    <x v="0"/>
    <n v="0.40599999999999997"/>
  </r>
  <r>
    <n v="481"/>
    <d v="2024-02-07T00:00:00"/>
    <x v="1"/>
    <x v="0"/>
    <x v="13"/>
    <x v="1"/>
    <n v="6"/>
    <n v="107"/>
    <n v="10"/>
    <n v="577.79999999999995"/>
    <n v="424.72"/>
    <n v="153.08000000000001"/>
    <x v="9"/>
    <x v="0"/>
    <n v="0.26493596400138458"/>
  </r>
  <r>
    <n v="482"/>
    <d v="2023-08-13T00:00:00"/>
    <x v="0"/>
    <x v="3"/>
    <x v="4"/>
    <x v="3"/>
    <n v="6"/>
    <n v="119"/>
    <n v="15"/>
    <n v="606.9"/>
    <n v="340.07"/>
    <n v="266.83"/>
    <x v="2"/>
    <x v="1"/>
    <n v="0.43966057011039711"/>
  </r>
  <r>
    <n v="483"/>
    <d v="2024-02-17T00:00:00"/>
    <x v="3"/>
    <x v="1"/>
    <x v="2"/>
    <x v="0"/>
    <n v="1"/>
    <n v="858"/>
    <n v="0"/>
    <n v="858"/>
    <n v="472.29"/>
    <n v="385.71"/>
    <x v="9"/>
    <x v="0"/>
    <n v="0.44954545454545453"/>
  </r>
  <r>
    <n v="484"/>
    <d v="2024-10-16T00:00:00"/>
    <x v="3"/>
    <x v="2"/>
    <x v="10"/>
    <x v="4"/>
    <n v="2"/>
    <n v="958"/>
    <n v="10"/>
    <n v="1724.4"/>
    <n v="996.04"/>
    <n v="728.36"/>
    <x v="1"/>
    <x v="0"/>
    <n v="0.42238459754117375"/>
  </r>
  <r>
    <n v="485"/>
    <d v="2024-04-24T00:00:00"/>
    <x v="2"/>
    <x v="2"/>
    <x v="10"/>
    <x v="2"/>
    <n v="2"/>
    <n v="139"/>
    <n v="10"/>
    <n v="250.2"/>
    <n v="191.67"/>
    <n v="58.53"/>
    <x v="10"/>
    <x v="0"/>
    <n v="0.23393285371702641"/>
  </r>
  <r>
    <n v="486"/>
    <d v="2024-09-26T00:00:00"/>
    <x v="0"/>
    <x v="1"/>
    <x v="2"/>
    <x v="3"/>
    <n v="3"/>
    <n v="905"/>
    <n v="5"/>
    <n v="2579.25"/>
    <n v="1576.48"/>
    <n v="1002.77"/>
    <x v="0"/>
    <x v="0"/>
    <n v="0.38878356111272655"/>
  </r>
  <r>
    <n v="487"/>
    <d v="2023-03-09T00:00:00"/>
    <x v="3"/>
    <x v="0"/>
    <x v="0"/>
    <x v="2"/>
    <n v="1"/>
    <n v="322"/>
    <n v="5"/>
    <n v="305.89999999999998"/>
    <n v="189.9"/>
    <n v="116"/>
    <x v="8"/>
    <x v="1"/>
    <n v="0.37920889179470418"/>
  </r>
  <r>
    <n v="488"/>
    <d v="2023-04-21T00:00:00"/>
    <x v="2"/>
    <x v="4"/>
    <x v="18"/>
    <x v="2"/>
    <n v="7"/>
    <n v="580"/>
    <n v="10"/>
    <n v="3654"/>
    <n v="2198.58"/>
    <n v="1455.42"/>
    <x v="10"/>
    <x v="1"/>
    <n v="0.39830870279146141"/>
  </r>
  <r>
    <n v="489"/>
    <d v="2024-05-09T00:00:00"/>
    <x v="2"/>
    <x v="3"/>
    <x v="15"/>
    <x v="0"/>
    <n v="6"/>
    <n v="372"/>
    <n v="0"/>
    <n v="2232"/>
    <n v="1306.5899999999999"/>
    <n v="925.41"/>
    <x v="7"/>
    <x v="0"/>
    <n v="0.41461021505376344"/>
  </r>
  <r>
    <n v="490"/>
    <d v="2024-05-18T00:00:00"/>
    <x v="2"/>
    <x v="0"/>
    <x v="1"/>
    <x v="0"/>
    <n v="1"/>
    <n v="648"/>
    <n v="15"/>
    <n v="550.79999999999995"/>
    <n v="438.71"/>
    <n v="112.09"/>
    <x v="7"/>
    <x v="0"/>
    <n v="0.20350399419026871"/>
  </r>
  <r>
    <n v="491"/>
    <d v="2024-02-22T00:00:00"/>
    <x v="0"/>
    <x v="3"/>
    <x v="19"/>
    <x v="3"/>
    <n v="2"/>
    <n v="934"/>
    <n v="10"/>
    <n v="1681.2"/>
    <n v="1209.29"/>
    <n v="471.91"/>
    <x v="9"/>
    <x v="0"/>
    <n v="0.28069831073043067"/>
  </r>
  <r>
    <n v="492"/>
    <d v="2024-02-10T00:00:00"/>
    <x v="0"/>
    <x v="0"/>
    <x v="1"/>
    <x v="1"/>
    <n v="10"/>
    <n v="82"/>
    <n v="0"/>
    <n v="820"/>
    <n v="573.99"/>
    <n v="246.01"/>
    <x v="9"/>
    <x v="0"/>
    <n v="0.30001219512195121"/>
  </r>
  <r>
    <n v="493"/>
    <d v="2023-09-27T00:00:00"/>
    <x v="2"/>
    <x v="1"/>
    <x v="7"/>
    <x v="1"/>
    <n v="4"/>
    <n v="351"/>
    <n v="15"/>
    <n v="1193.4000000000001"/>
    <n v="606.79999999999995"/>
    <n v="586.6"/>
    <x v="0"/>
    <x v="1"/>
    <n v="0.49153678565443271"/>
  </r>
  <r>
    <n v="494"/>
    <d v="2024-08-21T00:00:00"/>
    <x v="1"/>
    <x v="0"/>
    <x v="0"/>
    <x v="2"/>
    <n v="7"/>
    <n v="914"/>
    <n v="0"/>
    <n v="6398"/>
    <n v="4508.78"/>
    <n v="1889.22"/>
    <x v="2"/>
    <x v="0"/>
    <n v="0.29528290090653331"/>
  </r>
  <r>
    <n v="495"/>
    <d v="2024-04-09T00:00:00"/>
    <x v="1"/>
    <x v="3"/>
    <x v="4"/>
    <x v="2"/>
    <n v="3"/>
    <n v="926"/>
    <n v="15"/>
    <n v="2361.3000000000002"/>
    <n v="1349.06"/>
    <n v="1012.24"/>
    <x v="10"/>
    <x v="0"/>
    <n v="0.42867911743531101"/>
  </r>
  <r>
    <n v="496"/>
    <d v="2023-01-09T00:00:00"/>
    <x v="3"/>
    <x v="1"/>
    <x v="7"/>
    <x v="2"/>
    <n v="10"/>
    <n v="940"/>
    <n v="15"/>
    <n v="7990"/>
    <n v="5150.47"/>
    <n v="2839.53"/>
    <x v="11"/>
    <x v="1"/>
    <n v="0.35538548185231544"/>
  </r>
  <r>
    <n v="497"/>
    <d v="2024-06-11T00:00:00"/>
    <x v="2"/>
    <x v="0"/>
    <x v="12"/>
    <x v="5"/>
    <n v="4"/>
    <n v="552"/>
    <n v="10"/>
    <n v="1987.2"/>
    <n v="1234.47"/>
    <n v="752.73"/>
    <x v="4"/>
    <x v="0"/>
    <n v="0.37878925120772949"/>
  </r>
  <r>
    <n v="498"/>
    <d v="2024-06-29T00:00:00"/>
    <x v="3"/>
    <x v="3"/>
    <x v="4"/>
    <x v="0"/>
    <n v="2"/>
    <n v="842"/>
    <n v="15"/>
    <n v="1431.4"/>
    <n v="809.49"/>
    <n v="621.91"/>
    <x v="4"/>
    <x v="0"/>
    <n v="0.43447673606259601"/>
  </r>
  <r>
    <n v="499"/>
    <d v="2023-08-07T00:00:00"/>
    <x v="3"/>
    <x v="2"/>
    <x v="3"/>
    <x v="3"/>
    <n v="6"/>
    <n v="318"/>
    <n v="5"/>
    <n v="1812.6"/>
    <n v="1132.8"/>
    <n v="679.8"/>
    <x v="2"/>
    <x v="1"/>
    <n v="0.37504137702747437"/>
  </r>
  <r>
    <n v="500"/>
    <d v="2024-11-05T00:00:00"/>
    <x v="3"/>
    <x v="4"/>
    <x v="14"/>
    <x v="1"/>
    <n v="4"/>
    <n v="983"/>
    <n v="5"/>
    <n v="3735.4"/>
    <n v="2602.56"/>
    <n v="1132.8399999999999"/>
    <x v="3"/>
    <x v="0"/>
    <n v="0.30327140333029928"/>
  </r>
  <r>
    <n v="501"/>
    <d v="2023-01-03T00:00:00"/>
    <x v="3"/>
    <x v="3"/>
    <x v="4"/>
    <x v="4"/>
    <n v="5"/>
    <n v="903"/>
    <n v="15"/>
    <n v="3837.75"/>
    <n v="2470.65"/>
    <n v="1367.1"/>
    <x v="11"/>
    <x v="1"/>
    <n v="0.35622435020519833"/>
  </r>
  <r>
    <n v="502"/>
    <d v="2024-11-10T00:00:00"/>
    <x v="1"/>
    <x v="1"/>
    <x v="16"/>
    <x v="3"/>
    <n v="4"/>
    <n v="746"/>
    <n v="10"/>
    <n v="2685.6"/>
    <n v="1727.85"/>
    <n v="957.75"/>
    <x v="3"/>
    <x v="0"/>
    <n v="0.35662421805183203"/>
  </r>
  <r>
    <n v="503"/>
    <d v="2023-07-31T00:00:00"/>
    <x v="3"/>
    <x v="3"/>
    <x v="19"/>
    <x v="3"/>
    <n v="8"/>
    <n v="746"/>
    <n v="10"/>
    <n v="5371.2"/>
    <n v="3221.32"/>
    <n v="2149.88"/>
    <x v="5"/>
    <x v="1"/>
    <n v="0.40026064938933575"/>
  </r>
  <r>
    <n v="504"/>
    <d v="2024-07-08T00:00:00"/>
    <x v="3"/>
    <x v="1"/>
    <x v="16"/>
    <x v="4"/>
    <n v="6"/>
    <n v="907"/>
    <n v="0"/>
    <n v="5442"/>
    <n v="3188.8"/>
    <n v="2253.1999999999998"/>
    <x v="5"/>
    <x v="0"/>
    <n v="0.41403895626607862"/>
  </r>
  <r>
    <n v="505"/>
    <d v="2023-03-15T00:00:00"/>
    <x v="2"/>
    <x v="2"/>
    <x v="6"/>
    <x v="2"/>
    <n v="7"/>
    <n v="621"/>
    <n v="0"/>
    <n v="4347"/>
    <n v="2860.26"/>
    <n v="1486.74"/>
    <x v="8"/>
    <x v="1"/>
    <n v="0.34201518288474808"/>
  </r>
  <r>
    <n v="506"/>
    <d v="2024-09-09T00:00:00"/>
    <x v="0"/>
    <x v="0"/>
    <x v="13"/>
    <x v="1"/>
    <n v="5"/>
    <n v="388"/>
    <n v="10"/>
    <n v="1746"/>
    <n v="1381.45"/>
    <n v="364.55"/>
    <x v="0"/>
    <x v="0"/>
    <n v="0.20879152348224514"/>
  </r>
  <r>
    <n v="507"/>
    <d v="2024-12-09T00:00:00"/>
    <x v="3"/>
    <x v="4"/>
    <x v="18"/>
    <x v="2"/>
    <n v="7"/>
    <n v="148"/>
    <n v="5"/>
    <n v="984.2"/>
    <n v="712.39"/>
    <n v="271.81"/>
    <x v="6"/>
    <x v="0"/>
    <n v="0.27617354196301563"/>
  </r>
  <r>
    <n v="508"/>
    <d v="2024-05-06T00:00:00"/>
    <x v="0"/>
    <x v="1"/>
    <x v="16"/>
    <x v="5"/>
    <n v="3"/>
    <n v="362"/>
    <n v="0"/>
    <n v="1086"/>
    <n v="779.94"/>
    <n v="306.06"/>
    <x v="7"/>
    <x v="0"/>
    <n v="0.28182320441988951"/>
  </r>
  <r>
    <n v="509"/>
    <d v="2023-09-03T00:00:00"/>
    <x v="2"/>
    <x v="4"/>
    <x v="14"/>
    <x v="4"/>
    <n v="10"/>
    <n v="954"/>
    <n v="20"/>
    <n v="7632"/>
    <n v="3972.66"/>
    <n v="3659.34"/>
    <x v="0"/>
    <x v="1"/>
    <n v="0.47947327044025156"/>
  </r>
  <r>
    <n v="510"/>
    <d v="2023-05-06T00:00:00"/>
    <x v="3"/>
    <x v="4"/>
    <x v="9"/>
    <x v="5"/>
    <n v="1"/>
    <n v="474"/>
    <n v="15"/>
    <n v="402.9"/>
    <n v="319.70999999999998"/>
    <n v="83.19"/>
    <x v="7"/>
    <x v="1"/>
    <n v="0.20647803425167535"/>
  </r>
  <r>
    <n v="511"/>
    <d v="2023-01-24T00:00:00"/>
    <x v="2"/>
    <x v="1"/>
    <x v="16"/>
    <x v="2"/>
    <n v="6"/>
    <n v="107"/>
    <n v="20"/>
    <n v="513.6"/>
    <n v="325.81"/>
    <n v="187.79"/>
    <x v="11"/>
    <x v="1"/>
    <n v="0.36563473520249218"/>
  </r>
  <r>
    <n v="512"/>
    <d v="2023-12-24T00:00:00"/>
    <x v="3"/>
    <x v="2"/>
    <x v="17"/>
    <x v="2"/>
    <n v="4"/>
    <n v="578"/>
    <n v="15"/>
    <n v="1965.2"/>
    <n v="1175.24"/>
    <n v="789.96"/>
    <x v="6"/>
    <x v="1"/>
    <n v="0.40197435375534296"/>
  </r>
  <r>
    <n v="513"/>
    <d v="2023-07-19T00:00:00"/>
    <x v="2"/>
    <x v="4"/>
    <x v="14"/>
    <x v="3"/>
    <n v="8"/>
    <n v="826"/>
    <n v="20"/>
    <n v="5286.4"/>
    <n v="4226.5200000000004"/>
    <n v="1059.8800000000001"/>
    <x v="5"/>
    <x v="1"/>
    <n v="0.20049182808716712"/>
  </r>
  <r>
    <n v="514"/>
    <d v="2023-07-28T00:00:00"/>
    <x v="3"/>
    <x v="4"/>
    <x v="14"/>
    <x v="1"/>
    <n v="4"/>
    <n v="168"/>
    <n v="0"/>
    <n v="672"/>
    <n v="354.62"/>
    <n v="317.38"/>
    <x v="5"/>
    <x v="1"/>
    <n v="0.47229166666666667"/>
  </r>
  <r>
    <n v="515"/>
    <d v="2024-04-20T00:00:00"/>
    <x v="1"/>
    <x v="0"/>
    <x v="1"/>
    <x v="0"/>
    <n v="2"/>
    <n v="814"/>
    <n v="15"/>
    <n v="1383.8"/>
    <n v="1073.4000000000001"/>
    <n v="310.39999999999998"/>
    <x v="10"/>
    <x v="0"/>
    <n v="0.2243098713686949"/>
  </r>
  <r>
    <n v="516"/>
    <d v="2024-08-13T00:00:00"/>
    <x v="2"/>
    <x v="3"/>
    <x v="19"/>
    <x v="5"/>
    <n v="3"/>
    <n v="677"/>
    <n v="15"/>
    <n v="1726.35"/>
    <n v="948.61"/>
    <n v="777.74"/>
    <x v="2"/>
    <x v="0"/>
    <n v="0.45051119413792107"/>
  </r>
  <r>
    <n v="517"/>
    <d v="2024-02-21T00:00:00"/>
    <x v="1"/>
    <x v="1"/>
    <x v="5"/>
    <x v="4"/>
    <n v="9"/>
    <n v="744"/>
    <n v="15"/>
    <n v="5691.6"/>
    <n v="3146.29"/>
    <n v="2545.31"/>
    <x v="9"/>
    <x v="0"/>
    <n v="0.44720465247030711"/>
  </r>
  <r>
    <n v="518"/>
    <d v="2024-03-18T00:00:00"/>
    <x v="2"/>
    <x v="1"/>
    <x v="7"/>
    <x v="4"/>
    <n v="1"/>
    <n v="840"/>
    <n v="0"/>
    <n v="840"/>
    <n v="569.62"/>
    <n v="270.38"/>
    <x v="8"/>
    <x v="0"/>
    <n v="0.32188095238095238"/>
  </r>
  <r>
    <n v="519"/>
    <d v="2023-01-30T00:00:00"/>
    <x v="0"/>
    <x v="0"/>
    <x v="13"/>
    <x v="5"/>
    <n v="2"/>
    <n v="283"/>
    <n v="10"/>
    <n v="509.4"/>
    <n v="328"/>
    <n v="181.4"/>
    <x v="11"/>
    <x v="1"/>
    <n v="0.35610522182960347"/>
  </r>
  <r>
    <n v="520"/>
    <d v="2024-06-09T00:00:00"/>
    <x v="2"/>
    <x v="1"/>
    <x v="5"/>
    <x v="3"/>
    <n v="3"/>
    <n v="868"/>
    <n v="0"/>
    <n v="2604"/>
    <n v="2080.2199999999998"/>
    <n v="523.78"/>
    <x v="4"/>
    <x v="0"/>
    <n v="0.20114439324116742"/>
  </r>
  <r>
    <n v="521"/>
    <d v="2023-04-03T00:00:00"/>
    <x v="2"/>
    <x v="0"/>
    <x v="12"/>
    <x v="1"/>
    <n v="2"/>
    <n v="607"/>
    <n v="15"/>
    <n v="1031.9000000000001"/>
    <n v="746.27"/>
    <n v="285.63"/>
    <x v="10"/>
    <x v="1"/>
    <n v="0.27680007752689212"/>
  </r>
  <r>
    <n v="522"/>
    <d v="2024-11-22T00:00:00"/>
    <x v="2"/>
    <x v="0"/>
    <x v="13"/>
    <x v="0"/>
    <n v="5"/>
    <n v="442"/>
    <n v="15"/>
    <n v="1878.5"/>
    <n v="1335.39"/>
    <n v="543.11"/>
    <x v="3"/>
    <x v="0"/>
    <n v="0.28911897790790525"/>
  </r>
  <r>
    <n v="523"/>
    <d v="2023-02-09T00:00:00"/>
    <x v="2"/>
    <x v="4"/>
    <x v="8"/>
    <x v="3"/>
    <n v="8"/>
    <n v="696"/>
    <n v="0"/>
    <n v="5568"/>
    <n v="3382.02"/>
    <n v="2185.98"/>
    <x v="9"/>
    <x v="1"/>
    <n v="0.39259698275862071"/>
  </r>
  <r>
    <n v="524"/>
    <d v="2024-08-22T00:00:00"/>
    <x v="2"/>
    <x v="3"/>
    <x v="15"/>
    <x v="5"/>
    <n v="8"/>
    <n v="800"/>
    <n v="10"/>
    <n v="5760"/>
    <n v="3959.77"/>
    <n v="1800.23"/>
    <x v="2"/>
    <x v="0"/>
    <n v="0.31253993055555557"/>
  </r>
  <r>
    <n v="525"/>
    <d v="2023-11-13T00:00:00"/>
    <x v="1"/>
    <x v="4"/>
    <x v="9"/>
    <x v="3"/>
    <n v="4"/>
    <n v="960"/>
    <n v="5"/>
    <n v="3648"/>
    <n v="2506.4899999999998"/>
    <n v="1141.51"/>
    <x v="3"/>
    <x v="1"/>
    <n v="0.31291392543859647"/>
  </r>
  <r>
    <n v="526"/>
    <d v="2024-01-01T00:00:00"/>
    <x v="2"/>
    <x v="1"/>
    <x v="5"/>
    <x v="1"/>
    <n v="6"/>
    <n v="525"/>
    <n v="0"/>
    <n v="3150"/>
    <n v="2100.58"/>
    <n v="1049.42"/>
    <x v="11"/>
    <x v="0"/>
    <n v="0.33314920634920636"/>
  </r>
  <r>
    <n v="527"/>
    <d v="2024-08-14T00:00:00"/>
    <x v="0"/>
    <x v="2"/>
    <x v="10"/>
    <x v="1"/>
    <n v="5"/>
    <n v="926"/>
    <n v="10"/>
    <n v="4167"/>
    <n v="2829.9"/>
    <n v="1337.1"/>
    <x v="2"/>
    <x v="0"/>
    <n v="0.32087832973362129"/>
  </r>
  <r>
    <n v="528"/>
    <d v="2024-01-11T00:00:00"/>
    <x v="0"/>
    <x v="3"/>
    <x v="19"/>
    <x v="0"/>
    <n v="9"/>
    <n v="153"/>
    <n v="0"/>
    <n v="1377"/>
    <n v="958.08"/>
    <n v="418.92"/>
    <x v="11"/>
    <x v="0"/>
    <n v="0.3042265795206972"/>
  </r>
  <r>
    <n v="529"/>
    <d v="2023-06-27T00:00:00"/>
    <x v="1"/>
    <x v="0"/>
    <x v="0"/>
    <x v="3"/>
    <n v="10"/>
    <n v="706"/>
    <n v="20"/>
    <n v="5648"/>
    <n v="3680.96"/>
    <n v="1967.04"/>
    <x v="4"/>
    <x v="1"/>
    <n v="0.34827195467422095"/>
  </r>
  <r>
    <n v="530"/>
    <d v="2024-04-15T00:00:00"/>
    <x v="1"/>
    <x v="3"/>
    <x v="11"/>
    <x v="2"/>
    <n v="1"/>
    <n v="586"/>
    <n v="5"/>
    <n v="556.70000000000005"/>
    <n v="305.77"/>
    <n v="250.93"/>
    <x v="10"/>
    <x v="0"/>
    <n v="0.45074546434345247"/>
  </r>
  <r>
    <n v="531"/>
    <d v="2023-03-27T00:00:00"/>
    <x v="0"/>
    <x v="2"/>
    <x v="6"/>
    <x v="4"/>
    <n v="4"/>
    <n v="751"/>
    <n v="5"/>
    <n v="2853.8"/>
    <n v="1880.17"/>
    <n v="973.63"/>
    <x v="8"/>
    <x v="1"/>
    <n v="0.34116966851215919"/>
  </r>
  <r>
    <n v="532"/>
    <d v="2024-01-27T00:00:00"/>
    <x v="2"/>
    <x v="0"/>
    <x v="1"/>
    <x v="1"/>
    <n v="7"/>
    <n v="107"/>
    <n v="0"/>
    <n v="749"/>
    <n v="584.86"/>
    <n v="164.14"/>
    <x v="11"/>
    <x v="0"/>
    <n v="0.21914552736982643"/>
  </r>
  <r>
    <n v="533"/>
    <d v="2024-01-15T00:00:00"/>
    <x v="0"/>
    <x v="4"/>
    <x v="9"/>
    <x v="3"/>
    <n v="6"/>
    <n v="744"/>
    <n v="15"/>
    <n v="3794.4"/>
    <n v="1949.01"/>
    <n v="1845.39"/>
    <x v="11"/>
    <x v="0"/>
    <n v="0.48634566729917778"/>
  </r>
  <r>
    <n v="534"/>
    <d v="2024-04-26T00:00:00"/>
    <x v="0"/>
    <x v="0"/>
    <x v="12"/>
    <x v="4"/>
    <n v="3"/>
    <n v="105"/>
    <n v="5"/>
    <n v="299.25"/>
    <n v="213.36"/>
    <n v="85.89"/>
    <x v="10"/>
    <x v="0"/>
    <n v="0.28701754385964912"/>
  </r>
  <r>
    <n v="535"/>
    <d v="2023-09-06T00:00:00"/>
    <x v="3"/>
    <x v="4"/>
    <x v="8"/>
    <x v="0"/>
    <n v="1"/>
    <n v="523"/>
    <n v="15"/>
    <n v="444.55"/>
    <n v="330.65"/>
    <n v="113.9"/>
    <x v="0"/>
    <x v="1"/>
    <n v="0.25621414913957935"/>
  </r>
  <r>
    <n v="536"/>
    <d v="2023-07-09T00:00:00"/>
    <x v="3"/>
    <x v="0"/>
    <x v="0"/>
    <x v="5"/>
    <n v="6"/>
    <n v="205"/>
    <n v="20"/>
    <n v="984"/>
    <n v="726.56"/>
    <n v="257.44"/>
    <x v="5"/>
    <x v="1"/>
    <n v="0.26162601626016257"/>
  </r>
  <r>
    <n v="537"/>
    <d v="2024-04-13T00:00:00"/>
    <x v="3"/>
    <x v="0"/>
    <x v="13"/>
    <x v="2"/>
    <n v="1"/>
    <n v="578"/>
    <n v="0"/>
    <n v="578"/>
    <n v="332.94"/>
    <n v="245.06"/>
    <x v="10"/>
    <x v="0"/>
    <n v="0.42397923875432525"/>
  </r>
  <r>
    <n v="538"/>
    <d v="2023-05-30T00:00:00"/>
    <x v="3"/>
    <x v="4"/>
    <x v="9"/>
    <x v="3"/>
    <n v="8"/>
    <n v="208"/>
    <n v="5"/>
    <n v="1580.8"/>
    <n v="851.49"/>
    <n v="729.31"/>
    <x v="7"/>
    <x v="1"/>
    <n v="0.46135501012145747"/>
  </r>
  <r>
    <n v="539"/>
    <d v="2024-02-05T00:00:00"/>
    <x v="0"/>
    <x v="3"/>
    <x v="11"/>
    <x v="3"/>
    <n v="5"/>
    <n v="254"/>
    <n v="15"/>
    <n v="1079.5"/>
    <n v="683.31"/>
    <n v="396.19"/>
    <x v="9"/>
    <x v="0"/>
    <n v="0.36701250578971745"/>
  </r>
  <r>
    <n v="540"/>
    <d v="2024-12-30T00:00:00"/>
    <x v="1"/>
    <x v="2"/>
    <x v="6"/>
    <x v="3"/>
    <n v="8"/>
    <n v="534"/>
    <n v="15"/>
    <n v="3631.2"/>
    <n v="2526.85"/>
    <n v="1104.3499999999999"/>
    <x v="6"/>
    <x v="0"/>
    <n v="0.30412811191892486"/>
  </r>
  <r>
    <n v="541"/>
    <d v="2023-03-15T00:00:00"/>
    <x v="2"/>
    <x v="3"/>
    <x v="19"/>
    <x v="0"/>
    <n v="10"/>
    <n v="374"/>
    <n v="20"/>
    <n v="2992"/>
    <n v="2233.9"/>
    <n v="758.1"/>
    <x v="8"/>
    <x v="1"/>
    <n v="0.25337566844919784"/>
  </r>
  <r>
    <n v="542"/>
    <d v="2024-05-21T00:00:00"/>
    <x v="3"/>
    <x v="4"/>
    <x v="9"/>
    <x v="4"/>
    <n v="4"/>
    <n v="262"/>
    <n v="10"/>
    <n v="943.2"/>
    <n v="632.07000000000005"/>
    <n v="311.13"/>
    <x v="7"/>
    <x v="0"/>
    <n v="0.32986641221374041"/>
  </r>
  <r>
    <n v="543"/>
    <d v="2023-05-18T00:00:00"/>
    <x v="3"/>
    <x v="0"/>
    <x v="12"/>
    <x v="1"/>
    <n v="3"/>
    <n v="712"/>
    <n v="5"/>
    <n v="2029.2"/>
    <n v="1459.1"/>
    <n v="570.1"/>
    <x v="7"/>
    <x v="1"/>
    <n v="0.28094815690912678"/>
  </r>
  <r>
    <n v="544"/>
    <d v="2023-07-22T00:00:00"/>
    <x v="3"/>
    <x v="3"/>
    <x v="15"/>
    <x v="3"/>
    <n v="7"/>
    <n v="381"/>
    <n v="15"/>
    <n v="2266.9499999999998"/>
    <n v="1328.19"/>
    <n v="938.76"/>
    <x v="5"/>
    <x v="1"/>
    <n v="0.41410706014689341"/>
  </r>
  <r>
    <n v="545"/>
    <d v="2024-02-12T00:00:00"/>
    <x v="1"/>
    <x v="2"/>
    <x v="17"/>
    <x v="5"/>
    <n v="7"/>
    <n v="22"/>
    <n v="10"/>
    <n v="138.6"/>
    <n v="108.14"/>
    <n v="30.46"/>
    <x v="9"/>
    <x v="0"/>
    <n v="0.21976911976911978"/>
  </r>
  <r>
    <n v="546"/>
    <d v="2023-12-14T00:00:00"/>
    <x v="3"/>
    <x v="0"/>
    <x v="1"/>
    <x v="5"/>
    <n v="4"/>
    <n v="341"/>
    <n v="0"/>
    <n v="1364"/>
    <n v="766.25"/>
    <n v="597.75"/>
    <x v="6"/>
    <x v="1"/>
    <n v="0.43823313782991202"/>
  </r>
  <r>
    <n v="547"/>
    <d v="2024-04-10T00:00:00"/>
    <x v="0"/>
    <x v="2"/>
    <x v="6"/>
    <x v="2"/>
    <n v="2"/>
    <n v="881"/>
    <n v="10"/>
    <n v="1585.8"/>
    <n v="1248.8599999999999"/>
    <n v="336.94"/>
    <x v="10"/>
    <x v="0"/>
    <n v="0.21247319964686595"/>
  </r>
  <r>
    <n v="548"/>
    <d v="2024-08-22T00:00:00"/>
    <x v="1"/>
    <x v="2"/>
    <x v="6"/>
    <x v="0"/>
    <n v="10"/>
    <n v="418"/>
    <n v="5"/>
    <n v="3971"/>
    <n v="2496.2199999999998"/>
    <n v="1474.78"/>
    <x v="2"/>
    <x v="0"/>
    <n v="0.37138755980861243"/>
  </r>
  <r>
    <n v="549"/>
    <d v="2024-12-18T00:00:00"/>
    <x v="2"/>
    <x v="4"/>
    <x v="8"/>
    <x v="0"/>
    <n v="8"/>
    <n v="88"/>
    <n v="15"/>
    <n v="598.4"/>
    <n v="316.63"/>
    <n v="281.77"/>
    <x v="6"/>
    <x v="0"/>
    <n v="0.47087232620320857"/>
  </r>
  <r>
    <n v="550"/>
    <d v="2023-03-06T00:00:00"/>
    <x v="0"/>
    <x v="4"/>
    <x v="9"/>
    <x v="1"/>
    <n v="4"/>
    <n v="842"/>
    <n v="15"/>
    <n v="2862.8"/>
    <n v="1854.33"/>
    <n v="1008.47"/>
    <x v="8"/>
    <x v="1"/>
    <n v="0.35226701131759114"/>
  </r>
  <r>
    <n v="551"/>
    <d v="2024-03-13T00:00:00"/>
    <x v="0"/>
    <x v="0"/>
    <x v="12"/>
    <x v="1"/>
    <n v="1"/>
    <n v="456"/>
    <n v="10"/>
    <n v="410.4"/>
    <n v="242.75"/>
    <n v="167.65"/>
    <x v="8"/>
    <x v="0"/>
    <n v="0.40850389863547765"/>
  </r>
  <r>
    <n v="552"/>
    <d v="2023-07-26T00:00:00"/>
    <x v="2"/>
    <x v="4"/>
    <x v="18"/>
    <x v="5"/>
    <n v="7"/>
    <n v="991"/>
    <n v="15"/>
    <n v="5896.45"/>
    <n v="3742.08"/>
    <n v="2154.37"/>
    <x v="5"/>
    <x v="1"/>
    <n v="0.36536729727208744"/>
  </r>
  <r>
    <n v="553"/>
    <d v="2023-02-05T00:00:00"/>
    <x v="2"/>
    <x v="1"/>
    <x v="7"/>
    <x v="3"/>
    <n v="3"/>
    <n v="513"/>
    <n v="5"/>
    <n v="1462.05"/>
    <n v="863.82"/>
    <n v="598.23"/>
    <x v="9"/>
    <x v="1"/>
    <n v="0.40917205293936598"/>
  </r>
  <r>
    <n v="554"/>
    <d v="2024-09-30T00:00:00"/>
    <x v="2"/>
    <x v="2"/>
    <x v="10"/>
    <x v="4"/>
    <n v="5"/>
    <n v="877"/>
    <n v="20"/>
    <n v="3508"/>
    <n v="2728.49"/>
    <n v="779.51"/>
    <x v="0"/>
    <x v="0"/>
    <n v="0.22220923603192702"/>
  </r>
  <r>
    <n v="555"/>
    <d v="2023-09-03T00:00:00"/>
    <x v="3"/>
    <x v="4"/>
    <x v="8"/>
    <x v="0"/>
    <n v="1"/>
    <n v="841"/>
    <n v="10"/>
    <n v="756.9"/>
    <n v="542.16"/>
    <n v="214.74"/>
    <x v="0"/>
    <x v="1"/>
    <n v="0.28370986920332941"/>
  </r>
  <r>
    <n v="556"/>
    <d v="2023-04-26T00:00:00"/>
    <x v="2"/>
    <x v="4"/>
    <x v="8"/>
    <x v="4"/>
    <n v="5"/>
    <n v="388"/>
    <n v="15"/>
    <n v="1649"/>
    <n v="1078.3399999999999"/>
    <n v="570.66"/>
    <x v="10"/>
    <x v="1"/>
    <n v="0.34606428138265616"/>
  </r>
  <r>
    <n v="557"/>
    <d v="2024-08-31T00:00:00"/>
    <x v="1"/>
    <x v="0"/>
    <x v="1"/>
    <x v="1"/>
    <n v="2"/>
    <n v="339"/>
    <n v="10"/>
    <n v="610.20000000000005"/>
    <n v="377.22"/>
    <n v="232.98"/>
    <x v="2"/>
    <x v="0"/>
    <n v="0.38180924287118972"/>
  </r>
  <r>
    <n v="558"/>
    <d v="2024-06-22T00:00:00"/>
    <x v="1"/>
    <x v="3"/>
    <x v="15"/>
    <x v="4"/>
    <n v="4"/>
    <n v="366"/>
    <n v="10"/>
    <n v="1317.6"/>
    <n v="822.5"/>
    <n v="495.1"/>
    <x v="4"/>
    <x v="0"/>
    <n v="0.37575895567698853"/>
  </r>
  <r>
    <n v="559"/>
    <d v="2023-06-05T00:00:00"/>
    <x v="2"/>
    <x v="0"/>
    <x v="12"/>
    <x v="3"/>
    <n v="2"/>
    <n v="544"/>
    <n v="10"/>
    <n v="979.2"/>
    <n v="532.21"/>
    <n v="446.99"/>
    <x v="4"/>
    <x v="1"/>
    <n v="0.45648488562091505"/>
  </r>
  <r>
    <n v="560"/>
    <d v="2024-10-27T00:00:00"/>
    <x v="3"/>
    <x v="2"/>
    <x v="17"/>
    <x v="5"/>
    <n v="2"/>
    <n v="453"/>
    <n v="10"/>
    <n v="815.4"/>
    <n v="591.84"/>
    <n v="223.56"/>
    <x v="1"/>
    <x v="0"/>
    <n v="0.27417218543046357"/>
  </r>
  <r>
    <n v="561"/>
    <d v="2024-01-16T00:00:00"/>
    <x v="3"/>
    <x v="4"/>
    <x v="14"/>
    <x v="4"/>
    <n v="1"/>
    <n v="587"/>
    <n v="20"/>
    <n v="469.6"/>
    <n v="375.41"/>
    <n v="94.19"/>
    <x v="11"/>
    <x v="0"/>
    <n v="0.20057495741056217"/>
  </r>
  <r>
    <n v="562"/>
    <d v="2024-02-06T00:00:00"/>
    <x v="1"/>
    <x v="0"/>
    <x v="1"/>
    <x v="3"/>
    <n v="6"/>
    <n v="394"/>
    <n v="20"/>
    <n v="1891.2"/>
    <n v="947.26"/>
    <n v="943.94"/>
    <x v="9"/>
    <x v="0"/>
    <n v="0.49912225042301184"/>
  </r>
  <r>
    <n v="563"/>
    <d v="2024-06-06T00:00:00"/>
    <x v="3"/>
    <x v="3"/>
    <x v="4"/>
    <x v="5"/>
    <n v="2"/>
    <n v="98"/>
    <n v="5"/>
    <n v="186.2"/>
    <n v="130.27000000000001"/>
    <n v="55.93"/>
    <x v="4"/>
    <x v="0"/>
    <n v="0.30037593984962407"/>
  </r>
  <r>
    <n v="564"/>
    <d v="2023-02-20T00:00:00"/>
    <x v="0"/>
    <x v="4"/>
    <x v="14"/>
    <x v="1"/>
    <n v="3"/>
    <n v="945"/>
    <n v="10"/>
    <n v="2551.5"/>
    <n v="1486.48"/>
    <n v="1065.02"/>
    <x v="9"/>
    <x v="1"/>
    <n v="0.41740936703899667"/>
  </r>
  <r>
    <n v="565"/>
    <d v="2024-11-26T00:00:00"/>
    <x v="0"/>
    <x v="4"/>
    <x v="18"/>
    <x v="4"/>
    <n v="8"/>
    <n v="738"/>
    <n v="15"/>
    <n v="5018.3999999999996"/>
    <n v="3904.33"/>
    <n v="1114.07"/>
    <x v="3"/>
    <x v="0"/>
    <n v="0.22199705085286148"/>
  </r>
  <r>
    <n v="566"/>
    <d v="2024-07-27T00:00:00"/>
    <x v="2"/>
    <x v="1"/>
    <x v="2"/>
    <x v="5"/>
    <n v="2"/>
    <n v="45"/>
    <n v="20"/>
    <n v="72"/>
    <n v="53.95"/>
    <n v="18.05"/>
    <x v="5"/>
    <x v="0"/>
    <n v="0.25069444444444444"/>
  </r>
  <r>
    <n v="567"/>
    <d v="2023-02-23T00:00:00"/>
    <x v="3"/>
    <x v="2"/>
    <x v="3"/>
    <x v="2"/>
    <n v="10"/>
    <n v="995"/>
    <n v="0"/>
    <n v="9950"/>
    <n v="5365.72"/>
    <n v="4584.28"/>
    <x v="9"/>
    <x v="1"/>
    <n v="0.46073165829145724"/>
  </r>
  <r>
    <n v="568"/>
    <d v="2023-03-07T00:00:00"/>
    <x v="3"/>
    <x v="1"/>
    <x v="7"/>
    <x v="0"/>
    <n v="7"/>
    <n v="213"/>
    <n v="0"/>
    <n v="1491"/>
    <n v="1182.3599999999999"/>
    <n v="308.64"/>
    <x v="8"/>
    <x v="1"/>
    <n v="0.2070020120724346"/>
  </r>
  <r>
    <n v="569"/>
    <d v="2024-04-14T00:00:00"/>
    <x v="0"/>
    <x v="2"/>
    <x v="6"/>
    <x v="0"/>
    <n v="5"/>
    <n v="431"/>
    <n v="10"/>
    <n v="1939.5"/>
    <n v="1495.16"/>
    <n v="444.34"/>
    <x v="10"/>
    <x v="0"/>
    <n v="0.2291002835782418"/>
  </r>
  <r>
    <n v="570"/>
    <d v="2023-06-30T00:00:00"/>
    <x v="1"/>
    <x v="1"/>
    <x v="2"/>
    <x v="5"/>
    <n v="6"/>
    <n v="134"/>
    <n v="5"/>
    <n v="763.8"/>
    <n v="534.89"/>
    <n v="228.91"/>
    <x v="4"/>
    <x v="1"/>
    <n v="0.29969887405079865"/>
  </r>
  <r>
    <n v="571"/>
    <d v="2024-09-12T00:00:00"/>
    <x v="2"/>
    <x v="1"/>
    <x v="2"/>
    <x v="3"/>
    <n v="1"/>
    <n v="502"/>
    <n v="5"/>
    <n v="476.9"/>
    <n v="377.23"/>
    <n v="99.67"/>
    <x v="0"/>
    <x v="0"/>
    <n v="0.20899559656112393"/>
  </r>
  <r>
    <n v="572"/>
    <d v="2023-11-03T00:00:00"/>
    <x v="2"/>
    <x v="1"/>
    <x v="2"/>
    <x v="2"/>
    <n v="7"/>
    <n v="827"/>
    <n v="5"/>
    <n v="5499.55"/>
    <n v="2896.77"/>
    <n v="2602.7800000000002"/>
    <x v="3"/>
    <x v="1"/>
    <n v="0.47327144948223038"/>
  </r>
  <r>
    <n v="573"/>
    <d v="2023-01-25T00:00:00"/>
    <x v="0"/>
    <x v="1"/>
    <x v="5"/>
    <x v="2"/>
    <n v="1"/>
    <n v="410"/>
    <n v="0"/>
    <n v="410"/>
    <n v="298.95999999999998"/>
    <n v="111.04"/>
    <x v="11"/>
    <x v="1"/>
    <n v="0.27082926829268295"/>
  </r>
  <r>
    <n v="574"/>
    <d v="2023-12-18T00:00:00"/>
    <x v="2"/>
    <x v="1"/>
    <x v="5"/>
    <x v="5"/>
    <n v="6"/>
    <n v="654"/>
    <n v="0"/>
    <n v="3924"/>
    <n v="2227.8000000000002"/>
    <n v="1696.2"/>
    <x v="6"/>
    <x v="1"/>
    <n v="0.43226299694189602"/>
  </r>
  <r>
    <n v="575"/>
    <d v="2023-10-16T00:00:00"/>
    <x v="2"/>
    <x v="3"/>
    <x v="11"/>
    <x v="5"/>
    <n v="8"/>
    <n v="808"/>
    <n v="5"/>
    <n v="6140.8"/>
    <n v="3913.83"/>
    <n v="2226.9699999999998"/>
    <x v="1"/>
    <x v="1"/>
    <n v="0.36265144606565913"/>
  </r>
  <r>
    <n v="576"/>
    <d v="2024-01-13T00:00:00"/>
    <x v="0"/>
    <x v="4"/>
    <x v="9"/>
    <x v="2"/>
    <n v="7"/>
    <n v="641"/>
    <n v="0"/>
    <n v="4487"/>
    <n v="3387.63"/>
    <n v="1099.3699999999999"/>
    <x v="11"/>
    <x v="0"/>
    <n v="0.24501225763316245"/>
  </r>
  <r>
    <n v="577"/>
    <d v="2024-03-20T00:00:00"/>
    <x v="1"/>
    <x v="3"/>
    <x v="11"/>
    <x v="1"/>
    <n v="2"/>
    <n v="287"/>
    <n v="0"/>
    <n v="574"/>
    <n v="403.82"/>
    <n v="170.18"/>
    <x v="8"/>
    <x v="0"/>
    <n v="0.29648083623693383"/>
  </r>
  <r>
    <n v="578"/>
    <d v="2023-04-13T00:00:00"/>
    <x v="0"/>
    <x v="1"/>
    <x v="16"/>
    <x v="5"/>
    <n v="5"/>
    <n v="185"/>
    <n v="5"/>
    <n v="878.75"/>
    <n v="606.95000000000005"/>
    <n v="271.8"/>
    <x v="10"/>
    <x v="1"/>
    <n v="0.30930298719772403"/>
  </r>
  <r>
    <n v="579"/>
    <d v="2024-08-14T00:00:00"/>
    <x v="1"/>
    <x v="4"/>
    <x v="8"/>
    <x v="4"/>
    <n v="4"/>
    <n v="658"/>
    <n v="10"/>
    <n v="2368.8000000000002"/>
    <n v="1350.49"/>
    <n v="1018.31"/>
    <x v="2"/>
    <x v="0"/>
    <n v="0.42988432961837214"/>
  </r>
  <r>
    <n v="580"/>
    <d v="2023-01-04T00:00:00"/>
    <x v="2"/>
    <x v="0"/>
    <x v="12"/>
    <x v="3"/>
    <n v="6"/>
    <n v="474"/>
    <n v="20"/>
    <n v="2275.1999999999998"/>
    <n v="1156.18"/>
    <n v="1119.02"/>
    <x v="11"/>
    <x v="1"/>
    <n v="0.49183368495077356"/>
  </r>
  <r>
    <n v="581"/>
    <d v="2023-03-24T00:00:00"/>
    <x v="1"/>
    <x v="4"/>
    <x v="14"/>
    <x v="0"/>
    <n v="8"/>
    <n v="180"/>
    <n v="5"/>
    <n v="1368"/>
    <n v="966.93"/>
    <n v="401.07"/>
    <x v="8"/>
    <x v="1"/>
    <n v="0.29317982456140351"/>
  </r>
  <r>
    <n v="582"/>
    <d v="2023-06-25T00:00:00"/>
    <x v="2"/>
    <x v="2"/>
    <x v="17"/>
    <x v="0"/>
    <n v="10"/>
    <n v="635"/>
    <n v="15"/>
    <n v="5397.5"/>
    <n v="3889.87"/>
    <n v="1507.63"/>
    <x v="4"/>
    <x v="1"/>
    <n v="0.27932005558128764"/>
  </r>
  <r>
    <n v="583"/>
    <d v="2023-11-08T00:00:00"/>
    <x v="1"/>
    <x v="3"/>
    <x v="19"/>
    <x v="0"/>
    <n v="5"/>
    <n v="38"/>
    <n v="10"/>
    <n v="171"/>
    <n v="132.83000000000001"/>
    <n v="38.17"/>
    <x v="3"/>
    <x v="1"/>
    <n v="0.22321637426900587"/>
  </r>
  <r>
    <n v="584"/>
    <d v="2023-06-19T00:00:00"/>
    <x v="3"/>
    <x v="2"/>
    <x v="3"/>
    <x v="5"/>
    <n v="10"/>
    <n v="423"/>
    <n v="15"/>
    <n v="3595.5"/>
    <n v="2266.15"/>
    <n v="1329.35"/>
    <x v="4"/>
    <x v="1"/>
    <n v="0.36972604644694756"/>
  </r>
  <r>
    <n v="585"/>
    <d v="2023-02-22T00:00:00"/>
    <x v="2"/>
    <x v="2"/>
    <x v="17"/>
    <x v="4"/>
    <n v="1"/>
    <n v="855"/>
    <n v="5"/>
    <n v="812.25"/>
    <n v="408.22"/>
    <n v="404.03"/>
    <x v="9"/>
    <x v="1"/>
    <n v="0.49742074484456755"/>
  </r>
  <r>
    <n v="586"/>
    <d v="2023-08-24T00:00:00"/>
    <x v="0"/>
    <x v="2"/>
    <x v="17"/>
    <x v="0"/>
    <n v="10"/>
    <n v="605"/>
    <n v="20"/>
    <n v="4840"/>
    <n v="3855.42"/>
    <n v="984.58"/>
    <x v="2"/>
    <x v="1"/>
    <n v="0.20342561983471075"/>
  </r>
  <r>
    <n v="587"/>
    <d v="2023-11-16T00:00:00"/>
    <x v="0"/>
    <x v="3"/>
    <x v="4"/>
    <x v="4"/>
    <n v="4"/>
    <n v="914"/>
    <n v="5"/>
    <n v="3473.2"/>
    <n v="2669"/>
    <n v="804.2"/>
    <x v="3"/>
    <x v="1"/>
    <n v="0.2315443970977773"/>
  </r>
  <r>
    <n v="588"/>
    <d v="2024-05-30T00:00:00"/>
    <x v="0"/>
    <x v="0"/>
    <x v="0"/>
    <x v="2"/>
    <n v="6"/>
    <n v="718"/>
    <n v="15"/>
    <n v="3661.8"/>
    <n v="2030.15"/>
    <n v="1631.65"/>
    <x v="7"/>
    <x v="0"/>
    <n v="0.44558686984543122"/>
  </r>
  <r>
    <n v="589"/>
    <d v="2023-01-14T00:00:00"/>
    <x v="1"/>
    <x v="4"/>
    <x v="14"/>
    <x v="2"/>
    <n v="3"/>
    <n v="870"/>
    <n v="20"/>
    <n v="2088"/>
    <n v="1341.47"/>
    <n v="746.53"/>
    <x v="11"/>
    <x v="1"/>
    <n v="0.35753352490421453"/>
  </r>
  <r>
    <n v="590"/>
    <d v="2024-03-09T00:00:00"/>
    <x v="0"/>
    <x v="3"/>
    <x v="11"/>
    <x v="2"/>
    <n v="7"/>
    <n v="374"/>
    <n v="15"/>
    <n v="2225.3000000000002"/>
    <n v="1245.08"/>
    <n v="980.22"/>
    <x v="8"/>
    <x v="0"/>
    <n v="0.44048892284186397"/>
  </r>
  <r>
    <n v="591"/>
    <d v="2023-10-17T00:00:00"/>
    <x v="3"/>
    <x v="0"/>
    <x v="12"/>
    <x v="0"/>
    <n v="10"/>
    <n v="508"/>
    <n v="0"/>
    <n v="5080"/>
    <n v="3850.86"/>
    <n v="1229.1400000000001"/>
    <x v="1"/>
    <x v="1"/>
    <n v="0.24195669291338584"/>
  </r>
  <r>
    <n v="592"/>
    <d v="2023-01-01T00:00:00"/>
    <x v="0"/>
    <x v="4"/>
    <x v="14"/>
    <x v="4"/>
    <n v="6"/>
    <n v="169"/>
    <n v="0"/>
    <n v="1014"/>
    <n v="730.94"/>
    <n v="283.06"/>
    <x v="11"/>
    <x v="1"/>
    <n v="0.27915187376725836"/>
  </r>
  <r>
    <n v="593"/>
    <d v="2023-12-24T00:00:00"/>
    <x v="3"/>
    <x v="4"/>
    <x v="8"/>
    <x v="4"/>
    <n v="9"/>
    <n v="264"/>
    <n v="0"/>
    <n v="2376"/>
    <n v="1843.91"/>
    <n v="532.09"/>
    <x v="6"/>
    <x v="1"/>
    <n v="0.22394360269360269"/>
  </r>
  <r>
    <n v="594"/>
    <d v="2023-03-03T00:00:00"/>
    <x v="3"/>
    <x v="4"/>
    <x v="18"/>
    <x v="1"/>
    <n v="7"/>
    <n v="915"/>
    <n v="20"/>
    <n v="5124"/>
    <n v="3555.51"/>
    <n v="1568.49"/>
    <x v="8"/>
    <x v="1"/>
    <n v="0.30610655737704917"/>
  </r>
  <r>
    <n v="595"/>
    <d v="2024-08-01T00:00:00"/>
    <x v="3"/>
    <x v="1"/>
    <x v="16"/>
    <x v="2"/>
    <n v="10"/>
    <n v="548"/>
    <n v="15"/>
    <n v="4658"/>
    <n v="3301.29"/>
    <n v="1356.71"/>
    <x v="2"/>
    <x v="0"/>
    <n v="0.29126449119793901"/>
  </r>
  <r>
    <n v="596"/>
    <d v="2024-04-13T00:00:00"/>
    <x v="0"/>
    <x v="4"/>
    <x v="8"/>
    <x v="3"/>
    <n v="9"/>
    <n v="389"/>
    <n v="0"/>
    <n v="3501"/>
    <n v="2246.37"/>
    <n v="1254.6300000000001"/>
    <x v="10"/>
    <x v="0"/>
    <n v="0.35836332476435306"/>
  </r>
  <r>
    <n v="597"/>
    <d v="2023-01-23T00:00:00"/>
    <x v="2"/>
    <x v="0"/>
    <x v="13"/>
    <x v="0"/>
    <n v="3"/>
    <n v="281"/>
    <n v="0"/>
    <n v="843"/>
    <n v="669.62"/>
    <n v="173.38"/>
    <x v="11"/>
    <x v="1"/>
    <n v="0.20567022538552787"/>
  </r>
  <r>
    <n v="598"/>
    <d v="2024-04-04T00:00:00"/>
    <x v="3"/>
    <x v="2"/>
    <x v="3"/>
    <x v="2"/>
    <n v="5"/>
    <n v="708"/>
    <n v="10"/>
    <n v="3186"/>
    <n v="1977.92"/>
    <n v="1208.08"/>
    <x v="10"/>
    <x v="0"/>
    <n v="0.37918392969240422"/>
  </r>
  <r>
    <n v="599"/>
    <d v="2023-12-20T00:00:00"/>
    <x v="2"/>
    <x v="2"/>
    <x v="6"/>
    <x v="3"/>
    <n v="10"/>
    <n v="974"/>
    <n v="15"/>
    <n v="8279"/>
    <n v="5713.8"/>
    <n v="2565.1999999999998"/>
    <x v="6"/>
    <x v="1"/>
    <n v="0.30984418408020292"/>
  </r>
  <r>
    <n v="600"/>
    <d v="2023-06-14T00:00:00"/>
    <x v="0"/>
    <x v="2"/>
    <x v="3"/>
    <x v="4"/>
    <n v="3"/>
    <n v="316"/>
    <n v="0"/>
    <n v="948"/>
    <n v="612.42999999999995"/>
    <n v="335.57"/>
    <x v="4"/>
    <x v="1"/>
    <n v="0.35397679324894515"/>
  </r>
  <r>
    <n v="601"/>
    <d v="2024-07-17T00:00:00"/>
    <x v="0"/>
    <x v="3"/>
    <x v="11"/>
    <x v="4"/>
    <n v="3"/>
    <n v="372"/>
    <n v="10"/>
    <n v="1004.4"/>
    <n v="583.15"/>
    <n v="421.25"/>
    <x v="5"/>
    <x v="0"/>
    <n v="0.4194046196734369"/>
  </r>
  <r>
    <n v="602"/>
    <d v="2023-04-01T00:00:00"/>
    <x v="1"/>
    <x v="0"/>
    <x v="0"/>
    <x v="0"/>
    <n v="9"/>
    <n v="743"/>
    <n v="15"/>
    <n v="5683.95"/>
    <n v="2982.66"/>
    <n v="2701.29"/>
    <x v="10"/>
    <x v="1"/>
    <n v="0.47524872667775053"/>
  </r>
  <r>
    <n v="603"/>
    <d v="2023-11-11T00:00:00"/>
    <x v="1"/>
    <x v="0"/>
    <x v="0"/>
    <x v="4"/>
    <n v="3"/>
    <n v="158"/>
    <n v="0"/>
    <n v="474"/>
    <n v="374.13"/>
    <n v="99.87"/>
    <x v="3"/>
    <x v="1"/>
    <n v="0.21069620253164559"/>
  </r>
  <r>
    <n v="604"/>
    <d v="2024-03-27T00:00:00"/>
    <x v="0"/>
    <x v="4"/>
    <x v="9"/>
    <x v="2"/>
    <n v="9"/>
    <n v="841"/>
    <n v="15"/>
    <n v="6433.65"/>
    <n v="5029.42"/>
    <n v="1404.23"/>
    <x v="8"/>
    <x v="0"/>
    <n v="0.21826334973148992"/>
  </r>
  <r>
    <n v="605"/>
    <d v="2024-12-23T00:00:00"/>
    <x v="0"/>
    <x v="0"/>
    <x v="1"/>
    <x v="1"/>
    <n v="5"/>
    <n v="376"/>
    <n v="15"/>
    <n v="1598"/>
    <n v="882.23"/>
    <n v="715.77"/>
    <x v="6"/>
    <x v="0"/>
    <n v="0.44791614518147682"/>
  </r>
  <r>
    <n v="606"/>
    <d v="2024-08-17T00:00:00"/>
    <x v="0"/>
    <x v="0"/>
    <x v="13"/>
    <x v="2"/>
    <n v="9"/>
    <n v="381"/>
    <n v="0"/>
    <n v="3429"/>
    <n v="2223.42"/>
    <n v="1205.58"/>
    <x v="2"/>
    <x v="0"/>
    <n v="0.35158355205599295"/>
  </r>
  <r>
    <n v="607"/>
    <d v="2023-03-19T00:00:00"/>
    <x v="0"/>
    <x v="2"/>
    <x v="6"/>
    <x v="3"/>
    <n v="2"/>
    <n v="876"/>
    <n v="5"/>
    <n v="1664.4"/>
    <n v="980.78"/>
    <n v="683.62"/>
    <x v="8"/>
    <x v="1"/>
    <n v="0.4107305936073059"/>
  </r>
  <r>
    <n v="608"/>
    <d v="2024-02-17T00:00:00"/>
    <x v="1"/>
    <x v="2"/>
    <x v="10"/>
    <x v="4"/>
    <n v="2"/>
    <n v="72"/>
    <n v="15"/>
    <n v="122.4"/>
    <n v="84.48"/>
    <n v="37.92"/>
    <x v="9"/>
    <x v="0"/>
    <n v="0.30980392156862746"/>
  </r>
  <r>
    <n v="609"/>
    <d v="2023-12-14T00:00:00"/>
    <x v="3"/>
    <x v="0"/>
    <x v="1"/>
    <x v="0"/>
    <n v="6"/>
    <n v="239"/>
    <n v="10"/>
    <n v="1290.5999999999999"/>
    <n v="905.13"/>
    <n v="385.47"/>
    <x v="6"/>
    <x v="1"/>
    <n v="0.29867503486750352"/>
  </r>
  <r>
    <n v="610"/>
    <d v="2024-07-19T00:00:00"/>
    <x v="2"/>
    <x v="4"/>
    <x v="8"/>
    <x v="5"/>
    <n v="6"/>
    <n v="41"/>
    <n v="5"/>
    <n v="233.7"/>
    <n v="156.05000000000001"/>
    <n v="77.650000000000006"/>
    <x v="5"/>
    <x v="0"/>
    <n v="0.3322635857937527"/>
  </r>
  <r>
    <n v="611"/>
    <d v="2023-03-14T00:00:00"/>
    <x v="0"/>
    <x v="1"/>
    <x v="7"/>
    <x v="4"/>
    <n v="5"/>
    <n v="254"/>
    <n v="5"/>
    <n v="1206.5"/>
    <n v="852.5"/>
    <n v="354"/>
    <x v="8"/>
    <x v="1"/>
    <n v="0.29341069208454207"/>
  </r>
  <r>
    <n v="612"/>
    <d v="2023-06-05T00:00:00"/>
    <x v="1"/>
    <x v="2"/>
    <x v="10"/>
    <x v="3"/>
    <n v="5"/>
    <n v="731"/>
    <n v="5"/>
    <n v="3472.25"/>
    <n v="1824.43"/>
    <n v="1647.82"/>
    <x v="4"/>
    <x v="1"/>
    <n v="0.47456836345309233"/>
  </r>
  <r>
    <n v="613"/>
    <d v="2024-02-12T00:00:00"/>
    <x v="1"/>
    <x v="2"/>
    <x v="6"/>
    <x v="1"/>
    <n v="1"/>
    <n v="508"/>
    <n v="20"/>
    <n v="406.4"/>
    <n v="225.86"/>
    <n v="180.54"/>
    <x v="9"/>
    <x v="0"/>
    <n v="0.444242125984252"/>
  </r>
  <r>
    <n v="614"/>
    <d v="2024-06-10T00:00:00"/>
    <x v="1"/>
    <x v="4"/>
    <x v="14"/>
    <x v="3"/>
    <n v="7"/>
    <n v="855"/>
    <n v="5"/>
    <n v="5685.75"/>
    <n v="3940.18"/>
    <n v="1745.57"/>
    <x v="4"/>
    <x v="0"/>
    <n v="0.30700787055357692"/>
  </r>
  <r>
    <n v="615"/>
    <d v="2024-03-26T00:00:00"/>
    <x v="3"/>
    <x v="2"/>
    <x v="6"/>
    <x v="3"/>
    <n v="2"/>
    <n v="980"/>
    <n v="5"/>
    <n v="1862"/>
    <n v="1088.3599999999999"/>
    <n v="773.64"/>
    <x v="8"/>
    <x v="0"/>
    <n v="0.4154887218045113"/>
  </r>
  <r>
    <n v="616"/>
    <d v="2024-06-16T00:00:00"/>
    <x v="3"/>
    <x v="0"/>
    <x v="0"/>
    <x v="2"/>
    <n v="8"/>
    <n v="122"/>
    <n v="20"/>
    <n v="780.8"/>
    <n v="587.65"/>
    <n v="193.15"/>
    <x v="4"/>
    <x v="0"/>
    <n v="0.24737448770491804"/>
  </r>
  <r>
    <n v="617"/>
    <d v="2024-01-16T00:00:00"/>
    <x v="0"/>
    <x v="3"/>
    <x v="4"/>
    <x v="2"/>
    <n v="1"/>
    <n v="473"/>
    <n v="15"/>
    <n v="402.05"/>
    <n v="293.33"/>
    <n v="108.72"/>
    <x v="11"/>
    <x v="0"/>
    <n v="0.27041412759607014"/>
  </r>
  <r>
    <n v="618"/>
    <d v="2024-03-23T00:00:00"/>
    <x v="1"/>
    <x v="4"/>
    <x v="8"/>
    <x v="5"/>
    <n v="7"/>
    <n v="236"/>
    <n v="0"/>
    <n v="1652"/>
    <n v="1215.42"/>
    <n v="436.58"/>
    <x v="8"/>
    <x v="0"/>
    <n v="0.26427360774818404"/>
  </r>
  <r>
    <n v="619"/>
    <d v="2024-06-01T00:00:00"/>
    <x v="0"/>
    <x v="3"/>
    <x v="4"/>
    <x v="3"/>
    <n v="4"/>
    <n v="222"/>
    <n v="0"/>
    <n v="888"/>
    <n v="597.21"/>
    <n v="290.79000000000002"/>
    <x v="4"/>
    <x v="0"/>
    <n v="0.32746621621621624"/>
  </r>
  <r>
    <n v="620"/>
    <d v="2024-04-20T00:00:00"/>
    <x v="1"/>
    <x v="0"/>
    <x v="0"/>
    <x v="3"/>
    <n v="4"/>
    <n v="660"/>
    <n v="5"/>
    <n v="2508"/>
    <n v="1327"/>
    <n v="1181"/>
    <x v="10"/>
    <x v="0"/>
    <n v="0.47089314194577353"/>
  </r>
  <r>
    <n v="621"/>
    <d v="2024-09-05T00:00:00"/>
    <x v="3"/>
    <x v="1"/>
    <x v="16"/>
    <x v="2"/>
    <n v="9"/>
    <n v="14"/>
    <n v="20"/>
    <n v="100.8"/>
    <n v="75.680000000000007"/>
    <n v="25.12"/>
    <x v="0"/>
    <x v="0"/>
    <n v="0.24920634920634924"/>
  </r>
  <r>
    <n v="622"/>
    <d v="2023-02-15T00:00:00"/>
    <x v="3"/>
    <x v="0"/>
    <x v="12"/>
    <x v="2"/>
    <n v="7"/>
    <n v="475"/>
    <n v="0"/>
    <n v="3325"/>
    <n v="2193.17"/>
    <n v="1131.83"/>
    <x v="9"/>
    <x v="1"/>
    <n v="0.34039999999999998"/>
  </r>
  <r>
    <n v="623"/>
    <d v="2023-02-09T00:00:00"/>
    <x v="0"/>
    <x v="0"/>
    <x v="1"/>
    <x v="1"/>
    <n v="7"/>
    <n v="633"/>
    <n v="10"/>
    <n v="3987.9"/>
    <n v="2233.9299999999998"/>
    <n v="1753.97"/>
    <x v="9"/>
    <x v="1"/>
    <n v="0.43982296446751423"/>
  </r>
  <r>
    <n v="624"/>
    <d v="2024-03-25T00:00:00"/>
    <x v="3"/>
    <x v="1"/>
    <x v="2"/>
    <x v="4"/>
    <n v="10"/>
    <n v="50"/>
    <n v="0"/>
    <n v="500"/>
    <n v="331.3"/>
    <n v="168.7"/>
    <x v="8"/>
    <x v="0"/>
    <n v="0.33739999999999998"/>
  </r>
  <r>
    <n v="625"/>
    <d v="2024-12-11T00:00:00"/>
    <x v="0"/>
    <x v="3"/>
    <x v="15"/>
    <x v="5"/>
    <n v="1"/>
    <n v="127"/>
    <n v="5"/>
    <n v="120.65"/>
    <n v="71.22"/>
    <n v="49.43"/>
    <x v="6"/>
    <x v="0"/>
    <n v="0.40969747202652296"/>
  </r>
  <r>
    <n v="626"/>
    <d v="2023-06-28T00:00:00"/>
    <x v="3"/>
    <x v="0"/>
    <x v="13"/>
    <x v="4"/>
    <n v="8"/>
    <n v="79"/>
    <n v="5"/>
    <n v="600.4"/>
    <n v="329.46"/>
    <n v="270.94"/>
    <x v="4"/>
    <x v="1"/>
    <n v="0.45126582278481014"/>
  </r>
  <r>
    <n v="627"/>
    <d v="2023-01-25T00:00:00"/>
    <x v="0"/>
    <x v="0"/>
    <x v="0"/>
    <x v="3"/>
    <n v="6"/>
    <n v="721"/>
    <n v="0"/>
    <n v="4326"/>
    <n v="2486.0100000000002"/>
    <n v="1839.99"/>
    <x v="11"/>
    <x v="1"/>
    <n v="0.42533287101248268"/>
  </r>
  <r>
    <n v="628"/>
    <d v="2023-01-04T00:00:00"/>
    <x v="3"/>
    <x v="4"/>
    <x v="9"/>
    <x v="3"/>
    <n v="6"/>
    <n v="547"/>
    <n v="20"/>
    <n v="2625.6"/>
    <n v="2048.23"/>
    <n v="577.37"/>
    <x v="11"/>
    <x v="1"/>
    <n v="0.21990021328458259"/>
  </r>
  <r>
    <n v="629"/>
    <d v="2024-02-08T00:00:00"/>
    <x v="1"/>
    <x v="2"/>
    <x v="3"/>
    <x v="1"/>
    <n v="5"/>
    <n v="291"/>
    <n v="5"/>
    <n v="1382.25"/>
    <n v="855.49"/>
    <n v="526.76"/>
    <x v="9"/>
    <x v="0"/>
    <n v="0.38108880448544041"/>
  </r>
  <r>
    <n v="630"/>
    <d v="2023-09-01T00:00:00"/>
    <x v="2"/>
    <x v="4"/>
    <x v="9"/>
    <x v="2"/>
    <n v="9"/>
    <n v="193"/>
    <n v="10"/>
    <n v="1563.3"/>
    <n v="1008.16"/>
    <n v="555.14"/>
    <x v="0"/>
    <x v="1"/>
    <n v="0.35510778481417515"/>
  </r>
  <r>
    <n v="631"/>
    <d v="2024-06-27T00:00:00"/>
    <x v="1"/>
    <x v="0"/>
    <x v="0"/>
    <x v="1"/>
    <n v="1"/>
    <n v="467"/>
    <n v="15"/>
    <n v="396.95"/>
    <n v="288.27999999999997"/>
    <n v="108.67"/>
    <x v="4"/>
    <x v="0"/>
    <n v="0.2737624385942814"/>
  </r>
  <r>
    <n v="632"/>
    <d v="2024-10-26T00:00:00"/>
    <x v="2"/>
    <x v="2"/>
    <x v="3"/>
    <x v="0"/>
    <n v="10"/>
    <n v="323"/>
    <n v="10"/>
    <n v="2907"/>
    <n v="2020.19"/>
    <n v="886.81"/>
    <x v="1"/>
    <x v="0"/>
    <n v="0.30506019951840385"/>
  </r>
  <r>
    <n v="633"/>
    <d v="2024-07-13T00:00:00"/>
    <x v="0"/>
    <x v="3"/>
    <x v="11"/>
    <x v="5"/>
    <n v="8"/>
    <n v="416"/>
    <n v="0"/>
    <n v="3328"/>
    <n v="2546.2600000000002"/>
    <n v="781.74"/>
    <x v="5"/>
    <x v="0"/>
    <n v="0.23489783653846155"/>
  </r>
  <r>
    <n v="634"/>
    <d v="2024-12-31T00:00:00"/>
    <x v="2"/>
    <x v="0"/>
    <x v="1"/>
    <x v="2"/>
    <n v="8"/>
    <n v="257"/>
    <n v="15"/>
    <n v="1747.6"/>
    <n v="1369"/>
    <n v="378.6"/>
    <x v="6"/>
    <x v="0"/>
    <n v="0.21663996337834748"/>
  </r>
  <r>
    <n v="635"/>
    <d v="2024-08-05T00:00:00"/>
    <x v="3"/>
    <x v="2"/>
    <x v="6"/>
    <x v="1"/>
    <n v="7"/>
    <n v="247"/>
    <n v="0"/>
    <n v="1729"/>
    <n v="1166.7"/>
    <n v="562.29999999999995"/>
    <x v="2"/>
    <x v="0"/>
    <n v="0.32521688837478308"/>
  </r>
  <r>
    <n v="636"/>
    <d v="2024-05-18T00:00:00"/>
    <x v="1"/>
    <x v="2"/>
    <x v="6"/>
    <x v="5"/>
    <n v="10"/>
    <n v="12"/>
    <n v="20"/>
    <n v="96"/>
    <n v="51.59"/>
    <n v="44.41"/>
    <x v="7"/>
    <x v="0"/>
    <n v="0.46260416666666665"/>
  </r>
  <r>
    <n v="637"/>
    <d v="2023-01-31T00:00:00"/>
    <x v="0"/>
    <x v="1"/>
    <x v="2"/>
    <x v="5"/>
    <n v="1"/>
    <n v="783"/>
    <n v="5"/>
    <n v="743.85"/>
    <n v="419.14"/>
    <n v="324.70999999999998"/>
    <x v="11"/>
    <x v="1"/>
    <n v="0.43652618135376753"/>
  </r>
  <r>
    <n v="638"/>
    <d v="2024-12-23T00:00:00"/>
    <x v="2"/>
    <x v="0"/>
    <x v="1"/>
    <x v="1"/>
    <n v="10"/>
    <n v="496"/>
    <n v="5"/>
    <n v="4712"/>
    <n v="3452.58"/>
    <n v="1259.42"/>
    <x v="6"/>
    <x v="0"/>
    <n v="0.26727928692699493"/>
  </r>
  <r>
    <n v="639"/>
    <d v="2023-08-31T00:00:00"/>
    <x v="3"/>
    <x v="3"/>
    <x v="15"/>
    <x v="5"/>
    <n v="2"/>
    <n v="390"/>
    <n v="5"/>
    <n v="741"/>
    <n v="486.26"/>
    <n v="254.74"/>
    <x v="2"/>
    <x v="1"/>
    <n v="0.34377867746288798"/>
  </r>
  <r>
    <n v="640"/>
    <d v="2023-01-18T00:00:00"/>
    <x v="2"/>
    <x v="1"/>
    <x v="7"/>
    <x v="4"/>
    <n v="1"/>
    <n v="675"/>
    <n v="10"/>
    <n v="607.5"/>
    <n v="319.82"/>
    <n v="287.68"/>
    <x v="11"/>
    <x v="1"/>
    <n v="0.47354732510288067"/>
  </r>
  <r>
    <n v="641"/>
    <d v="2024-02-03T00:00:00"/>
    <x v="3"/>
    <x v="0"/>
    <x v="1"/>
    <x v="5"/>
    <n v="6"/>
    <n v="504"/>
    <n v="10"/>
    <n v="2721.6"/>
    <n v="1822.2"/>
    <n v="899.4"/>
    <x v="9"/>
    <x v="0"/>
    <n v="0.33046737213403882"/>
  </r>
  <r>
    <n v="642"/>
    <d v="2024-10-27T00:00:00"/>
    <x v="1"/>
    <x v="2"/>
    <x v="3"/>
    <x v="0"/>
    <n v="6"/>
    <n v="159"/>
    <n v="15"/>
    <n v="810.9"/>
    <n v="459.41"/>
    <n v="351.49"/>
    <x v="1"/>
    <x v="0"/>
    <n v="0.43345665310149217"/>
  </r>
  <r>
    <n v="643"/>
    <d v="2023-11-25T00:00:00"/>
    <x v="3"/>
    <x v="4"/>
    <x v="8"/>
    <x v="2"/>
    <n v="4"/>
    <n v="416"/>
    <n v="20"/>
    <n v="1331.2"/>
    <n v="796.39"/>
    <n v="534.80999999999995"/>
    <x v="3"/>
    <x v="1"/>
    <n v="0.40175030048076915"/>
  </r>
  <r>
    <n v="644"/>
    <d v="2024-06-16T00:00:00"/>
    <x v="2"/>
    <x v="0"/>
    <x v="13"/>
    <x v="1"/>
    <n v="3"/>
    <n v="556"/>
    <n v="10"/>
    <n v="1501.2"/>
    <n v="801.03"/>
    <n v="700.17"/>
    <x v="4"/>
    <x v="0"/>
    <n v="0.46640687450039964"/>
  </r>
  <r>
    <n v="645"/>
    <d v="2024-06-18T00:00:00"/>
    <x v="3"/>
    <x v="0"/>
    <x v="0"/>
    <x v="4"/>
    <n v="9"/>
    <n v="468"/>
    <n v="0"/>
    <n v="4212"/>
    <n v="3060.07"/>
    <n v="1151.93"/>
    <x v="4"/>
    <x v="0"/>
    <n v="0.27348765432098765"/>
  </r>
  <r>
    <n v="646"/>
    <d v="2024-10-11T00:00:00"/>
    <x v="3"/>
    <x v="2"/>
    <x v="6"/>
    <x v="3"/>
    <n v="9"/>
    <n v="90"/>
    <n v="10"/>
    <n v="729"/>
    <n v="504.05"/>
    <n v="224.95"/>
    <x v="1"/>
    <x v="0"/>
    <n v="0.30857338820301783"/>
  </r>
  <r>
    <n v="647"/>
    <d v="2024-07-21T00:00:00"/>
    <x v="0"/>
    <x v="0"/>
    <x v="13"/>
    <x v="2"/>
    <n v="4"/>
    <n v="806"/>
    <n v="5"/>
    <n v="3062.8"/>
    <n v="2349.41"/>
    <n v="713.39"/>
    <x v="5"/>
    <x v="0"/>
    <n v="0.2329208567324017"/>
  </r>
  <r>
    <n v="648"/>
    <d v="2023-08-26T00:00:00"/>
    <x v="0"/>
    <x v="4"/>
    <x v="9"/>
    <x v="2"/>
    <n v="3"/>
    <n v="174"/>
    <n v="15"/>
    <n v="443.7"/>
    <n v="352.69"/>
    <n v="91.01"/>
    <x v="2"/>
    <x v="1"/>
    <n v="0.20511606941627228"/>
  </r>
  <r>
    <n v="649"/>
    <d v="2024-07-02T00:00:00"/>
    <x v="2"/>
    <x v="0"/>
    <x v="0"/>
    <x v="3"/>
    <n v="2"/>
    <n v="828"/>
    <n v="5"/>
    <n v="1573.2"/>
    <n v="1050.57"/>
    <n v="522.63"/>
    <x v="5"/>
    <x v="0"/>
    <n v="0.33220823798627003"/>
  </r>
  <r>
    <n v="650"/>
    <d v="2024-01-29T00:00:00"/>
    <x v="1"/>
    <x v="0"/>
    <x v="12"/>
    <x v="0"/>
    <n v="10"/>
    <n v="744"/>
    <n v="10"/>
    <n v="6696"/>
    <n v="4864.08"/>
    <n v="1831.92"/>
    <x v="11"/>
    <x v="0"/>
    <n v="0.273584229390681"/>
  </r>
  <r>
    <n v="651"/>
    <d v="2024-09-18T00:00:00"/>
    <x v="2"/>
    <x v="3"/>
    <x v="15"/>
    <x v="1"/>
    <n v="2"/>
    <n v="236"/>
    <n v="15"/>
    <n v="401.2"/>
    <n v="270.31"/>
    <n v="130.88999999999999"/>
    <x v="0"/>
    <x v="0"/>
    <n v="0.32624626121635092"/>
  </r>
  <r>
    <n v="652"/>
    <d v="2023-06-20T00:00:00"/>
    <x v="0"/>
    <x v="2"/>
    <x v="10"/>
    <x v="3"/>
    <n v="8"/>
    <n v="645"/>
    <n v="5"/>
    <n v="4902"/>
    <n v="2820.3"/>
    <n v="2081.6999999999998"/>
    <x v="4"/>
    <x v="1"/>
    <n v="0.42466340269277841"/>
  </r>
  <r>
    <n v="653"/>
    <d v="2023-08-04T00:00:00"/>
    <x v="0"/>
    <x v="3"/>
    <x v="15"/>
    <x v="4"/>
    <n v="9"/>
    <n v="813"/>
    <n v="5"/>
    <n v="6951.15"/>
    <n v="4185.5"/>
    <n v="2765.65"/>
    <x v="2"/>
    <x v="1"/>
    <n v="0.39786941729066416"/>
  </r>
  <r>
    <n v="654"/>
    <d v="2023-08-16T00:00:00"/>
    <x v="1"/>
    <x v="4"/>
    <x v="8"/>
    <x v="3"/>
    <n v="9"/>
    <n v="622"/>
    <n v="0"/>
    <n v="5598"/>
    <n v="3705.93"/>
    <n v="1892.07"/>
    <x v="2"/>
    <x v="1"/>
    <n v="0.33799035369774916"/>
  </r>
  <r>
    <n v="655"/>
    <d v="2024-02-15T00:00:00"/>
    <x v="3"/>
    <x v="1"/>
    <x v="5"/>
    <x v="1"/>
    <n v="5"/>
    <n v="420"/>
    <n v="0"/>
    <n v="2100"/>
    <n v="1336.27"/>
    <n v="763.73"/>
    <x v="9"/>
    <x v="0"/>
    <n v="0.36368095238095238"/>
  </r>
  <r>
    <n v="656"/>
    <d v="2024-05-28T00:00:00"/>
    <x v="0"/>
    <x v="0"/>
    <x v="13"/>
    <x v="1"/>
    <n v="1"/>
    <n v="330"/>
    <n v="15"/>
    <n v="280.5"/>
    <n v="150.62"/>
    <n v="129.88"/>
    <x v="7"/>
    <x v="0"/>
    <n v="0.46303030303030301"/>
  </r>
  <r>
    <n v="657"/>
    <d v="2023-12-20T00:00:00"/>
    <x v="0"/>
    <x v="0"/>
    <x v="13"/>
    <x v="1"/>
    <n v="9"/>
    <n v="525"/>
    <n v="0"/>
    <n v="4725"/>
    <n v="3711.92"/>
    <n v="1013.08"/>
    <x v="6"/>
    <x v="1"/>
    <n v="0.2144084656084656"/>
  </r>
  <r>
    <n v="658"/>
    <d v="2024-12-25T00:00:00"/>
    <x v="3"/>
    <x v="3"/>
    <x v="4"/>
    <x v="3"/>
    <n v="9"/>
    <n v="718"/>
    <n v="0"/>
    <n v="6462"/>
    <n v="4437.41"/>
    <n v="2024.59"/>
    <x v="6"/>
    <x v="0"/>
    <n v="0.31330702568864127"/>
  </r>
  <r>
    <n v="659"/>
    <d v="2024-06-08T00:00:00"/>
    <x v="0"/>
    <x v="3"/>
    <x v="11"/>
    <x v="2"/>
    <n v="2"/>
    <n v="950"/>
    <n v="5"/>
    <n v="1805"/>
    <n v="1088.46"/>
    <n v="716.54"/>
    <x v="4"/>
    <x v="0"/>
    <n v="0.39697506925207754"/>
  </r>
  <r>
    <n v="660"/>
    <d v="2024-08-16T00:00:00"/>
    <x v="3"/>
    <x v="3"/>
    <x v="19"/>
    <x v="0"/>
    <n v="6"/>
    <n v="946"/>
    <n v="20"/>
    <n v="4540.8"/>
    <n v="3051.66"/>
    <n v="1489.14"/>
    <x v="2"/>
    <x v="0"/>
    <n v="0.32794661733615221"/>
  </r>
  <r>
    <n v="661"/>
    <d v="2023-06-09T00:00:00"/>
    <x v="0"/>
    <x v="1"/>
    <x v="16"/>
    <x v="0"/>
    <n v="10"/>
    <n v="811"/>
    <n v="20"/>
    <n v="6488"/>
    <n v="3683.89"/>
    <n v="2804.11"/>
    <x v="4"/>
    <x v="1"/>
    <n v="0.43219944512946978"/>
  </r>
  <r>
    <n v="662"/>
    <d v="2024-07-17T00:00:00"/>
    <x v="2"/>
    <x v="0"/>
    <x v="13"/>
    <x v="2"/>
    <n v="1"/>
    <n v="514"/>
    <n v="5"/>
    <n v="488.3"/>
    <n v="319.85000000000002"/>
    <n v="168.45"/>
    <x v="5"/>
    <x v="0"/>
    <n v="0.34497235306164242"/>
  </r>
  <r>
    <n v="663"/>
    <d v="2024-06-11T00:00:00"/>
    <x v="2"/>
    <x v="1"/>
    <x v="16"/>
    <x v="1"/>
    <n v="8"/>
    <n v="215"/>
    <n v="20"/>
    <n v="1376"/>
    <n v="784.76"/>
    <n v="591.24"/>
    <x v="4"/>
    <x v="0"/>
    <n v="0.42968023255813953"/>
  </r>
  <r>
    <n v="664"/>
    <d v="2024-02-10T00:00:00"/>
    <x v="0"/>
    <x v="3"/>
    <x v="4"/>
    <x v="0"/>
    <n v="2"/>
    <n v="575"/>
    <n v="5"/>
    <n v="1092.5"/>
    <n v="721.96"/>
    <n v="370.54"/>
    <x v="9"/>
    <x v="0"/>
    <n v="0.33916704805491993"/>
  </r>
  <r>
    <n v="665"/>
    <d v="2024-03-04T00:00:00"/>
    <x v="3"/>
    <x v="3"/>
    <x v="19"/>
    <x v="1"/>
    <n v="5"/>
    <n v="474"/>
    <n v="0"/>
    <n v="2370"/>
    <n v="1442.13"/>
    <n v="927.87"/>
    <x v="8"/>
    <x v="0"/>
    <n v="0.39150632911392408"/>
  </r>
  <r>
    <n v="666"/>
    <d v="2023-09-06T00:00:00"/>
    <x v="3"/>
    <x v="3"/>
    <x v="15"/>
    <x v="3"/>
    <n v="10"/>
    <n v="260"/>
    <n v="15"/>
    <n v="2210"/>
    <n v="1766.61"/>
    <n v="443.39"/>
    <x v="0"/>
    <x v="1"/>
    <n v="0.20062895927601809"/>
  </r>
  <r>
    <n v="667"/>
    <d v="2023-08-03T00:00:00"/>
    <x v="1"/>
    <x v="3"/>
    <x v="19"/>
    <x v="2"/>
    <n v="6"/>
    <n v="766"/>
    <n v="5"/>
    <n v="4366.2"/>
    <n v="3245.7"/>
    <n v="1120.5"/>
    <x v="2"/>
    <x v="1"/>
    <n v="0.25663047959323898"/>
  </r>
  <r>
    <n v="668"/>
    <d v="2024-06-06T00:00:00"/>
    <x v="3"/>
    <x v="2"/>
    <x v="6"/>
    <x v="4"/>
    <n v="6"/>
    <n v="710"/>
    <n v="0"/>
    <n v="4260"/>
    <n v="2539.69"/>
    <n v="1720.31"/>
    <x v="4"/>
    <x v="0"/>
    <n v="0.40382863849765255"/>
  </r>
  <r>
    <n v="669"/>
    <d v="2024-10-25T00:00:00"/>
    <x v="1"/>
    <x v="0"/>
    <x v="13"/>
    <x v="3"/>
    <n v="3"/>
    <n v="747"/>
    <n v="0"/>
    <n v="2241"/>
    <n v="1148.6400000000001"/>
    <n v="1092.3599999999999"/>
    <x v="1"/>
    <x v="0"/>
    <n v="0.48744310575635874"/>
  </r>
  <r>
    <n v="670"/>
    <d v="2024-01-02T00:00:00"/>
    <x v="0"/>
    <x v="3"/>
    <x v="15"/>
    <x v="4"/>
    <n v="1"/>
    <n v="197"/>
    <n v="0"/>
    <n v="197"/>
    <n v="98.88"/>
    <n v="98.12"/>
    <x v="11"/>
    <x v="0"/>
    <n v="0.49807106598984774"/>
  </r>
  <r>
    <n v="671"/>
    <d v="2023-04-15T00:00:00"/>
    <x v="3"/>
    <x v="1"/>
    <x v="2"/>
    <x v="2"/>
    <n v="3"/>
    <n v="614"/>
    <n v="15"/>
    <n v="1565.7"/>
    <n v="944.9"/>
    <n v="620.79999999999995"/>
    <x v="10"/>
    <x v="1"/>
    <n v="0.396499968065402"/>
  </r>
  <r>
    <n v="672"/>
    <d v="2024-09-22T00:00:00"/>
    <x v="1"/>
    <x v="4"/>
    <x v="9"/>
    <x v="4"/>
    <n v="3"/>
    <n v="173"/>
    <n v="10"/>
    <n v="467.1"/>
    <n v="348.68"/>
    <n v="118.42"/>
    <x v="0"/>
    <x v="0"/>
    <n v="0.25352172982230786"/>
  </r>
  <r>
    <n v="673"/>
    <d v="2023-06-28T00:00:00"/>
    <x v="2"/>
    <x v="2"/>
    <x v="3"/>
    <x v="5"/>
    <n v="3"/>
    <n v="401"/>
    <n v="5"/>
    <n v="1142.8499999999999"/>
    <n v="639.52"/>
    <n v="503.33"/>
    <x v="4"/>
    <x v="1"/>
    <n v="0.4404165026031413"/>
  </r>
  <r>
    <n v="674"/>
    <d v="2023-09-17T00:00:00"/>
    <x v="3"/>
    <x v="3"/>
    <x v="4"/>
    <x v="5"/>
    <n v="2"/>
    <n v="411"/>
    <n v="20"/>
    <n v="657.6"/>
    <n v="404.5"/>
    <n v="253.1"/>
    <x v="0"/>
    <x v="1"/>
    <n v="0.38488442822384428"/>
  </r>
  <r>
    <n v="675"/>
    <d v="2024-10-08T00:00:00"/>
    <x v="2"/>
    <x v="4"/>
    <x v="9"/>
    <x v="4"/>
    <n v="9"/>
    <n v="518"/>
    <n v="5"/>
    <n v="4428.8999999999996"/>
    <n v="3453.32"/>
    <n v="975.58"/>
    <x v="1"/>
    <x v="0"/>
    <n v="0.22027591501275715"/>
  </r>
  <r>
    <n v="676"/>
    <d v="2023-07-28T00:00:00"/>
    <x v="0"/>
    <x v="0"/>
    <x v="1"/>
    <x v="2"/>
    <n v="2"/>
    <n v="104"/>
    <n v="10"/>
    <n v="187.2"/>
    <n v="122.1"/>
    <n v="65.099999999999994"/>
    <x v="5"/>
    <x v="1"/>
    <n v="0.34775641025641024"/>
  </r>
  <r>
    <n v="677"/>
    <d v="2023-11-10T00:00:00"/>
    <x v="3"/>
    <x v="2"/>
    <x v="3"/>
    <x v="2"/>
    <n v="6"/>
    <n v="521"/>
    <n v="0"/>
    <n v="3126"/>
    <n v="1804.46"/>
    <n v="1321.54"/>
    <x v="3"/>
    <x v="1"/>
    <n v="0.4227575175943698"/>
  </r>
  <r>
    <n v="678"/>
    <d v="2024-01-11T00:00:00"/>
    <x v="1"/>
    <x v="3"/>
    <x v="19"/>
    <x v="0"/>
    <n v="10"/>
    <n v="964"/>
    <n v="20"/>
    <n v="7712"/>
    <n v="4361.47"/>
    <n v="3350.53"/>
    <x v="11"/>
    <x v="0"/>
    <n v="0.43445669087136934"/>
  </r>
  <r>
    <n v="679"/>
    <d v="2023-12-22T00:00:00"/>
    <x v="1"/>
    <x v="1"/>
    <x v="7"/>
    <x v="0"/>
    <n v="2"/>
    <n v="380"/>
    <n v="0"/>
    <n v="760"/>
    <n v="509.72"/>
    <n v="250.28"/>
    <x v="6"/>
    <x v="1"/>
    <n v="0.32931578947368423"/>
  </r>
  <r>
    <n v="680"/>
    <d v="2024-11-07T00:00:00"/>
    <x v="2"/>
    <x v="2"/>
    <x v="6"/>
    <x v="0"/>
    <n v="5"/>
    <n v="901"/>
    <n v="20"/>
    <n v="3604"/>
    <n v="2455.48"/>
    <n v="1148.52"/>
    <x v="3"/>
    <x v="0"/>
    <n v="0.31867924528301889"/>
  </r>
  <r>
    <n v="681"/>
    <d v="2023-12-24T00:00:00"/>
    <x v="1"/>
    <x v="2"/>
    <x v="3"/>
    <x v="5"/>
    <n v="2"/>
    <n v="750"/>
    <n v="20"/>
    <n v="1200"/>
    <n v="891.74"/>
    <n v="308.26"/>
    <x v="6"/>
    <x v="1"/>
    <n v="0.25688333333333335"/>
  </r>
  <r>
    <n v="682"/>
    <d v="2024-11-12T00:00:00"/>
    <x v="3"/>
    <x v="0"/>
    <x v="13"/>
    <x v="5"/>
    <n v="6"/>
    <n v="593"/>
    <n v="5"/>
    <n v="3380.1"/>
    <n v="1918.65"/>
    <n v="1461.45"/>
    <x v="3"/>
    <x v="0"/>
    <n v="0.43236886482648446"/>
  </r>
  <r>
    <n v="683"/>
    <d v="2023-07-09T00:00:00"/>
    <x v="0"/>
    <x v="1"/>
    <x v="2"/>
    <x v="2"/>
    <n v="6"/>
    <n v="664"/>
    <n v="20"/>
    <n v="3187.2"/>
    <n v="2061.5500000000002"/>
    <n v="1125.6500000000001"/>
    <x v="5"/>
    <x v="1"/>
    <n v="0.35317833835341372"/>
  </r>
  <r>
    <n v="684"/>
    <d v="2023-05-04T00:00:00"/>
    <x v="2"/>
    <x v="0"/>
    <x v="1"/>
    <x v="2"/>
    <n v="9"/>
    <n v="814"/>
    <n v="20"/>
    <n v="5860.8"/>
    <n v="3326.17"/>
    <n v="2534.63"/>
    <x v="7"/>
    <x v="1"/>
    <n v="0.4324716762216762"/>
  </r>
  <r>
    <n v="685"/>
    <d v="2024-09-18T00:00:00"/>
    <x v="0"/>
    <x v="1"/>
    <x v="5"/>
    <x v="3"/>
    <n v="2"/>
    <n v="107"/>
    <n v="0"/>
    <n v="214"/>
    <n v="116.24"/>
    <n v="97.76"/>
    <x v="0"/>
    <x v="0"/>
    <n v="0.45682242990654209"/>
  </r>
  <r>
    <n v="686"/>
    <d v="2023-08-05T00:00:00"/>
    <x v="1"/>
    <x v="3"/>
    <x v="19"/>
    <x v="4"/>
    <n v="4"/>
    <n v="187"/>
    <n v="20"/>
    <n v="598.4"/>
    <n v="466.23"/>
    <n v="132.16999999999999"/>
    <x v="2"/>
    <x v="1"/>
    <n v="0.22087232620320854"/>
  </r>
  <r>
    <n v="687"/>
    <d v="2024-07-09T00:00:00"/>
    <x v="1"/>
    <x v="0"/>
    <x v="0"/>
    <x v="5"/>
    <n v="8"/>
    <n v="46"/>
    <n v="15"/>
    <n v="312.8"/>
    <n v="242.13"/>
    <n v="70.67"/>
    <x v="5"/>
    <x v="0"/>
    <n v="0.22592710997442456"/>
  </r>
  <r>
    <n v="688"/>
    <d v="2024-07-15T00:00:00"/>
    <x v="3"/>
    <x v="2"/>
    <x v="17"/>
    <x v="1"/>
    <n v="4"/>
    <n v="55"/>
    <n v="15"/>
    <n v="187"/>
    <n v="98.75"/>
    <n v="88.25"/>
    <x v="5"/>
    <x v="0"/>
    <n v="0.47192513368983957"/>
  </r>
  <r>
    <n v="689"/>
    <d v="2024-10-19T00:00:00"/>
    <x v="3"/>
    <x v="1"/>
    <x v="7"/>
    <x v="0"/>
    <n v="4"/>
    <n v="239"/>
    <n v="5"/>
    <n v="908.2"/>
    <n v="573.16999999999996"/>
    <n v="335.03"/>
    <x v="1"/>
    <x v="0"/>
    <n v="0.36889451662629374"/>
  </r>
  <r>
    <n v="690"/>
    <d v="2024-11-24T00:00:00"/>
    <x v="0"/>
    <x v="1"/>
    <x v="5"/>
    <x v="1"/>
    <n v="10"/>
    <n v="946"/>
    <n v="5"/>
    <n v="8987"/>
    <n v="6764.76"/>
    <n v="2222.2399999999998"/>
    <x v="3"/>
    <x v="0"/>
    <n v="0.24727272727272726"/>
  </r>
  <r>
    <n v="691"/>
    <d v="2024-11-30T00:00:00"/>
    <x v="1"/>
    <x v="2"/>
    <x v="3"/>
    <x v="0"/>
    <n v="4"/>
    <n v="187"/>
    <n v="10"/>
    <n v="673.2"/>
    <n v="422.19"/>
    <n v="251.01"/>
    <x v="3"/>
    <x v="0"/>
    <n v="0.37286096256684487"/>
  </r>
  <r>
    <n v="692"/>
    <d v="2023-07-10T00:00:00"/>
    <x v="3"/>
    <x v="2"/>
    <x v="6"/>
    <x v="1"/>
    <n v="2"/>
    <n v="299"/>
    <n v="10"/>
    <n v="538.20000000000005"/>
    <n v="383.74"/>
    <n v="154.46"/>
    <x v="5"/>
    <x v="1"/>
    <n v="0.28699368264585656"/>
  </r>
  <r>
    <n v="693"/>
    <d v="2023-07-26T00:00:00"/>
    <x v="3"/>
    <x v="2"/>
    <x v="17"/>
    <x v="0"/>
    <n v="9"/>
    <n v="467"/>
    <n v="10"/>
    <n v="3782.7"/>
    <n v="2251.4"/>
    <n v="1531.3"/>
    <x v="5"/>
    <x v="1"/>
    <n v="0.40481666534485949"/>
  </r>
  <r>
    <n v="694"/>
    <d v="2024-04-10T00:00:00"/>
    <x v="3"/>
    <x v="3"/>
    <x v="11"/>
    <x v="4"/>
    <n v="10"/>
    <n v="91"/>
    <n v="5"/>
    <n v="864.5"/>
    <n v="667.85"/>
    <n v="196.65"/>
    <x v="10"/>
    <x v="0"/>
    <n v="0.22747252747252747"/>
  </r>
  <r>
    <n v="695"/>
    <d v="2023-04-20T00:00:00"/>
    <x v="0"/>
    <x v="2"/>
    <x v="6"/>
    <x v="3"/>
    <n v="5"/>
    <n v="258"/>
    <n v="10"/>
    <n v="1161"/>
    <n v="669.5"/>
    <n v="491.5"/>
    <x v="10"/>
    <x v="1"/>
    <n v="0.42334194659776053"/>
  </r>
  <r>
    <n v="696"/>
    <d v="2024-03-27T00:00:00"/>
    <x v="0"/>
    <x v="0"/>
    <x v="1"/>
    <x v="2"/>
    <n v="2"/>
    <n v="412"/>
    <n v="10"/>
    <n v="741.6"/>
    <n v="384.35"/>
    <n v="357.25"/>
    <x v="8"/>
    <x v="0"/>
    <n v="0.4817286947141316"/>
  </r>
  <r>
    <n v="697"/>
    <d v="2023-08-06T00:00:00"/>
    <x v="2"/>
    <x v="2"/>
    <x v="6"/>
    <x v="5"/>
    <n v="9"/>
    <n v="575"/>
    <n v="15"/>
    <n v="4398.75"/>
    <n v="2637.57"/>
    <n v="1761.18"/>
    <x v="2"/>
    <x v="1"/>
    <n v="0.40038192668371697"/>
  </r>
  <r>
    <n v="698"/>
    <d v="2024-05-14T00:00:00"/>
    <x v="3"/>
    <x v="3"/>
    <x v="11"/>
    <x v="4"/>
    <n v="10"/>
    <n v="619"/>
    <n v="10"/>
    <n v="5571"/>
    <n v="3963.45"/>
    <n v="1607.55"/>
    <x v="7"/>
    <x v="0"/>
    <n v="0.28855681206246636"/>
  </r>
  <r>
    <n v="699"/>
    <d v="2023-09-06T00:00:00"/>
    <x v="1"/>
    <x v="1"/>
    <x v="7"/>
    <x v="5"/>
    <n v="4"/>
    <n v="298"/>
    <n v="20"/>
    <n v="953.6"/>
    <n v="732.58"/>
    <n v="221.02"/>
    <x v="0"/>
    <x v="1"/>
    <n v="0.23177432885906041"/>
  </r>
  <r>
    <n v="700"/>
    <d v="2024-10-20T00:00:00"/>
    <x v="1"/>
    <x v="4"/>
    <x v="8"/>
    <x v="0"/>
    <n v="1"/>
    <n v="394"/>
    <n v="10"/>
    <n v="354.6"/>
    <n v="236.78"/>
    <n v="117.82"/>
    <x v="1"/>
    <x v="0"/>
    <n v="0.33226170332769311"/>
  </r>
  <r>
    <n v="701"/>
    <d v="2024-05-11T00:00:00"/>
    <x v="3"/>
    <x v="4"/>
    <x v="8"/>
    <x v="0"/>
    <n v="5"/>
    <n v="385"/>
    <n v="15"/>
    <n v="1636.25"/>
    <n v="1015.27"/>
    <n v="620.98"/>
    <x v="7"/>
    <x v="0"/>
    <n v="0.37951413292589764"/>
  </r>
  <r>
    <n v="702"/>
    <d v="2024-04-01T00:00:00"/>
    <x v="2"/>
    <x v="0"/>
    <x v="13"/>
    <x v="1"/>
    <n v="9"/>
    <n v="448"/>
    <n v="15"/>
    <n v="3427.2"/>
    <n v="2315.09"/>
    <n v="1112.1099999999999"/>
    <x v="10"/>
    <x v="0"/>
    <n v="0.32449521475256771"/>
  </r>
  <r>
    <n v="703"/>
    <d v="2023-01-09T00:00:00"/>
    <x v="3"/>
    <x v="1"/>
    <x v="16"/>
    <x v="0"/>
    <n v="9"/>
    <n v="215"/>
    <n v="20"/>
    <n v="1548"/>
    <n v="980.64"/>
    <n v="567.36"/>
    <x v="11"/>
    <x v="1"/>
    <n v="0.36651162790697678"/>
  </r>
  <r>
    <n v="704"/>
    <d v="2023-09-14T00:00:00"/>
    <x v="2"/>
    <x v="1"/>
    <x v="7"/>
    <x v="5"/>
    <n v="6"/>
    <n v="952"/>
    <n v="20"/>
    <n v="4569.6000000000004"/>
    <n v="2641.65"/>
    <n v="1927.95"/>
    <x v="0"/>
    <x v="1"/>
    <n v="0.42190782563025209"/>
  </r>
  <r>
    <n v="705"/>
    <d v="2023-08-19T00:00:00"/>
    <x v="2"/>
    <x v="1"/>
    <x v="7"/>
    <x v="3"/>
    <n v="7"/>
    <n v="251"/>
    <n v="10"/>
    <n v="1581.3"/>
    <n v="933.96"/>
    <n v="647.34"/>
    <x v="2"/>
    <x v="1"/>
    <n v="0.40937203566685643"/>
  </r>
  <r>
    <n v="706"/>
    <d v="2023-06-14T00:00:00"/>
    <x v="1"/>
    <x v="1"/>
    <x v="2"/>
    <x v="4"/>
    <n v="7"/>
    <n v="92"/>
    <n v="0"/>
    <n v="644"/>
    <n v="373.54"/>
    <n v="270.45999999999998"/>
    <x v="4"/>
    <x v="1"/>
    <n v="0.41996894409937885"/>
  </r>
  <r>
    <n v="707"/>
    <d v="2024-08-24T00:00:00"/>
    <x v="2"/>
    <x v="0"/>
    <x v="12"/>
    <x v="0"/>
    <n v="7"/>
    <n v="427"/>
    <n v="0"/>
    <n v="2989"/>
    <n v="1578.84"/>
    <n v="1410.16"/>
    <x v="2"/>
    <x v="0"/>
    <n v="0.47178320508531285"/>
  </r>
  <r>
    <n v="708"/>
    <d v="2024-12-20T00:00:00"/>
    <x v="0"/>
    <x v="4"/>
    <x v="8"/>
    <x v="2"/>
    <n v="2"/>
    <n v="547"/>
    <n v="0"/>
    <n v="1094"/>
    <n v="691.34"/>
    <n v="402.66"/>
    <x v="6"/>
    <x v="0"/>
    <n v="0.36806215722120661"/>
  </r>
  <r>
    <n v="709"/>
    <d v="2023-08-25T00:00:00"/>
    <x v="1"/>
    <x v="1"/>
    <x v="16"/>
    <x v="2"/>
    <n v="2"/>
    <n v="744"/>
    <n v="0"/>
    <n v="1488"/>
    <n v="1053.06"/>
    <n v="434.94"/>
    <x v="2"/>
    <x v="1"/>
    <n v="0.29229838709677419"/>
  </r>
  <r>
    <n v="710"/>
    <d v="2024-07-27T00:00:00"/>
    <x v="1"/>
    <x v="1"/>
    <x v="2"/>
    <x v="2"/>
    <n v="8"/>
    <n v="946"/>
    <n v="15"/>
    <n v="6432.8"/>
    <n v="4822.49"/>
    <n v="1610.31"/>
    <x v="5"/>
    <x v="0"/>
    <n v="0.25032800646685732"/>
  </r>
  <r>
    <n v="711"/>
    <d v="2023-07-05T00:00:00"/>
    <x v="0"/>
    <x v="2"/>
    <x v="3"/>
    <x v="1"/>
    <n v="10"/>
    <n v="800"/>
    <n v="5"/>
    <n v="7600"/>
    <n v="4167.28"/>
    <n v="3432.72"/>
    <x v="5"/>
    <x v="1"/>
    <n v="0.45167368421052628"/>
  </r>
  <r>
    <n v="712"/>
    <d v="2023-11-07T00:00:00"/>
    <x v="3"/>
    <x v="3"/>
    <x v="11"/>
    <x v="1"/>
    <n v="1"/>
    <n v="380"/>
    <n v="20"/>
    <n v="304"/>
    <n v="178.43"/>
    <n v="125.57"/>
    <x v="3"/>
    <x v="1"/>
    <n v="0.41305921052631578"/>
  </r>
  <r>
    <n v="713"/>
    <d v="2023-04-04T00:00:00"/>
    <x v="2"/>
    <x v="3"/>
    <x v="11"/>
    <x v="0"/>
    <n v="9"/>
    <n v="161"/>
    <n v="0"/>
    <n v="1449"/>
    <n v="937.22"/>
    <n v="511.78"/>
    <x v="10"/>
    <x v="1"/>
    <n v="0.35319530710835056"/>
  </r>
  <r>
    <n v="714"/>
    <d v="2023-11-15T00:00:00"/>
    <x v="2"/>
    <x v="0"/>
    <x v="12"/>
    <x v="1"/>
    <n v="1"/>
    <n v="50"/>
    <n v="5"/>
    <n v="47.5"/>
    <n v="25.79"/>
    <n v="21.71"/>
    <x v="3"/>
    <x v="1"/>
    <n v="0.45705263157894738"/>
  </r>
  <r>
    <n v="715"/>
    <d v="2024-10-20T00:00:00"/>
    <x v="1"/>
    <x v="3"/>
    <x v="4"/>
    <x v="4"/>
    <n v="4"/>
    <n v="196"/>
    <n v="20"/>
    <n v="627.20000000000005"/>
    <n v="407.28"/>
    <n v="219.92"/>
    <x v="1"/>
    <x v="0"/>
    <n v="0.35063775510204076"/>
  </r>
  <r>
    <n v="716"/>
    <d v="2023-04-20T00:00:00"/>
    <x v="1"/>
    <x v="4"/>
    <x v="18"/>
    <x v="5"/>
    <n v="2"/>
    <n v="708"/>
    <n v="5"/>
    <n v="1345.2"/>
    <n v="982.76"/>
    <n v="362.44"/>
    <x v="10"/>
    <x v="1"/>
    <n v="0.26943205471305381"/>
  </r>
  <r>
    <n v="717"/>
    <d v="2024-08-16T00:00:00"/>
    <x v="0"/>
    <x v="0"/>
    <x v="1"/>
    <x v="2"/>
    <n v="2"/>
    <n v="418"/>
    <n v="5"/>
    <n v="794.2"/>
    <n v="435.47"/>
    <n v="358.73"/>
    <x v="2"/>
    <x v="0"/>
    <n v="0.45168723243515485"/>
  </r>
  <r>
    <n v="718"/>
    <d v="2023-06-21T00:00:00"/>
    <x v="1"/>
    <x v="0"/>
    <x v="0"/>
    <x v="2"/>
    <n v="7"/>
    <n v="90"/>
    <n v="20"/>
    <n v="504"/>
    <n v="356.41"/>
    <n v="147.59"/>
    <x v="4"/>
    <x v="1"/>
    <n v="0.29283730158730159"/>
  </r>
  <r>
    <n v="719"/>
    <d v="2023-01-17T00:00:00"/>
    <x v="2"/>
    <x v="2"/>
    <x v="10"/>
    <x v="2"/>
    <n v="6"/>
    <n v="74"/>
    <n v="15"/>
    <n v="377.4"/>
    <n v="204.32"/>
    <n v="173.08"/>
    <x v="11"/>
    <x v="1"/>
    <n v="0.45861155272919985"/>
  </r>
  <r>
    <n v="720"/>
    <d v="2024-01-11T00:00:00"/>
    <x v="3"/>
    <x v="4"/>
    <x v="14"/>
    <x v="0"/>
    <n v="6"/>
    <n v="157"/>
    <n v="10"/>
    <n v="847.8"/>
    <n v="571.61"/>
    <n v="276.19"/>
    <x v="11"/>
    <x v="0"/>
    <n v="0.3257725878744987"/>
  </r>
  <r>
    <n v="721"/>
    <d v="2023-12-22T00:00:00"/>
    <x v="3"/>
    <x v="2"/>
    <x v="6"/>
    <x v="5"/>
    <n v="4"/>
    <n v="400"/>
    <n v="15"/>
    <n v="1360"/>
    <n v="912.08"/>
    <n v="447.92"/>
    <x v="6"/>
    <x v="1"/>
    <n v="0.32935294117647063"/>
  </r>
  <r>
    <n v="722"/>
    <d v="2023-01-02T00:00:00"/>
    <x v="2"/>
    <x v="2"/>
    <x v="10"/>
    <x v="2"/>
    <n v="8"/>
    <n v="80"/>
    <n v="0"/>
    <n v="640"/>
    <n v="335.15"/>
    <n v="304.85000000000002"/>
    <x v="11"/>
    <x v="1"/>
    <n v="0.47632812500000005"/>
  </r>
  <r>
    <n v="723"/>
    <d v="2023-11-12T00:00:00"/>
    <x v="1"/>
    <x v="0"/>
    <x v="13"/>
    <x v="1"/>
    <n v="3"/>
    <n v="75"/>
    <n v="10"/>
    <n v="202.5"/>
    <n v="152.13999999999999"/>
    <n v="50.36"/>
    <x v="3"/>
    <x v="1"/>
    <n v="0.24869135802469136"/>
  </r>
  <r>
    <n v="724"/>
    <d v="2023-06-19T00:00:00"/>
    <x v="0"/>
    <x v="3"/>
    <x v="11"/>
    <x v="1"/>
    <n v="9"/>
    <n v="49"/>
    <n v="20"/>
    <n v="352.8"/>
    <n v="233.57"/>
    <n v="119.23"/>
    <x v="4"/>
    <x v="1"/>
    <n v="0.33795351473922902"/>
  </r>
  <r>
    <n v="725"/>
    <d v="2023-04-07T00:00:00"/>
    <x v="2"/>
    <x v="1"/>
    <x v="7"/>
    <x v="0"/>
    <n v="1"/>
    <n v="800"/>
    <n v="20"/>
    <n v="640"/>
    <n v="459.32"/>
    <n v="180.68"/>
    <x v="10"/>
    <x v="1"/>
    <n v="0.28231250000000002"/>
  </r>
  <r>
    <n v="726"/>
    <d v="2023-09-30T00:00:00"/>
    <x v="0"/>
    <x v="3"/>
    <x v="11"/>
    <x v="4"/>
    <n v="10"/>
    <n v="72"/>
    <n v="20"/>
    <n v="576"/>
    <n v="442.13"/>
    <n v="133.87"/>
    <x v="0"/>
    <x v="1"/>
    <n v="0.23241319444444444"/>
  </r>
  <r>
    <n v="727"/>
    <d v="2023-01-28T00:00:00"/>
    <x v="1"/>
    <x v="4"/>
    <x v="9"/>
    <x v="4"/>
    <n v="5"/>
    <n v="147"/>
    <n v="10"/>
    <n v="661.5"/>
    <n v="499.57"/>
    <n v="161.93"/>
    <x v="11"/>
    <x v="1"/>
    <n v="0.24479213907785338"/>
  </r>
  <r>
    <n v="728"/>
    <d v="2024-03-14T00:00:00"/>
    <x v="0"/>
    <x v="4"/>
    <x v="18"/>
    <x v="0"/>
    <n v="8"/>
    <n v="342"/>
    <n v="15"/>
    <n v="2325.6"/>
    <n v="1237.8399999999999"/>
    <n v="1087.76"/>
    <x v="8"/>
    <x v="0"/>
    <n v="0.46773305813553495"/>
  </r>
  <r>
    <n v="729"/>
    <d v="2023-10-27T00:00:00"/>
    <x v="1"/>
    <x v="4"/>
    <x v="14"/>
    <x v="0"/>
    <n v="2"/>
    <n v="186"/>
    <n v="10"/>
    <n v="334.8"/>
    <n v="257.10000000000002"/>
    <n v="77.7"/>
    <x v="1"/>
    <x v="1"/>
    <n v="0.23207885304659498"/>
  </r>
  <r>
    <n v="730"/>
    <d v="2024-06-10T00:00:00"/>
    <x v="2"/>
    <x v="3"/>
    <x v="11"/>
    <x v="4"/>
    <n v="10"/>
    <n v="116"/>
    <n v="20"/>
    <n v="928"/>
    <n v="634.99"/>
    <n v="293.01"/>
    <x v="4"/>
    <x v="0"/>
    <n v="0.3157435344827586"/>
  </r>
  <r>
    <n v="731"/>
    <d v="2023-04-22T00:00:00"/>
    <x v="1"/>
    <x v="3"/>
    <x v="19"/>
    <x v="1"/>
    <n v="8"/>
    <n v="250"/>
    <n v="0"/>
    <n v="2000"/>
    <n v="1101.31"/>
    <n v="898.69"/>
    <x v="10"/>
    <x v="1"/>
    <n v="0.44934500000000005"/>
  </r>
  <r>
    <n v="732"/>
    <d v="2023-08-24T00:00:00"/>
    <x v="2"/>
    <x v="4"/>
    <x v="18"/>
    <x v="3"/>
    <n v="10"/>
    <n v="675"/>
    <n v="10"/>
    <n v="6075"/>
    <n v="3476.21"/>
    <n v="2598.79"/>
    <x v="2"/>
    <x v="1"/>
    <n v="0.42778436213991766"/>
  </r>
  <r>
    <n v="733"/>
    <d v="2023-06-10T00:00:00"/>
    <x v="2"/>
    <x v="4"/>
    <x v="8"/>
    <x v="3"/>
    <n v="7"/>
    <n v="592"/>
    <n v="15"/>
    <n v="3522.4"/>
    <n v="1812.71"/>
    <n v="1709.69"/>
    <x v="4"/>
    <x v="1"/>
    <n v="0.4853764478764479"/>
  </r>
  <r>
    <n v="734"/>
    <d v="2023-04-26T00:00:00"/>
    <x v="1"/>
    <x v="0"/>
    <x v="0"/>
    <x v="4"/>
    <n v="5"/>
    <n v="17"/>
    <n v="10"/>
    <n v="76.5"/>
    <n v="43.74"/>
    <n v="32.76"/>
    <x v="10"/>
    <x v="1"/>
    <n v="0.42823529411764705"/>
  </r>
  <r>
    <n v="735"/>
    <d v="2024-07-13T00:00:00"/>
    <x v="1"/>
    <x v="3"/>
    <x v="4"/>
    <x v="4"/>
    <n v="5"/>
    <n v="593"/>
    <n v="0"/>
    <n v="2965"/>
    <n v="2343.0300000000002"/>
    <n v="621.97"/>
    <x v="5"/>
    <x v="0"/>
    <n v="0.20977065767284991"/>
  </r>
  <r>
    <n v="736"/>
    <d v="2023-11-17T00:00:00"/>
    <x v="1"/>
    <x v="3"/>
    <x v="4"/>
    <x v="0"/>
    <n v="6"/>
    <n v="778"/>
    <n v="0"/>
    <n v="4668"/>
    <n v="2746.53"/>
    <n v="1921.47"/>
    <x v="3"/>
    <x v="1"/>
    <n v="0.41162596401028279"/>
  </r>
  <r>
    <n v="737"/>
    <d v="2024-04-30T00:00:00"/>
    <x v="0"/>
    <x v="3"/>
    <x v="4"/>
    <x v="5"/>
    <n v="7"/>
    <n v="411"/>
    <n v="5"/>
    <n v="2733.15"/>
    <n v="2075.73"/>
    <n v="657.42"/>
    <x v="10"/>
    <x v="0"/>
    <n v="0.24053564568355193"/>
  </r>
  <r>
    <n v="738"/>
    <d v="2024-02-21T00:00:00"/>
    <x v="0"/>
    <x v="1"/>
    <x v="2"/>
    <x v="4"/>
    <n v="8"/>
    <n v="815"/>
    <n v="5"/>
    <n v="6194"/>
    <n v="3802.14"/>
    <n v="2391.86"/>
    <x v="9"/>
    <x v="0"/>
    <n v="0.38615757184371974"/>
  </r>
  <r>
    <n v="739"/>
    <d v="2024-12-20T00:00:00"/>
    <x v="3"/>
    <x v="0"/>
    <x v="1"/>
    <x v="4"/>
    <n v="3"/>
    <n v="835"/>
    <n v="20"/>
    <n v="2004"/>
    <n v="1242.3900000000001"/>
    <n v="761.61"/>
    <x v="6"/>
    <x v="0"/>
    <n v="0.3800449101796407"/>
  </r>
  <r>
    <n v="740"/>
    <d v="2024-12-26T00:00:00"/>
    <x v="0"/>
    <x v="3"/>
    <x v="19"/>
    <x v="0"/>
    <n v="3"/>
    <n v="189"/>
    <n v="15"/>
    <n v="481.95"/>
    <n v="243.5"/>
    <n v="238.45"/>
    <x v="6"/>
    <x v="0"/>
    <n v="0.49476086730988689"/>
  </r>
  <r>
    <n v="741"/>
    <d v="2023-02-27T00:00:00"/>
    <x v="0"/>
    <x v="3"/>
    <x v="4"/>
    <x v="3"/>
    <n v="10"/>
    <n v="758"/>
    <n v="10"/>
    <n v="6822"/>
    <n v="5026.08"/>
    <n v="1795.92"/>
    <x v="9"/>
    <x v="1"/>
    <n v="0.26325417766051012"/>
  </r>
  <r>
    <n v="742"/>
    <d v="2024-11-08T00:00:00"/>
    <x v="1"/>
    <x v="4"/>
    <x v="18"/>
    <x v="1"/>
    <n v="7"/>
    <n v="581"/>
    <n v="15"/>
    <n v="3456.95"/>
    <n v="2308.48"/>
    <n v="1148.47"/>
    <x v="3"/>
    <x v="0"/>
    <n v="0.33222059908300672"/>
  </r>
  <r>
    <n v="743"/>
    <d v="2024-03-25T00:00:00"/>
    <x v="2"/>
    <x v="0"/>
    <x v="0"/>
    <x v="2"/>
    <n v="9"/>
    <n v="539"/>
    <n v="10"/>
    <n v="4365.8999999999996"/>
    <n v="2518.66"/>
    <n v="1847.24"/>
    <x v="8"/>
    <x v="0"/>
    <n v="0.42310634691587079"/>
  </r>
  <r>
    <n v="744"/>
    <d v="2024-12-28T00:00:00"/>
    <x v="1"/>
    <x v="3"/>
    <x v="15"/>
    <x v="3"/>
    <n v="8"/>
    <n v="957"/>
    <n v="15"/>
    <n v="6507.6"/>
    <n v="4624.46"/>
    <n v="1883.14"/>
    <x v="6"/>
    <x v="0"/>
    <n v="0.28937549941606738"/>
  </r>
  <r>
    <n v="745"/>
    <d v="2023-06-16T00:00:00"/>
    <x v="0"/>
    <x v="2"/>
    <x v="6"/>
    <x v="4"/>
    <n v="1"/>
    <n v="883"/>
    <n v="0"/>
    <n v="883"/>
    <n v="690.13"/>
    <n v="192.87"/>
    <x v="4"/>
    <x v="1"/>
    <n v="0.21842582106455266"/>
  </r>
  <r>
    <n v="746"/>
    <d v="2023-11-11T00:00:00"/>
    <x v="0"/>
    <x v="3"/>
    <x v="19"/>
    <x v="0"/>
    <n v="4"/>
    <n v="90"/>
    <n v="0"/>
    <n v="360"/>
    <n v="259.94"/>
    <n v="100.06"/>
    <x v="3"/>
    <x v="1"/>
    <n v="0.27794444444444444"/>
  </r>
  <r>
    <n v="747"/>
    <d v="2023-02-22T00:00:00"/>
    <x v="0"/>
    <x v="1"/>
    <x v="16"/>
    <x v="2"/>
    <n v="6"/>
    <n v="25"/>
    <n v="0"/>
    <n v="150"/>
    <n v="95.97"/>
    <n v="54.03"/>
    <x v="9"/>
    <x v="1"/>
    <n v="0.36020000000000002"/>
  </r>
  <r>
    <n v="748"/>
    <d v="2024-07-02T00:00:00"/>
    <x v="0"/>
    <x v="4"/>
    <x v="8"/>
    <x v="4"/>
    <n v="1"/>
    <n v="247"/>
    <n v="0"/>
    <n v="247"/>
    <n v="179.88"/>
    <n v="67.12"/>
    <x v="5"/>
    <x v="0"/>
    <n v="0.27174089068825913"/>
  </r>
  <r>
    <n v="749"/>
    <d v="2023-02-06T00:00:00"/>
    <x v="2"/>
    <x v="3"/>
    <x v="11"/>
    <x v="3"/>
    <n v="9"/>
    <n v="511"/>
    <n v="5"/>
    <n v="4369.05"/>
    <n v="3065.48"/>
    <n v="1303.57"/>
    <x v="9"/>
    <x v="1"/>
    <n v="0.29836463304379668"/>
  </r>
  <r>
    <n v="750"/>
    <d v="2024-01-01T00:00:00"/>
    <x v="3"/>
    <x v="0"/>
    <x v="13"/>
    <x v="3"/>
    <n v="4"/>
    <n v="116"/>
    <n v="20"/>
    <n v="371.2"/>
    <n v="276.3"/>
    <n v="94.9"/>
    <x v="11"/>
    <x v="0"/>
    <n v="0.25565732758620691"/>
  </r>
  <r>
    <n v="751"/>
    <d v="2023-12-16T00:00:00"/>
    <x v="1"/>
    <x v="4"/>
    <x v="9"/>
    <x v="3"/>
    <n v="9"/>
    <n v="39"/>
    <n v="20"/>
    <n v="280.8"/>
    <n v="150.35"/>
    <n v="130.44999999999999"/>
    <x v="6"/>
    <x v="1"/>
    <n v="0.46456552706552701"/>
  </r>
  <r>
    <n v="752"/>
    <d v="2023-10-03T00:00:00"/>
    <x v="0"/>
    <x v="4"/>
    <x v="14"/>
    <x v="0"/>
    <n v="2"/>
    <n v="518"/>
    <n v="5"/>
    <n v="984.2"/>
    <n v="590.61"/>
    <n v="393.59"/>
    <x v="1"/>
    <x v="1"/>
    <n v="0.39990855517171303"/>
  </r>
  <r>
    <n v="753"/>
    <d v="2023-06-17T00:00:00"/>
    <x v="1"/>
    <x v="1"/>
    <x v="7"/>
    <x v="3"/>
    <n v="6"/>
    <n v="729"/>
    <n v="10"/>
    <n v="3936.6"/>
    <n v="2723.41"/>
    <n v="1213.19"/>
    <x v="4"/>
    <x v="1"/>
    <n v="0.30818218767464312"/>
  </r>
  <r>
    <n v="754"/>
    <d v="2023-11-05T00:00:00"/>
    <x v="1"/>
    <x v="2"/>
    <x v="17"/>
    <x v="5"/>
    <n v="4"/>
    <n v="407"/>
    <n v="0"/>
    <n v="1628"/>
    <n v="917.53"/>
    <n v="710.47"/>
    <x v="3"/>
    <x v="1"/>
    <n v="0.43640663390663392"/>
  </r>
  <r>
    <n v="755"/>
    <d v="2024-11-17T00:00:00"/>
    <x v="2"/>
    <x v="3"/>
    <x v="4"/>
    <x v="2"/>
    <n v="7"/>
    <n v="484"/>
    <n v="5"/>
    <n v="3218.6"/>
    <n v="2216.1"/>
    <n v="1002.5"/>
    <x v="3"/>
    <x v="0"/>
    <n v="0.31147082582489283"/>
  </r>
  <r>
    <n v="756"/>
    <d v="2023-01-29T00:00:00"/>
    <x v="0"/>
    <x v="2"/>
    <x v="10"/>
    <x v="3"/>
    <n v="3"/>
    <n v="113"/>
    <n v="10"/>
    <n v="305.10000000000002"/>
    <n v="223.89"/>
    <n v="81.209999999999994"/>
    <x v="11"/>
    <x v="1"/>
    <n v="0.26617502458210418"/>
  </r>
  <r>
    <n v="757"/>
    <d v="2024-05-14T00:00:00"/>
    <x v="2"/>
    <x v="2"/>
    <x v="3"/>
    <x v="1"/>
    <n v="7"/>
    <n v="557"/>
    <n v="15"/>
    <n v="3314.15"/>
    <n v="2411.75"/>
    <n v="902.4"/>
    <x v="7"/>
    <x v="0"/>
    <n v="0.27228701175263642"/>
  </r>
  <r>
    <n v="758"/>
    <d v="2023-10-06T00:00:00"/>
    <x v="0"/>
    <x v="3"/>
    <x v="11"/>
    <x v="2"/>
    <n v="9"/>
    <n v="235"/>
    <n v="20"/>
    <n v="1692"/>
    <n v="1350.34"/>
    <n v="341.66"/>
    <x v="1"/>
    <x v="1"/>
    <n v="0.20192671394799055"/>
  </r>
  <r>
    <n v="759"/>
    <d v="2023-02-09T00:00:00"/>
    <x v="2"/>
    <x v="3"/>
    <x v="19"/>
    <x v="3"/>
    <n v="5"/>
    <n v="653"/>
    <n v="0"/>
    <n v="3265"/>
    <n v="2609.6"/>
    <n v="655.4"/>
    <x v="9"/>
    <x v="1"/>
    <n v="0.20073506891271056"/>
  </r>
  <r>
    <n v="760"/>
    <d v="2023-08-28T00:00:00"/>
    <x v="2"/>
    <x v="3"/>
    <x v="11"/>
    <x v="5"/>
    <n v="7"/>
    <n v="570"/>
    <n v="0"/>
    <n v="3990"/>
    <n v="2987.42"/>
    <n v="1002.58"/>
    <x v="2"/>
    <x v="1"/>
    <n v="0.25127318295739348"/>
  </r>
  <r>
    <n v="761"/>
    <d v="2023-04-09T00:00:00"/>
    <x v="2"/>
    <x v="4"/>
    <x v="18"/>
    <x v="3"/>
    <n v="7"/>
    <n v="497"/>
    <n v="20"/>
    <n v="2783.2"/>
    <n v="1763.53"/>
    <n v="1019.67"/>
    <x v="10"/>
    <x v="1"/>
    <n v="0.36636605346363899"/>
  </r>
  <r>
    <n v="762"/>
    <d v="2023-07-27T00:00:00"/>
    <x v="3"/>
    <x v="1"/>
    <x v="7"/>
    <x v="3"/>
    <n v="3"/>
    <n v="496"/>
    <n v="10"/>
    <n v="1339.2"/>
    <n v="919.43"/>
    <n v="419.77"/>
    <x v="5"/>
    <x v="1"/>
    <n v="0.31344832735961764"/>
  </r>
  <r>
    <n v="763"/>
    <d v="2024-07-10T00:00:00"/>
    <x v="3"/>
    <x v="0"/>
    <x v="12"/>
    <x v="0"/>
    <n v="5"/>
    <n v="622"/>
    <n v="15"/>
    <n v="2643.5"/>
    <n v="1351.42"/>
    <n v="1292.08"/>
    <x v="5"/>
    <x v="0"/>
    <n v="0.48877624361641758"/>
  </r>
  <r>
    <n v="764"/>
    <d v="2023-06-12T00:00:00"/>
    <x v="0"/>
    <x v="0"/>
    <x v="1"/>
    <x v="0"/>
    <n v="5"/>
    <n v="183"/>
    <n v="10"/>
    <n v="823.5"/>
    <n v="602.6"/>
    <n v="220.9"/>
    <x v="4"/>
    <x v="1"/>
    <n v="0.26824529447480266"/>
  </r>
  <r>
    <n v="765"/>
    <d v="2024-04-05T00:00:00"/>
    <x v="1"/>
    <x v="1"/>
    <x v="2"/>
    <x v="1"/>
    <n v="1"/>
    <n v="586"/>
    <n v="15"/>
    <n v="498.1"/>
    <n v="378.33"/>
    <n v="119.77"/>
    <x v="10"/>
    <x v="0"/>
    <n v="0.24045372415177674"/>
  </r>
  <r>
    <n v="766"/>
    <d v="2023-12-13T00:00:00"/>
    <x v="3"/>
    <x v="1"/>
    <x v="2"/>
    <x v="2"/>
    <n v="5"/>
    <n v="394"/>
    <n v="20"/>
    <n v="1576"/>
    <n v="1059.83"/>
    <n v="516.16999999999996"/>
    <x v="6"/>
    <x v="1"/>
    <n v="0.32751903553299488"/>
  </r>
  <r>
    <n v="767"/>
    <d v="2023-05-03T00:00:00"/>
    <x v="2"/>
    <x v="4"/>
    <x v="9"/>
    <x v="5"/>
    <n v="4"/>
    <n v="32"/>
    <n v="0"/>
    <n v="128"/>
    <n v="72.010000000000005"/>
    <n v="55.99"/>
    <x v="7"/>
    <x v="1"/>
    <n v="0.43742187500000002"/>
  </r>
  <r>
    <n v="768"/>
    <d v="2023-06-22T00:00:00"/>
    <x v="0"/>
    <x v="3"/>
    <x v="19"/>
    <x v="2"/>
    <n v="2"/>
    <n v="88"/>
    <n v="0"/>
    <n v="176"/>
    <n v="100.74"/>
    <n v="75.260000000000005"/>
    <x v="4"/>
    <x v="1"/>
    <n v="0.42761363636363642"/>
  </r>
  <r>
    <n v="769"/>
    <d v="2024-11-15T00:00:00"/>
    <x v="2"/>
    <x v="1"/>
    <x v="16"/>
    <x v="0"/>
    <n v="8"/>
    <n v="931"/>
    <n v="5"/>
    <n v="7075.6"/>
    <n v="4142.1099999999997"/>
    <n v="2933.49"/>
    <x v="3"/>
    <x v="0"/>
    <n v="0.41459240205777598"/>
  </r>
  <r>
    <n v="770"/>
    <d v="2023-12-26T00:00:00"/>
    <x v="1"/>
    <x v="2"/>
    <x v="10"/>
    <x v="5"/>
    <n v="8"/>
    <n v="389"/>
    <n v="0"/>
    <n v="3112"/>
    <n v="1787.29"/>
    <n v="1324.71"/>
    <x v="6"/>
    <x v="1"/>
    <n v="0.42567802056555271"/>
  </r>
  <r>
    <n v="771"/>
    <d v="2024-11-14T00:00:00"/>
    <x v="1"/>
    <x v="4"/>
    <x v="8"/>
    <x v="4"/>
    <n v="2"/>
    <n v="821"/>
    <n v="10"/>
    <n v="1477.8"/>
    <n v="805.79"/>
    <n v="672.01"/>
    <x v="3"/>
    <x v="0"/>
    <n v="0.45473677087562592"/>
  </r>
  <r>
    <n v="772"/>
    <d v="2023-11-16T00:00:00"/>
    <x v="3"/>
    <x v="3"/>
    <x v="4"/>
    <x v="5"/>
    <n v="1"/>
    <n v="689"/>
    <n v="5"/>
    <n v="654.54999999999995"/>
    <n v="443.79"/>
    <n v="210.76"/>
    <x v="3"/>
    <x v="1"/>
    <n v="0.32199220838744175"/>
  </r>
  <r>
    <n v="773"/>
    <d v="2023-10-17T00:00:00"/>
    <x v="2"/>
    <x v="1"/>
    <x v="5"/>
    <x v="2"/>
    <n v="8"/>
    <n v="930"/>
    <n v="10"/>
    <n v="6696"/>
    <n v="5259.99"/>
    <n v="1436.01"/>
    <x v="1"/>
    <x v="1"/>
    <n v="0.21445788530465951"/>
  </r>
  <r>
    <n v="774"/>
    <d v="2024-11-13T00:00:00"/>
    <x v="1"/>
    <x v="1"/>
    <x v="16"/>
    <x v="0"/>
    <n v="1"/>
    <n v="283"/>
    <n v="20"/>
    <n v="226.4"/>
    <n v="127.8"/>
    <n v="98.6"/>
    <x v="3"/>
    <x v="0"/>
    <n v="0.43551236749116606"/>
  </r>
  <r>
    <n v="775"/>
    <d v="2023-07-02T00:00:00"/>
    <x v="2"/>
    <x v="3"/>
    <x v="4"/>
    <x v="3"/>
    <n v="2"/>
    <n v="272"/>
    <n v="15"/>
    <n v="462.4"/>
    <n v="292.31"/>
    <n v="170.09"/>
    <x v="5"/>
    <x v="1"/>
    <n v="0.36784169550173013"/>
  </r>
  <r>
    <n v="776"/>
    <d v="2024-08-10T00:00:00"/>
    <x v="0"/>
    <x v="2"/>
    <x v="6"/>
    <x v="1"/>
    <n v="10"/>
    <n v="838"/>
    <n v="15"/>
    <n v="7123"/>
    <n v="4004.45"/>
    <n v="3118.55"/>
    <x v="2"/>
    <x v="0"/>
    <n v="0.43781412326267027"/>
  </r>
  <r>
    <n v="777"/>
    <d v="2023-02-13T00:00:00"/>
    <x v="0"/>
    <x v="4"/>
    <x v="8"/>
    <x v="1"/>
    <n v="7"/>
    <n v="611"/>
    <n v="10"/>
    <n v="3849.3"/>
    <n v="2214.31"/>
    <n v="1634.99"/>
    <x v="9"/>
    <x v="1"/>
    <n v="0.42474995453718856"/>
  </r>
  <r>
    <n v="778"/>
    <d v="2023-01-05T00:00:00"/>
    <x v="0"/>
    <x v="3"/>
    <x v="15"/>
    <x v="5"/>
    <n v="3"/>
    <n v="419"/>
    <n v="0"/>
    <n v="1257"/>
    <n v="743.83"/>
    <n v="513.16999999999996"/>
    <x v="11"/>
    <x v="1"/>
    <n v="0.40824980111376291"/>
  </r>
  <r>
    <n v="779"/>
    <d v="2024-07-22T00:00:00"/>
    <x v="2"/>
    <x v="0"/>
    <x v="1"/>
    <x v="4"/>
    <n v="3"/>
    <n v="167"/>
    <n v="15"/>
    <n v="425.85"/>
    <n v="228.26"/>
    <n v="197.59"/>
    <x v="5"/>
    <x v="0"/>
    <n v="0.46398966772337674"/>
  </r>
  <r>
    <n v="780"/>
    <d v="2024-01-06T00:00:00"/>
    <x v="2"/>
    <x v="2"/>
    <x v="6"/>
    <x v="0"/>
    <n v="3"/>
    <n v="269"/>
    <n v="15"/>
    <n v="685.95"/>
    <n v="355.17"/>
    <n v="330.78"/>
    <x v="11"/>
    <x v="0"/>
    <n v="0.48222173627815429"/>
  </r>
  <r>
    <n v="781"/>
    <d v="2023-05-15T00:00:00"/>
    <x v="2"/>
    <x v="3"/>
    <x v="4"/>
    <x v="0"/>
    <n v="6"/>
    <n v="541"/>
    <n v="10"/>
    <n v="2921.4"/>
    <n v="2069.66"/>
    <n v="851.74"/>
    <x v="7"/>
    <x v="1"/>
    <n v="0.29155199561853906"/>
  </r>
  <r>
    <n v="782"/>
    <d v="2024-10-12T00:00:00"/>
    <x v="2"/>
    <x v="2"/>
    <x v="17"/>
    <x v="1"/>
    <n v="7"/>
    <n v="318"/>
    <n v="20"/>
    <n v="1780.8"/>
    <n v="1142.96"/>
    <n v="637.84"/>
    <x v="1"/>
    <x v="0"/>
    <n v="0.35817610062893085"/>
  </r>
  <r>
    <n v="783"/>
    <d v="2023-02-01T00:00:00"/>
    <x v="2"/>
    <x v="2"/>
    <x v="10"/>
    <x v="4"/>
    <n v="2"/>
    <n v="338"/>
    <n v="15"/>
    <n v="574.6"/>
    <n v="350.16"/>
    <n v="224.44"/>
    <x v="9"/>
    <x v="1"/>
    <n v="0.39060215802297249"/>
  </r>
  <r>
    <n v="784"/>
    <d v="2023-01-29T00:00:00"/>
    <x v="0"/>
    <x v="1"/>
    <x v="16"/>
    <x v="0"/>
    <n v="8"/>
    <n v="757"/>
    <n v="5"/>
    <n v="5753.2"/>
    <n v="3753.69"/>
    <n v="1999.51"/>
    <x v="11"/>
    <x v="1"/>
    <n v="0.34754745185288188"/>
  </r>
  <r>
    <n v="785"/>
    <d v="2023-04-18T00:00:00"/>
    <x v="1"/>
    <x v="3"/>
    <x v="15"/>
    <x v="2"/>
    <n v="4"/>
    <n v="783"/>
    <n v="5"/>
    <n v="2975.4"/>
    <n v="2140.9699999999998"/>
    <n v="834.43"/>
    <x v="10"/>
    <x v="1"/>
    <n v="0.28044296565167703"/>
  </r>
  <r>
    <n v="786"/>
    <d v="2024-04-16T00:00:00"/>
    <x v="0"/>
    <x v="2"/>
    <x v="3"/>
    <x v="3"/>
    <n v="5"/>
    <n v="437"/>
    <n v="10"/>
    <n v="1966.5"/>
    <n v="1319.27"/>
    <n v="647.23"/>
    <x v="10"/>
    <x v="0"/>
    <n v="0.32912789219425376"/>
  </r>
  <r>
    <n v="787"/>
    <d v="2024-01-30T00:00:00"/>
    <x v="3"/>
    <x v="2"/>
    <x v="17"/>
    <x v="5"/>
    <n v="4"/>
    <n v="95"/>
    <n v="0"/>
    <n v="380"/>
    <n v="196.72"/>
    <n v="183.28"/>
    <x v="11"/>
    <x v="0"/>
    <n v="0.4823157894736842"/>
  </r>
  <r>
    <n v="788"/>
    <d v="2023-11-09T00:00:00"/>
    <x v="3"/>
    <x v="2"/>
    <x v="3"/>
    <x v="1"/>
    <n v="9"/>
    <n v="368"/>
    <n v="10"/>
    <n v="2980.8"/>
    <n v="1611.71"/>
    <n v="1369.09"/>
    <x v="3"/>
    <x v="1"/>
    <n v="0.45930287171229195"/>
  </r>
  <r>
    <n v="789"/>
    <d v="2023-04-04T00:00:00"/>
    <x v="0"/>
    <x v="4"/>
    <x v="14"/>
    <x v="0"/>
    <n v="7"/>
    <n v="82"/>
    <n v="5"/>
    <n v="545.29999999999995"/>
    <n v="356.86"/>
    <n v="188.44"/>
    <x v="10"/>
    <x v="1"/>
    <n v="0.34557124518613608"/>
  </r>
  <r>
    <n v="790"/>
    <d v="2023-08-02T00:00:00"/>
    <x v="2"/>
    <x v="4"/>
    <x v="9"/>
    <x v="2"/>
    <n v="3"/>
    <n v="748"/>
    <n v="20"/>
    <n v="1795.2"/>
    <n v="1056.5999999999999"/>
    <n v="738.6"/>
    <x v="2"/>
    <x v="1"/>
    <n v="0.41143048128342247"/>
  </r>
  <r>
    <n v="791"/>
    <d v="2024-06-15T00:00:00"/>
    <x v="1"/>
    <x v="2"/>
    <x v="6"/>
    <x v="0"/>
    <n v="5"/>
    <n v="613"/>
    <n v="15"/>
    <n v="2605.25"/>
    <n v="1340.16"/>
    <n v="1265.0899999999999"/>
    <x v="4"/>
    <x v="0"/>
    <n v="0.48559255349774488"/>
  </r>
  <r>
    <n v="792"/>
    <d v="2023-09-12T00:00:00"/>
    <x v="0"/>
    <x v="3"/>
    <x v="4"/>
    <x v="0"/>
    <n v="8"/>
    <n v="292"/>
    <n v="10"/>
    <n v="2102.4"/>
    <n v="1313.76"/>
    <n v="788.64"/>
    <x v="0"/>
    <x v="1"/>
    <n v="0.37511415525114156"/>
  </r>
  <r>
    <n v="793"/>
    <d v="2023-01-15T00:00:00"/>
    <x v="2"/>
    <x v="1"/>
    <x v="7"/>
    <x v="5"/>
    <n v="6"/>
    <n v="991"/>
    <n v="0"/>
    <n v="5946"/>
    <n v="3234.54"/>
    <n v="2711.46"/>
    <x v="11"/>
    <x v="1"/>
    <n v="0.45601412714429868"/>
  </r>
  <r>
    <n v="794"/>
    <d v="2023-05-22T00:00:00"/>
    <x v="2"/>
    <x v="0"/>
    <x v="0"/>
    <x v="0"/>
    <n v="4"/>
    <n v="493"/>
    <n v="0"/>
    <n v="1972"/>
    <n v="1088.92"/>
    <n v="883.08"/>
    <x v="7"/>
    <x v="1"/>
    <n v="0.44780933062880329"/>
  </r>
  <r>
    <n v="795"/>
    <d v="2024-07-07T00:00:00"/>
    <x v="0"/>
    <x v="1"/>
    <x v="5"/>
    <x v="2"/>
    <n v="6"/>
    <n v="915"/>
    <n v="0"/>
    <n v="5490"/>
    <n v="2802.85"/>
    <n v="2687.15"/>
    <x v="5"/>
    <x v="0"/>
    <n v="0.48946265938069217"/>
  </r>
  <r>
    <n v="796"/>
    <d v="2023-04-30T00:00:00"/>
    <x v="3"/>
    <x v="2"/>
    <x v="3"/>
    <x v="1"/>
    <n v="3"/>
    <n v="49"/>
    <n v="5"/>
    <n v="139.65"/>
    <n v="107.03"/>
    <n v="32.619999999999997"/>
    <x v="10"/>
    <x v="1"/>
    <n v="0.23358395989974934"/>
  </r>
  <r>
    <n v="797"/>
    <d v="2024-09-15T00:00:00"/>
    <x v="2"/>
    <x v="4"/>
    <x v="14"/>
    <x v="3"/>
    <n v="3"/>
    <n v="855"/>
    <n v="5"/>
    <n v="2436.75"/>
    <n v="1939.06"/>
    <n v="497.69"/>
    <x v="0"/>
    <x v="0"/>
    <n v="0.20424335693033754"/>
  </r>
  <r>
    <n v="798"/>
    <d v="2023-08-13T00:00:00"/>
    <x v="3"/>
    <x v="1"/>
    <x v="16"/>
    <x v="3"/>
    <n v="10"/>
    <n v="931"/>
    <n v="10"/>
    <n v="8379"/>
    <n v="5663.91"/>
    <n v="2715.09"/>
    <x v="2"/>
    <x v="1"/>
    <n v="0.32403508771929829"/>
  </r>
  <r>
    <n v="799"/>
    <d v="2023-04-01T00:00:00"/>
    <x v="2"/>
    <x v="2"/>
    <x v="17"/>
    <x v="1"/>
    <n v="4"/>
    <n v="298"/>
    <n v="15"/>
    <n v="1013.2"/>
    <n v="787.91"/>
    <n v="225.29"/>
    <x v="10"/>
    <x v="1"/>
    <n v="0.22235491512041056"/>
  </r>
  <r>
    <n v="800"/>
    <d v="2023-08-01T00:00:00"/>
    <x v="3"/>
    <x v="1"/>
    <x v="16"/>
    <x v="4"/>
    <n v="3"/>
    <n v="252"/>
    <n v="0"/>
    <n v="756"/>
    <n v="456.34"/>
    <n v="299.66000000000003"/>
    <x v="2"/>
    <x v="1"/>
    <n v="0.39637566137566138"/>
  </r>
  <r>
    <n v="801"/>
    <d v="2024-11-28T00:00:00"/>
    <x v="2"/>
    <x v="1"/>
    <x v="2"/>
    <x v="1"/>
    <n v="4"/>
    <n v="786"/>
    <n v="15"/>
    <n v="2672.4"/>
    <n v="1395.84"/>
    <n v="1276.56"/>
    <x v="3"/>
    <x v="0"/>
    <n v="0.47768298158958233"/>
  </r>
  <r>
    <n v="802"/>
    <d v="2024-05-31T00:00:00"/>
    <x v="1"/>
    <x v="0"/>
    <x v="13"/>
    <x v="3"/>
    <n v="10"/>
    <n v="967"/>
    <n v="15"/>
    <n v="8219.5"/>
    <n v="5106.91"/>
    <n v="3112.59"/>
    <x v="7"/>
    <x v="0"/>
    <n v="0.37868361822495289"/>
  </r>
  <r>
    <n v="803"/>
    <d v="2024-12-25T00:00:00"/>
    <x v="3"/>
    <x v="3"/>
    <x v="4"/>
    <x v="2"/>
    <n v="8"/>
    <n v="821"/>
    <n v="15"/>
    <n v="5582.8"/>
    <n v="3933.79"/>
    <n v="1649.01"/>
    <x v="6"/>
    <x v="0"/>
    <n v="0.29537328938883711"/>
  </r>
  <r>
    <n v="804"/>
    <d v="2023-04-26T00:00:00"/>
    <x v="0"/>
    <x v="2"/>
    <x v="6"/>
    <x v="4"/>
    <n v="5"/>
    <n v="740"/>
    <n v="5"/>
    <n v="3515"/>
    <n v="2171.44"/>
    <n v="1343.56"/>
    <x v="10"/>
    <x v="1"/>
    <n v="0.3822361308677098"/>
  </r>
  <r>
    <n v="805"/>
    <d v="2024-08-05T00:00:00"/>
    <x v="0"/>
    <x v="4"/>
    <x v="9"/>
    <x v="2"/>
    <n v="6"/>
    <n v="914"/>
    <n v="0"/>
    <n v="5484"/>
    <n v="3986.74"/>
    <n v="1497.26"/>
    <x v="2"/>
    <x v="0"/>
    <n v="0.27302334062727934"/>
  </r>
  <r>
    <n v="806"/>
    <d v="2023-04-17T00:00:00"/>
    <x v="0"/>
    <x v="0"/>
    <x v="13"/>
    <x v="0"/>
    <n v="3"/>
    <n v="141"/>
    <n v="0"/>
    <n v="423"/>
    <n v="219.82"/>
    <n v="203.18"/>
    <x v="10"/>
    <x v="1"/>
    <n v="0.48033096926713947"/>
  </r>
  <r>
    <n v="807"/>
    <d v="2024-02-23T00:00:00"/>
    <x v="0"/>
    <x v="1"/>
    <x v="7"/>
    <x v="0"/>
    <n v="1"/>
    <n v="770"/>
    <n v="10"/>
    <n v="693"/>
    <n v="400.37"/>
    <n v="292.63"/>
    <x v="9"/>
    <x v="0"/>
    <n v="0.42226551226551223"/>
  </r>
  <r>
    <n v="808"/>
    <d v="2023-11-05T00:00:00"/>
    <x v="2"/>
    <x v="1"/>
    <x v="2"/>
    <x v="4"/>
    <n v="9"/>
    <n v="137"/>
    <n v="10"/>
    <n v="1109.7"/>
    <n v="754.24"/>
    <n v="355.46"/>
    <x v="3"/>
    <x v="1"/>
    <n v="0.32032080742543029"/>
  </r>
  <r>
    <n v="809"/>
    <d v="2023-09-03T00:00:00"/>
    <x v="1"/>
    <x v="0"/>
    <x v="1"/>
    <x v="1"/>
    <n v="5"/>
    <n v="992"/>
    <n v="20"/>
    <n v="3968"/>
    <n v="2756.08"/>
    <n v="1211.92"/>
    <x v="0"/>
    <x v="1"/>
    <n v="0.30542338709677419"/>
  </r>
  <r>
    <n v="810"/>
    <d v="2024-06-11T00:00:00"/>
    <x v="0"/>
    <x v="1"/>
    <x v="2"/>
    <x v="5"/>
    <n v="8"/>
    <n v="44"/>
    <n v="15"/>
    <n v="299.2"/>
    <n v="232.93"/>
    <n v="66.27"/>
    <x v="4"/>
    <x v="0"/>
    <n v="0.22149064171122995"/>
  </r>
  <r>
    <n v="811"/>
    <d v="2024-01-16T00:00:00"/>
    <x v="1"/>
    <x v="1"/>
    <x v="7"/>
    <x v="4"/>
    <n v="7"/>
    <n v="795"/>
    <n v="5"/>
    <n v="5286.75"/>
    <n v="4175.2"/>
    <n v="1111.55"/>
    <x v="11"/>
    <x v="0"/>
    <n v="0.21025204520735802"/>
  </r>
  <r>
    <n v="812"/>
    <d v="2024-09-05T00:00:00"/>
    <x v="0"/>
    <x v="1"/>
    <x v="16"/>
    <x v="1"/>
    <n v="6"/>
    <n v="312"/>
    <n v="20"/>
    <n v="1497.6"/>
    <n v="913"/>
    <n v="584.6"/>
    <x v="0"/>
    <x v="0"/>
    <n v="0.39035790598290604"/>
  </r>
  <r>
    <n v="813"/>
    <d v="2023-08-06T00:00:00"/>
    <x v="2"/>
    <x v="3"/>
    <x v="11"/>
    <x v="2"/>
    <n v="7"/>
    <n v="242"/>
    <n v="15"/>
    <n v="1439.9"/>
    <n v="872.21"/>
    <n v="567.69000000000005"/>
    <x v="2"/>
    <x v="1"/>
    <n v="0.39425654559344397"/>
  </r>
  <r>
    <n v="814"/>
    <d v="2024-07-26T00:00:00"/>
    <x v="2"/>
    <x v="0"/>
    <x v="12"/>
    <x v="1"/>
    <n v="3"/>
    <n v="482"/>
    <n v="10"/>
    <n v="1301.4000000000001"/>
    <n v="720.14"/>
    <n v="581.26"/>
    <x v="5"/>
    <x v="0"/>
    <n v="0.44664207776240966"/>
  </r>
  <r>
    <n v="815"/>
    <d v="2024-02-02T00:00:00"/>
    <x v="2"/>
    <x v="3"/>
    <x v="15"/>
    <x v="2"/>
    <n v="4"/>
    <n v="400"/>
    <n v="0"/>
    <n v="1600"/>
    <n v="801.49"/>
    <n v="798.51"/>
    <x v="9"/>
    <x v="0"/>
    <n v="0.49906875000000001"/>
  </r>
  <r>
    <n v="816"/>
    <d v="2024-03-21T00:00:00"/>
    <x v="2"/>
    <x v="0"/>
    <x v="13"/>
    <x v="5"/>
    <n v="1"/>
    <n v="88"/>
    <n v="0"/>
    <n v="88"/>
    <n v="66.53"/>
    <n v="21.47"/>
    <x v="8"/>
    <x v="0"/>
    <n v="0.24397727272727271"/>
  </r>
  <r>
    <n v="817"/>
    <d v="2024-05-02T00:00:00"/>
    <x v="0"/>
    <x v="2"/>
    <x v="17"/>
    <x v="5"/>
    <n v="7"/>
    <n v="52"/>
    <n v="0"/>
    <n v="364"/>
    <n v="207.51"/>
    <n v="156.49"/>
    <x v="7"/>
    <x v="0"/>
    <n v="0.42991758241758243"/>
  </r>
  <r>
    <n v="818"/>
    <d v="2024-12-04T00:00:00"/>
    <x v="2"/>
    <x v="0"/>
    <x v="12"/>
    <x v="1"/>
    <n v="9"/>
    <n v="318"/>
    <n v="0"/>
    <n v="2862"/>
    <n v="1495.59"/>
    <n v="1366.41"/>
    <x v="6"/>
    <x v="0"/>
    <n v="0.47743186582809227"/>
  </r>
  <r>
    <n v="819"/>
    <d v="2024-12-18T00:00:00"/>
    <x v="2"/>
    <x v="4"/>
    <x v="14"/>
    <x v="4"/>
    <n v="4"/>
    <n v="773"/>
    <n v="0"/>
    <n v="3092"/>
    <n v="2290.62"/>
    <n v="801.38"/>
    <x v="6"/>
    <x v="0"/>
    <n v="0.25917852522639068"/>
  </r>
  <r>
    <n v="820"/>
    <d v="2024-05-15T00:00:00"/>
    <x v="0"/>
    <x v="3"/>
    <x v="19"/>
    <x v="4"/>
    <n v="9"/>
    <n v="312"/>
    <n v="5"/>
    <n v="2667.6"/>
    <n v="1624.42"/>
    <n v="1043.18"/>
    <x v="7"/>
    <x v="0"/>
    <n v="0.3910556305293148"/>
  </r>
  <r>
    <n v="821"/>
    <d v="2024-08-11T00:00:00"/>
    <x v="3"/>
    <x v="0"/>
    <x v="12"/>
    <x v="1"/>
    <n v="4"/>
    <n v="472"/>
    <n v="10"/>
    <n v="1699.2"/>
    <n v="1055.19"/>
    <n v="644.01"/>
    <x v="2"/>
    <x v="0"/>
    <n v="0.3790077683615819"/>
  </r>
  <r>
    <n v="822"/>
    <d v="2023-01-27T00:00:00"/>
    <x v="0"/>
    <x v="1"/>
    <x v="7"/>
    <x v="1"/>
    <n v="3"/>
    <n v="373"/>
    <n v="10"/>
    <n v="1007.1"/>
    <n v="784.1"/>
    <n v="223"/>
    <x v="11"/>
    <x v="1"/>
    <n v="0.22142786217853241"/>
  </r>
  <r>
    <n v="823"/>
    <d v="2023-10-28T00:00:00"/>
    <x v="3"/>
    <x v="3"/>
    <x v="11"/>
    <x v="1"/>
    <n v="5"/>
    <n v="648"/>
    <n v="15"/>
    <n v="2754"/>
    <n v="2059.12"/>
    <n v="694.88"/>
    <x v="1"/>
    <x v="1"/>
    <n v="0.25231663035584606"/>
  </r>
  <r>
    <n v="824"/>
    <d v="2024-07-13T00:00:00"/>
    <x v="2"/>
    <x v="2"/>
    <x v="17"/>
    <x v="2"/>
    <n v="8"/>
    <n v="31"/>
    <n v="15"/>
    <n v="210.8"/>
    <n v="135.03"/>
    <n v="75.77"/>
    <x v="5"/>
    <x v="0"/>
    <n v="0.35944022770398476"/>
  </r>
  <r>
    <n v="825"/>
    <d v="2023-12-10T00:00:00"/>
    <x v="3"/>
    <x v="1"/>
    <x v="2"/>
    <x v="0"/>
    <n v="2"/>
    <n v="159"/>
    <n v="5"/>
    <n v="302.10000000000002"/>
    <n v="188.66"/>
    <n v="113.44"/>
    <x v="6"/>
    <x v="1"/>
    <n v="0.37550479973518697"/>
  </r>
  <r>
    <n v="826"/>
    <d v="2024-08-15T00:00:00"/>
    <x v="2"/>
    <x v="4"/>
    <x v="18"/>
    <x v="4"/>
    <n v="4"/>
    <n v="708"/>
    <n v="20"/>
    <n v="2265.6"/>
    <n v="1280.08"/>
    <n v="985.52"/>
    <x v="2"/>
    <x v="0"/>
    <n v="0.43499293785310733"/>
  </r>
  <r>
    <n v="827"/>
    <d v="2024-01-13T00:00:00"/>
    <x v="1"/>
    <x v="4"/>
    <x v="14"/>
    <x v="2"/>
    <n v="5"/>
    <n v="243"/>
    <n v="0"/>
    <n v="1215"/>
    <n v="876.59"/>
    <n v="338.41"/>
    <x v="11"/>
    <x v="0"/>
    <n v="0.27852674897119345"/>
  </r>
  <r>
    <n v="828"/>
    <d v="2023-12-27T00:00:00"/>
    <x v="3"/>
    <x v="0"/>
    <x v="12"/>
    <x v="5"/>
    <n v="7"/>
    <n v="156"/>
    <n v="5"/>
    <n v="1037.4000000000001"/>
    <n v="590.35"/>
    <n v="447.05"/>
    <x v="6"/>
    <x v="1"/>
    <n v="0.43093310198573354"/>
  </r>
  <r>
    <n v="829"/>
    <d v="2023-03-27T00:00:00"/>
    <x v="2"/>
    <x v="4"/>
    <x v="14"/>
    <x v="4"/>
    <n v="6"/>
    <n v="48"/>
    <n v="10"/>
    <n v="259.2"/>
    <n v="139.34"/>
    <n v="119.86"/>
    <x v="8"/>
    <x v="1"/>
    <n v="0.46242283950617286"/>
  </r>
  <r>
    <n v="830"/>
    <d v="2024-05-26T00:00:00"/>
    <x v="0"/>
    <x v="0"/>
    <x v="12"/>
    <x v="4"/>
    <n v="9"/>
    <n v="720"/>
    <n v="5"/>
    <n v="6156"/>
    <n v="4303.0600000000004"/>
    <n v="1852.94"/>
    <x v="7"/>
    <x v="0"/>
    <n v="0.30099740090968163"/>
  </r>
  <r>
    <n v="831"/>
    <d v="2023-11-23T00:00:00"/>
    <x v="1"/>
    <x v="4"/>
    <x v="14"/>
    <x v="3"/>
    <n v="9"/>
    <n v="699"/>
    <n v="15"/>
    <n v="5347.35"/>
    <n v="3296.24"/>
    <n v="2051.11"/>
    <x v="3"/>
    <x v="1"/>
    <n v="0.38357504184315594"/>
  </r>
  <r>
    <n v="832"/>
    <d v="2023-08-05T00:00:00"/>
    <x v="2"/>
    <x v="2"/>
    <x v="3"/>
    <x v="3"/>
    <n v="10"/>
    <n v="686"/>
    <n v="20"/>
    <n v="5488"/>
    <n v="3817.82"/>
    <n v="1670.18"/>
    <x v="2"/>
    <x v="1"/>
    <n v="0.30433309037900874"/>
  </r>
  <r>
    <n v="833"/>
    <d v="2024-10-28T00:00:00"/>
    <x v="1"/>
    <x v="2"/>
    <x v="3"/>
    <x v="4"/>
    <n v="9"/>
    <n v="930"/>
    <n v="5"/>
    <n v="7951.5"/>
    <n v="5837.45"/>
    <n v="2114.0500000000002"/>
    <x v="1"/>
    <x v="0"/>
    <n v="0.26586807520593603"/>
  </r>
  <r>
    <n v="834"/>
    <d v="2023-11-24T00:00:00"/>
    <x v="1"/>
    <x v="3"/>
    <x v="11"/>
    <x v="0"/>
    <n v="7"/>
    <n v="49"/>
    <n v="5"/>
    <n v="325.85000000000002"/>
    <n v="233.38"/>
    <n v="92.47"/>
    <x v="3"/>
    <x v="1"/>
    <n v="0.28378088077336194"/>
  </r>
  <r>
    <n v="835"/>
    <d v="2023-01-19T00:00:00"/>
    <x v="3"/>
    <x v="0"/>
    <x v="12"/>
    <x v="2"/>
    <n v="7"/>
    <n v="123"/>
    <n v="10"/>
    <n v="774.9"/>
    <n v="452.57"/>
    <n v="322.33"/>
    <x v="11"/>
    <x v="1"/>
    <n v="0.41596335010969154"/>
  </r>
  <r>
    <n v="836"/>
    <d v="2024-04-23T00:00:00"/>
    <x v="3"/>
    <x v="2"/>
    <x v="6"/>
    <x v="4"/>
    <n v="5"/>
    <n v="634"/>
    <n v="15"/>
    <n v="2694.5"/>
    <n v="1794.97"/>
    <n v="899.53"/>
    <x v="10"/>
    <x v="0"/>
    <n v="0.33383930228242714"/>
  </r>
  <r>
    <n v="837"/>
    <d v="2023-05-17T00:00:00"/>
    <x v="2"/>
    <x v="0"/>
    <x v="0"/>
    <x v="0"/>
    <n v="8"/>
    <n v="511"/>
    <n v="5"/>
    <n v="3883.6"/>
    <n v="2496.73"/>
    <n v="1386.87"/>
    <x v="7"/>
    <x v="1"/>
    <n v="0.35710938304665774"/>
  </r>
  <r>
    <n v="838"/>
    <d v="2024-06-17T00:00:00"/>
    <x v="2"/>
    <x v="3"/>
    <x v="15"/>
    <x v="4"/>
    <n v="3"/>
    <n v="721"/>
    <n v="0"/>
    <n v="2163"/>
    <n v="1130.5899999999999"/>
    <n v="1032.4100000000001"/>
    <x v="4"/>
    <x v="0"/>
    <n v="0.4773046694405918"/>
  </r>
  <r>
    <n v="839"/>
    <d v="2024-04-20T00:00:00"/>
    <x v="1"/>
    <x v="3"/>
    <x v="19"/>
    <x v="3"/>
    <n v="2"/>
    <n v="133"/>
    <n v="20"/>
    <n v="212.8"/>
    <n v="167.69"/>
    <n v="45.11"/>
    <x v="10"/>
    <x v="0"/>
    <n v="0.21198308270676691"/>
  </r>
  <r>
    <n v="840"/>
    <d v="2024-07-21T00:00:00"/>
    <x v="0"/>
    <x v="1"/>
    <x v="2"/>
    <x v="5"/>
    <n v="8"/>
    <n v="423"/>
    <n v="5"/>
    <n v="3214.8"/>
    <n v="2521.89"/>
    <n v="692.91"/>
    <x v="5"/>
    <x v="0"/>
    <n v="0.21553751399776033"/>
  </r>
  <r>
    <n v="841"/>
    <d v="2024-06-06T00:00:00"/>
    <x v="2"/>
    <x v="2"/>
    <x v="10"/>
    <x v="2"/>
    <n v="4"/>
    <n v="687"/>
    <n v="5"/>
    <n v="2610.6"/>
    <n v="1810.79"/>
    <n v="799.81"/>
    <x v="4"/>
    <x v="0"/>
    <n v="0.30637018309967057"/>
  </r>
  <r>
    <n v="842"/>
    <d v="2023-09-13T00:00:00"/>
    <x v="3"/>
    <x v="3"/>
    <x v="19"/>
    <x v="1"/>
    <n v="2"/>
    <n v="140"/>
    <n v="15"/>
    <n v="238"/>
    <n v="125"/>
    <n v="113"/>
    <x v="0"/>
    <x v="1"/>
    <n v="0.47478991596638653"/>
  </r>
  <r>
    <n v="843"/>
    <d v="2023-09-30T00:00:00"/>
    <x v="1"/>
    <x v="4"/>
    <x v="14"/>
    <x v="5"/>
    <n v="7"/>
    <n v="502"/>
    <n v="20"/>
    <n v="2811.2"/>
    <n v="1741.43"/>
    <n v="1069.77"/>
    <x v="0"/>
    <x v="1"/>
    <n v="0.38053856004553216"/>
  </r>
  <r>
    <n v="844"/>
    <d v="2023-10-30T00:00:00"/>
    <x v="3"/>
    <x v="0"/>
    <x v="0"/>
    <x v="5"/>
    <n v="4"/>
    <n v="146"/>
    <n v="5"/>
    <n v="554.79999999999995"/>
    <n v="312.01"/>
    <n v="242.79"/>
    <x v="1"/>
    <x v="1"/>
    <n v="0.43761715933669793"/>
  </r>
  <r>
    <n v="845"/>
    <d v="2024-04-06T00:00:00"/>
    <x v="2"/>
    <x v="0"/>
    <x v="1"/>
    <x v="0"/>
    <n v="4"/>
    <n v="948"/>
    <n v="0"/>
    <n v="3792"/>
    <n v="2022.83"/>
    <n v="1769.17"/>
    <x v="10"/>
    <x v="0"/>
    <n v="0.4665532700421941"/>
  </r>
  <r>
    <n v="846"/>
    <d v="2023-06-26T00:00:00"/>
    <x v="2"/>
    <x v="0"/>
    <x v="0"/>
    <x v="1"/>
    <n v="6"/>
    <n v="153"/>
    <n v="5"/>
    <n v="872.1"/>
    <n v="646.26"/>
    <n v="225.84"/>
    <x v="4"/>
    <x v="1"/>
    <n v="0.25896112831097351"/>
  </r>
  <r>
    <n v="847"/>
    <d v="2023-07-10T00:00:00"/>
    <x v="3"/>
    <x v="3"/>
    <x v="11"/>
    <x v="4"/>
    <n v="2"/>
    <n v="247"/>
    <n v="5"/>
    <n v="469.3"/>
    <n v="320.99"/>
    <n v="148.31"/>
    <x v="5"/>
    <x v="1"/>
    <n v="0.31602386533134458"/>
  </r>
  <r>
    <n v="848"/>
    <d v="2023-03-23T00:00:00"/>
    <x v="0"/>
    <x v="0"/>
    <x v="13"/>
    <x v="2"/>
    <n v="9"/>
    <n v="145"/>
    <n v="0"/>
    <n v="1305"/>
    <n v="727.42"/>
    <n v="577.58000000000004"/>
    <x v="8"/>
    <x v="1"/>
    <n v="0.44259003831417626"/>
  </r>
  <r>
    <n v="849"/>
    <d v="2024-08-01T00:00:00"/>
    <x v="2"/>
    <x v="1"/>
    <x v="16"/>
    <x v="2"/>
    <n v="3"/>
    <n v="766"/>
    <n v="0"/>
    <n v="2298"/>
    <n v="1639.28"/>
    <n v="658.72"/>
    <x v="2"/>
    <x v="0"/>
    <n v="0.28664926022628373"/>
  </r>
  <r>
    <n v="850"/>
    <d v="2024-11-03T00:00:00"/>
    <x v="1"/>
    <x v="3"/>
    <x v="11"/>
    <x v="2"/>
    <n v="1"/>
    <n v="551"/>
    <n v="15"/>
    <n v="468.35"/>
    <n v="283.77"/>
    <n v="184.58"/>
    <x v="3"/>
    <x v="0"/>
    <n v="0.39410697128216077"/>
  </r>
  <r>
    <n v="851"/>
    <d v="2024-09-11T00:00:00"/>
    <x v="1"/>
    <x v="0"/>
    <x v="12"/>
    <x v="5"/>
    <n v="8"/>
    <n v="491"/>
    <n v="10"/>
    <n v="3535.2"/>
    <n v="2777.31"/>
    <n v="757.89"/>
    <x v="0"/>
    <x v="0"/>
    <n v="0.21438391038696539"/>
  </r>
  <r>
    <n v="852"/>
    <d v="2023-09-16T00:00:00"/>
    <x v="0"/>
    <x v="4"/>
    <x v="14"/>
    <x v="3"/>
    <n v="2"/>
    <n v="508"/>
    <n v="0"/>
    <n v="1016"/>
    <n v="728.17"/>
    <n v="287.83"/>
    <x v="0"/>
    <x v="1"/>
    <n v="0.2832972440944882"/>
  </r>
  <r>
    <n v="853"/>
    <d v="2024-07-07T00:00:00"/>
    <x v="1"/>
    <x v="4"/>
    <x v="9"/>
    <x v="3"/>
    <n v="7"/>
    <n v="798"/>
    <n v="15"/>
    <n v="4748.1000000000004"/>
    <n v="3145.15"/>
    <n v="1602.95"/>
    <x v="5"/>
    <x v="0"/>
    <n v="0.33759819717360628"/>
  </r>
  <r>
    <n v="854"/>
    <d v="2023-01-17T00:00:00"/>
    <x v="2"/>
    <x v="4"/>
    <x v="9"/>
    <x v="0"/>
    <n v="8"/>
    <n v="68"/>
    <n v="5"/>
    <n v="516.79999999999995"/>
    <n v="373.25"/>
    <n v="143.55000000000001"/>
    <x v="11"/>
    <x v="1"/>
    <n v="0.27776702786377716"/>
  </r>
  <r>
    <n v="855"/>
    <d v="2023-07-10T00:00:00"/>
    <x v="1"/>
    <x v="2"/>
    <x v="10"/>
    <x v="1"/>
    <n v="7"/>
    <n v="255"/>
    <n v="10"/>
    <n v="1606.5"/>
    <n v="1059.94"/>
    <n v="546.55999999999995"/>
    <x v="5"/>
    <x v="1"/>
    <n v="0.34021786492374723"/>
  </r>
  <r>
    <n v="856"/>
    <d v="2024-03-21T00:00:00"/>
    <x v="2"/>
    <x v="3"/>
    <x v="15"/>
    <x v="2"/>
    <n v="9"/>
    <n v="463"/>
    <n v="5"/>
    <n v="3958.65"/>
    <n v="3083.26"/>
    <n v="875.39"/>
    <x v="8"/>
    <x v="0"/>
    <n v="0.22113346721735944"/>
  </r>
  <r>
    <n v="857"/>
    <d v="2024-04-13T00:00:00"/>
    <x v="3"/>
    <x v="3"/>
    <x v="15"/>
    <x v="1"/>
    <n v="2"/>
    <n v="236"/>
    <n v="15"/>
    <n v="401.2"/>
    <n v="314.27999999999997"/>
    <n v="86.92"/>
    <x v="10"/>
    <x v="0"/>
    <n v="0.21665004985044867"/>
  </r>
  <r>
    <n v="858"/>
    <d v="2023-01-29T00:00:00"/>
    <x v="0"/>
    <x v="4"/>
    <x v="18"/>
    <x v="0"/>
    <n v="1"/>
    <n v="375"/>
    <n v="15"/>
    <n v="318.75"/>
    <n v="175.18"/>
    <n v="143.57"/>
    <x v="11"/>
    <x v="1"/>
    <n v="0.45041568627450979"/>
  </r>
  <r>
    <n v="859"/>
    <d v="2024-09-23T00:00:00"/>
    <x v="3"/>
    <x v="0"/>
    <x v="12"/>
    <x v="5"/>
    <n v="6"/>
    <n v="939"/>
    <n v="10"/>
    <n v="5070.6000000000004"/>
    <n v="3123.39"/>
    <n v="1947.21"/>
    <x v="0"/>
    <x v="0"/>
    <n v="0.38401964264584071"/>
  </r>
  <r>
    <n v="860"/>
    <d v="2024-07-14T00:00:00"/>
    <x v="2"/>
    <x v="3"/>
    <x v="19"/>
    <x v="3"/>
    <n v="7"/>
    <n v="903"/>
    <n v="0"/>
    <n v="6321"/>
    <n v="4047.34"/>
    <n v="2273.66"/>
    <x v="5"/>
    <x v="0"/>
    <n v="0.35969941464958072"/>
  </r>
  <r>
    <n v="861"/>
    <d v="2023-04-10T00:00:00"/>
    <x v="0"/>
    <x v="1"/>
    <x v="16"/>
    <x v="3"/>
    <n v="2"/>
    <n v="893"/>
    <n v="20"/>
    <n v="1428.8"/>
    <n v="895.51"/>
    <n v="533.29"/>
    <x v="10"/>
    <x v="1"/>
    <n v="0.37324328107502797"/>
  </r>
  <r>
    <n v="862"/>
    <d v="2023-09-26T00:00:00"/>
    <x v="3"/>
    <x v="1"/>
    <x v="2"/>
    <x v="2"/>
    <n v="7"/>
    <n v="233"/>
    <n v="15"/>
    <n v="1386.35"/>
    <n v="913.62"/>
    <n v="472.73"/>
    <x v="0"/>
    <x v="1"/>
    <n v="0.34098892775994522"/>
  </r>
  <r>
    <n v="863"/>
    <d v="2024-07-14T00:00:00"/>
    <x v="3"/>
    <x v="3"/>
    <x v="19"/>
    <x v="4"/>
    <n v="2"/>
    <n v="945"/>
    <n v="0"/>
    <n v="1890"/>
    <n v="1197.46"/>
    <n v="692.54"/>
    <x v="5"/>
    <x v="0"/>
    <n v="0.36642328042328043"/>
  </r>
  <r>
    <n v="864"/>
    <d v="2024-09-06T00:00:00"/>
    <x v="0"/>
    <x v="3"/>
    <x v="11"/>
    <x v="1"/>
    <n v="7"/>
    <n v="775"/>
    <n v="20"/>
    <n v="4340"/>
    <n v="2185.67"/>
    <n v="2154.33"/>
    <x v="0"/>
    <x v="0"/>
    <n v="0.49638940092165895"/>
  </r>
  <r>
    <n v="865"/>
    <d v="2024-03-20T00:00:00"/>
    <x v="0"/>
    <x v="3"/>
    <x v="11"/>
    <x v="2"/>
    <n v="5"/>
    <n v="743"/>
    <n v="0"/>
    <n v="3715"/>
    <n v="2271.2199999999998"/>
    <n v="1443.78"/>
    <x v="8"/>
    <x v="0"/>
    <n v="0.38863526244952895"/>
  </r>
  <r>
    <n v="866"/>
    <d v="2024-07-14T00:00:00"/>
    <x v="1"/>
    <x v="3"/>
    <x v="4"/>
    <x v="2"/>
    <n v="8"/>
    <n v="318"/>
    <n v="20"/>
    <n v="2035.2"/>
    <n v="1220.3900000000001"/>
    <n v="814.81"/>
    <x v="5"/>
    <x v="0"/>
    <n v="0.40035868710691819"/>
  </r>
  <r>
    <n v="867"/>
    <d v="2023-06-12T00:00:00"/>
    <x v="0"/>
    <x v="2"/>
    <x v="6"/>
    <x v="3"/>
    <n v="10"/>
    <n v="46"/>
    <n v="10"/>
    <n v="414"/>
    <n v="273.88"/>
    <n v="140.12"/>
    <x v="4"/>
    <x v="1"/>
    <n v="0.33845410628019323"/>
  </r>
  <r>
    <n v="868"/>
    <d v="2023-03-02T00:00:00"/>
    <x v="2"/>
    <x v="0"/>
    <x v="0"/>
    <x v="3"/>
    <n v="3"/>
    <n v="841"/>
    <n v="0"/>
    <n v="2523"/>
    <n v="1592.42"/>
    <n v="930.58"/>
    <x v="8"/>
    <x v="1"/>
    <n v="0.36883868410622278"/>
  </r>
  <r>
    <n v="869"/>
    <d v="2023-02-26T00:00:00"/>
    <x v="1"/>
    <x v="0"/>
    <x v="1"/>
    <x v="2"/>
    <n v="8"/>
    <n v="42"/>
    <n v="10"/>
    <n v="302.39999999999998"/>
    <n v="157.9"/>
    <n v="144.5"/>
    <x v="9"/>
    <x v="1"/>
    <n v="0.4778439153439154"/>
  </r>
  <r>
    <n v="870"/>
    <d v="2023-05-17T00:00:00"/>
    <x v="1"/>
    <x v="0"/>
    <x v="13"/>
    <x v="4"/>
    <n v="1"/>
    <n v="305"/>
    <n v="15"/>
    <n v="259.25"/>
    <n v="173.8"/>
    <n v="85.45"/>
    <x v="7"/>
    <x v="1"/>
    <n v="0.32960462873674062"/>
  </r>
  <r>
    <n v="871"/>
    <d v="2023-05-06T00:00:00"/>
    <x v="3"/>
    <x v="2"/>
    <x v="3"/>
    <x v="5"/>
    <n v="3"/>
    <n v="830"/>
    <n v="5"/>
    <n v="2365.5"/>
    <n v="1864.77"/>
    <n v="500.73"/>
    <x v="7"/>
    <x v="1"/>
    <n v="0.21168040583386177"/>
  </r>
  <r>
    <n v="872"/>
    <d v="2024-04-14T00:00:00"/>
    <x v="0"/>
    <x v="0"/>
    <x v="12"/>
    <x v="1"/>
    <n v="5"/>
    <n v="54"/>
    <n v="15"/>
    <n v="229.5"/>
    <n v="129.52000000000001"/>
    <n v="99.98"/>
    <x v="10"/>
    <x v="0"/>
    <n v="0.43564270152505447"/>
  </r>
  <r>
    <n v="873"/>
    <d v="2024-10-18T00:00:00"/>
    <x v="3"/>
    <x v="3"/>
    <x v="11"/>
    <x v="4"/>
    <n v="9"/>
    <n v="864"/>
    <n v="5"/>
    <n v="7387.2"/>
    <n v="4657.95"/>
    <n v="2729.25"/>
    <x v="1"/>
    <x v="0"/>
    <n v="0.3694566276803119"/>
  </r>
  <r>
    <n v="874"/>
    <d v="2023-02-17T00:00:00"/>
    <x v="0"/>
    <x v="2"/>
    <x v="3"/>
    <x v="5"/>
    <n v="1"/>
    <n v="37"/>
    <n v="0"/>
    <n v="37"/>
    <n v="20.16"/>
    <n v="16.84"/>
    <x v="9"/>
    <x v="1"/>
    <n v="0.45513513513513515"/>
  </r>
  <r>
    <n v="875"/>
    <d v="2023-09-12T00:00:00"/>
    <x v="2"/>
    <x v="3"/>
    <x v="11"/>
    <x v="0"/>
    <n v="7"/>
    <n v="428"/>
    <n v="10"/>
    <n v="2696.4"/>
    <n v="1883.89"/>
    <n v="812.51"/>
    <x v="0"/>
    <x v="1"/>
    <n v="0.30133140483607773"/>
  </r>
  <r>
    <n v="876"/>
    <d v="2024-10-31T00:00:00"/>
    <x v="1"/>
    <x v="4"/>
    <x v="18"/>
    <x v="2"/>
    <n v="7"/>
    <n v="518"/>
    <n v="10"/>
    <n v="3263.4"/>
    <n v="2113.5"/>
    <n v="1149.9000000000001"/>
    <x v="1"/>
    <x v="0"/>
    <n v="0.35236256664828097"/>
  </r>
  <r>
    <n v="877"/>
    <d v="2023-09-27T00:00:00"/>
    <x v="0"/>
    <x v="3"/>
    <x v="4"/>
    <x v="3"/>
    <n v="9"/>
    <n v="42"/>
    <n v="0"/>
    <n v="378"/>
    <n v="248.18"/>
    <n v="129.82"/>
    <x v="0"/>
    <x v="1"/>
    <n v="0.34343915343915343"/>
  </r>
  <r>
    <n v="878"/>
    <d v="2023-03-28T00:00:00"/>
    <x v="0"/>
    <x v="4"/>
    <x v="18"/>
    <x v="2"/>
    <n v="10"/>
    <n v="762"/>
    <n v="5"/>
    <n v="7239"/>
    <n v="4196.53"/>
    <n v="3042.47"/>
    <x v="8"/>
    <x v="1"/>
    <n v="0.42028871391076111"/>
  </r>
  <r>
    <n v="879"/>
    <d v="2023-09-08T00:00:00"/>
    <x v="1"/>
    <x v="1"/>
    <x v="16"/>
    <x v="1"/>
    <n v="8"/>
    <n v="513"/>
    <n v="20"/>
    <n v="3283.2"/>
    <n v="2179.81"/>
    <n v="1103.3900000000001"/>
    <x v="0"/>
    <x v="1"/>
    <n v="0.33607151559454196"/>
  </r>
  <r>
    <n v="880"/>
    <d v="2023-02-03T00:00:00"/>
    <x v="1"/>
    <x v="4"/>
    <x v="14"/>
    <x v="4"/>
    <n v="5"/>
    <n v="823"/>
    <n v="5"/>
    <n v="3909.25"/>
    <n v="2289.5100000000002"/>
    <n v="1619.74"/>
    <x v="9"/>
    <x v="1"/>
    <n v="0.41433523054294302"/>
  </r>
  <r>
    <n v="881"/>
    <d v="2024-06-26T00:00:00"/>
    <x v="1"/>
    <x v="1"/>
    <x v="2"/>
    <x v="2"/>
    <n v="6"/>
    <n v="628"/>
    <n v="15"/>
    <n v="3202.8"/>
    <n v="2482.04"/>
    <n v="720.76"/>
    <x v="4"/>
    <x v="0"/>
    <n v="0.2250405894842013"/>
  </r>
  <r>
    <n v="882"/>
    <d v="2023-09-08T00:00:00"/>
    <x v="3"/>
    <x v="0"/>
    <x v="0"/>
    <x v="1"/>
    <n v="5"/>
    <n v="509"/>
    <n v="10"/>
    <n v="2290.5"/>
    <n v="1244.94"/>
    <n v="1045.56"/>
    <x v="0"/>
    <x v="1"/>
    <n v="0.45647675180091679"/>
  </r>
  <r>
    <n v="883"/>
    <d v="2024-04-25T00:00:00"/>
    <x v="3"/>
    <x v="1"/>
    <x v="7"/>
    <x v="2"/>
    <n v="1"/>
    <n v="492"/>
    <n v="5"/>
    <n v="467.4"/>
    <n v="369.32"/>
    <n v="98.08"/>
    <x v="10"/>
    <x v="0"/>
    <n v="0.20984167736414208"/>
  </r>
  <r>
    <n v="884"/>
    <d v="2024-03-10T00:00:00"/>
    <x v="3"/>
    <x v="3"/>
    <x v="15"/>
    <x v="5"/>
    <n v="10"/>
    <n v="370"/>
    <n v="20"/>
    <n v="2960"/>
    <n v="1974.01"/>
    <n v="985.99"/>
    <x v="8"/>
    <x v="0"/>
    <n v="0.33310472972972971"/>
  </r>
  <r>
    <n v="885"/>
    <d v="2023-01-11T00:00:00"/>
    <x v="3"/>
    <x v="4"/>
    <x v="18"/>
    <x v="0"/>
    <n v="4"/>
    <n v="525"/>
    <n v="20"/>
    <n v="1680"/>
    <n v="931.82"/>
    <n v="748.18"/>
    <x v="11"/>
    <x v="1"/>
    <n v="0.44534523809523807"/>
  </r>
  <r>
    <n v="886"/>
    <d v="2024-01-14T00:00:00"/>
    <x v="3"/>
    <x v="4"/>
    <x v="8"/>
    <x v="3"/>
    <n v="9"/>
    <n v="874"/>
    <n v="5"/>
    <n v="7472.7"/>
    <n v="4653.62"/>
    <n v="2819.08"/>
    <x v="11"/>
    <x v="0"/>
    <n v="0.37725052524522595"/>
  </r>
  <r>
    <n v="887"/>
    <d v="2023-05-16T00:00:00"/>
    <x v="1"/>
    <x v="1"/>
    <x v="2"/>
    <x v="5"/>
    <n v="10"/>
    <n v="152"/>
    <n v="0"/>
    <n v="1520"/>
    <n v="992.82"/>
    <n v="527.17999999999995"/>
    <x v="7"/>
    <x v="1"/>
    <n v="0.34682894736842101"/>
  </r>
  <r>
    <n v="888"/>
    <d v="2024-06-01T00:00:00"/>
    <x v="2"/>
    <x v="3"/>
    <x v="11"/>
    <x v="4"/>
    <n v="2"/>
    <n v="528"/>
    <n v="15"/>
    <n v="897.6"/>
    <n v="501.12"/>
    <n v="396.48"/>
    <x v="4"/>
    <x v="0"/>
    <n v="0.44171122994652406"/>
  </r>
  <r>
    <n v="889"/>
    <d v="2023-03-10T00:00:00"/>
    <x v="0"/>
    <x v="2"/>
    <x v="3"/>
    <x v="0"/>
    <n v="5"/>
    <n v="76"/>
    <n v="10"/>
    <n v="342"/>
    <n v="264.51"/>
    <n v="77.489999999999995"/>
    <x v="8"/>
    <x v="1"/>
    <n v="0.22657894736842105"/>
  </r>
  <r>
    <n v="890"/>
    <d v="2024-03-23T00:00:00"/>
    <x v="0"/>
    <x v="0"/>
    <x v="0"/>
    <x v="4"/>
    <n v="2"/>
    <n v="642"/>
    <n v="0"/>
    <n v="1284"/>
    <n v="977.72"/>
    <n v="306.27999999999997"/>
    <x v="8"/>
    <x v="0"/>
    <n v="0.23853582554517133"/>
  </r>
  <r>
    <n v="891"/>
    <d v="2023-12-28T00:00:00"/>
    <x v="0"/>
    <x v="0"/>
    <x v="13"/>
    <x v="3"/>
    <n v="1"/>
    <n v="909"/>
    <n v="15"/>
    <n v="772.65"/>
    <n v="401.7"/>
    <n v="370.95"/>
    <x v="6"/>
    <x v="1"/>
    <n v="0.48010095127159774"/>
  </r>
  <r>
    <n v="892"/>
    <d v="2024-11-27T00:00:00"/>
    <x v="3"/>
    <x v="2"/>
    <x v="3"/>
    <x v="4"/>
    <n v="6"/>
    <n v="639"/>
    <n v="15"/>
    <n v="3258.9"/>
    <n v="1689.67"/>
    <n v="1569.23"/>
    <x v="3"/>
    <x v="0"/>
    <n v="0.48152137224216762"/>
  </r>
  <r>
    <n v="893"/>
    <d v="2023-12-06T00:00:00"/>
    <x v="3"/>
    <x v="4"/>
    <x v="9"/>
    <x v="1"/>
    <n v="9"/>
    <n v="489"/>
    <n v="15"/>
    <n v="3740.85"/>
    <n v="2566.64"/>
    <n v="1174.21"/>
    <x v="6"/>
    <x v="1"/>
    <n v="0.31388855474023286"/>
  </r>
  <r>
    <n v="894"/>
    <d v="2023-02-20T00:00:00"/>
    <x v="2"/>
    <x v="1"/>
    <x v="7"/>
    <x v="0"/>
    <n v="2"/>
    <n v="368"/>
    <n v="20"/>
    <n v="588.79999999999995"/>
    <n v="352.79"/>
    <n v="236.01"/>
    <x v="9"/>
    <x v="1"/>
    <n v="0.40083220108695655"/>
  </r>
  <r>
    <n v="895"/>
    <d v="2023-12-12T00:00:00"/>
    <x v="0"/>
    <x v="1"/>
    <x v="2"/>
    <x v="4"/>
    <n v="6"/>
    <n v="268"/>
    <n v="10"/>
    <n v="1447.2"/>
    <n v="1047.96"/>
    <n v="399.24"/>
    <x v="6"/>
    <x v="1"/>
    <n v="0.27587064676616913"/>
  </r>
  <r>
    <n v="896"/>
    <d v="2024-02-24T00:00:00"/>
    <x v="0"/>
    <x v="3"/>
    <x v="11"/>
    <x v="2"/>
    <n v="9"/>
    <n v="22"/>
    <n v="15"/>
    <n v="168.3"/>
    <n v="126.92"/>
    <n v="41.38"/>
    <x v="9"/>
    <x v="0"/>
    <n v="0.24587046939988116"/>
  </r>
  <r>
    <n v="897"/>
    <d v="2023-06-30T00:00:00"/>
    <x v="1"/>
    <x v="1"/>
    <x v="5"/>
    <x v="4"/>
    <n v="10"/>
    <n v="192"/>
    <n v="10"/>
    <n v="1728"/>
    <n v="1214.6400000000001"/>
    <n v="513.36"/>
    <x v="4"/>
    <x v="1"/>
    <n v="0.29708333333333337"/>
  </r>
  <r>
    <n v="898"/>
    <d v="2023-08-30T00:00:00"/>
    <x v="2"/>
    <x v="4"/>
    <x v="9"/>
    <x v="3"/>
    <n v="9"/>
    <n v="238"/>
    <n v="5"/>
    <n v="2034.9"/>
    <n v="1105.43"/>
    <n v="929.47"/>
    <x v="2"/>
    <x v="1"/>
    <n v="0.45676446017003292"/>
  </r>
  <r>
    <n v="899"/>
    <d v="2024-04-22T00:00:00"/>
    <x v="3"/>
    <x v="1"/>
    <x v="16"/>
    <x v="2"/>
    <n v="3"/>
    <n v="41"/>
    <n v="10"/>
    <n v="110.7"/>
    <n v="76.67"/>
    <n v="34.03"/>
    <x v="10"/>
    <x v="0"/>
    <n v="0.30740740740740741"/>
  </r>
  <r>
    <n v="900"/>
    <d v="2024-08-25T00:00:00"/>
    <x v="1"/>
    <x v="4"/>
    <x v="9"/>
    <x v="0"/>
    <n v="8"/>
    <n v="802"/>
    <n v="10"/>
    <n v="5774.4"/>
    <n v="4475.1400000000003"/>
    <n v="1299.26"/>
    <x v="2"/>
    <x v="0"/>
    <n v="0.22500346356331394"/>
  </r>
  <r>
    <n v="901"/>
    <d v="2023-06-21T00:00:00"/>
    <x v="0"/>
    <x v="3"/>
    <x v="15"/>
    <x v="2"/>
    <n v="9"/>
    <n v="509"/>
    <n v="5"/>
    <n v="4351.95"/>
    <n v="2344.7600000000002"/>
    <n v="2007.19"/>
    <x v="4"/>
    <x v="1"/>
    <n v="0.46121623639977483"/>
  </r>
  <r>
    <n v="902"/>
    <d v="2023-07-18T00:00:00"/>
    <x v="0"/>
    <x v="2"/>
    <x v="10"/>
    <x v="2"/>
    <n v="5"/>
    <n v="357"/>
    <n v="0"/>
    <n v="1785"/>
    <n v="1049.52"/>
    <n v="735.48"/>
    <x v="5"/>
    <x v="1"/>
    <n v="0.41203361344537814"/>
  </r>
  <r>
    <n v="903"/>
    <d v="2024-09-23T00:00:00"/>
    <x v="1"/>
    <x v="3"/>
    <x v="4"/>
    <x v="1"/>
    <n v="6"/>
    <n v="698"/>
    <n v="20"/>
    <n v="3350.4"/>
    <n v="2272.27"/>
    <n v="1078.1300000000001"/>
    <x v="0"/>
    <x v="0"/>
    <n v="0.32179142788920728"/>
  </r>
  <r>
    <n v="904"/>
    <d v="2024-07-31T00:00:00"/>
    <x v="0"/>
    <x v="4"/>
    <x v="14"/>
    <x v="1"/>
    <n v="4"/>
    <n v="99"/>
    <n v="5"/>
    <n v="376.2"/>
    <n v="266.95"/>
    <n v="109.25"/>
    <x v="5"/>
    <x v="0"/>
    <n v="0.29040404040404039"/>
  </r>
  <r>
    <n v="905"/>
    <d v="2024-12-10T00:00:00"/>
    <x v="1"/>
    <x v="0"/>
    <x v="1"/>
    <x v="1"/>
    <n v="4"/>
    <n v="374"/>
    <n v="5"/>
    <n v="1421.2"/>
    <n v="993.61"/>
    <n v="427.59"/>
    <x v="6"/>
    <x v="0"/>
    <n v="0.30086546580354628"/>
  </r>
  <r>
    <n v="906"/>
    <d v="2024-06-23T00:00:00"/>
    <x v="2"/>
    <x v="2"/>
    <x v="6"/>
    <x v="2"/>
    <n v="3"/>
    <n v="650"/>
    <n v="10"/>
    <n v="1755"/>
    <n v="1048.04"/>
    <n v="706.96"/>
    <x v="4"/>
    <x v="0"/>
    <n v="0.40282621082621084"/>
  </r>
  <r>
    <n v="907"/>
    <d v="2023-03-05T00:00:00"/>
    <x v="0"/>
    <x v="4"/>
    <x v="9"/>
    <x v="2"/>
    <n v="2"/>
    <n v="190"/>
    <n v="20"/>
    <n v="304"/>
    <n v="211.73"/>
    <n v="92.27"/>
    <x v="8"/>
    <x v="1"/>
    <n v="0.30351973684210526"/>
  </r>
  <r>
    <n v="908"/>
    <d v="2024-08-05T00:00:00"/>
    <x v="2"/>
    <x v="4"/>
    <x v="9"/>
    <x v="0"/>
    <n v="6"/>
    <n v="406"/>
    <n v="20"/>
    <n v="1948.8"/>
    <n v="1424.6"/>
    <n v="524.20000000000005"/>
    <x v="2"/>
    <x v="0"/>
    <n v="0.2689860426929393"/>
  </r>
  <r>
    <n v="909"/>
    <d v="2024-03-29T00:00:00"/>
    <x v="0"/>
    <x v="0"/>
    <x v="1"/>
    <x v="1"/>
    <n v="1"/>
    <n v="800"/>
    <n v="15"/>
    <n v="680"/>
    <n v="345.5"/>
    <n v="334.5"/>
    <x v="8"/>
    <x v="0"/>
    <n v="0.49191176470588233"/>
  </r>
  <r>
    <n v="910"/>
    <d v="2024-06-08T00:00:00"/>
    <x v="2"/>
    <x v="2"/>
    <x v="6"/>
    <x v="0"/>
    <n v="6"/>
    <n v="388"/>
    <n v="15"/>
    <n v="1978.8"/>
    <n v="1482.24"/>
    <n v="496.56"/>
    <x v="4"/>
    <x v="0"/>
    <n v="0.2509399636143117"/>
  </r>
  <r>
    <n v="911"/>
    <d v="2023-10-10T00:00:00"/>
    <x v="0"/>
    <x v="0"/>
    <x v="0"/>
    <x v="1"/>
    <n v="7"/>
    <n v="672"/>
    <n v="10"/>
    <n v="4233.6000000000004"/>
    <n v="2195.7800000000002"/>
    <n v="2037.82"/>
    <x v="1"/>
    <x v="1"/>
    <n v="0.48134448223733933"/>
  </r>
  <r>
    <n v="912"/>
    <d v="2024-02-04T00:00:00"/>
    <x v="3"/>
    <x v="2"/>
    <x v="3"/>
    <x v="1"/>
    <n v="3"/>
    <n v="298"/>
    <n v="10"/>
    <n v="804.6"/>
    <n v="634.48"/>
    <n v="170.12"/>
    <x v="9"/>
    <x v="0"/>
    <n v="0.2114342530449913"/>
  </r>
  <r>
    <n v="913"/>
    <d v="2023-10-24T00:00:00"/>
    <x v="3"/>
    <x v="4"/>
    <x v="9"/>
    <x v="2"/>
    <n v="10"/>
    <n v="618"/>
    <n v="15"/>
    <n v="5253"/>
    <n v="3733.08"/>
    <n v="1519.92"/>
    <x v="1"/>
    <x v="1"/>
    <n v="0.28934323243860655"/>
  </r>
  <r>
    <n v="914"/>
    <d v="2023-10-03T00:00:00"/>
    <x v="0"/>
    <x v="1"/>
    <x v="7"/>
    <x v="5"/>
    <n v="1"/>
    <n v="423"/>
    <n v="20"/>
    <n v="338.4"/>
    <n v="175.38"/>
    <n v="163.02000000000001"/>
    <x v="1"/>
    <x v="1"/>
    <n v="0.48173758865248234"/>
  </r>
  <r>
    <n v="915"/>
    <d v="2023-05-18T00:00:00"/>
    <x v="2"/>
    <x v="1"/>
    <x v="2"/>
    <x v="3"/>
    <n v="2"/>
    <n v="194"/>
    <n v="20"/>
    <n v="310.39999999999998"/>
    <n v="206.93"/>
    <n v="103.47"/>
    <x v="7"/>
    <x v="1"/>
    <n v="0.33334407216494849"/>
  </r>
  <r>
    <n v="916"/>
    <d v="2023-01-19T00:00:00"/>
    <x v="1"/>
    <x v="2"/>
    <x v="17"/>
    <x v="4"/>
    <n v="7"/>
    <n v="388"/>
    <n v="15"/>
    <n v="2308.6"/>
    <n v="1620.47"/>
    <n v="688.13"/>
    <x v="11"/>
    <x v="1"/>
    <n v="0.29807242484622715"/>
  </r>
  <r>
    <n v="917"/>
    <d v="2024-12-24T00:00:00"/>
    <x v="3"/>
    <x v="4"/>
    <x v="14"/>
    <x v="3"/>
    <n v="7"/>
    <n v="223"/>
    <n v="20"/>
    <n v="1248.8"/>
    <n v="757.41"/>
    <n v="491.39"/>
    <x v="6"/>
    <x v="0"/>
    <n v="0.39348975016015375"/>
  </r>
  <r>
    <n v="918"/>
    <d v="2024-02-02T00:00:00"/>
    <x v="1"/>
    <x v="4"/>
    <x v="8"/>
    <x v="5"/>
    <n v="6"/>
    <n v="165"/>
    <n v="15"/>
    <n v="841.5"/>
    <n v="589.64"/>
    <n v="251.86"/>
    <x v="9"/>
    <x v="0"/>
    <n v="0.29929887106357694"/>
  </r>
  <r>
    <n v="919"/>
    <d v="2023-10-31T00:00:00"/>
    <x v="1"/>
    <x v="1"/>
    <x v="16"/>
    <x v="1"/>
    <n v="7"/>
    <n v="99"/>
    <n v="0"/>
    <n v="693"/>
    <n v="548.17999999999995"/>
    <n v="144.82"/>
    <x v="1"/>
    <x v="1"/>
    <n v="0.20897546897546895"/>
  </r>
  <r>
    <n v="920"/>
    <d v="2024-01-29T00:00:00"/>
    <x v="0"/>
    <x v="2"/>
    <x v="3"/>
    <x v="0"/>
    <n v="3"/>
    <n v="517"/>
    <n v="10"/>
    <n v="1395.9"/>
    <n v="971.07"/>
    <n v="424.83"/>
    <x v="11"/>
    <x v="0"/>
    <n v="0.30434128519234899"/>
  </r>
  <r>
    <n v="921"/>
    <d v="2023-07-10T00:00:00"/>
    <x v="3"/>
    <x v="0"/>
    <x v="13"/>
    <x v="2"/>
    <n v="8"/>
    <n v="188"/>
    <n v="0"/>
    <n v="1504"/>
    <n v="1079.3"/>
    <n v="424.7"/>
    <x v="5"/>
    <x v="1"/>
    <n v="0.28238031914893619"/>
  </r>
  <r>
    <n v="922"/>
    <d v="2023-09-27T00:00:00"/>
    <x v="0"/>
    <x v="2"/>
    <x v="17"/>
    <x v="2"/>
    <n v="9"/>
    <n v="93"/>
    <n v="0"/>
    <n v="837"/>
    <n v="537.16"/>
    <n v="299.83999999999997"/>
    <x v="0"/>
    <x v="1"/>
    <n v="0.35823178016726404"/>
  </r>
  <r>
    <n v="923"/>
    <d v="2023-08-05T00:00:00"/>
    <x v="0"/>
    <x v="4"/>
    <x v="9"/>
    <x v="0"/>
    <n v="9"/>
    <n v="711"/>
    <n v="20"/>
    <n v="5119.2"/>
    <n v="2853.34"/>
    <n v="2265.86"/>
    <x v="2"/>
    <x v="1"/>
    <n v="0.44261994061572124"/>
  </r>
  <r>
    <n v="924"/>
    <d v="2024-11-10T00:00:00"/>
    <x v="2"/>
    <x v="2"/>
    <x v="6"/>
    <x v="5"/>
    <n v="5"/>
    <n v="482"/>
    <n v="10"/>
    <n v="2169"/>
    <n v="1196.1500000000001"/>
    <n v="972.85"/>
    <x v="3"/>
    <x v="0"/>
    <n v="0.44852466574458277"/>
  </r>
  <r>
    <n v="925"/>
    <d v="2023-03-22T00:00:00"/>
    <x v="1"/>
    <x v="0"/>
    <x v="12"/>
    <x v="0"/>
    <n v="6"/>
    <n v="464"/>
    <n v="15"/>
    <n v="2366.4"/>
    <n v="1458.93"/>
    <n v="907.47"/>
    <x v="8"/>
    <x v="1"/>
    <n v="0.38348123732251521"/>
  </r>
  <r>
    <n v="926"/>
    <d v="2023-04-22T00:00:00"/>
    <x v="0"/>
    <x v="2"/>
    <x v="17"/>
    <x v="5"/>
    <n v="6"/>
    <n v="513"/>
    <n v="5"/>
    <n v="2924.1"/>
    <n v="1515.52"/>
    <n v="1408.58"/>
    <x v="10"/>
    <x v="1"/>
    <n v="0.48171403166786358"/>
  </r>
  <r>
    <n v="927"/>
    <d v="2023-10-25T00:00:00"/>
    <x v="3"/>
    <x v="3"/>
    <x v="19"/>
    <x v="1"/>
    <n v="6"/>
    <n v="336"/>
    <n v="10"/>
    <n v="1814.4"/>
    <n v="1233.83"/>
    <n v="580.57000000000005"/>
    <x v="1"/>
    <x v="1"/>
    <n v="0.31997905643738977"/>
  </r>
  <r>
    <n v="928"/>
    <d v="2023-03-22T00:00:00"/>
    <x v="2"/>
    <x v="4"/>
    <x v="9"/>
    <x v="1"/>
    <n v="9"/>
    <n v="463"/>
    <n v="5"/>
    <n v="3958.65"/>
    <n v="2648.79"/>
    <n v="1309.8599999999999"/>
    <x v="8"/>
    <x v="1"/>
    <n v="0.33088552915766734"/>
  </r>
  <r>
    <n v="929"/>
    <d v="2024-05-05T00:00:00"/>
    <x v="1"/>
    <x v="0"/>
    <x v="0"/>
    <x v="1"/>
    <n v="6"/>
    <n v="357"/>
    <n v="5"/>
    <n v="2034.9"/>
    <n v="1104.07"/>
    <n v="930.83"/>
    <x v="7"/>
    <x v="0"/>
    <n v="0.45743279768047568"/>
  </r>
  <r>
    <n v="930"/>
    <d v="2023-07-07T00:00:00"/>
    <x v="3"/>
    <x v="4"/>
    <x v="18"/>
    <x v="4"/>
    <n v="5"/>
    <n v="50"/>
    <n v="10"/>
    <n v="225"/>
    <n v="113.82"/>
    <n v="111.18"/>
    <x v="5"/>
    <x v="1"/>
    <n v="0.49413333333333337"/>
  </r>
  <r>
    <n v="931"/>
    <d v="2024-11-20T00:00:00"/>
    <x v="2"/>
    <x v="1"/>
    <x v="16"/>
    <x v="3"/>
    <n v="8"/>
    <n v="478"/>
    <n v="5"/>
    <n v="3632.8"/>
    <n v="2778.03"/>
    <n v="854.77"/>
    <x v="3"/>
    <x v="0"/>
    <n v="0.23529233648975995"/>
  </r>
  <r>
    <n v="932"/>
    <d v="2023-07-17T00:00:00"/>
    <x v="1"/>
    <x v="1"/>
    <x v="2"/>
    <x v="2"/>
    <n v="1"/>
    <n v="85"/>
    <n v="20"/>
    <n v="68"/>
    <n v="47.87"/>
    <n v="20.13"/>
    <x v="5"/>
    <x v="1"/>
    <n v="0.29602941176470587"/>
  </r>
  <r>
    <n v="933"/>
    <d v="2024-08-22T00:00:00"/>
    <x v="1"/>
    <x v="1"/>
    <x v="2"/>
    <x v="0"/>
    <n v="1"/>
    <n v="632"/>
    <n v="0"/>
    <n v="632"/>
    <n v="464.59"/>
    <n v="167.41"/>
    <x v="2"/>
    <x v="0"/>
    <n v="0.26488924050632912"/>
  </r>
  <r>
    <n v="934"/>
    <d v="2023-05-10T00:00:00"/>
    <x v="0"/>
    <x v="2"/>
    <x v="3"/>
    <x v="1"/>
    <n v="5"/>
    <n v="807"/>
    <n v="5"/>
    <n v="3833.25"/>
    <n v="2304.7600000000002"/>
    <n v="1528.49"/>
    <x v="7"/>
    <x v="1"/>
    <n v="0.39874519011282855"/>
  </r>
  <r>
    <n v="935"/>
    <d v="2024-12-08T00:00:00"/>
    <x v="3"/>
    <x v="3"/>
    <x v="15"/>
    <x v="3"/>
    <n v="5"/>
    <n v="408"/>
    <n v="10"/>
    <n v="1836"/>
    <n v="1149.6600000000001"/>
    <n v="686.34"/>
    <x v="6"/>
    <x v="0"/>
    <n v="0.37382352941176472"/>
  </r>
  <r>
    <n v="936"/>
    <d v="2024-08-27T00:00:00"/>
    <x v="0"/>
    <x v="2"/>
    <x v="17"/>
    <x v="2"/>
    <n v="10"/>
    <n v="828"/>
    <n v="10"/>
    <n v="7452"/>
    <n v="4370.8599999999997"/>
    <n v="3081.14"/>
    <x v="2"/>
    <x v="0"/>
    <n v="0.41346484165324743"/>
  </r>
  <r>
    <n v="937"/>
    <d v="2024-08-05T00:00:00"/>
    <x v="2"/>
    <x v="3"/>
    <x v="19"/>
    <x v="2"/>
    <n v="2"/>
    <n v="214"/>
    <n v="5"/>
    <n v="406.6"/>
    <n v="291.62"/>
    <n v="114.98"/>
    <x v="2"/>
    <x v="0"/>
    <n v="0.28278406296114117"/>
  </r>
  <r>
    <n v="938"/>
    <d v="2023-11-17T00:00:00"/>
    <x v="0"/>
    <x v="4"/>
    <x v="8"/>
    <x v="3"/>
    <n v="1"/>
    <n v="973"/>
    <n v="10"/>
    <n v="875.7"/>
    <n v="531.74"/>
    <n v="343.96"/>
    <x v="3"/>
    <x v="1"/>
    <n v="0.39278291652392366"/>
  </r>
  <r>
    <n v="939"/>
    <d v="2023-12-24T00:00:00"/>
    <x v="2"/>
    <x v="3"/>
    <x v="4"/>
    <x v="4"/>
    <n v="6"/>
    <n v="799"/>
    <n v="5"/>
    <n v="4554.3"/>
    <n v="2362.5"/>
    <n v="2191.8000000000002"/>
    <x v="6"/>
    <x v="1"/>
    <n v="0.48125946907318362"/>
  </r>
  <r>
    <n v="940"/>
    <d v="2024-10-16T00:00:00"/>
    <x v="2"/>
    <x v="1"/>
    <x v="16"/>
    <x v="2"/>
    <n v="9"/>
    <n v="536"/>
    <n v="5"/>
    <n v="4582.8"/>
    <n v="3363.47"/>
    <n v="1219.33"/>
    <x v="1"/>
    <x v="0"/>
    <n v="0.2660665968403596"/>
  </r>
  <r>
    <n v="941"/>
    <d v="2023-04-22T00:00:00"/>
    <x v="3"/>
    <x v="3"/>
    <x v="11"/>
    <x v="0"/>
    <n v="5"/>
    <n v="848"/>
    <n v="15"/>
    <n v="3604"/>
    <n v="2327.0700000000002"/>
    <n v="1276.93"/>
    <x v="10"/>
    <x v="1"/>
    <n v="0.35430910099889013"/>
  </r>
  <r>
    <n v="942"/>
    <d v="2024-04-20T00:00:00"/>
    <x v="2"/>
    <x v="3"/>
    <x v="15"/>
    <x v="1"/>
    <n v="8"/>
    <n v="181"/>
    <n v="15"/>
    <n v="1230.8"/>
    <n v="890.44"/>
    <n v="340.36"/>
    <x v="10"/>
    <x v="0"/>
    <n v="0.27653558661033478"/>
  </r>
  <r>
    <n v="943"/>
    <d v="2024-05-02T00:00:00"/>
    <x v="0"/>
    <x v="2"/>
    <x v="17"/>
    <x v="2"/>
    <n v="3"/>
    <n v="843"/>
    <n v="5"/>
    <n v="2402.5500000000002"/>
    <n v="1278.06"/>
    <n v="1124.49"/>
    <x v="7"/>
    <x v="0"/>
    <n v="0.4680402072797652"/>
  </r>
  <r>
    <n v="944"/>
    <d v="2023-05-21T00:00:00"/>
    <x v="3"/>
    <x v="0"/>
    <x v="0"/>
    <x v="2"/>
    <n v="2"/>
    <n v="30"/>
    <n v="20"/>
    <n v="48"/>
    <n v="33.51"/>
    <n v="14.49"/>
    <x v="7"/>
    <x v="1"/>
    <n v="0.301875"/>
  </r>
  <r>
    <n v="945"/>
    <d v="2023-06-25T00:00:00"/>
    <x v="0"/>
    <x v="1"/>
    <x v="5"/>
    <x v="4"/>
    <n v="1"/>
    <n v="971"/>
    <n v="5"/>
    <n v="922.45"/>
    <n v="703.1"/>
    <n v="219.35"/>
    <x v="4"/>
    <x v="1"/>
    <n v="0.23779066616076749"/>
  </r>
  <r>
    <n v="946"/>
    <d v="2023-09-12T00:00:00"/>
    <x v="0"/>
    <x v="0"/>
    <x v="0"/>
    <x v="5"/>
    <n v="5"/>
    <n v="684"/>
    <n v="15"/>
    <n v="2907"/>
    <n v="2248.14"/>
    <n v="658.86"/>
    <x v="0"/>
    <x v="1"/>
    <n v="0.22664602683178536"/>
  </r>
  <r>
    <n v="947"/>
    <d v="2023-05-16T00:00:00"/>
    <x v="3"/>
    <x v="4"/>
    <x v="18"/>
    <x v="2"/>
    <n v="5"/>
    <n v="420"/>
    <n v="10"/>
    <n v="1890"/>
    <n v="1498.16"/>
    <n v="391.84"/>
    <x v="7"/>
    <x v="1"/>
    <n v="0.2073227513227513"/>
  </r>
  <r>
    <n v="948"/>
    <d v="2023-11-07T00:00:00"/>
    <x v="3"/>
    <x v="3"/>
    <x v="11"/>
    <x v="4"/>
    <n v="7"/>
    <n v="10"/>
    <n v="5"/>
    <n v="66.5"/>
    <n v="36.42"/>
    <n v="30.08"/>
    <x v="3"/>
    <x v="1"/>
    <n v="0.45233082706766914"/>
  </r>
  <r>
    <n v="949"/>
    <d v="2023-05-30T00:00:00"/>
    <x v="3"/>
    <x v="1"/>
    <x v="2"/>
    <x v="3"/>
    <n v="4"/>
    <n v="11"/>
    <n v="10"/>
    <n v="39.6"/>
    <n v="24.8"/>
    <n v="14.8"/>
    <x v="7"/>
    <x v="1"/>
    <n v="0.37373737373737376"/>
  </r>
  <r>
    <n v="950"/>
    <d v="2024-10-31T00:00:00"/>
    <x v="0"/>
    <x v="4"/>
    <x v="14"/>
    <x v="3"/>
    <n v="9"/>
    <n v="951"/>
    <n v="15"/>
    <n v="7275.15"/>
    <n v="4863.62"/>
    <n v="2411.5300000000002"/>
    <x v="1"/>
    <x v="0"/>
    <n v="0.33147495240647962"/>
  </r>
  <r>
    <n v="951"/>
    <d v="2023-09-22T00:00:00"/>
    <x v="2"/>
    <x v="2"/>
    <x v="6"/>
    <x v="4"/>
    <n v="8"/>
    <n v="862"/>
    <n v="20"/>
    <n v="5516.8"/>
    <n v="3007.56"/>
    <n v="2509.2399999999998"/>
    <x v="0"/>
    <x v="1"/>
    <n v="0.4548361368909512"/>
  </r>
  <r>
    <n v="952"/>
    <d v="2023-09-25T00:00:00"/>
    <x v="3"/>
    <x v="4"/>
    <x v="9"/>
    <x v="4"/>
    <n v="2"/>
    <n v="855"/>
    <n v="0"/>
    <n v="1710"/>
    <n v="1362.5"/>
    <n v="347.5"/>
    <x v="0"/>
    <x v="1"/>
    <n v="0.20321637426900585"/>
  </r>
  <r>
    <n v="953"/>
    <d v="2024-01-25T00:00:00"/>
    <x v="1"/>
    <x v="1"/>
    <x v="7"/>
    <x v="4"/>
    <n v="7"/>
    <n v="211"/>
    <n v="20"/>
    <n v="1181.5999999999999"/>
    <n v="816.94"/>
    <n v="364.66"/>
    <x v="11"/>
    <x v="0"/>
    <n v="0.30861543669600544"/>
  </r>
  <r>
    <n v="954"/>
    <d v="2024-09-23T00:00:00"/>
    <x v="3"/>
    <x v="1"/>
    <x v="7"/>
    <x v="4"/>
    <n v="5"/>
    <n v="807"/>
    <n v="20"/>
    <n v="3228"/>
    <n v="1871.03"/>
    <n v="1356.97"/>
    <x v="0"/>
    <x v="0"/>
    <n v="0.42037484510532841"/>
  </r>
  <r>
    <n v="955"/>
    <d v="2023-05-12T00:00:00"/>
    <x v="1"/>
    <x v="2"/>
    <x v="6"/>
    <x v="5"/>
    <n v="8"/>
    <n v="997"/>
    <n v="20"/>
    <n v="6380.8"/>
    <n v="3231.69"/>
    <n v="3149.11"/>
    <x v="7"/>
    <x v="1"/>
    <n v="0.49352902457372116"/>
  </r>
  <r>
    <n v="956"/>
    <d v="2023-06-14T00:00:00"/>
    <x v="0"/>
    <x v="1"/>
    <x v="5"/>
    <x v="5"/>
    <n v="5"/>
    <n v="988"/>
    <n v="0"/>
    <n v="4940"/>
    <n v="2614.2800000000002"/>
    <n v="2325.7199999999998"/>
    <x v="4"/>
    <x v="1"/>
    <n v="0.47079352226720644"/>
  </r>
  <r>
    <n v="957"/>
    <d v="2024-05-21T00:00:00"/>
    <x v="3"/>
    <x v="4"/>
    <x v="14"/>
    <x v="1"/>
    <n v="10"/>
    <n v="194"/>
    <n v="15"/>
    <n v="1649"/>
    <n v="976.3"/>
    <n v="672.7"/>
    <x v="7"/>
    <x v="0"/>
    <n v="0.40794420861127961"/>
  </r>
  <r>
    <n v="958"/>
    <d v="2023-07-17T00:00:00"/>
    <x v="2"/>
    <x v="4"/>
    <x v="14"/>
    <x v="3"/>
    <n v="3"/>
    <n v="156"/>
    <n v="5"/>
    <n v="444.6"/>
    <n v="350.1"/>
    <n v="94.5"/>
    <x v="5"/>
    <x v="1"/>
    <n v="0.21255060728744937"/>
  </r>
  <r>
    <n v="959"/>
    <d v="2023-05-28T00:00:00"/>
    <x v="2"/>
    <x v="2"/>
    <x v="3"/>
    <x v="2"/>
    <n v="1"/>
    <n v="175"/>
    <n v="0"/>
    <n v="175"/>
    <n v="109.41"/>
    <n v="65.59"/>
    <x v="7"/>
    <x v="1"/>
    <n v="0.37480000000000002"/>
  </r>
  <r>
    <n v="960"/>
    <d v="2024-04-25T00:00:00"/>
    <x v="1"/>
    <x v="4"/>
    <x v="18"/>
    <x v="1"/>
    <n v="7"/>
    <n v="436"/>
    <n v="10"/>
    <n v="2746.8"/>
    <n v="1397.4"/>
    <n v="1349.4"/>
    <x v="10"/>
    <x v="0"/>
    <n v="0.49126256006989955"/>
  </r>
  <r>
    <n v="961"/>
    <d v="2023-12-31T00:00:00"/>
    <x v="0"/>
    <x v="3"/>
    <x v="19"/>
    <x v="0"/>
    <n v="2"/>
    <n v="879"/>
    <n v="15"/>
    <n v="1494.3"/>
    <n v="890.75"/>
    <n v="603.54999999999995"/>
    <x v="6"/>
    <x v="1"/>
    <n v="0.40390149233754935"/>
  </r>
  <r>
    <n v="962"/>
    <d v="2024-06-30T00:00:00"/>
    <x v="0"/>
    <x v="2"/>
    <x v="6"/>
    <x v="0"/>
    <n v="3"/>
    <n v="760"/>
    <n v="0"/>
    <n v="2280"/>
    <n v="1699.76"/>
    <n v="580.24"/>
    <x v="4"/>
    <x v="0"/>
    <n v="0.25449122807017543"/>
  </r>
  <r>
    <n v="963"/>
    <d v="2023-12-21T00:00:00"/>
    <x v="1"/>
    <x v="4"/>
    <x v="18"/>
    <x v="1"/>
    <n v="1"/>
    <n v="636"/>
    <n v="5"/>
    <n v="604.20000000000005"/>
    <n v="400.32"/>
    <n v="203.88"/>
    <x v="6"/>
    <x v="1"/>
    <n v="0.33743793445878845"/>
  </r>
  <r>
    <n v="964"/>
    <d v="2023-10-03T00:00:00"/>
    <x v="2"/>
    <x v="1"/>
    <x v="2"/>
    <x v="1"/>
    <n v="10"/>
    <n v="479"/>
    <n v="10"/>
    <n v="4311"/>
    <n v="2857.42"/>
    <n v="1453.58"/>
    <x v="1"/>
    <x v="1"/>
    <n v="0.33717930874507074"/>
  </r>
  <r>
    <n v="965"/>
    <d v="2023-02-19T00:00:00"/>
    <x v="2"/>
    <x v="1"/>
    <x v="7"/>
    <x v="5"/>
    <n v="6"/>
    <n v="157"/>
    <n v="20"/>
    <n v="753.6"/>
    <n v="524.79"/>
    <n v="228.81"/>
    <x v="9"/>
    <x v="1"/>
    <n v="0.30362261146496816"/>
  </r>
  <r>
    <n v="966"/>
    <d v="2023-11-21T00:00:00"/>
    <x v="0"/>
    <x v="2"/>
    <x v="3"/>
    <x v="0"/>
    <n v="7"/>
    <n v="609"/>
    <n v="15"/>
    <n v="3623.55"/>
    <n v="1928.52"/>
    <n v="1695.03"/>
    <x v="3"/>
    <x v="1"/>
    <n v="0.46778159539677938"/>
  </r>
  <r>
    <n v="967"/>
    <d v="2023-07-19T00:00:00"/>
    <x v="0"/>
    <x v="4"/>
    <x v="18"/>
    <x v="1"/>
    <n v="6"/>
    <n v="989"/>
    <n v="10"/>
    <n v="5340.6"/>
    <n v="2799.3"/>
    <n v="2541.3000000000002"/>
    <x v="5"/>
    <x v="1"/>
    <n v="0.47584541062801933"/>
  </r>
  <r>
    <n v="968"/>
    <d v="2023-01-17T00:00:00"/>
    <x v="0"/>
    <x v="3"/>
    <x v="4"/>
    <x v="3"/>
    <n v="8"/>
    <n v="787"/>
    <n v="5"/>
    <n v="5981.2"/>
    <n v="4502.05"/>
    <n v="1479.15"/>
    <x v="11"/>
    <x v="1"/>
    <n v="0.24729987293519698"/>
  </r>
  <r>
    <n v="969"/>
    <d v="2023-03-11T00:00:00"/>
    <x v="0"/>
    <x v="1"/>
    <x v="7"/>
    <x v="5"/>
    <n v="10"/>
    <n v="168"/>
    <n v="20"/>
    <n v="1344"/>
    <n v="1033.8800000000001"/>
    <n v="310.12"/>
    <x v="8"/>
    <x v="1"/>
    <n v="0.23074404761904763"/>
  </r>
  <r>
    <n v="970"/>
    <d v="2024-10-01T00:00:00"/>
    <x v="0"/>
    <x v="1"/>
    <x v="7"/>
    <x v="4"/>
    <n v="3"/>
    <n v="619"/>
    <n v="15"/>
    <n v="1578.45"/>
    <n v="892.38"/>
    <n v="686.07"/>
    <x v="1"/>
    <x v="0"/>
    <n v="0.43464791409293929"/>
  </r>
  <r>
    <n v="971"/>
    <d v="2024-10-29T00:00:00"/>
    <x v="3"/>
    <x v="1"/>
    <x v="16"/>
    <x v="1"/>
    <n v="3"/>
    <n v="521"/>
    <n v="5"/>
    <n v="1484.85"/>
    <n v="766.05"/>
    <n v="718.8"/>
    <x v="1"/>
    <x v="0"/>
    <n v="0.48408930194969191"/>
  </r>
  <r>
    <n v="972"/>
    <d v="2024-09-03T00:00:00"/>
    <x v="0"/>
    <x v="3"/>
    <x v="19"/>
    <x v="0"/>
    <n v="2"/>
    <n v="260"/>
    <n v="15"/>
    <n v="442"/>
    <n v="327.72"/>
    <n v="114.28"/>
    <x v="0"/>
    <x v="0"/>
    <n v="0.258552036199095"/>
  </r>
  <r>
    <n v="973"/>
    <d v="2024-05-14T00:00:00"/>
    <x v="2"/>
    <x v="1"/>
    <x v="5"/>
    <x v="1"/>
    <n v="2"/>
    <n v="630"/>
    <n v="20"/>
    <n v="1008"/>
    <n v="594.51"/>
    <n v="413.49"/>
    <x v="7"/>
    <x v="0"/>
    <n v="0.41020833333333334"/>
  </r>
  <r>
    <n v="974"/>
    <d v="2023-03-13T00:00:00"/>
    <x v="3"/>
    <x v="1"/>
    <x v="16"/>
    <x v="5"/>
    <n v="5"/>
    <n v="509"/>
    <n v="15"/>
    <n v="2163.25"/>
    <n v="1668.36"/>
    <n v="494.89"/>
    <x v="8"/>
    <x v="1"/>
    <n v="0.22877152432682307"/>
  </r>
  <r>
    <n v="975"/>
    <d v="2023-01-29T00:00:00"/>
    <x v="2"/>
    <x v="1"/>
    <x v="2"/>
    <x v="2"/>
    <n v="3"/>
    <n v="309"/>
    <n v="20"/>
    <n v="741.6"/>
    <n v="591.72"/>
    <n v="149.88"/>
    <x v="11"/>
    <x v="1"/>
    <n v="0.20210355987055015"/>
  </r>
  <r>
    <n v="976"/>
    <d v="2023-02-17T00:00:00"/>
    <x v="0"/>
    <x v="4"/>
    <x v="18"/>
    <x v="2"/>
    <n v="7"/>
    <n v="30"/>
    <n v="20"/>
    <n v="168"/>
    <n v="132.94"/>
    <n v="35.06"/>
    <x v="9"/>
    <x v="1"/>
    <n v="0.2086904761904762"/>
  </r>
  <r>
    <n v="977"/>
    <d v="2023-06-03T00:00:00"/>
    <x v="3"/>
    <x v="0"/>
    <x v="0"/>
    <x v="4"/>
    <n v="1"/>
    <n v="272"/>
    <n v="10"/>
    <n v="244.8"/>
    <n v="191.21"/>
    <n v="53.59"/>
    <x v="4"/>
    <x v="1"/>
    <n v="0.21891339869281046"/>
  </r>
  <r>
    <n v="978"/>
    <d v="2023-11-11T00:00:00"/>
    <x v="2"/>
    <x v="3"/>
    <x v="15"/>
    <x v="2"/>
    <n v="4"/>
    <n v="296"/>
    <n v="5"/>
    <n v="1124.8"/>
    <n v="723.79"/>
    <n v="401.01"/>
    <x v="3"/>
    <x v="1"/>
    <n v="0.35651671408250357"/>
  </r>
  <r>
    <n v="979"/>
    <d v="2023-03-31T00:00:00"/>
    <x v="3"/>
    <x v="1"/>
    <x v="16"/>
    <x v="4"/>
    <n v="2"/>
    <n v="899"/>
    <n v="10"/>
    <n v="1618.2"/>
    <n v="1068.51"/>
    <n v="549.69000000000005"/>
    <x v="8"/>
    <x v="1"/>
    <n v="0.33969225064886915"/>
  </r>
  <r>
    <n v="980"/>
    <d v="2023-11-17T00:00:00"/>
    <x v="0"/>
    <x v="2"/>
    <x v="10"/>
    <x v="4"/>
    <n v="7"/>
    <n v="181"/>
    <n v="10"/>
    <n v="1140.3"/>
    <n v="876.12"/>
    <n v="264.18"/>
    <x v="3"/>
    <x v="1"/>
    <n v="0.23167587476979742"/>
  </r>
  <r>
    <n v="981"/>
    <d v="2024-11-16T00:00:00"/>
    <x v="0"/>
    <x v="4"/>
    <x v="14"/>
    <x v="3"/>
    <n v="6"/>
    <n v="573"/>
    <n v="5"/>
    <n v="3266.1"/>
    <n v="2312.94"/>
    <n v="953.16"/>
    <x v="3"/>
    <x v="0"/>
    <n v="0.29183429778635067"/>
  </r>
  <r>
    <n v="982"/>
    <d v="2023-07-25T00:00:00"/>
    <x v="1"/>
    <x v="3"/>
    <x v="11"/>
    <x v="3"/>
    <n v="1"/>
    <n v="641"/>
    <n v="10"/>
    <n v="576.9"/>
    <n v="344.49"/>
    <n v="232.41"/>
    <x v="5"/>
    <x v="1"/>
    <n v="0.4028601144045762"/>
  </r>
  <r>
    <n v="983"/>
    <d v="2023-11-11T00:00:00"/>
    <x v="1"/>
    <x v="3"/>
    <x v="15"/>
    <x v="5"/>
    <n v="3"/>
    <n v="449"/>
    <n v="15"/>
    <n v="1144.95"/>
    <n v="737.07"/>
    <n v="407.88"/>
    <x v="3"/>
    <x v="1"/>
    <n v="0.35624263068256257"/>
  </r>
  <r>
    <n v="984"/>
    <d v="2023-03-27T00:00:00"/>
    <x v="0"/>
    <x v="3"/>
    <x v="4"/>
    <x v="2"/>
    <n v="4"/>
    <n v="728"/>
    <n v="5"/>
    <n v="2766.4"/>
    <n v="1569.46"/>
    <n v="1196.94"/>
    <x v="8"/>
    <x v="1"/>
    <n v="0.43267061885482938"/>
  </r>
  <r>
    <n v="985"/>
    <d v="2024-05-25T00:00:00"/>
    <x v="3"/>
    <x v="2"/>
    <x v="3"/>
    <x v="3"/>
    <n v="7"/>
    <n v="222"/>
    <n v="20"/>
    <n v="1243.2"/>
    <n v="929.37"/>
    <n v="313.83"/>
    <x v="7"/>
    <x v="0"/>
    <n v="0.25243725868725869"/>
  </r>
  <r>
    <n v="986"/>
    <d v="2023-07-14T00:00:00"/>
    <x v="2"/>
    <x v="3"/>
    <x v="19"/>
    <x v="2"/>
    <n v="2"/>
    <n v="158"/>
    <n v="15"/>
    <n v="268.60000000000002"/>
    <n v="186.99"/>
    <n v="81.61"/>
    <x v="5"/>
    <x v="1"/>
    <n v="0.30383469843633654"/>
  </r>
  <r>
    <n v="987"/>
    <d v="2024-02-25T00:00:00"/>
    <x v="2"/>
    <x v="2"/>
    <x v="17"/>
    <x v="4"/>
    <n v="4"/>
    <n v="746"/>
    <n v="10"/>
    <n v="2685.6"/>
    <n v="1716.61"/>
    <n v="968.99"/>
    <x v="9"/>
    <x v="0"/>
    <n v="0.36080950253202265"/>
  </r>
  <r>
    <n v="988"/>
    <d v="2024-03-09T00:00:00"/>
    <x v="2"/>
    <x v="4"/>
    <x v="8"/>
    <x v="0"/>
    <n v="9"/>
    <n v="923"/>
    <n v="20"/>
    <n v="6645.6"/>
    <n v="3397.26"/>
    <n v="3248.34"/>
    <x v="8"/>
    <x v="0"/>
    <n v="0.48879559407728423"/>
  </r>
  <r>
    <n v="989"/>
    <d v="2024-05-18T00:00:00"/>
    <x v="2"/>
    <x v="0"/>
    <x v="1"/>
    <x v="4"/>
    <n v="6"/>
    <n v="597"/>
    <n v="0"/>
    <n v="3582"/>
    <n v="2194.0100000000002"/>
    <n v="1387.99"/>
    <x v="7"/>
    <x v="0"/>
    <n v="0.38749022892238971"/>
  </r>
  <r>
    <n v="990"/>
    <d v="2024-04-25T00:00:00"/>
    <x v="1"/>
    <x v="4"/>
    <x v="8"/>
    <x v="3"/>
    <n v="5"/>
    <n v="792"/>
    <n v="20"/>
    <n v="3168"/>
    <n v="2066.46"/>
    <n v="1101.54"/>
    <x v="10"/>
    <x v="0"/>
    <n v="0.34770833333333334"/>
  </r>
  <r>
    <n v="991"/>
    <d v="2024-05-29T00:00:00"/>
    <x v="2"/>
    <x v="4"/>
    <x v="18"/>
    <x v="5"/>
    <n v="10"/>
    <n v="324"/>
    <n v="15"/>
    <n v="2754"/>
    <n v="2199.0100000000002"/>
    <n v="554.99"/>
    <x v="7"/>
    <x v="0"/>
    <n v="0.20152142338416848"/>
  </r>
  <r>
    <n v="992"/>
    <d v="2023-10-20T00:00:00"/>
    <x v="2"/>
    <x v="3"/>
    <x v="4"/>
    <x v="1"/>
    <n v="9"/>
    <n v="59"/>
    <n v="0"/>
    <n v="531"/>
    <n v="393.49"/>
    <n v="137.51"/>
    <x v="1"/>
    <x v="1"/>
    <n v="0.25896421845574386"/>
  </r>
  <r>
    <n v="993"/>
    <d v="2024-07-03T00:00:00"/>
    <x v="3"/>
    <x v="4"/>
    <x v="14"/>
    <x v="1"/>
    <n v="8"/>
    <n v="367"/>
    <n v="15"/>
    <n v="2495.6"/>
    <n v="1756.16"/>
    <n v="739.44"/>
    <x v="5"/>
    <x v="0"/>
    <n v="0.29629748357108515"/>
  </r>
  <r>
    <n v="994"/>
    <d v="2023-11-15T00:00:00"/>
    <x v="2"/>
    <x v="2"/>
    <x v="6"/>
    <x v="0"/>
    <n v="6"/>
    <n v="923"/>
    <n v="15"/>
    <n v="4707.3"/>
    <n v="2746.56"/>
    <n v="1960.74"/>
    <x v="3"/>
    <x v="1"/>
    <n v="0.41653176980434642"/>
  </r>
  <r>
    <n v="995"/>
    <d v="2024-05-10T00:00:00"/>
    <x v="0"/>
    <x v="1"/>
    <x v="2"/>
    <x v="0"/>
    <n v="6"/>
    <n v="492"/>
    <n v="20"/>
    <n v="2361.6"/>
    <n v="1520.39"/>
    <n v="841.21"/>
    <x v="7"/>
    <x v="0"/>
    <n v="0.35620342140921413"/>
  </r>
  <r>
    <n v="996"/>
    <d v="2023-08-02T00:00:00"/>
    <x v="0"/>
    <x v="1"/>
    <x v="7"/>
    <x v="3"/>
    <n v="4"/>
    <n v="91"/>
    <n v="5"/>
    <n v="345.8"/>
    <n v="245.04"/>
    <n v="100.76"/>
    <x v="2"/>
    <x v="1"/>
    <n v="0.29138230190861769"/>
  </r>
  <r>
    <n v="997"/>
    <d v="2024-05-20T00:00:00"/>
    <x v="2"/>
    <x v="4"/>
    <x v="18"/>
    <x v="5"/>
    <n v="9"/>
    <n v="722"/>
    <n v="0"/>
    <n v="6498"/>
    <n v="3301.3"/>
    <n v="3196.7"/>
    <x v="7"/>
    <x v="0"/>
    <n v="0.49195136965220065"/>
  </r>
  <r>
    <n v="998"/>
    <d v="2023-09-07T00:00:00"/>
    <x v="3"/>
    <x v="1"/>
    <x v="7"/>
    <x v="3"/>
    <n v="9"/>
    <n v="532"/>
    <n v="0"/>
    <n v="4788"/>
    <n v="2981.79"/>
    <n v="1806.21"/>
    <x v="0"/>
    <x v="1"/>
    <n v="0.37723684210526315"/>
  </r>
  <r>
    <n v="999"/>
    <d v="2023-02-10T00:00:00"/>
    <x v="1"/>
    <x v="0"/>
    <x v="12"/>
    <x v="5"/>
    <n v="8"/>
    <n v="385"/>
    <n v="15"/>
    <n v="2618"/>
    <n v="1440.56"/>
    <n v="1177.44"/>
    <x v="9"/>
    <x v="1"/>
    <n v="0.4497478991596639"/>
  </r>
  <r>
    <n v="1000"/>
    <d v="2023-09-21T00:00:00"/>
    <x v="0"/>
    <x v="3"/>
    <x v="15"/>
    <x v="2"/>
    <n v="6"/>
    <n v="691"/>
    <n v="10"/>
    <n v="3731.4"/>
    <n v="2613.69"/>
    <n v="1117.71"/>
    <x v="0"/>
    <x v="1"/>
    <n v="0.2995417269657501"/>
  </r>
  <r>
    <n v="1001"/>
    <d v="2023-11-07T00:00:00"/>
    <x v="1"/>
    <x v="4"/>
    <x v="14"/>
    <x v="3"/>
    <n v="10"/>
    <n v="475"/>
    <n v="15"/>
    <n v="4037.5"/>
    <n v="2964.99"/>
    <n v="1072.51"/>
    <x v="3"/>
    <x v="1"/>
    <n v="0.2656371517027864"/>
  </r>
  <r>
    <n v="1002"/>
    <d v="2024-09-02T00:00:00"/>
    <x v="1"/>
    <x v="1"/>
    <x v="5"/>
    <x v="2"/>
    <n v="7"/>
    <n v="759"/>
    <n v="20"/>
    <n v="4250.3999999999996"/>
    <n v="2713.43"/>
    <n v="1536.97"/>
    <x v="0"/>
    <x v="0"/>
    <n v="0.36160596649727089"/>
  </r>
  <r>
    <n v="1003"/>
    <d v="2023-09-03T00:00:00"/>
    <x v="3"/>
    <x v="3"/>
    <x v="4"/>
    <x v="4"/>
    <n v="7"/>
    <n v="788"/>
    <n v="0"/>
    <n v="5516"/>
    <n v="3603.74"/>
    <n v="1912.26"/>
    <x v="0"/>
    <x v="1"/>
    <n v="0.34667512690355329"/>
  </r>
  <r>
    <n v="1004"/>
    <d v="2023-05-21T00:00:00"/>
    <x v="0"/>
    <x v="0"/>
    <x v="12"/>
    <x v="4"/>
    <n v="1"/>
    <n v="579"/>
    <n v="0"/>
    <n v="579"/>
    <n v="315.13"/>
    <n v="263.87"/>
    <x v="7"/>
    <x v="1"/>
    <n v="0.45573402417962006"/>
  </r>
  <r>
    <n v="1005"/>
    <d v="2023-09-03T00:00:00"/>
    <x v="2"/>
    <x v="4"/>
    <x v="9"/>
    <x v="1"/>
    <n v="9"/>
    <n v="885"/>
    <n v="20"/>
    <n v="6372"/>
    <n v="3639.79"/>
    <n v="2732.21"/>
    <x v="0"/>
    <x v="1"/>
    <n v="0.42878374136848713"/>
  </r>
  <r>
    <n v="1006"/>
    <d v="2024-10-28T00:00:00"/>
    <x v="1"/>
    <x v="1"/>
    <x v="7"/>
    <x v="5"/>
    <n v="9"/>
    <n v="34"/>
    <n v="10"/>
    <n v="275.39999999999998"/>
    <n v="206.51"/>
    <n v="68.89"/>
    <x v="1"/>
    <x v="0"/>
    <n v="0.25014524328249821"/>
  </r>
  <r>
    <n v="1007"/>
    <d v="2023-05-12T00:00:00"/>
    <x v="0"/>
    <x v="2"/>
    <x v="17"/>
    <x v="1"/>
    <n v="8"/>
    <n v="856"/>
    <n v="10"/>
    <n v="6163.2"/>
    <n v="4129"/>
    <n v="2034.2"/>
    <x v="7"/>
    <x v="1"/>
    <n v="0.33005581516095539"/>
  </r>
  <r>
    <n v="1008"/>
    <d v="2023-03-19T00:00:00"/>
    <x v="0"/>
    <x v="2"/>
    <x v="6"/>
    <x v="4"/>
    <n v="9"/>
    <n v="359"/>
    <n v="10"/>
    <n v="2907.9"/>
    <n v="1973.25"/>
    <n v="934.65"/>
    <x v="8"/>
    <x v="1"/>
    <n v="0.32141751779634786"/>
  </r>
  <r>
    <n v="1009"/>
    <d v="2024-09-29T00:00:00"/>
    <x v="0"/>
    <x v="4"/>
    <x v="8"/>
    <x v="3"/>
    <n v="2"/>
    <n v="903"/>
    <n v="5"/>
    <n v="1715.7"/>
    <n v="865.52"/>
    <n v="850.18"/>
    <x v="0"/>
    <x v="0"/>
    <n v="0.49552952147811385"/>
  </r>
  <r>
    <n v="1010"/>
    <d v="2024-01-19T00:00:00"/>
    <x v="2"/>
    <x v="0"/>
    <x v="1"/>
    <x v="3"/>
    <n v="7"/>
    <n v="212"/>
    <n v="0"/>
    <n v="1484"/>
    <n v="878.09"/>
    <n v="605.91"/>
    <x v="11"/>
    <x v="0"/>
    <n v="0.40829514824797841"/>
  </r>
  <r>
    <n v="1011"/>
    <d v="2024-09-23T00:00:00"/>
    <x v="0"/>
    <x v="3"/>
    <x v="15"/>
    <x v="1"/>
    <n v="4"/>
    <n v="739"/>
    <n v="20"/>
    <n v="2364.8000000000002"/>
    <n v="1290.25"/>
    <n v="1074.55"/>
    <x v="0"/>
    <x v="0"/>
    <n v="0.45439360622462782"/>
  </r>
  <r>
    <n v="1012"/>
    <d v="2024-06-15T00:00:00"/>
    <x v="3"/>
    <x v="4"/>
    <x v="8"/>
    <x v="1"/>
    <n v="6"/>
    <n v="89"/>
    <n v="10"/>
    <n v="480.6"/>
    <n v="303.2"/>
    <n v="177.4"/>
    <x v="4"/>
    <x v="0"/>
    <n v="0.36912193091968371"/>
  </r>
  <r>
    <n v="1013"/>
    <d v="2023-01-16T00:00:00"/>
    <x v="3"/>
    <x v="4"/>
    <x v="8"/>
    <x v="3"/>
    <n v="9"/>
    <n v="892"/>
    <n v="15"/>
    <n v="6823.8"/>
    <n v="3418.67"/>
    <n v="3405.13"/>
    <x v="11"/>
    <x v="1"/>
    <n v="0.49900788417011049"/>
  </r>
  <r>
    <n v="1014"/>
    <d v="2024-05-30T00:00:00"/>
    <x v="0"/>
    <x v="1"/>
    <x v="7"/>
    <x v="4"/>
    <n v="3"/>
    <n v="840"/>
    <n v="0"/>
    <n v="2520"/>
    <n v="1367.3"/>
    <n v="1152.7"/>
    <x v="7"/>
    <x v="0"/>
    <n v="0.45742063492063495"/>
  </r>
  <r>
    <n v="1015"/>
    <d v="2023-03-10T00:00:00"/>
    <x v="0"/>
    <x v="1"/>
    <x v="2"/>
    <x v="1"/>
    <n v="6"/>
    <n v="330"/>
    <n v="0"/>
    <n v="1980"/>
    <n v="1027.1199999999999"/>
    <n v="952.88"/>
    <x v="8"/>
    <x v="1"/>
    <n v="0.48125252525252527"/>
  </r>
  <r>
    <n v="1016"/>
    <d v="2024-01-05T00:00:00"/>
    <x v="2"/>
    <x v="3"/>
    <x v="4"/>
    <x v="2"/>
    <n v="7"/>
    <n v="450"/>
    <n v="15"/>
    <n v="2677.5"/>
    <n v="1341.94"/>
    <n v="1335.56"/>
    <x v="11"/>
    <x v="0"/>
    <n v="0.49880859010270773"/>
  </r>
  <r>
    <n v="1017"/>
    <d v="2023-09-23T00:00:00"/>
    <x v="1"/>
    <x v="0"/>
    <x v="1"/>
    <x v="3"/>
    <n v="5"/>
    <n v="913"/>
    <n v="10"/>
    <n v="4108.5"/>
    <n v="2789.84"/>
    <n v="1318.66"/>
    <x v="0"/>
    <x v="1"/>
    <n v="0.32095898746501156"/>
  </r>
  <r>
    <n v="1018"/>
    <d v="2024-03-23T00:00:00"/>
    <x v="1"/>
    <x v="4"/>
    <x v="14"/>
    <x v="3"/>
    <n v="5"/>
    <n v="525"/>
    <n v="10"/>
    <n v="2362.5"/>
    <n v="1707.57"/>
    <n v="654.92999999999995"/>
    <x v="8"/>
    <x v="0"/>
    <n v="0.27721904761904759"/>
  </r>
  <r>
    <n v="1019"/>
    <d v="2023-02-27T00:00:00"/>
    <x v="3"/>
    <x v="2"/>
    <x v="3"/>
    <x v="4"/>
    <n v="6"/>
    <n v="747"/>
    <n v="5"/>
    <n v="4257.8999999999996"/>
    <n v="2900"/>
    <n v="1357.9"/>
    <x v="9"/>
    <x v="1"/>
    <n v="0.31891307921745465"/>
  </r>
  <r>
    <n v="1020"/>
    <d v="2023-02-23T00:00:00"/>
    <x v="3"/>
    <x v="0"/>
    <x v="13"/>
    <x v="4"/>
    <n v="3"/>
    <n v="705"/>
    <n v="20"/>
    <n v="1692"/>
    <n v="1295.46"/>
    <n v="396.54"/>
    <x v="9"/>
    <x v="1"/>
    <n v="0.23436170212765958"/>
  </r>
  <r>
    <n v="1021"/>
    <d v="2024-03-07T00:00:00"/>
    <x v="3"/>
    <x v="4"/>
    <x v="8"/>
    <x v="5"/>
    <n v="5"/>
    <n v="41"/>
    <n v="5"/>
    <n v="194.75"/>
    <n v="139.13999999999999"/>
    <n v="55.61"/>
    <x v="8"/>
    <x v="0"/>
    <n v="0.28554557124518615"/>
  </r>
  <r>
    <n v="1022"/>
    <d v="2024-10-09T00:00:00"/>
    <x v="3"/>
    <x v="0"/>
    <x v="0"/>
    <x v="1"/>
    <n v="10"/>
    <n v="162"/>
    <n v="20"/>
    <n v="1296"/>
    <n v="670.31"/>
    <n v="625.69000000000005"/>
    <x v="1"/>
    <x v="0"/>
    <n v="0.48278549382716052"/>
  </r>
  <r>
    <n v="1023"/>
    <d v="2023-11-09T00:00:00"/>
    <x v="1"/>
    <x v="4"/>
    <x v="9"/>
    <x v="5"/>
    <n v="4"/>
    <n v="174"/>
    <n v="15"/>
    <n v="591.6"/>
    <n v="443.7"/>
    <n v="147.9"/>
    <x v="3"/>
    <x v="1"/>
    <n v="0.25"/>
  </r>
  <r>
    <n v="1024"/>
    <d v="2023-01-20T00:00:00"/>
    <x v="2"/>
    <x v="2"/>
    <x v="10"/>
    <x v="4"/>
    <n v="1"/>
    <n v="459"/>
    <n v="5"/>
    <n v="436.05"/>
    <n v="286.75"/>
    <n v="149.30000000000001"/>
    <x v="11"/>
    <x v="1"/>
    <n v="0.34239192753124642"/>
  </r>
  <r>
    <n v="1025"/>
    <d v="2023-03-05T00:00:00"/>
    <x v="3"/>
    <x v="0"/>
    <x v="12"/>
    <x v="5"/>
    <n v="10"/>
    <n v="546"/>
    <n v="10"/>
    <n v="4914"/>
    <n v="2497.7800000000002"/>
    <n v="2416.2199999999998"/>
    <x v="8"/>
    <x v="1"/>
    <n v="0.49170126170126166"/>
  </r>
  <r>
    <n v="1026"/>
    <d v="2024-08-13T00:00:00"/>
    <x v="0"/>
    <x v="0"/>
    <x v="13"/>
    <x v="0"/>
    <n v="1"/>
    <n v="48"/>
    <n v="5"/>
    <n v="45.6"/>
    <n v="33.229999999999997"/>
    <n v="12.37"/>
    <x v="2"/>
    <x v="0"/>
    <n v="0.27127192982456139"/>
  </r>
  <r>
    <n v="1027"/>
    <d v="2024-07-12T00:00:00"/>
    <x v="0"/>
    <x v="2"/>
    <x v="3"/>
    <x v="2"/>
    <n v="1"/>
    <n v="573"/>
    <n v="20"/>
    <n v="458.4"/>
    <n v="318.19"/>
    <n v="140.21"/>
    <x v="5"/>
    <x v="0"/>
    <n v="0.30586823734729496"/>
  </r>
  <r>
    <n v="1028"/>
    <d v="2023-02-28T00:00:00"/>
    <x v="1"/>
    <x v="2"/>
    <x v="10"/>
    <x v="0"/>
    <n v="7"/>
    <n v="784"/>
    <n v="15"/>
    <n v="4664.8"/>
    <n v="2639.34"/>
    <n v="2025.46"/>
    <x v="9"/>
    <x v="1"/>
    <n v="0.4342008231864174"/>
  </r>
  <r>
    <n v="1029"/>
    <d v="2023-01-18T00:00:00"/>
    <x v="3"/>
    <x v="0"/>
    <x v="1"/>
    <x v="1"/>
    <n v="4"/>
    <n v="674"/>
    <n v="15"/>
    <n v="2291.6"/>
    <n v="1320.65"/>
    <n v="970.95"/>
    <x v="11"/>
    <x v="1"/>
    <n v="0.42369959853377559"/>
  </r>
  <r>
    <n v="1030"/>
    <d v="2024-12-25T00:00:00"/>
    <x v="3"/>
    <x v="4"/>
    <x v="18"/>
    <x v="5"/>
    <n v="4"/>
    <n v="569"/>
    <n v="10"/>
    <n v="2048.4"/>
    <n v="1540.25"/>
    <n v="508.15"/>
    <x v="6"/>
    <x v="0"/>
    <n v="0.24807166569029485"/>
  </r>
  <r>
    <n v="1031"/>
    <d v="2023-01-26T00:00:00"/>
    <x v="1"/>
    <x v="1"/>
    <x v="2"/>
    <x v="1"/>
    <n v="5"/>
    <n v="813"/>
    <n v="20"/>
    <n v="3252"/>
    <n v="2475.0300000000002"/>
    <n v="776.97"/>
    <x v="11"/>
    <x v="1"/>
    <n v="0.23892066420664207"/>
  </r>
  <r>
    <n v="1032"/>
    <d v="2024-11-14T00:00:00"/>
    <x v="0"/>
    <x v="0"/>
    <x v="12"/>
    <x v="4"/>
    <n v="2"/>
    <n v="846"/>
    <n v="10"/>
    <n v="1522.8"/>
    <n v="1066.46"/>
    <n v="456.34"/>
    <x v="3"/>
    <x v="0"/>
    <n v="0.29967165747307589"/>
  </r>
  <r>
    <n v="1033"/>
    <d v="2023-07-24T00:00:00"/>
    <x v="0"/>
    <x v="2"/>
    <x v="10"/>
    <x v="2"/>
    <n v="6"/>
    <n v="890"/>
    <n v="15"/>
    <n v="4539"/>
    <n v="3275.35"/>
    <n v="1263.6500000000001"/>
    <x v="5"/>
    <x v="1"/>
    <n v="0.27839832562238381"/>
  </r>
  <r>
    <n v="1034"/>
    <d v="2024-05-12T00:00:00"/>
    <x v="2"/>
    <x v="1"/>
    <x v="5"/>
    <x v="4"/>
    <n v="7"/>
    <n v="653"/>
    <n v="10"/>
    <n v="4113.8999999999996"/>
    <n v="2885.57"/>
    <n v="1228.33"/>
    <x v="7"/>
    <x v="0"/>
    <n v="0.29858042247016214"/>
  </r>
  <r>
    <n v="1035"/>
    <d v="2023-01-03T00:00:00"/>
    <x v="0"/>
    <x v="4"/>
    <x v="9"/>
    <x v="4"/>
    <n v="5"/>
    <n v="517"/>
    <n v="0"/>
    <n v="2585"/>
    <n v="1977.61"/>
    <n v="607.39"/>
    <x v="11"/>
    <x v="1"/>
    <n v="0.23496711798839459"/>
  </r>
  <r>
    <n v="1036"/>
    <d v="2023-08-19T00:00:00"/>
    <x v="2"/>
    <x v="2"/>
    <x v="17"/>
    <x v="2"/>
    <n v="3"/>
    <n v="478"/>
    <n v="10"/>
    <n v="1290.5999999999999"/>
    <n v="729.52"/>
    <n v="561.08000000000004"/>
    <x v="2"/>
    <x v="1"/>
    <n v="0.43474353014101974"/>
  </r>
  <r>
    <n v="1037"/>
    <d v="2023-10-17T00:00:00"/>
    <x v="3"/>
    <x v="3"/>
    <x v="15"/>
    <x v="2"/>
    <n v="10"/>
    <n v="875"/>
    <n v="5"/>
    <n v="8312.5"/>
    <n v="6616.15"/>
    <n v="1696.35"/>
    <x v="1"/>
    <x v="1"/>
    <n v="0.20407218045112782"/>
  </r>
  <r>
    <n v="1038"/>
    <d v="2023-12-19T00:00:00"/>
    <x v="0"/>
    <x v="2"/>
    <x v="17"/>
    <x v="4"/>
    <n v="8"/>
    <n v="872"/>
    <n v="20"/>
    <n v="5580.8"/>
    <n v="2986.52"/>
    <n v="2594.2800000000002"/>
    <x v="6"/>
    <x v="1"/>
    <n v="0.46485808486238533"/>
  </r>
  <r>
    <n v="1039"/>
    <d v="2024-01-22T00:00:00"/>
    <x v="0"/>
    <x v="3"/>
    <x v="4"/>
    <x v="3"/>
    <n v="8"/>
    <n v="793"/>
    <n v="0"/>
    <n v="6344"/>
    <n v="4051.13"/>
    <n v="2292.87"/>
    <x v="11"/>
    <x v="0"/>
    <n v="0.36142339218158887"/>
  </r>
  <r>
    <n v="1040"/>
    <d v="2024-03-22T00:00:00"/>
    <x v="3"/>
    <x v="0"/>
    <x v="1"/>
    <x v="1"/>
    <n v="2"/>
    <n v="578"/>
    <n v="20"/>
    <n v="924.8"/>
    <n v="729.34"/>
    <n v="195.46"/>
    <x v="8"/>
    <x v="0"/>
    <n v="0.21135380622837371"/>
  </r>
  <r>
    <n v="1041"/>
    <d v="2023-11-25T00:00:00"/>
    <x v="3"/>
    <x v="1"/>
    <x v="16"/>
    <x v="2"/>
    <n v="9"/>
    <n v="38"/>
    <n v="0"/>
    <n v="342"/>
    <n v="253.56"/>
    <n v="88.44"/>
    <x v="3"/>
    <x v="1"/>
    <n v="0.25859649122807016"/>
  </r>
  <r>
    <n v="1042"/>
    <d v="2023-04-03T00:00:00"/>
    <x v="2"/>
    <x v="2"/>
    <x v="6"/>
    <x v="3"/>
    <n v="4"/>
    <n v="406"/>
    <n v="15"/>
    <n v="1380.4"/>
    <n v="849.62"/>
    <n v="530.78"/>
    <x v="10"/>
    <x v="1"/>
    <n v="0.38451173572877423"/>
  </r>
  <r>
    <n v="1043"/>
    <d v="2024-08-23T00:00:00"/>
    <x v="0"/>
    <x v="3"/>
    <x v="15"/>
    <x v="1"/>
    <n v="7"/>
    <n v="489"/>
    <n v="10"/>
    <n v="3080.7"/>
    <n v="1607"/>
    <n v="1473.7"/>
    <x v="2"/>
    <x v="0"/>
    <n v="0.47836530658616555"/>
  </r>
  <r>
    <n v="1044"/>
    <d v="2024-08-11T00:00:00"/>
    <x v="2"/>
    <x v="4"/>
    <x v="8"/>
    <x v="4"/>
    <n v="7"/>
    <n v="421"/>
    <n v="15"/>
    <n v="2504.9499999999998"/>
    <n v="1945.27"/>
    <n v="559.67999999999995"/>
    <x v="2"/>
    <x v="0"/>
    <n v="0.22342960937344059"/>
  </r>
  <r>
    <n v="1045"/>
    <d v="2024-09-18T00:00:00"/>
    <x v="1"/>
    <x v="4"/>
    <x v="18"/>
    <x v="4"/>
    <n v="9"/>
    <n v="946"/>
    <n v="0"/>
    <n v="8514"/>
    <n v="6692.05"/>
    <n v="1821.95"/>
    <x v="0"/>
    <x v="0"/>
    <n v="0.21399459713413202"/>
  </r>
  <r>
    <n v="1046"/>
    <d v="2024-08-11T00:00:00"/>
    <x v="2"/>
    <x v="1"/>
    <x v="2"/>
    <x v="5"/>
    <n v="8"/>
    <n v="732"/>
    <n v="5"/>
    <n v="5563.2"/>
    <n v="4056.01"/>
    <n v="1507.19"/>
    <x v="2"/>
    <x v="0"/>
    <n v="0.27092141213689963"/>
  </r>
  <r>
    <n v="1047"/>
    <d v="2023-07-16T00:00:00"/>
    <x v="0"/>
    <x v="2"/>
    <x v="17"/>
    <x v="5"/>
    <n v="1"/>
    <n v="772"/>
    <n v="15"/>
    <n v="656.2"/>
    <n v="460"/>
    <n v="196.2"/>
    <x v="5"/>
    <x v="1"/>
    <n v="0.29899420908259672"/>
  </r>
  <r>
    <n v="1048"/>
    <d v="2024-03-05T00:00:00"/>
    <x v="0"/>
    <x v="3"/>
    <x v="4"/>
    <x v="5"/>
    <n v="5"/>
    <n v="530"/>
    <n v="0"/>
    <n v="2650"/>
    <n v="1738.26"/>
    <n v="911.74"/>
    <x v="8"/>
    <x v="0"/>
    <n v="0.34405283018867927"/>
  </r>
  <r>
    <n v="1049"/>
    <d v="2023-12-15T00:00:00"/>
    <x v="3"/>
    <x v="4"/>
    <x v="14"/>
    <x v="5"/>
    <n v="6"/>
    <n v="572"/>
    <n v="15"/>
    <n v="2917.2"/>
    <n v="1976.18"/>
    <n v="941.02"/>
    <x v="6"/>
    <x v="1"/>
    <n v="0.32257644316467848"/>
  </r>
  <r>
    <n v="1050"/>
    <d v="2024-02-26T00:00:00"/>
    <x v="2"/>
    <x v="0"/>
    <x v="1"/>
    <x v="2"/>
    <n v="9"/>
    <n v="719"/>
    <n v="15"/>
    <n v="5500.35"/>
    <n v="4223.42"/>
    <n v="1276.93"/>
    <x v="9"/>
    <x v="0"/>
    <n v="0.23215431745252574"/>
  </r>
  <r>
    <n v="1051"/>
    <d v="2023-05-01T00:00:00"/>
    <x v="2"/>
    <x v="1"/>
    <x v="5"/>
    <x v="5"/>
    <n v="9"/>
    <n v="311"/>
    <n v="15"/>
    <n v="2379.15"/>
    <n v="1669.75"/>
    <n v="709.4"/>
    <x v="7"/>
    <x v="1"/>
    <n v="0.29817371750415061"/>
  </r>
  <r>
    <n v="1052"/>
    <d v="2024-08-01T00:00:00"/>
    <x v="1"/>
    <x v="4"/>
    <x v="14"/>
    <x v="3"/>
    <n v="2"/>
    <n v="996"/>
    <n v="10"/>
    <n v="1792.8"/>
    <n v="1066.08"/>
    <n v="726.72"/>
    <x v="2"/>
    <x v="0"/>
    <n v="0.40535475234270418"/>
  </r>
  <r>
    <n v="1053"/>
    <d v="2023-06-23T00:00:00"/>
    <x v="0"/>
    <x v="4"/>
    <x v="14"/>
    <x v="2"/>
    <n v="9"/>
    <n v="387"/>
    <n v="15"/>
    <n v="2960.55"/>
    <n v="1889.89"/>
    <n v="1070.6600000000001"/>
    <x v="4"/>
    <x v="1"/>
    <n v="0.36164226241745623"/>
  </r>
  <r>
    <n v="1054"/>
    <d v="2023-09-30T00:00:00"/>
    <x v="1"/>
    <x v="4"/>
    <x v="14"/>
    <x v="2"/>
    <n v="4"/>
    <n v="797"/>
    <n v="10"/>
    <n v="2869.2"/>
    <n v="1975.46"/>
    <n v="893.74"/>
    <x v="0"/>
    <x v="1"/>
    <n v="0.3114944932385334"/>
  </r>
  <r>
    <n v="1055"/>
    <d v="2024-04-27T00:00:00"/>
    <x v="1"/>
    <x v="1"/>
    <x v="16"/>
    <x v="5"/>
    <n v="4"/>
    <n v="175"/>
    <n v="20"/>
    <n v="560"/>
    <n v="410.02"/>
    <n v="149.97999999999999"/>
    <x v="10"/>
    <x v="0"/>
    <n v="0.26782142857142854"/>
  </r>
  <r>
    <n v="1056"/>
    <d v="2024-04-20T00:00:00"/>
    <x v="3"/>
    <x v="1"/>
    <x v="2"/>
    <x v="1"/>
    <n v="10"/>
    <n v="280"/>
    <n v="5"/>
    <n v="2660"/>
    <n v="1970.11"/>
    <n v="689.89"/>
    <x v="10"/>
    <x v="0"/>
    <n v="0.25935714285714284"/>
  </r>
  <r>
    <n v="1057"/>
    <d v="2024-01-29T00:00:00"/>
    <x v="3"/>
    <x v="1"/>
    <x v="16"/>
    <x v="3"/>
    <n v="4"/>
    <n v="542"/>
    <n v="20"/>
    <n v="1734.4"/>
    <n v="1357.77"/>
    <n v="376.63"/>
    <x v="11"/>
    <x v="0"/>
    <n v="0.21715290590405903"/>
  </r>
  <r>
    <n v="1058"/>
    <d v="2024-02-06T00:00:00"/>
    <x v="1"/>
    <x v="1"/>
    <x v="2"/>
    <x v="0"/>
    <n v="2"/>
    <n v="712"/>
    <n v="0"/>
    <n v="1424"/>
    <n v="928.28"/>
    <n v="495.72"/>
    <x v="9"/>
    <x v="0"/>
    <n v="0.34811797752808993"/>
  </r>
  <r>
    <n v="1059"/>
    <d v="2024-07-23T00:00:00"/>
    <x v="2"/>
    <x v="3"/>
    <x v="11"/>
    <x v="5"/>
    <n v="6"/>
    <n v="343"/>
    <n v="20"/>
    <n v="1646.4"/>
    <n v="1103.55"/>
    <n v="542.85"/>
    <x v="5"/>
    <x v="0"/>
    <n v="0.32971938775510201"/>
  </r>
  <r>
    <n v="1060"/>
    <d v="2023-07-07T00:00:00"/>
    <x v="1"/>
    <x v="3"/>
    <x v="15"/>
    <x v="3"/>
    <n v="4"/>
    <n v="54"/>
    <n v="0"/>
    <n v="216"/>
    <n v="159.09"/>
    <n v="56.91"/>
    <x v="5"/>
    <x v="1"/>
    <n v="0.26347222222222222"/>
  </r>
  <r>
    <n v="1061"/>
    <d v="2024-06-09T00:00:00"/>
    <x v="3"/>
    <x v="4"/>
    <x v="9"/>
    <x v="3"/>
    <n v="7"/>
    <n v="852"/>
    <n v="15"/>
    <n v="5069.3999999999996"/>
    <n v="3496.52"/>
    <n v="1572.88"/>
    <x v="4"/>
    <x v="0"/>
    <n v="0.31026945989663474"/>
  </r>
  <r>
    <n v="1062"/>
    <d v="2024-11-08T00:00:00"/>
    <x v="3"/>
    <x v="1"/>
    <x v="2"/>
    <x v="1"/>
    <n v="6"/>
    <n v="949"/>
    <n v="20"/>
    <n v="4555.2"/>
    <n v="2773.85"/>
    <n v="1781.35"/>
    <x v="3"/>
    <x v="0"/>
    <n v="0.3910585704250088"/>
  </r>
  <r>
    <n v="1063"/>
    <d v="2023-08-19T00:00:00"/>
    <x v="3"/>
    <x v="3"/>
    <x v="11"/>
    <x v="3"/>
    <n v="10"/>
    <n v="608"/>
    <n v="5"/>
    <n v="5776"/>
    <n v="3532.27"/>
    <n v="2243.73"/>
    <x v="2"/>
    <x v="1"/>
    <n v="0.38845740997229916"/>
  </r>
  <r>
    <n v="1064"/>
    <d v="2024-10-10T00:00:00"/>
    <x v="1"/>
    <x v="0"/>
    <x v="0"/>
    <x v="0"/>
    <n v="7"/>
    <n v="85"/>
    <n v="10"/>
    <n v="535.5"/>
    <n v="405.11"/>
    <n v="130.38999999999999"/>
    <x v="1"/>
    <x v="0"/>
    <n v="0.24349206349206345"/>
  </r>
  <r>
    <n v="1065"/>
    <d v="2024-04-04T00:00:00"/>
    <x v="1"/>
    <x v="2"/>
    <x v="10"/>
    <x v="5"/>
    <n v="2"/>
    <n v="928"/>
    <n v="10"/>
    <n v="1670.4"/>
    <n v="865.38"/>
    <n v="805.02"/>
    <x v="10"/>
    <x v="0"/>
    <n v="0.48193247126436778"/>
  </r>
  <r>
    <n v="1066"/>
    <d v="2024-01-13T00:00:00"/>
    <x v="1"/>
    <x v="2"/>
    <x v="6"/>
    <x v="5"/>
    <n v="7"/>
    <n v="846"/>
    <n v="15"/>
    <n v="5033.7"/>
    <n v="3786.97"/>
    <n v="1246.73"/>
    <x v="11"/>
    <x v="0"/>
    <n v="0.24767665931620877"/>
  </r>
  <r>
    <n v="1067"/>
    <d v="2023-06-08T00:00:00"/>
    <x v="3"/>
    <x v="2"/>
    <x v="10"/>
    <x v="3"/>
    <n v="9"/>
    <n v="227"/>
    <n v="15"/>
    <n v="1736.55"/>
    <n v="1214.8499999999999"/>
    <n v="521.70000000000005"/>
    <x v="4"/>
    <x v="1"/>
    <n v="0.30042325300164124"/>
  </r>
  <r>
    <n v="1068"/>
    <d v="2023-08-05T00:00:00"/>
    <x v="0"/>
    <x v="4"/>
    <x v="14"/>
    <x v="4"/>
    <n v="8"/>
    <n v="654"/>
    <n v="20"/>
    <n v="4185.6000000000004"/>
    <n v="2427.62"/>
    <n v="1757.98"/>
    <x v="2"/>
    <x v="1"/>
    <n v="0.42000668960244647"/>
  </r>
  <r>
    <n v="1069"/>
    <d v="2024-11-29T00:00:00"/>
    <x v="2"/>
    <x v="3"/>
    <x v="15"/>
    <x v="3"/>
    <n v="2"/>
    <n v="383"/>
    <n v="15"/>
    <n v="651.1"/>
    <n v="374.35"/>
    <n v="276.75"/>
    <x v="3"/>
    <x v="0"/>
    <n v="0.42504991552756871"/>
  </r>
  <r>
    <n v="1070"/>
    <d v="2023-04-26T00:00:00"/>
    <x v="0"/>
    <x v="0"/>
    <x v="1"/>
    <x v="3"/>
    <n v="9"/>
    <n v="408"/>
    <n v="20"/>
    <n v="2937.6"/>
    <n v="2348.27"/>
    <n v="589.33000000000004"/>
    <x v="10"/>
    <x v="1"/>
    <n v="0.20061614923747279"/>
  </r>
  <r>
    <n v="1071"/>
    <d v="2023-07-07T00:00:00"/>
    <x v="2"/>
    <x v="1"/>
    <x v="2"/>
    <x v="1"/>
    <n v="8"/>
    <n v="238"/>
    <n v="10"/>
    <n v="1713.6"/>
    <n v="871.3"/>
    <n v="842.3"/>
    <x v="5"/>
    <x v="1"/>
    <n v="0.49153828197945842"/>
  </r>
  <r>
    <n v="1072"/>
    <d v="2023-06-15T00:00:00"/>
    <x v="3"/>
    <x v="1"/>
    <x v="5"/>
    <x v="4"/>
    <n v="9"/>
    <n v="507"/>
    <n v="15"/>
    <n v="3878.55"/>
    <n v="2901.63"/>
    <n v="976.92"/>
    <x v="4"/>
    <x v="1"/>
    <n v="0.25187763468306451"/>
  </r>
  <r>
    <n v="1073"/>
    <d v="2024-02-10T00:00:00"/>
    <x v="2"/>
    <x v="2"/>
    <x v="6"/>
    <x v="0"/>
    <n v="5"/>
    <n v="96"/>
    <n v="15"/>
    <n v="408"/>
    <n v="253.48"/>
    <n v="154.52000000000001"/>
    <x v="9"/>
    <x v="0"/>
    <n v="0.37872549019607843"/>
  </r>
  <r>
    <n v="1074"/>
    <d v="2023-11-01T00:00:00"/>
    <x v="1"/>
    <x v="1"/>
    <x v="2"/>
    <x v="4"/>
    <n v="9"/>
    <n v="360"/>
    <n v="10"/>
    <n v="2916"/>
    <n v="1781.36"/>
    <n v="1134.6400000000001"/>
    <x v="3"/>
    <x v="1"/>
    <n v="0.38910836762688616"/>
  </r>
  <r>
    <n v="1075"/>
    <d v="2023-05-23T00:00:00"/>
    <x v="2"/>
    <x v="0"/>
    <x v="12"/>
    <x v="2"/>
    <n v="3"/>
    <n v="416"/>
    <n v="15"/>
    <n v="1060.8"/>
    <n v="764.28"/>
    <n v="296.52"/>
    <x v="7"/>
    <x v="1"/>
    <n v="0.27952488687782806"/>
  </r>
  <r>
    <n v="1076"/>
    <d v="2023-01-10T00:00:00"/>
    <x v="3"/>
    <x v="2"/>
    <x v="6"/>
    <x v="1"/>
    <n v="6"/>
    <n v="171"/>
    <n v="0"/>
    <n v="1026"/>
    <n v="815.46"/>
    <n v="210.54"/>
    <x v="11"/>
    <x v="1"/>
    <n v="0.20520467836257308"/>
  </r>
  <r>
    <n v="1077"/>
    <d v="2023-05-31T00:00:00"/>
    <x v="2"/>
    <x v="1"/>
    <x v="5"/>
    <x v="1"/>
    <n v="4"/>
    <n v="649"/>
    <n v="10"/>
    <n v="2336.4"/>
    <n v="1177.77"/>
    <n v="1158.6300000000001"/>
    <x v="7"/>
    <x v="1"/>
    <n v="0.49590395480225991"/>
  </r>
  <r>
    <n v="1078"/>
    <d v="2024-04-28T00:00:00"/>
    <x v="2"/>
    <x v="4"/>
    <x v="14"/>
    <x v="3"/>
    <n v="4"/>
    <n v="374"/>
    <n v="10"/>
    <n v="1346.4"/>
    <n v="760.82"/>
    <n v="585.58000000000004"/>
    <x v="10"/>
    <x v="0"/>
    <n v="0.43492275698158051"/>
  </r>
  <r>
    <n v="1079"/>
    <d v="2024-06-08T00:00:00"/>
    <x v="2"/>
    <x v="0"/>
    <x v="0"/>
    <x v="2"/>
    <n v="1"/>
    <n v="600"/>
    <n v="15"/>
    <n v="510"/>
    <n v="337"/>
    <n v="173"/>
    <x v="4"/>
    <x v="0"/>
    <n v="0.33921568627450982"/>
  </r>
  <r>
    <n v="1080"/>
    <d v="2023-05-20T00:00:00"/>
    <x v="2"/>
    <x v="3"/>
    <x v="4"/>
    <x v="3"/>
    <n v="5"/>
    <n v="592"/>
    <n v="15"/>
    <n v="2516"/>
    <n v="1529"/>
    <n v="987"/>
    <x v="7"/>
    <x v="1"/>
    <n v="0.39228934817170114"/>
  </r>
  <r>
    <n v="1081"/>
    <d v="2024-03-06T00:00:00"/>
    <x v="0"/>
    <x v="4"/>
    <x v="8"/>
    <x v="0"/>
    <n v="8"/>
    <n v="613"/>
    <n v="0"/>
    <n v="4904"/>
    <n v="2926.91"/>
    <n v="1977.09"/>
    <x v="8"/>
    <x v="0"/>
    <n v="0.40315864600326262"/>
  </r>
  <r>
    <n v="1082"/>
    <d v="2024-02-12T00:00:00"/>
    <x v="3"/>
    <x v="3"/>
    <x v="4"/>
    <x v="5"/>
    <n v="6"/>
    <n v="415"/>
    <n v="20"/>
    <n v="1992"/>
    <n v="1043.3499999999999"/>
    <n v="948.65"/>
    <x v="9"/>
    <x v="0"/>
    <n v="0.47622991967871486"/>
  </r>
  <r>
    <n v="1083"/>
    <d v="2024-02-17T00:00:00"/>
    <x v="3"/>
    <x v="4"/>
    <x v="18"/>
    <x v="3"/>
    <n v="3"/>
    <n v="391"/>
    <n v="15"/>
    <n v="997.05"/>
    <n v="784.76"/>
    <n v="212.29"/>
    <x v="9"/>
    <x v="0"/>
    <n v="0.21291810841983852"/>
  </r>
  <r>
    <n v="1084"/>
    <d v="2024-03-13T00:00:00"/>
    <x v="1"/>
    <x v="4"/>
    <x v="8"/>
    <x v="0"/>
    <n v="5"/>
    <n v="483"/>
    <n v="20"/>
    <n v="1932"/>
    <n v="1354.08"/>
    <n v="577.91999999999996"/>
    <x v="8"/>
    <x v="0"/>
    <n v="0.2991304347826087"/>
  </r>
  <r>
    <n v="1085"/>
    <d v="2024-12-05T00:00:00"/>
    <x v="0"/>
    <x v="3"/>
    <x v="19"/>
    <x v="4"/>
    <n v="5"/>
    <n v="551"/>
    <n v="5"/>
    <n v="2617.25"/>
    <n v="1553.51"/>
    <n v="1063.74"/>
    <x v="6"/>
    <x v="0"/>
    <n v="0.40643423440634252"/>
  </r>
  <r>
    <n v="1086"/>
    <d v="2024-01-05T00:00:00"/>
    <x v="2"/>
    <x v="4"/>
    <x v="14"/>
    <x v="5"/>
    <n v="7"/>
    <n v="259"/>
    <n v="0"/>
    <n v="1813"/>
    <n v="1219.5999999999999"/>
    <n v="593.4"/>
    <x v="11"/>
    <x v="0"/>
    <n v="0.32730281301709874"/>
  </r>
  <r>
    <n v="1087"/>
    <d v="2023-06-18T00:00:00"/>
    <x v="2"/>
    <x v="0"/>
    <x v="1"/>
    <x v="5"/>
    <n v="7"/>
    <n v="547"/>
    <n v="5"/>
    <n v="3637.55"/>
    <n v="2465.16"/>
    <n v="1172.3900000000001"/>
    <x v="4"/>
    <x v="1"/>
    <n v="0.32230209894022077"/>
  </r>
  <r>
    <n v="1088"/>
    <d v="2024-12-15T00:00:00"/>
    <x v="3"/>
    <x v="3"/>
    <x v="15"/>
    <x v="5"/>
    <n v="2"/>
    <n v="558"/>
    <n v="10"/>
    <n v="1004.4"/>
    <n v="521.44000000000005"/>
    <n v="482.96"/>
    <x v="6"/>
    <x v="0"/>
    <n v="0.48084428514536043"/>
  </r>
  <r>
    <n v="1089"/>
    <d v="2023-05-23T00:00:00"/>
    <x v="2"/>
    <x v="1"/>
    <x v="2"/>
    <x v="3"/>
    <n v="5"/>
    <n v="745"/>
    <n v="0"/>
    <n v="3725"/>
    <n v="2691"/>
    <n v="1034"/>
    <x v="7"/>
    <x v="1"/>
    <n v="0.27758389261744965"/>
  </r>
  <r>
    <n v="1090"/>
    <d v="2023-04-21T00:00:00"/>
    <x v="2"/>
    <x v="0"/>
    <x v="1"/>
    <x v="4"/>
    <n v="2"/>
    <n v="142"/>
    <n v="10"/>
    <n v="255.6"/>
    <n v="169.19"/>
    <n v="86.41"/>
    <x v="10"/>
    <x v="1"/>
    <n v="0.33806729264475743"/>
  </r>
  <r>
    <n v="1091"/>
    <d v="2024-01-06T00:00:00"/>
    <x v="1"/>
    <x v="2"/>
    <x v="6"/>
    <x v="3"/>
    <n v="10"/>
    <n v="390"/>
    <n v="15"/>
    <n v="3315"/>
    <n v="2619.2600000000002"/>
    <n v="695.74"/>
    <x v="11"/>
    <x v="0"/>
    <n v="0.20987631975867271"/>
  </r>
  <r>
    <n v="1092"/>
    <d v="2023-08-07T00:00:00"/>
    <x v="0"/>
    <x v="4"/>
    <x v="8"/>
    <x v="1"/>
    <n v="4"/>
    <n v="546"/>
    <n v="20"/>
    <n v="1747.2"/>
    <n v="1193.53"/>
    <n v="553.66999999999996"/>
    <x v="2"/>
    <x v="1"/>
    <n v="0.31688988095238091"/>
  </r>
  <r>
    <n v="1093"/>
    <d v="2023-08-02T00:00:00"/>
    <x v="3"/>
    <x v="3"/>
    <x v="19"/>
    <x v="1"/>
    <n v="7"/>
    <n v="91"/>
    <n v="5"/>
    <n v="605.15"/>
    <n v="459.65"/>
    <n v="145.5"/>
    <x v="2"/>
    <x v="1"/>
    <n v="0.24043625547384948"/>
  </r>
  <r>
    <n v="1094"/>
    <d v="2023-03-03T00:00:00"/>
    <x v="2"/>
    <x v="3"/>
    <x v="15"/>
    <x v="3"/>
    <n v="7"/>
    <n v="462"/>
    <n v="20"/>
    <n v="2587.1999999999998"/>
    <n v="1964.4"/>
    <n v="622.79999999999995"/>
    <x v="8"/>
    <x v="1"/>
    <n v="0.24072356215213359"/>
  </r>
  <r>
    <n v="1095"/>
    <d v="2024-06-23T00:00:00"/>
    <x v="2"/>
    <x v="4"/>
    <x v="14"/>
    <x v="3"/>
    <n v="10"/>
    <n v="20"/>
    <n v="5"/>
    <n v="190"/>
    <n v="140.18"/>
    <n v="49.82"/>
    <x v="4"/>
    <x v="0"/>
    <n v="0.26221052631578945"/>
  </r>
  <r>
    <n v="1096"/>
    <d v="2023-02-22T00:00:00"/>
    <x v="1"/>
    <x v="1"/>
    <x v="16"/>
    <x v="2"/>
    <n v="2"/>
    <n v="128"/>
    <n v="15"/>
    <n v="217.6"/>
    <n v="154.84"/>
    <n v="62.76"/>
    <x v="9"/>
    <x v="1"/>
    <n v="0.2884191176470588"/>
  </r>
  <r>
    <n v="1097"/>
    <d v="2023-06-24T00:00:00"/>
    <x v="2"/>
    <x v="1"/>
    <x v="2"/>
    <x v="3"/>
    <n v="1"/>
    <n v="124"/>
    <n v="15"/>
    <n v="105.4"/>
    <n v="81.84"/>
    <n v="23.56"/>
    <x v="4"/>
    <x v="1"/>
    <n v="0.22352941176470587"/>
  </r>
  <r>
    <n v="1098"/>
    <d v="2023-01-20T00:00:00"/>
    <x v="0"/>
    <x v="2"/>
    <x v="6"/>
    <x v="3"/>
    <n v="9"/>
    <n v="102"/>
    <n v="20"/>
    <n v="734.4"/>
    <n v="574.70000000000005"/>
    <n v="159.69999999999999"/>
    <x v="11"/>
    <x v="1"/>
    <n v="0.21745642701525053"/>
  </r>
  <r>
    <n v="1099"/>
    <d v="2023-09-28T00:00:00"/>
    <x v="3"/>
    <x v="1"/>
    <x v="2"/>
    <x v="3"/>
    <n v="8"/>
    <n v="502"/>
    <n v="0"/>
    <n v="4016"/>
    <n v="3144.58"/>
    <n v="871.42"/>
    <x v="0"/>
    <x v="1"/>
    <n v="0.21698705179282868"/>
  </r>
  <r>
    <n v="1100"/>
    <d v="2024-04-03T00:00:00"/>
    <x v="0"/>
    <x v="2"/>
    <x v="17"/>
    <x v="1"/>
    <n v="10"/>
    <n v="543"/>
    <n v="20"/>
    <n v="4344"/>
    <n v="3000.05"/>
    <n v="1343.95"/>
    <x v="10"/>
    <x v="0"/>
    <n v="0.30938075506445673"/>
  </r>
  <r>
    <n v="1101"/>
    <d v="2023-01-10T00:00:00"/>
    <x v="0"/>
    <x v="4"/>
    <x v="8"/>
    <x v="2"/>
    <n v="5"/>
    <n v="456"/>
    <n v="15"/>
    <n v="1938"/>
    <n v="1546.62"/>
    <n v="391.38"/>
    <x v="11"/>
    <x v="1"/>
    <n v="0.20195046439628483"/>
  </r>
  <r>
    <n v="1102"/>
    <d v="2024-09-15T00:00:00"/>
    <x v="2"/>
    <x v="3"/>
    <x v="4"/>
    <x v="1"/>
    <n v="10"/>
    <n v="394"/>
    <n v="0"/>
    <n v="3940"/>
    <n v="3012.86"/>
    <n v="927.14"/>
    <x v="0"/>
    <x v="0"/>
    <n v="0.23531472081218274"/>
  </r>
  <r>
    <n v="1103"/>
    <d v="2023-04-13T00:00:00"/>
    <x v="1"/>
    <x v="3"/>
    <x v="4"/>
    <x v="5"/>
    <n v="1"/>
    <n v="941"/>
    <n v="0"/>
    <n v="941"/>
    <n v="738.39"/>
    <n v="202.61"/>
    <x v="10"/>
    <x v="1"/>
    <n v="0.21531349628055263"/>
  </r>
  <r>
    <n v="1104"/>
    <d v="2024-09-26T00:00:00"/>
    <x v="3"/>
    <x v="3"/>
    <x v="11"/>
    <x v="5"/>
    <n v="10"/>
    <n v="372"/>
    <n v="0"/>
    <n v="3720"/>
    <n v="2719.93"/>
    <n v="1000.07"/>
    <x v="0"/>
    <x v="0"/>
    <n v="0.26883602150537633"/>
  </r>
  <r>
    <n v="1105"/>
    <d v="2024-07-23T00:00:00"/>
    <x v="1"/>
    <x v="1"/>
    <x v="5"/>
    <x v="5"/>
    <n v="10"/>
    <n v="438"/>
    <n v="20"/>
    <n v="3504"/>
    <n v="2699.86"/>
    <n v="804.14"/>
    <x v="5"/>
    <x v="0"/>
    <n v="0.2294920091324201"/>
  </r>
  <r>
    <n v="1106"/>
    <d v="2024-10-11T00:00:00"/>
    <x v="2"/>
    <x v="4"/>
    <x v="9"/>
    <x v="5"/>
    <n v="1"/>
    <n v="886"/>
    <n v="5"/>
    <n v="841.7"/>
    <n v="658"/>
    <n v="183.7"/>
    <x v="1"/>
    <x v="0"/>
    <n v="0.21824878222644645"/>
  </r>
  <r>
    <n v="1107"/>
    <d v="2023-02-16T00:00:00"/>
    <x v="2"/>
    <x v="4"/>
    <x v="9"/>
    <x v="4"/>
    <n v="10"/>
    <n v="65"/>
    <n v="5"/>
    <n v="617.5"/>
    <n v="402.87"/>
    <n v="214.63"/>
    <x v="9"/>
    <x v="1"/>
    <n v="0.34757894736842104"/>
  </r>
  <r>
    <n v="1108"/>
    <d v="2024-07-28T00:00:00"/>
    <x v="3"/>
    <x v="1"/>
    <x v="2"/>
    <x v="4"/>
    <n v="6"/>
    <n v="580"/>
    <n v="10"/>
    <n v="3132"/>
    <n v="2490.0300000000002"/>
    <n v="641.97"/>
    <x v="5"/>
    <x v="0"/>
    <n v="0.2049712643678161"/>
  </r>
  <r>
    <n v="1109"/>
    <d v="2023-07-29T00:00:00"/>
    <x v="0"/>
    <x v="2"/>
    <x v="17"/>
    <x v="4"/>
    <n v="5"/>
    <n v="392"/>
    <n v="5"/>
    <n v="1862"/>
    <n v="1002.34"/>
    <n v="859.66"/>
    <x v="5"/>
    <x v="1"/>
    <n v="0.46168635875402791"/>
  </r>
  <r>
    <n v="1110"/>
    <d v="2023-02-11T00:00:00"/>
    <x v="3"/>
    <x v="0"/>
    <x v="1"/>
    <x v="0"/>
    <n v="1"/>
    <n v="221"/>
    <n v="15"/>
    <n v="187.85"/>
    <n v="94.24"/>
    <n v="93.61"/>
    <x v="9"/>
    <x v="1"/>
    <n v="0.49832313015704022"/>
  </r>
  <r>
    <n v="1111"/>
    <d v="2024-01-08T00:00:00"/>
    <x v="3"/>
    <x v="2"/>
    <x v="6"/>
    <x v="0"/>
    <n v="9"/>
    <n v="503"/>
    <n v="20"/>
    <n v="3621.6"/>
    <n v="2891.63"/>
    <n v="729.97"/>
    <x v="11"/>
    <x v="0"/>
    <n v="0.20156008394079966"/>
  </r>
  <r>
    <n v="1112"/>
    <d v="2023-04-04T00:00:00"/>
    <x v="2"/>
    <x v="4"/>
    <x v="14"/>
    <x v="2"/>
    <n v="10"/>
    <n v="859"/>
    <n v="20"/>
    <n v="6872"/>
    <n v="4588.16"/>
    <n v="2283.84"/>
    <x v="10"/>
    <x v="1"/>
    <n v="0.33233993015133878"/>
  </r>
  <r>
    <n v="1113"/>
    <d v="2024-03-02T00:00:00"/>
    <x v="2"/>
    <x v="4"/>
    <x v="8"/>
    <x v="4"/>
    <n v="6"/>
    <n v="512"/>
    <n v="15"/>
    <n v="2611.1999999999998"/>
    <n v="1871.98"/>
    <n v="739.22"/>
    <x v="8"/>
    <x v="0"/>
    <n v="0.28309589460784318"/>
  </r>
  <r>
    <n v="1114"/>
    <d v="2023-06-26T00:00:00"/>
    <x v="3"/>
    <x v="1"/>
    <x v="7"/>
    <x v="0"/>
    <n v="4"/>
    <n v="160"/>
    <n v="20"/>
    <n v="512"/>
    <n v="275.22000000000003"/>
    <n v="236.78"/>
    <x v="4"/>
    <x v="1"/>
    <n v="0.4624609375"/>
  </r>
  <r>
    <n v="1115"/>
    <d v="2023-12-04T00:00:00"/>
    <x v="1"/>
    <x v="0"/>
    <x v="1"/>
    <x v="5"/>
    <n v="10"/>
    <n v="195"/>
    <n v="15"/>
    <n v="1657.5"/>
    <n v="1047.0999999999999"/>
    <n v="610.4"/>
    <x v="6"/>
    <x v="1"/>
    <n v="0.36826546003016591"/>
  </r>
  <r>
    <n v="1116"/>
    <d v="2023-03-11T00:00:00"/>
    <x v="0"/>
    <x v="1"/>
    <x v="16"/>
    <x v="1"/>
    <n v="1"/>
    <n v="842"/>
    <n v="10"/>
    <n v="757.8"/>
    <n v="501.51"/>
    <n v="256.29000000000002"/>
    <x v="8"/>
    <x v="1"/>
    <n v="0.3382026920031671"/>
  </r>
  <r>
    <n v="1117"/>
    <d v="2024-03-28T00:00:00"/>
    <x v="2"/>
    <x v="0"/>
    <x v="1"/>
    <x v="4"/>
    <n v="5"/>
    <n v="92"/>
    <n v="0"/>
    <n v="460"/>
    <n v="340.85"/>
    <n v="119.15"/>
    <x v="8"/>
    <x v="0"/>
    <n v="0.2590217391304348"/>
  </r>
  <r>
    <n v="1118"/>
    <d v="2024-02-19T00:00:00"/>
    <x v="1"/>
    <x v="2"/>
    <x v="17"/>
    <x v="5"/>
    <n v="1"/>
    <n v="936"/>
    <n v="20"/>
    <n v="748.8"/>
    <n v="532.62"/>
    <n v="216.18"/>
    <x v="9"/>
    <x v="0"/>
    <n v="0.28870192307692311"/>
  </r>
  <r>
    <n v="1119"/>
    <d v="2024-03-06T00:00:00"/>
    <x v="3"/>
    <x v="3"/>
    <x v="15"/>
    <x v="3"/>
    <n v="3"/>
    <n v="587"/>
    <n v="0"/>
    <n v="1761"/>
    <n v="1379.19"/>
    <n v="381.81"/>
    <x v="8"/>
    <x v="0"/>
    <n v="0.21681431005110732"/>
  </r>
  <r>
    <n v="1120"/>
    <d v="2023-01-09T00:00:00"/>
    <x v="3"/>
    <x v="2"/>
    <x v="3"/>
    <x v="5"/>
    <n v="3"/>
    <n v="819"/>
    <n v="20"/>
    <n v="1965.6"/>
    <n v="1492.98"/>
    <n v="472.62"/>
    <x v="11"/>
    <x v="1"/>
    <n v="0.24044566544566545"/>
  </r>
  <r>
    <n v="1121"/>
    <d v="2023-08-14T00:00:00"/>
    <x v="1"/>
    <x v="4"/>
    <x v="14"/>
    <x v="2"/>
    <n v="2"/>
    <n v="772"/>
    <n v="0"/>
    <n v="1544"/>
    <n v="1125.29"/>
    <n v="418.71"/>
    <x v="2"/>
    <x v="1"/>
    <n v="0.27118523316062176"/>
  </r>
  <r>
    <n v="1122"/>
    <d v="2023-03-03T00:00:00"/>
    <x v="3"/>
    <x v="1"/>
    <x v="5"/>
    <x v="0"/>
    <n v="1"/>
    <n v="759"/>
    <n v="15"/>
    <n v="645.15"/>
    <n v="375.35"/>
    <n v="269.8"/>
    <x v="8"/>
    <x v="1"/>
    <n v="0.41819731845307295"/>
  </r>
  <r>
    <n v="1123"/>
    <d v="2024-05-29T00:00:00"/>
    <x v="1"/>
    <x v="1"/>
    <x v="16"/>
    <x v="5"/>
    <n v="6"/>
    <n v="614"/>
    <n v="15"/>
    <n v="3131.4"/>
    <n v="1713.66"/>
    <n v="1417.74"/>
    <x v="7"/>
    <x v="0"/>
    <n v="0.45274956888292778"/>
  </r>
  <r>
    <n v="1124"/>
    <d v="2024-04-26T00:00:00"/>
    <x v="3"/>
    <x v="4"/>
    <x v="18"/>
    <x v="3"/>
    <n v="1"/>
    <n v="741"/>
    <n v="10"/>
    <n v="666.9"/>
    <n v="515.30999999999995"/>
    <n v="151.59"/>
    <x v="10"/>
    <x v="0"/>
    <n v="0.22730544309491679"/>
  </r>
  <r>
    <n v="1125"/>
    <d v="2024-02-25T00:00:00"/>
    <x v="0"/>
    <x v="3"/>
    <x v="19"/>
    <x v="1"/>
    <n v="3"/>
    <n v="63"/>
    <n v="10"/>
    <n v="170.1"/>
    <n v="89.86"/>
    <n v="80.239999999999995"/>
    <x v="9"/>
    <x v="0"/>
    <n v="0.47172251616696059"/>
  </r>
  <r>
    <n v="1126"/>
    <d v="2024-05-11T00:00:00"/>
    <x v="2"/>
    <x v="0"/>
    <x v="12"/>
    <x v="3"/>
    <n v="9"/>
    <n v="217"/>
    <n v="0"/>
    <n v="1953"/>
    <n v="1284.95"/>
    <n v="668.05"/>
    <x v="7"/>
    <x v="0"/>
    <n v="0.34206349206349201"/>
  </r>
  <r>
    <n v="1127"/>
    <d v="2024-09-03T00:00:00"/>
    <x v="1"/>
    <x v="1"/>
    <x v="5"/>
    <x v="1"/>
    <n v="2"/>
    <n v="482"/>
    <n v="0"/>
    <n v="964"/>
    <n v="622.77"/>
    <n v="341.23"/>
    <x v="0"/>
    <x v="0"/>
    <n v="0.35397302904564315"/>
  </r>
  <r>
    <n v="1128"/>
    <d v="2023-06-04T00:00:00"/>
    <x v="1"/>
    <x v="2"/>
    <x v="10"/>
    <x v="2"/>
    <n v="6"/>
    <n v="795"/>
    <n v="0"/>
    <n v="4770"/>
    <n v="3616.64"/>
    <n v="1153.3599999999999"/>
    <x v="4"/>
    <x v="1"/>
    <n v="0.24179454926624736"/>
  </r>
  <r>
    <n v="1129"/>
    <d v="2023-12-04T00:00:00"/>
    <x v="0"/>
    <x v="2"/>
    <x v="3"/>
    <x v="2"/>
    <n v="9"/>
    <n v="228"/>
    <n v="15"/>
    <n v="1744.2"/>
    <n v="912.58"/>
    <n v="831.62"/>
    <x v="6"/>
    <x v="1"/>
    <n v="0.476791652333448"/>
  </r>
  <r>
    <n v="1130"/>
    <d v="2024-10-27T00:00:00"/>
    <x v="2"/>
    <x v="0"/>
    <x v="13"/>
    <x v="5"/>
    <n v="4"/>
    <n v="975"/>
    <n v="0"/>
    <n v="3900"/>
    <n v="2325.92"/>
    <n v="1574.08"/>
    <x v="1"/>
    <x v="0"/>
    <n v="0.40361025641025638"/>
  </r>
  <r>
    <n v="1131"/>
    <d v="2023-09-16T00:00:00"/>
    <x v="2"/>
    <x v="2"/>
    <x v="17"/>
    <x v="5"/>
    <n v="8"/>
    <n v="265"/>
    <n v="0"/>
    <n v="2120"/>
    <n v="1196.01"/>
    <n v="923.99"/>
    <x v="0"/>
    <x v="1"/>
    <n v="0.43584433962264152"/>
  </r>
  <r>
    <n v="1132"/>
    <d v="2023-10-27T00:00:00"/>
    <x v="2"/>
    <x v="0"/>
    <x v="13"/>
    <x v="1"/>
    <n v="2"/>
    <n v="559"/>
    <n v="10"/>
    <n v="1006.2"/>
    <n v="619.19000000000005"/>
    <n v="387.01"/>
    <x v="1"/>
    <x v="1"/>
    <n v="0.38462532299741597"/>
  </r>
  <r>
    <n v="1133"/>
    <d v="2023-07-15T00:00:00"/>
    <x v="1"/>
    <x v="3"/>
    <x v="4"/>
    <x v="1"/>
    <n v="10"/>
    <n v="707"/>
    <n v="20"/>
    <n v="5656"/>
    <n v="3232.18"/>
    <n v="2423.8200000000002"/>
    <x v="5"/>
    <x v="1"/>
    <n v="0.42853960396039609"/>
  </r>
  <r>
    <n v="1134"/>
    <d v="2023-03-02T00:00:00"/>
    <x v="3"/>
    <x v="4"/>
    <x v="18"/>
    <x v="1"/>
    <n v="1"/>
    <n v="587"/>
    <n v="0"/>
    <n v="587"/>
    <n v="394.72"/>
    <n v="192.28"/>
    <x v="8"/>
    <x v="1"/>
    <n v="0.32756388415672916"/>
  </r>
  <r>
    <n v="1135"/>
    <d v="2024-02-12T00:00:00"/>
    <x v="2"/>
    <x v="2"/>
    <x v="10"/>
    <x v="2"/>
    <n v="3"/>
    <n v="310"/>
    <n v="10"/>
    <n v="837"/>
    <n v="661.9"/>
    <n v="175.1"/>
    <x v="9"/>
    <x v="0"/>
    <n v="0.20919952210274789"/>
  </r>
  <r>
    <n v="1136"/>
    <d v="2024-09-11T00:00:00"/>
    <x v="2"/>
    <x v="1"/>
    <x v="5"/>
    <x v="3"/>
    <n v="1"/>
    <n v="324"/>
    <n v="15"/>
    <n v="275.39999999999998"/>
    <n v="185.72"/>
    <n v="89.68"/>
    <x v="0"/>
    <x v="0"/>
    <n v="0.32563543936092959"/>
  </r>
  <r>
    <n v="1137"/>
    <d v="2024-04-18T00:00:00"/>
    <x v="2"/>
    <x v="3"/>
    <x v="15"/>
    <x v="2"/>
    <n v="9"/>
    <n v="504"/>
    <n v="0"/>
    <n v="4536"/>
    <n v="2786.2"/>
    <n v="1749.8"/>
    <x v="10"/>
    <x v="0"/>
    <n v="0.3857583774250441"/>
  </r>
  <r>
    <n v="1138"/>
    <d v="2023-08-17T00:00:00"/>
    <x v="1"/>
    <x v="3"/>
    <x v="19"/>
    <x v="3"/>
    <n v="3"/>
    <n v="368"/>
    <n v="5"/>
    <n v="1048.8"/>
    <n v="616.41"/>
    <n v="432.39"/>
    <x v="2"/>
    <x v="1"/>
    <n v="0.41227116704805494"/>
  </r>
  <r>
    <n v="1139"/>
    <d v="2024-02-05T00:00:00"/>
    <x v="0"/>
    <x v="2"/>
    <x v="10"/>
    <x v="5"/>
    <n v="7"/>
    <n v="308"/>
    <n v="5"/>
    <n v="2048.1999999999998"/>
    <n v="1099.6500000000001"/>
    <n v="948.55"/>
    <x v="9"/>
    <x v="0"/>
    <n v="0.46311395371545749"/>
  </r>
  <r>
    <n v="1140"/>
    <d v="2024-05-14T00:00:00"/>
    <x v="3"/>
    <x v="4"/>
    <x v="14"/>
    <x v="4"/>
    <n v="4"/>
    <n v="572"/>
    <n v="15"/>
    <n v="1944.8"/>
    <n v="1355.09"/>
    <n v="589.71"/>
    <x v="7"/>
    <x v="0"/>
    <n v="0.30322398190045252"/>
  </r>
  <r>
    <n v="1141"/>
    <d v="2023-05-04T00:00:00"/>
    <x v="2"/>
    <x v="0"/>
    <x v="13"/>
    <x v="5"/>
    <n v="2"/>
    <n v="821"/>
    <n v="0"/>
    <n v="1642"/>
    <n v="874.08"/>
    <n v="767.92"/>
    <x v="7"/>
    <x v="1"/>
    <n v="0.46767356881851396"/>
  </r>
  <r>
    <n v="1142"/>
    <d v="2024-06-19T00:00:00"/>
    <x v="3"/>
    <x v="4"/>
    <x v="8"/>
    <x v="4"/>
    <n v="2"/>
    <n v="502"/>
    <n v="5"/>
    <n v="953.8"/>
    <n v="693.8"/>
    <n v="260"/>
    <x v="4"/>
    <x v="0"/>
    <n v="0.27259383518557351"/>
  </r>
  <r>
    <n v="1143"/>
    <d v="2024-02-17T00:00:00"/>
    <x v="0"/>
    <x v="1"/>
    <x v="2"/>
    <x v="4"/>
    <n v="10"/>
    <n v="46"/>
    <n v="15"/>
    <n v="391"/>
    <n v="292.64"/>
    <n v="98.36"/>
    <x v="9"/>
    <x v="0"/>
    <n v="0.25156010230179027"/>
  </r>
  <r>
    <n v="1144"/>
    <d v="2024-07-23T00:00:00"/>
    <x v="3"/>
    <x v="0"/>
    <x v="13"/>
    <x v="3"/>
    <n v="8"/>
    <n v="885"/>
    <n v="10"/>
    <n v="6372"/>
    <n v="4530.9399999999996"/>
    <n v="1841.06"/>
    <x v="5"/>
    <x v="0"/>
    <n v="0.28892969240426869"/>
  </r>
  <r>
    <n v="1145"/>
    <d v="2023-08-02T00:00:00"/>
    <x v="2"/>
    <x v="2"/>
    <x v="10"/>
    <x v="2"/>
    <n v="10"/>
    <n v="889"/>
    <n v="0"/>
    <n v="8890"/>
    <n v="6584.5"/>
    <n v="2305.5"/>
    <x v="2"/>
    <x v="1"/>
    <n v="0.25933633295838021"/>
  </r>
  <r>
    <n v="1146"/>
    <d v="2024-12-25T00:00:00"/>
    <x v="3"/>
    <x v="0"/>
    <x v="12"/>
    <x v="4"/>
    <n v="9"/>
    <n v="986"/>
    <n v="15"/>
    <n v="7542.9"/>
    <n v="4568.6099999999997"/>
    <n v="2974.29"/>
    <x v="6"/>
    <x v="0"/>
    <n v="0.39431650956528658"/>
  </r>
  <r>
    <n v="1147"/>
    <d v="2024-04-09T00:00:00"/>
    <x v="2"/>
    <x v="3"/>
    <x v="4"/>
    <x v="3"/>
    <n v="3"/>
    <n v="306"/>
    <n v="5"/>
    <n v="872.1"/>
    <n v="573.59"/>
    <n v="298.51"/>
    <x v="10"/>
    <x v="0"/>
    <n v="0.34228872835683977"/>
  </r>
  <r>
    <n v="1148"/>
    <d v="2024-04-24T00:00:00"/>
    <x v="0"/>
    <x v="4"/>
    <x v="18"/>
    <x v="3"/>
    <n v="2"/>
    <n v="379"/>
    <n v="0"/>
    <n v="758"/>
    <n v="531.35"/>
    <n v="226.65"/>
    <x v="10"/>
    <x v="0"/>
    <n v="0.29901055408970978"/>
  </r>
  <r>
    <n v="1149"/>
    <d v="2024-01-22T00:00:00"/>
    <x v="1"/>
    <x v="3"/>
    <x v="15"/>
    <x v="3"/>
    <n v="1"/>
    <n v="739"/>
    <n v="20"/>
    <n v="591.20000000000005"/>
    <n v="356.56"/>
    <n v="234.64"/>
    <x v="11"/>
    <x v="0"/>
    <n v="0.39688768606224623"/>
  </r>
  <r>
    <n v="1150"/>
    <d v="2023-08-21T00:00:00"/>
    <x v="1"/>
    <x v="0"/>
    <x v="13"/>
    <x v="4"/>
    <n v="1"/>
    <n v="964"/>
    <n v="15"/>
    <n v="819.4"/>
    <n v="638.63"/>
    <n v="180.77"/>
    <x v="2"/>
    <x v="1"/>
    <n v="0.22061264339760803"/>
  </r>
  <r>
    <n v="1151"/>
    <d v="2023-02-13T00:00:00"/>
    <x v="0"/>
    <x v="3"/>
    <x v="19"/>
    <x v="0"/>
    <n v="1"/>
    <n v="340"/>
    <n v="20"/>
    <n v="272"/>
    <n v="157.72"/>
    <n v="114.28"/>
    <x v="9"/>
    <x v="1"/>
    <n v="0.42014705882352943"/>
  </r>
  <r>
    <n v="1152"/>
    <d v="2024-06-20T00:00:00"/>
    <x v="0"/>
    <x v="2"/>
    <x v="3"/>
    <x v="2"/>
    <n v="10"/>
    <n v="911"/>
    <n v="20"/>
    <n v="7288"/>
    <n v="5039.67"/>
    <n v="2248.33"/>
    <x v="4"/>
    <x v="0"/>
    <n v="0.30849753018660814"/>
  </r>
  <r>
    <n v="1153"/>
    <d v="2024-02-09T00:00:00"/>
    <x v="2"/>
    <x v="0"/>
    <x v="0"/>
    <x v="0"/>
    <n v="7"/>
    <n v="942"/>
    <n v="10"/>
    <n v="5934.6"/>
    <n v="3636.26"/>
    <n v="2298.34"/>
    <x v="9"/>
    <x v="0"/>
    <n v="0.38727799683213698"/>
  </r>
  <r>
    <n v="1154"/>
    <d v="2024-07-04T00:00:00"/>
    <x v="2"/>
    <x v="2"/>
    <x v="10"/>
    <x v="5"/>
    <n v="9"/>
    <n v="783"/>
    <n v="10"/>
    <n v="6342.3"/>
    <n v="4778.1899999999996"/>
    <n v="1564.11"/>
    <x v="5"/>
    <x v="0"/>
    <n v="0.2466155810983397"/>
  </r>
  <r>
    <n v="1155"/>
    <d v="2023-03-25T00:00:00"/>
    <x v="1"/>
    <x v="4"/>
    <x v="8"/>
    <x v="2"/>
    <n v="9"/>
    <n v="71"/>
    <n v="10"/>
    <n v="575.1"/>
    <n v="288.79000000000002"/>
    <n v="286.31"/>
    <x v="8"/>
    <x v="1"/>
    <n v="0.49784385324291425"/>
  </r>
  <r>
    <n v="1156"/>
    <d v="2023-09-14T00:00:00"/>
    <x v="2"/>
    <x v="0"/>
    <x v="1"/>
    <x v="2"/>
    <n v="4"/>
    <n v="132"/>
    <n v="10"/>
    <n v="475.2"/>
    <n v="340.93"/>
    <n v="134.27000000000001"/>
    <x v="0"/>
    <x v="1"/>
    <n v="0.28255471380471381"/>
  </r>
  <r>
    <n v="1157"/>
    <d v="2023-12-21T00:00:00"/>
    <x v="2"/>
    <x v="4"/>
    <x v="8"/>
    <x v="4"/>
    <n v="3"/>
    <n v="431"/>
    <n v="20"/>
    <n v="1034.4000000000001"/>
    <n v="675.13"/>
    <n v="359.27"/>
    <x v="6"/>
    <x v="1"/>
    <n v="0.34732211910286154"/>
  </r>
  <r>
    <n v="1158"/>
    <d v="2023-04-18T00:00:00"/>
    <x v="2"/>
    <x v="0"/>
    <x v="0"/>
    <x v="1"/>
    <n v="10"/>
    <n v="643"/>
    <n v="15"/>
    <n v="5465.5"/>
    <n v="3260.36"/>
    <n v="2205.14"/>
    <x v="10"/>
    <x v="1"/>
    <n v="0.4034653737078035"/>
  </r>
  <r>
    <n v="1159"/>
    <d v="2023-06-29T00:00:00"/>
    <x v="3"/>
    <x v="0"/>
    <x v="13"/>
    <x v="2"/>
    <n v="1"/>
    <n v="984"/>
    <n v="0"/>
    <n v="984"/>
    <n v="633.27"/>
    <n v="350.73"/>
    <x v="4"/>
    <x v="1"/>
    <n v="0.3564329268292683"/>
  </r>
  <r>
    <n v="1160"/>
    <d v="2023-01-15T00:00:00"/>
    <x v="0"/>
    <x v="0"/>
    <x v="12"/>
    <x v="3"/>
    <n v="5"/>
    <n v="827"/>
    <n v="5"/>
    <n v="3928.25"/>
    <n v="2128.35"/>
    <n v="1799.9"/>
    <x v="11"/>
    <x v="1"/>
    <n v="0.45819385222427289"/>
  </r>
  <r>
    <n v="1161"/>
    <d v="2023-07-21T00:00:00"/>
    <x v="2"/>
    <x v="2"/>
    <x v="6"/>
    <x v="3"/>
    <n v="4"/>
    <n v="175"/>
    <n v="10"/>
    <n v="630"/>
    <n v="492.49"/>
    <n v="137.51"/>
    <x v="5"/>
    <x v="1"/>
    <n v="0.21826984126984125"/>
  </r>
  <r>
    <n v="1162"/>
    <d v="2023-03-28T00:00:00"/>
    <x v="2"/>
    <x v="3"/>
    <x v="15"/>
    <x v="1"/>
    <n v="7"/>
    <n v="753"/>
    <n v="15"/>
    <n v="4480.3500000000004"/>
    <n v="2571.7199999999998"/>
    <n v="1908.63"/>
    <x v="8"/>
    <x v="1"/>
    <n v="0.42600020087716362"/>
  </r>
  <r>
    <n v="1163"/>
    <d v="2023-08-14T00:00:00"/>
    <x v="3"/>
    <x v="4"/>
    <x v="8"/>
    <x v="5"/>
    <n v="3"/>
    <n v="652"/>
    <n v="20"/>
    <n v="1564.8"/>
    <n v="1021.67"/>
    <n v="543.13"/>
    <x v="2"/>
    <x v="1"/>
    <n v="0.34709228016359917"/>
  </r>
  <r>
    <n v="1164"/>
    <d v="2024-12-25T00:00:00"/>
    <x v="2"/>
    <x v="1"/>
    <x v="7"/>
    <x v="3"/>
    <n v="5"/>
    <n v="342"/>
    <n v="5"/>
    <n v="1624.5"/>
    <n v="1168.56"/>
    <n v="455.94"/>
    <x v="6"/>
    <x v="0"/>
    <n v="0.28066481994459835"/>
  </r>
  <r>
    <n v="1165"/>
    <d v="2024-10-19T00:00:00"/>
    <x v="3"/>
    <x v="0"/>
    <x v="1"/>
    <x v="5"/>
    <n v="1"/>
    <n v="13"/>
    <n v="20"/>
    <n v="10.4"/>
    <n v="7.14"/>
    <n v="3.26"/>
    <x v="1"/>
    <x v="0"/>
    <n v="0.3134615384615384"/>
  </r>
  <r>
    <n v="1166"/>
    <d v="2023-07-17T00:00:00"/>
    <x v="0"/>
    <x v="0"/>
    <x v="0"/>
    <x v="3"/>
    <n v="1"/>
    <n v="343"/>
    <n v="15"/>
    <n v="291.55"/>
    <n v="204.32"/>
    <n v="87.23"/>
    <x v="5"/>
    <x v="1"/>
    <n v="0.29919396329960557"/>
  </r>
  <r>
    <n v="1167"/>
    <d v="2023-09-30T00:00:00"/>
    <x v="0"/>
    <x v="1"/>
    <x v="7"/>
    <x v="5"/>
    <n v="3"/>
    <n v="373"/>
    <n v="0"/>
    <n v="1119"/>
    <n v="848.42"/>
    <n v="270.58"/>
    <x v="0"/>
    <x v="1"/>
    <n v="0.24180518319928507"/>
  </r>
  <r>
    <n v="1168"/>
    <d v="2023-03-08T00:00:00"/>
    <x v="1"/>
    <x v="3"/>
    <x v="19"/>
    <x v="3"/>
    <n v="3"/>
    <n v="565"/>
    <n v="0"/>
    <n v="1695"/>
    <n v="1076.81"/>
    <n v="618.19000000000005"/>
    <x v="8"/>
    <x v="1"/>
    <n v="0.36471386430678471"/>
  </r>
  <r>
    <n v="1169"/>
    <d v="2024-02-06T00:00:00"/>
    <x v="3"/>
    <x v="3"/>
    <x v="15"/>
    <x v="1"/>
    <n v="8"/>
    <n v="482"/>
    <n v="5"/>
    <n v="3663.2"/>
    <n v="1952.08"/>
    <n v="1711.12"/>
    <x v="9"/>
    <x v="0"/>
    <n v="0.4671107228652544"/>
  </r>
  <r>
    <n v="1170"/>
    <d v="2024-04-20T00:00:00"/>
    <x v="1"/>
    <x v="3"/>
    <x v="4"/>
    <x v="4"/>
    <n v="8"/>
    <n v="473"/>
    <n v="10"/>
    <n v="3405.6"/>
    <n v="2320.7399999999998"/>
    <n v="1084.8599999999999"/>
    <x v="10"/>
    <x v="0"/>
    <n v="0.31855179704016912"/>
  </r>
  <r>
    <n v="1171"/>
    <d v="2023-05-18T00:00:00"/>
    <x v="0"/>
    <x v="2"/>
    <x v="6"/>
    <x v="4"/>
    <n v="3"/>
    <n v="449"/>
    <n v="10"/>
    <n v="1212.3"/>
    <n v="706.77"/>
    <n v="505.53"/>
    <x v="7"/>
    <x v="1"/>
    <n v="0.41700074239049739"/>
  </r>
  <r>
    <n v="1172"/>
    <d v="2023-10-25T00:00:00"/>
    <x v="0"/>
    <x v="1"/>
    <x v="2"/>
    <x v="1"/>
    <n v="10"/>
    <n v="688"/>
    <n v="10"/>
    <n v="6192"/>
    <n v="3870.31"/>
    <n v="2321.69"/>
    <x v="1"/>
    <x v="1"/>
    <n v="0.3749499354005168"/>
  </r>
  <r>
    <n v="1173"/>
    <d v="2024-04-07T00:00:00"/>
    <x v="3"/>
    <x v="2"/>
    <x v="3"/>
    <x v="3"/>
    <n v="1"/>
    <n v="588"/>
    <n v="15"/>
    <n v="499.8"/>
    <n v="308.92"/>
    <n v="190.88"/>
    <x v="10"/>
    <x v="0"/>
    <n v="0.38191276510604238"/>
  </r>
  <r>
    <n v="1174"/>
    <d v="2024-07-25T00:00:00"/>
    <x v="3"/>
    <x v="2"/>
    <x v="3"/>
    <x v="4"/>
    <n v="3"/>
    <n v="285"/>
    <n v="5"/>
    <n v="812.25"/>
    <n v="614.91999999999996"/>
    <n v="197.33"/>
    <x v="5"/>
    <x v="0"/>
    <n v="0.24294244382887042"/>
  </r>
  <r>
    <n v="1175"/>
    <d v="2024-08-06T00:00:00"/>
    <x v="3"/>
    <x v="2"/>
    <x v="17"/>
    <x v="2"/>
    <n v="5"/>
    <n v="415"/>
    <n v="10"/>
    <n v="1867.5"/>
    <n v="1049.75"/>
    <n v="817.75"/>
    <x v="2"/>
    <x v="0"/>
    <n v="0.43788487282463184"/>
  </r>
  <r>
    <n v="1176"/>
    <d v="2024-04-12T00:00:00"/>
    <x v="3"/>
    <x v="1"/>
    <x v="16"/>
    <x v="0"/>
    <n v="3"/>
    <n v="988"/>
    <n v="15"/>
    <n v="2519.4"/>
    <n v="1745.07"/>
    <n v="774.33"/>
    <x v="10"/>
    <x v="0"/>
    <n v="0.30734698737794713"/>
  </r>
  <r>
    <n v="1177"/>
    <d v="2023-03-09T00:00:00"/>
    <x v="2"/>
    <x v="3"/>
    <x v="19"/>
    <x v="4"/>
    <n v="10"/>
    <n v="452"/>
    <n v="20"/>
    <n v="3616"/>
    <n v="1831.75"/>
    <n v="1784.25"/>
    <x v="8"/>
    <x v="1"/>
    <n v="0.49343196902654868"/>
  </r>
  <r>
    <n v="1178"/>
    <d v="2023-09-24T00:00:00"/>
    <x v="0"/>
    <x v="3"/>
    <x v="11"/>
    <x v="3"/>
    <n v="8"/>
    <n v="370"/>
    <n v="20"/>
    <n v="2368"/>
    <n v="1486.73"/>
    <n v="881.27"/>
    <x v="0"/>
    <x v="1"/>
    <n v="0.37215793918918916"/>
  </r>
  <r>
    <n v="1179"/>
    <d v="2024-04-14T00:00:00"/>
    <x v="3"/>
    <x v="1"/>
    <x v="7"/>
    <x v="2"/>
    <n v="10"/>
    <n v="748"/>
    <n v="10"/>
    <n v="6732"/>
    <n v="4596.05"/>
    <n v="2135.9499999999998"/>
    <x v="10"/>
    <x v="0"/>
    <n v="0.31728312537136066"/>
  </r>
  <r>
    <n v="1180"/>
    <d v="2024-07-29T00:00:00"/>
    <x v="2"/>
    <x v="3"/>
    <x v="11"/>
    <x v="2"/>
    <n v="1"/>
    <n v="438"/>
    <n v="0"/>
    <n v="438"/>
    <n v="255.61"/>
    <n v="182.39"/>
    <x v="5"/>
    <x v="0"/>
    <n v="0.41641552511415519"/>
  </r>
  <r>
    <n v="1181"/>
    <d v="2023-03-16T00:00:00"/>
    <x v="1"/>
    <x v="0"/>
    <x v="12"/>
    <x v="5"/>
    <n v="9"/>
    <n v="880"/>
    <n v="10"/>
    <n v="7128"/>
    <n v="3992.12"/>
    <n v="3135.88"/>
    <x v="8"/>
    <x v="1"/>
    <n v="0.43993827160493831"/>
  </r>
  <r>
    <n v="1182"/>
    <d v="2023-03-26T00:00:00"/>
    <x v="1"/>
    <x v="1"/>
    <x v="5"/>
    <x v="4"/>
    <n v="9"/>
    <n v="983"/>
    <n v="5"/>
    <n v="8404.65"/>
    <n v="6544.16"/>
    <n v="1860.49"/>
    <x v="8"/>
    <x v="1"/>
    <n v="0.22136436377481514"/>
  </r>
  <r>
    <n v="1183"/>
    <d v="2023-12-15T00:00:00"/>
    <x v="1"/>
    <x v="4"/>
    <x v="8"/>
    <x v="5"/>
    <n v="5"/>
    <n v="635"/>
    <n v="20"/>
    <n v="2540"/>
    <n v="1596.89"/>
    <n v="943.11"/>
    <x v="6"/>
    <x v="1"/>
    <n v="0.37130314960629923"/>
  </r>
  <r>
    <n v="1184"/>
    <d v="2024-04-23T00:00:00"/>
    <x v="2"/>
    <x v="0"/>
    <x v="12"/>
    <x v="0"/>
    <n v="9"/>
    <n v="159"/>
    <n v="0"/>
    <n v="1431"/>
    <n v="1065.19"/>
    <n v="365.81"/>
    <x v="10"/>
    <x v="0"/>
    <n v="0.25563242487770788"/>
  </r>
  <r>
    <n v="1185"/>
    <d v="2023-12-16T00:00:00"/>
    <x v="1"/>
    <x v="0"/>
    <x v="0"/>
    <x v="3"/>
    <n v="9"/>
    <n v="665"/>
    <n v="5"/>
    <n v="5685.75"/>
    <n v="3073.9"/>
    <n v="2611.85"/>
    <x v="6"/>
    <x v="1"/>
    <n v="0.45936771753946265"/>
  </r>
  <r>
    <n v="1186"/>
    <d v="2023-10-18T00:00:00"/>
    <x v="3"/>
    <x v="3"/>
    <x v="11"/>
    <x v="4"/>
    <n v="4"/>
    <n v="142"/>
    <n v="15"/>
    <n v="482.8"/>
    <n v="269.55"/>
    <n v="213.25"/>
    <x v="1"/>
    <x v="1"/>
    <n v="0.44169428334714167"/>
  </r>
  <r>
    <n v="1187"/>
    <d v="2023-08-27T00:00:00"/>
    <x v="3"/>
    <x v="4"/>
    <x v="18"/>
    <x v="5"/>
    <n v="6"/>
    <n v="252"/>
    <n v="15"/>
    <n v="1285.2"/>
    <n v="902.62"/>
    <n v="382.58"/>
    <x v="2"/>
    <x v="1"/>
    <n v="0.29768129474011823"/>
  </r>
  <r>
    <n v="1188"/>
    <d v="2024-02-09T00:00:00"/>
    <x v="3"/>
    <x v="4"/>
    <x v="14"/>
    <x v="3"/>
    <n v="6"/>
    <n v="726"/>
    <n v="0"/>
    <n v="4356"/>
    <n v="3171.07"/>
    <n v="1184.93"/>
    <x v="9"/>
    <x v="0"/>
    <n v="0.27202249770431591"/>
  </r>
  <r>
    <n v="1189"/>
    <d v="2024-10-14T00:00:00"/>
    <x v="3"/>
    <x v="4"/>
    <x v="14"/>
    <x v="1"/>
    <n v="10"/>
    <n v="808"/>
    <n v="0"/>
    <n v="8080"/>
    <n v="6230.01"/>
    <n v="1849.99"/>
    <x v="1"/>
    <x v="0"/>
    <n v="0.22895915841584158"/>
  </r>
  <r>
    <n v="1190"/>
    <d v="2024-05-21T00:00:00"/>
    <x v="2"/>
    <x v="3"/>
    <x v="11"/>
    <x v="2"/>
    <n v="1"/>
    <n v="637"/>
    <n v="10"/>
    <n v="573.29999999999995"/>
    <n v="387.89"/>
    <n v="185.41"/>
    <x v="7"/>
    <x v="0"/>
    <n v="0.32340833769405197"/>
  </r>
  <r>
    <n v="1191"/>
    <d v="2023-06-07T00:00:00"/>
    <x v="2"/>
    <x v="1"/>
    <x v="7"/>
    <x v="2"/>
    <n v="10"/>
    <n v="403"/>
    <n v="10"/>
    <n v="3627"/>
    <n v="2428"/>
    <n v="1199"/>
    <x v="4"/>
    <x v="1"/>
    <n v="0.33057623380204026"/>
  </r>
  <r>
    <n v="1192"/>
    <d v="2024-07-21T00:00:00"/>
    <x v="0"/>
    <x v="1"/>
    <x v="5"/>
    <x v="3"/>
    <n v="5"/>
    <n v="848"/>
    <n v="15"/>
    <n v="3604"/>
    <n v="2864.08"/>
    <n v="739.92"/>
    <x v="5"/>
    <x v="0"/>
    <n v="0.20530521642619312"/>
  </r>
  <r>
    <n v="1193"/>
    <d v="2023-08-06T00:00:00"/>
    <x v="2"/>
    <x v="0"/>
    <x v="0"/>
    <x v="1"/>
    <n v="10"/>
    <n v="254"/>
    <n v="5"/>
    <n v="2413"/>
    <n v="1910.22"/>
    <n v="502.78"/>
    <x v="2"/>
    <x v="1"/>
    <n v="0.2083630335681724"/>
  </r>
  <r>
    <n v="1194"/>
    <d v="2024-09-30T00:00:00"/>
    <x v="2"/>
    <x v="4"/>
    <x v="18"/>
    <x v="1"/>
    <n v="4"/>
    <n v="367"/>
    <n v="20"/>
    <n v="1174.4000000000001"/>
    <n v="789.4"/>
    <n v="385"/>
    <x v="0"/>
    <x v="0"/>
    <n v="0.3278269754768392"/>
  </r>
  <r>
    <n v="1195"/>
    <d v="2023-10-30T00:00:00"/>
    <x v="2"/>
    <x v="2"/>
    <x v="17"/>
    <x v="4"/>
    <n v="5"/>
    <n v="358"/>
    <n v="15"/>
    <n v="1521.5"/>
    <n v="905.49"/>
    <n v="616.01"/>
    <x v="1"/>
    <x v="1"/>
    <n v="0.40487019388761092"/>
  </r>
  <r>
    <n v="1196"/>
    <d v="2024-11-24T00:00:00"/>
    <x v="3"/>
    <x v="2"/>
    <x v="6"/>
    <x v="0"/>
    <n v="4"/>
    <n v="543"/>
    <n v="10"/>
    <n v="1954.8"/>
    <n v="1388.15"/>
    <n v="566.65"/>
    <x v="3"/>
    <x v="0"/>
    <n v="0.28987620216901983"/>
  </r>
  <r>
    <n v="1197"/>
    <d v="2024-08-12T00:00:00"/>
    <x v="1"/>
    <x v="4"/>
    <x v="14"/>
    <x v="4"/>
    <n v="2"/>
    <n v="261"/>
    <n v="5"/>
    <n v="495.9"/>
    <n v="282.64"/>
    <n v="213.26"/>
    <x v="2"/>
    <x v="0"/>
    <n v="0.43004638031861264"/>
  </r>
  <r>
    <n v="1198"/>
    <d v="2024-08-15T00:00:00"/>
    <x v="1"/>
    <x v="4"/>
    <x v="9"/>
    <x v="5"/>
    <n v="1"/>
    <n v="542"/>
    <n v="20"/>
    <n v="433.6"/>
    <n v="317.3"/>
    <n v="116.3"/>
    <x v="2"/>
    <x v="0"/>
    <n v="0.26821955719557194"/>
  </r>
  <r>
    <n v="1199"/>
    <d v="2023-06-17T00:00:00"/>
    <x v="2"/>
    <x v="1"/>
    <x v="7"/>
    <x v="1"/>
    <n v="2"/>
    <n v="38"/>
    <n v="0"/>
    <n v="76"/>
    <n v="50.71"/>
    <n v="25.29"/>
    <x v="4"/>
    <x v="1"/>
    <n v="0.33276315789473682"/>
  </r>
  <r>
    <n v="1200"/>
    <d v="2024-04-14T00:00:00"/>
    <x v="2"/>
    <x v="2"/>
    <x v="3"/>
    <x v="0"/>
    <n v="8"/>
    <n v="580"/>
    <n v="15"/>
    <n v="3944"/>
    <n v="2524.9299999999998"/>
    <n v="1419.07"/>
    <x v="10"/>
    <x v="0"/>
    <n v="0.35980476673427991"/>
  </r>
  <r>
    <n v="1201"/>
    <d v="2024-09-25T00:00:00"/>
    <x v="3"/>
    <x v="3"/>
    <x v="15"/>
    <x v="1"/>
    <n v="4"/>
    <n v="358"/>
    <n v="20"/>
    <n v="1145.5999999999999"/>
    <n v="864.08"/>
    <n v="281.52"/>
    <x v="0"/>
    <x v="0"/>
    <n v="0.24574022346368715"/>
  </r>
  <r>
    <n v="1202"/>
    <d v="2023-06-04T00:00:00"/>
    <x v="0"/>
    <x v="2"/>
    <x v="10"/>
    <x v="3"/>
    <n v="6"/>
    <n v="655"/>
    <n v="5"/>
    <n v="3733.5"/>
    <n v="2654.83"/>
    <n v="1078.67"/>
    <x v="4"/>
    <x v="1"/>
    <n v="0.28891656622472212"/>
  </r>
  <r>
    <n v="1203"/>
    <d v="2024-04-05T00:00:00"/>
    <x v="1"/>
    <x v="0"/>
    <x v="13"/>
    <x v="3"/>
    <n v="1"/>
    <n v="497"/>
    <n v="5"/>
    <n v="472.15"/>
    <n v="372.21"/>
    <n v="99.94"/>
    <x v="10"/>
    <x v="0"/>
    <n v="0.21167002012072436"/>
  </r>
  <r>
    <n v="1204"/>
    <d v="2023-09-26T00:00:00"/>
    <x v="1"/>
    <x v="0"/>
    <x v="13"/>
    <x v="4"/>
    <n v="4"/>
    <n v="358"/>
    <n v="20"/>
    <n v="1145.5999999999999"/>
    <n v="877"/>
    <n v="268.60000000000002"/>
    <x v="0"/>
    <x v="1"/>
    <n v="0.23446229050279332"/>
  </r>
  <r>
    <n v="1205"/>
    <d v="2024-05-12T00:00:00"/>
    <x v="3"/>
    <x v="2"/>
    <x v="10"/>
    <x v="5"/>
    <n v="6"/>
    <n v="944"/>
    <n v="10"/>
    <n v="5097.6000000000004"/>
    <n v="3270.33"/>
    <n v="1827.27"/>
    <x v="7"/>
    <x v="0"/>
    <n v="0.35845692090395476"/>
  </r>
  <r>
    <n v="1206"/>
    <d v="2023-09-23T00:00:00"/>
    <x v="2"/>
    <x v="2"/>
    <x v="6"/>
    <x v="4"/>
    <n v="3"/>
    <n v="49"/>
    <n v="10"/>
    <n v="132.30000000000001"/>
    <n v="96.3"/>
    <n v="36"/>
    <x v="0"/>
    <x v="1"/>
    <n v="0.27210884353741494"/>
  </r>
  <r>
    <n v="1207"/>
    <d v="2023-10-08T00:00:00"/>
    <x v="0"/>
    <x v="2"/>
    <x v="6"/>
    <x v="0"/>
    <n v="9"/>
    <n v="595"/>
    <n v="0"/>
    <n v="5355"/>
    <n v="3628.72"/>
    <n v="1726.28"/>
    <x v="1"/>
    <x v="1"/>
    <n v="0.32236788048552756"/>
  </r>
  <r>
    <n v="1208"/>
    <d v="2023-11-28T00:00:00"/>
    <x v="1"/>
    <x v="2"/>
    <x v="17"/>
    <x v="0"/>
    <n v="10"/>
    <n v="938"/>
    <n v="15"/>
    <n v="7973"/>
    <n v="4263.97"/>
    <n v="3709.03"/>
    <x v="3"/>
    <x v="1"/>
    <n v="0.46519879593628499"/>
  </r>
  <r>
    <n v="1209"/>
    <d v="2023-04-08T00:00:00"/>
    <x v="2"/>
    <x v="2"/>
    <x v="10"/>
    <x v="0"/>
    <n v="10"/>
    <n v="17"/>
    <n v="15"/>
    <n v="144.5"/>
    <n v="114.7"/>
    <n v="29.8"/>
    <x v="10"/>
    <x v="1"/>
    <n v="0.20622837370242214"/>
  </r>
  <r>
    <n v="1210"/>
    <d v="2024-03-13T00:00:00"/>
    <x v="1"/>
    <x v="3"/>
    <x v="4"/>
    <x v="3"/>
    <n v="7"/>
    <n v="656"/>
    <n v="5"/>
    <n v="4362.3999999999996"/>
    <n v="3250.04"/>
    <n v="1112.3599999999999"/>
    <x v="8"/>
    <x v="0"/>
    <n v="0.25498807995598755"/>
  </r>
  <r>
    <n v="1211"/>
    <d v="2024-09-15T00:00:00"/>
    <x v="1"/>
    <x v="0"/>
    <x v="0"/>
    <x v="1"/>
    <n v="1"/>
    <n v="794"/>
    <n v="20"/>
    <n v="635.20000000000005"/>
    <n v="475.89"/>
    <n v="159.31"/>
    <x v="0"/>
    <x v="0"/>
    <n v="0.25080289672544082"/>
  </r>
  <r>
    <n v="1212"/>
    <d v="2024-09-28T00:00:00"/>
    <x v="2"/>
    <x v="4"/>
    <x v="14"/>
    <x v="5"/>
    <n v="4"/>
    <n v="891"/>
    <n v="10"/>
    <n v="3207.6"/>
    <n v="1850.25"/>
    <n v="1357.35"/>
    <x v="0"/>
    <x v="0"/>
    <n v="0.42316685372240925"/>
  </r>
  <r>
    <n v="1213"/>
    <d v="2023-07-23T00:00:00"/>
    <x v="0"/>
    <x v="2"/>
    <x v="17"/>
    <x v="4"/>
    <n v="3"/>
    <n v="633"/>
    <n v="0"/>
    <n v="1899"/>
    <n v="1250.2"/>
    <n v="648.79999999999995"/>
    <x v="5"/>
    <x v="1"/>
    <n v="0.3416535018430753"/>
  </r>
  <r>
    <n v="1214"/>
    <d v="2024-02-09T00:00:00"/>
    <x v="2"/>
    <x v="4"/>
    <x v="18"/>
    <x v="3"/>
    <n v="8"/>
    <n v="321"/>
    <n v="5"/>
    <n v="2439.6"/>
    <n v="1551.38"/>
    <n v="888.22"/>
    <x v="9"/>
    <x v="0"/>
    <n v="0.36408427611083788"/>
  </r>
  <r>
    <n v="1215"/>
    <d v="2023-12-11T00:00:00"/>
    <x v="2"/>
    <x v="2"/>
    <x v="6"/>
    <x v="3"/>
    <n v="9"/>
    <n v="367"/>
    <n v="20"/>
    <n v="2642.4"/>
    <n v="1753.25"/>
    <n v="889.15"/>
    <x v="6"/>
    <x v="1"/>
    <n v="0.33649333938843473"/>
  </r>
  <r>
    <n v="1216"/>
    <d v="2023-09-03T00:00:00"/>
    <x v="0"/>
    <x v="4"/>
    <x v="8"/>
    <x v="2"/>
    <n v="3"/>
    <n v="730"/>
    <n v="0"/>
    <n v="2190"/>
    <n v="1231.4100000000001"/>
    <n v="958.59"/>
    <x v="0"/>
    <x v="1"/>
    <n v="0.43771232876712329"/>
  </r>
  <r>
    <n v="1217"/>
    <d v="2024-05-31T00:00:00"/>
    <x v="3"/>
    <x v="0"/>
    <x v="12"/>
    <x v="2"/>
    <n v="4"/>
    <n v="728"/>
    <n v="20"/>
    <n v="2329.6"/>
    <n v="1833.51"/>
    <n v="496.09"/>
    <x v="7"/>
    <x v="0"/>
    <n v="0.21295072115384614"/>
  </r>
  <r>
    <n v="1218"/>
    <d v="2023-10-27T00:00:00"/>
    <x v="2"/>
    <x v="0"/>
    <x v="0"/>
    <x v="5"/>
    <n v="2"/>
    <n v="744"/>
    <n v="20"/>
    <n v="1190.4000000000001"/>
    <n v="929.41"/>
    <n v="260.99"/>
    <x v="1"/>
    <x v="1"/>
    <n v="0.2192456317204301"/>
  </r>
  <r>
    <n v="1219"/>
    <d v="2024-04-25T00:00:00"/>
    <x v="2"/>
    <x v="1"/>
    <x v="7"/>
    <x v="1"/>
    <n v="10"/>
    <n v="500"/>
    <n v="5"/>
    <n v="4750"/>
    <n v="2388.46"/>
    <n v="2361.54"/>
    <x v="10"/>
    <x v="0"/>
    <n v="0.49716631578947368"/>
  </r>
  <r>
    <n v="1220"/>
    <d v="2023-01-06T00:00:00"/>
    <x v="0"/>
    <x v="0"/>
    <x v="12"/>
    <x v="3"/>
    <n v="2"/>
    <n v="351"/>
    <n v="0"/>
    <n v="702"/>
    <n v="425.14"/>
    <n v="276.86"/>
    <x v="11"/>
    <x v="1"/>
    <n v="0.39438746438746441"/>
  </r>
  <r>
    <n v="1221"/>
    <d v="2024-02-10T00:00:00"/>
    <x v="0"/>
    <x v="0"/>
    <x v="1"/>
    <x v="2"/>
    <n v="2"/>
    <n v="401"/>
    <n v="10"/>
    <n v="721.8"/>
    <n v="418.51"/>
    <n v="303.29000000000002"/>
    <x v="9"/>
    <x v="0"/>
    <n v="0.42018564699362709"/>
  </r>
  <r>
    <n v="1222"/>
    <d v="2023-12-04T00:00:00"/>
    <x v="2"/>
    <x v="0"/>
    <x v="12"/>
    <x v="2"/>
    <n v="10"/>
    <n v="690"/>
    <n v="15"/>
    <n v="5865"/>
    <n v="3174.34"/>
    <n v="2690.66"/>
    <x v="6"/>
    <x v="1"/>
    <n v="0.4587655583972719"/>
  </r>
  <r>
    <n v="1223"/>
    <d v="2024-05-03T00:00:00"/>
    <x v="0"/>
    <x v="2"/>
    <x v="3"/>
    <x v="5"/>
    <n v="5"/>
    <n v="508"/>
    <n v="20"/>
    <n v="2032"/>
    <n v="1037.79"/>
    <n v="994.21"/>
    <x v="7"/>
    <x v="0"/>
    <n v="0.48927657480314962"/>
  </r>
  <r>
    <n v="1224"/>
    <d v="2024-08-19T00:00:00"/>
    <x v="3"/>
    <x v="3"/>
    <x v="11"/>
    <x v="1"/>
    <n v="3"/>
    <n v="449"/>
    <n v="5"/>
    <n v="1279.6500000000001"/>
    <n v="1006.95"/>
    <n v="272.7"/>
    <x v="2"/>
    <x v="0"/>
    <n v="0.21310514593834248"/>
  </r>
  <r>
    <n v="1225"/>
    <d v="2023-01-20T00:00:00"/>
    <x v="1"/>
    <x v="0"/>
    <x v="1"/>
    <x v="3"/>
    <n v="1"/>
    <n v="80"/>
    <n v="15"/>
    <n v="68"/>
    <n v="47.38"/>
    <n v="20.62"/>
    <x v="11"/>
    <x v="1"/>
    <n v="0.30323529411764705"/>
  </r>
  <r>
    <n v="1226"/>
    <d v="2024-11-17T00:00:00"/>
    <x v="3"/>
    <x v="4"/>
    <x v="18"/>
    <x v="3"/>
    <n v="1"/>
    <n v="35"/>
    <n v="5"/>
    <n v="33.25"/>
    <n v="19.149999999999999"/>
    <n v="14.1"/>
    <x v="3"/>
    <x v="0"/>
    <n v="0.42406015037593986"/>
  </r>
  <r>
    <n v="1227"/>
    <d v="2023-07-10T00:00:00"/>
    <x v="1"/>
    <x v="1"/>
    <x v="16"/>
    <x v="3"/>
    <n v="10"/>
    <n v="662"/>
    <n v="20"/>
    <n v="5296"/>
    <n v="2790.92"/>
    <n v="2505.08"/>
    <x v="5"/>
    <x v="1"/>
    <n v="0.47301359516616315"/>
  </r>
  <r>
    <n v="1228"/>
    <d v="2024-12-17T00:00:00"/>
    <x v="1"/>
    <x v="1"/>
    <x v="5"/>
    <x v="4"/>
    <n v="6"/>
    <n v="601"/>
    <n v="0"/>
    <n v="3606"/>
    <n v="1857.26"/>
    <n v="1748.74"/>
    <x v="6"/>
    <x v="0"/>
    <n v="0.48495285635052693"/>
  </r>
  <r>
    <n v="1229"/>
    <d v="2023-12-04T00:00:00"/>
    <x v="3"/>
    <x v="0"/>
    <x v="13"/>
    <x v="2"/>
    <n v="9"/>
    <n v="271"/>
    <n v="10"/>
    <n v="2195.1"/>
    <n v="1647.75"/>
    <n v="547.35"/>
    <x v="6"/>
    <x v="1"/>
    <n v="0.24935082684160176"/>
  </r>
  <r>
    <n v="1230"/>
    <d v="2024-03-27T00:00:00"/>
    <x v="0"/>
    <x v="4"/>
    <x v="14"/>
    <x v="0"/>
    <n v="9"/>
    <n v="444"/>
    <n v="0"/>
    <n v="3996"/>
    <n v="2089.35"/>
    <n v="1906.65"/>
    <x v="8"/>
    <x v="0"/>
    <n v="0.47713963963963968"/>
  </r>
  <r>
    <n v="1231"/>
    <d v="2024-12-28T00:00:00"/>
    <x v="1"/>
    <x v="3"/>
    <x v="15"/>
    <x v="4"/>
    <n v="8"/>
    <n v="186"/>
    <n v="10"/>
    <n v="1339.2"/>
    <n v="1022.99"/>
    <n v="316.20999999999998"/>
    <x v="6"/>
    <x v="0"/>
    <n v="0.236118578255675"/>
  </r>
  <r>
    <n v="1232"/>
    <d v="2023-02-06T00:00:00"/>
    <x v="0"/>
    <x v="3"/>
    <x v="19"/>
    <x v="4"/>
    <n v="6"/>
    <n v="481"/>
    <n v="20"/>
    <n v="2308.8000000000002"/>
    <n v="1748.33"/>
    <n v="560.47"/>
    <x v="9"/>
    <x v="1"/>
    <n v="0.24275381150381151"/>
  </r>
  <r>
    <n v="1233"/>
    <d v="2024-12-20T00:00:00"/>
    <x v="3"/>
    <x v="3"/>
    <x v="15"/>
    <x v="5"/>
    <n v="10"/>
    <n v="182"/>
    <n v="10"/>
    <n v="1638"/>
    <n v="924.17"/>
    <n v="713.83"/>
    <x v="6"/>
    <x v="0"/>
    <n v="0.43579365079365084"/>
  </r>
  <r>
    <n v="1234"/>
    <d v="2024-09-27T00:00:00"/>
    <x v="1"/>
    <x v="2"/>
    <x v="10"/>
    <x v="0"/>
    <n v="1"/>
    <n v="241"/>
    <n v="5"/>
    <n v="228.95"/>
    <n v="145.91"/>
    <n v="83.04"/>
    <x v="0"/>
    <x v="0"/>
    <n v="0.36269927931862855"/>
  </r>
  <r>
    <n v="1235"/>
    <d v="2024-06-17T00:00:00"/>
    <x v="3"/>
    <x v="3"/>
    <x v="4"/>
    <x v="2"/>
    <n v="7"/>
    <n v="299"/>
    <n v="5"/>
    <n v="1988.35"/>
    <n v="1536.87"/>
    <n v="451.48"/>
    <x v="4"/>
    <x v="0"/>
    <n v="0.2270626398772852"/>
  </r>
  <r>
    <n v="1236"/>
    <d v="2024-06-22T00:00:00"/>
    <x v="0"/>
    <x v="0"/>
    <x v="0"/>
    <x v="4"/>
    <n v="3"/>
    <n v="307"/>
    <n v="10"/>
    <n v="828.9"/>
    <n v="570.45000000000005"/>
    <n v="258.45"/>
    <x v="4"/>
    <x v="0"/>
    <n v="0.31179876945349255"/>
  </r>
  <r>
    <n v="1237"/>
    <d v="2023-06-13T00:00:00"/>
    <x v="3"/>
    <x v="4"/>
    <x v="18"/>
    <x v="1"/>
    <n v="4"/>
    <n v="621"/>
    <n v="15"/>
    <n v="2111.4"/>
    <n v="1527.13"/>
    <n v="584.27"/>
    <x v="4"/>
    <x v="1"/>
    <n v="0.27672160651700289"/>
  </r>
  <r>
    <n v="1238"/>
    <d v="2024-07-13T00:00:00"/>
    <x v="0"/>
    <x v="2"/>
    <x v="3"/>
    <x v="5"/>
    <n v="4"/>
    <n v="594"/>
    <n v="5"/>
    <n v="2257.1999999999998"/>
    <n v="1472.03"/>
    <n v="785.17"/>
    <x v="5"/>
    <x v="0"/>
    <n v="0.3478513202197413"/>
  </r>
  <r>
    <n v="1239"/>
    <d v="2023-12-07T00:00:00"/>
    <x v="3"/>
    <x v="2"/>
    <x v="3"/>
    <x v="5"/>
    <n v="5"/>
    <n v="683"/>
    <n v="20"/>
    <n v="2732"/>
    <n v="1933.28"/>
    <n v="798.72"/>
    <x v="6"/>
    <x v="1"/>
    <n v="0.29235724743777453"/>
  </r>
  <r>
    <n v="1240"/>
    <d v="2023-11-28T00:00:00"/>
    <x v="0"/>
    <x v="3"/>
    <x v="19"/>
    <x v="1"/>
    <n v="3"/>
    <n v="626"/>
    <n v="15"/>
    <n v="1596.3"/>
    <n v="1105.28"/>
    <n v="491.02"/>
    <x v="3"/>
    <x v="1"/>
    <n v="0.30759882227651442"/>
  </r>
  <r>
    <n v="1241"/>
    <d v="2024-03-07T00:00:00"/>
    <x v="1"/>
    <x v="4"/>
    <x v="9"/>
    <x v="2"/>
    <n v="1"/>
    <n v="736"/>
    <n v="5"/>
    <n v="699.2"/>
    <n v="475.57"/>
    <n v="223.63"/>
    <x v="8"/>
    <x v="0"/>
    <n v="0.3198369565217391"/>
  </r>
  <r>
    <n v="1242"/>
    <d v="2023-04-09T00:00:00"/>
    <x v="2"/>
    <x v="3"/>
    <x v="19"/>
    <x v="3"/>
    <n v="1"/>
    <n v="941"/>
    <n v="20"/>
    <n v="752.8"/>
    <n v="442.39"/>
    <n v="310.41000000000003"/>
    <x v="10"/>
    <x v="1"/>
    <n v="0.4123405951115835"/>
  </r>
  <r>
    <n v="1243"/>
    <d v="2023-06-08T00:00:00"/>
    <x v="3"/>
    <x v="4"/>
    <x v="9"/>
    <x v="2"/>
    <n v="5"/>
    <n v="874"/>
    <n v="15"/>
    <n v="3714.5"/>
    <n v="2970.64"/>
    <n v="743.86"/>
    <x v="4"/>
    <x v="1"/>
    <n v="0.20025844662807915"/>
  </r>
  <r>
    <n v="1244"/>
    <d v="2024-11-10T00:00:00"/>
    <x v="2"/>
    <x v="3"/>
    <x v="19"/>
    <x v="1"/>
    <n v="7"/>
    <n v="401"/>
    <n v="15"/>
    <n v="2385.9499999999998"/>
    <n v="1330.68"/>
    <n v="1055.27"/>
    <x v="3"/>
    <x v="0"/>
    <n v="0.4422850436932878"/>
  </r>
  <r>
    <n v="1245"/>
    <d v="2023-10-27T00:00:00"/>
    <x v="0"/>
    <x v="1"/>
    <x v="5"/>
    <x v="2"/>
    <n v="6"/>
    <n v="629"/>
    <n v="0"/>
    <n v="3774"/>
    <n v="2248.8200000000002"/>
    <n v="1525.18"/>
    <x v="1"/>
    <x v="1"/>
    <n v="0.40412824589295177"/>
  </r>
  <r>
    <n v="1246"/>
    <d v="2023-07-07T00:00:00"/>
    <x v="0"/>
    <x v="2"/>
    <x v="6"/>
    <x v="1"/>
    <n v="2"/>
    <n v="943"/>
    <n v="20"/>
    <n v="1508.8"/>
    <n v="778"/>
    <n v="730.8"/>
    <x v="5"/>
    <x v="1"/>
    <n v="0.48435843054082711"/>
  </r>
  <r>
    <n v="1247"/>
    <d v="2024-11-10T00:00:00"/>
    <x v="3"/>
    <x v="3"/>
    <x v="11"/>
    <x v="2"/>
    <n v="9"/>
    <n v="688"/>
    <n v="10"/>
    <n v="5572.8"/>
    <n v="2916.83"/>
    <n v="2655.97"/>
    <x v="3"/>
    <x v="0"/>
    <n v="0.47659524834912426"/>
  </r>
  <r>
    <n v="1248"/>
    <d v="2023-10-09T00:00:00"/>
    <x v="0"/>
    <x v="4"/>
    <x v="18"/>
    <x v="5"/>
    <n v="6"/>
    <n v="212"/>
    <n v="0"/>
    <n v="1272"/>
    <n v="831.12"/>
    <n v="440.88"/>
    <x v="1"/>
    <x v="1"/>
    <n v="0.34660377358490568"/>
  </r>
  <r>
    <n v="1249"/>
    <d v="2023-10-18T00:00:00"/>
    <x v="3"/>
    <x v="3"/>
    <x v="15"/>
    <x v="2"/>
    <n v="4"/>
    <n v="926"/>
    <n v="5"/>
    <n v="3518.8"/>
    <n v="2122.56"/>
    <n v="1396.24"/>
    <x v="1"/>
    <x v="1"/>
    <n v="0.39679436171422072"/>
  </r>
  <r>
    <n v="1250"/>
    <d v="2024-10-05T00:00:00"/>
    <x v="1"/>
    <x v="0"/>
    <x v="1"/>
    <x v="5"/>
    <n v="4"/>
    <n v="944"/>
    <n v="15"/>
    <n v="3209.6"/>
    <n v="2124.96"/>
    <n v="1084.6400000000001"/>
    <x v="1"/>
    <x v="0"/>
    <n v="0.3379361914257229"/>
  </r>
  <r>
    <n v="1251"/>
    <d v="2024-12-30T00:00:00"/>
    <x v="0"/>
    <x v="2"/>
    <x v="6"/>
    <x v="3"/>
    <n v="10"/>
    <n v="257"/>
    <n v="5"/>
    <n v="2441.5"/>
    <n v="1232.8"/>
    <n v="1208.7"/>
    <x v="6"/>
    <x v="0"/>
    <n v="0.49506450952283432"/>
  </r>
  <r>
    <n v="1252"/>
    <d v="2023-08-27T00:00:00"/>
    <x v="2"/>
    <x v="3"/>
    <x v="4"/>
    <x v="5"/>
    <n v="2"/>
    <n v="451"/>
    <n v="10"/>
    <n v="811.8"/>
    <n v="418.27"/>
    <n v="393.53"/>
    <x v="2"/>
    <x v="1"/>
    <n v="0.48476225671347623"/>
  </r>
  <r>
    <n v="1253"/>
    <d v="2023-01-03T00:00:00"/>
    <x v="1"/>
    <x v="2"/>
    <x v="10"/>
    <x v="1"/>
    <n v="5"/>
    <n v="528"/>
    <n v="20"/>
    <n v="2112"/>
    <n v="1547.69"/>
    <n v="564.30999999999995"/>
    <x v="11"/>
    <x v="1"/>
    <n v="0.26719223484848481"/>
  </r>
  <r>
    <n v="1254"/>
    <d v="2024-02-16T00:00:00"/>
    <x v="0"/>
    <x v="2"/>
    <x v="10"/>
    <x v="5"/>
    <n v="7"/>
    <n v="148"/>
    <n v="5"/>
    <n v="984.2"/>
    <n v="680.43"/>
    <n v="303.77"/>
    <x v="9"/>
    <x v="0"/>
    <n v="0.30864661654135334"/>
  </r>
  <r>
    <n v="1255"/>
    <d v="2024-10-08T00:00:00"/>
    <x v="2"/>
    <x v="0"/>
    <x v="0"/>
    <x v="2"/>
    <n v="1"/>
    <n v="525"/>
    <n v="20"/>
    <n v="420"/>
    <n v="291.27"/>
    <n v="128.72999999999999"/>
    <x v="1"/>
    <x v="0"/>
    <n v="0.30649999999999999"/>
  </r>
  <r>
    <n v="1256"/>
    <d v="2023-01-29T00:00:00"/>
    <x v="3"/>
    <x v="0"/>
    <x v="12"/>
    <x v="0"/>
    <n v="9"/>
    <n v="953"/>
    <n v="0"/>
    <n v="8577"/>
    <n v="6764.76"/>
    <n v="1812.24"/>
    <x v="11"/>
    <x v="1"/>
    <n v="0.21129066107030431"/>
  </r>
  <r>
    <n v="1257"/>
    <d v="2023-10-30T00:00:00"/>
    <x v="3"/>
    <x v="3"/>
    <x v="11"/>
    <x v="3"/>
    <n v="3"/>
    <n v="945"/>
    <n v="20"/>
    <n v="2268"/>
    <n v="1503.69"/>
    <n v="764.31"/>
    <x v="1"/>
    <x v="1"/>
    <n v="0.33699735449735446"/>
  </r>
  <r>
    <n v="1258"/>
    <d v="2024-04-13T00:00:00"/>
    <x v="0"/>
    <x v="2"/>
    <x v="3"/>
    <x v="3"/>
    <n v="4"/>
    <n v="301"/>
    <n v="0"/>
    <n v="1204"/>
    <n v="833.86"/>
    <n v="370.14"/>
    <x v="10"/>
    <x v="0"/>
    <n v="0.3074252491694352"/>
  </r>
  <r>
    <n v="1259"/>
    <d v="2023-04-26T00:00:00"/>
    <x v="1"/>
    <x v="3"/>
    <x v="4"/>
    <x v="0"/>
    <n v="9"/>
    <n v="870"/>
    <n v="15"/>
    <n v="6655.5"/>
    <n v="4142.32"/>
    <n v="2513.1799999999998"/>
    <x v="10"/>
    <x v="1"/>
    <n v="0.37760949590564191"/>
  </r>
  <r>
    <n v="1260"/>
    <d v="2024-10-05T00:00:00"/>
    <x v="3"/>
    <x v="2"/>
    <x v="6"/>
    <x v="5"/>
    <n v="1"/>
    <n v="91"/>
    <n v="20"/>
    <n v="72.8"/>
    <n v="45.05"/>
    <n v="27.75"/>
    <x v="1"/>
    <x v="0"/>
    <n v="0.38118131868131871"/>
  </r>
  <r>
    <n v="1261"/>
    <d v="2023-05-24T00:00:00"/>
    <x v="2"/>
    <x v="4"/>
    <x v="18"/>
    <x v="1"/>
    <n v="6"/>
    <n v="715"/>
    <n v="20"/>
    <n v="3432"/>
    <n v="1942.4"/>
    <n v="1489.6"/>
    <x v="7"/>
    <x v="1"/>
    <n v="0.43403263403263398"/>
  </r>
  <r>
    <n v="1262"/>
    <d v="2023-11-07T00:00:00"/>
    <x v="0"/>
    <x v="3"/>
    <x v="11"/>
    <x v="0"/>
    <n v="10"/>
    <n v="950"/>
    <n v="0"/>
    <n v="9500"/>
    <n v="5668.04"/>
    <n v="3831.96"/>
    <x v="3"/>
    <x v="1"/>
    <n v="0.40336421052631577"/>
  </r>
  <r>
    <n v="1263"/>
    <d v="2023-04-09T00:00:00"/>
    <x v="2"/>
    <x v="4"/>
    <x v="8"/>
    <x v="1"/>
    <n v="8"/>
    <n v="844"/>
    <n v="5"/>
    <n v="6414.4"/>
    <n v="4074.21"/>
    <n v="2340.19"/>
    <x v="10"/>
    <x v="1"/>
    <n v="0.36483381142429538"/>
  </r>
  <r>
    <n v="1264"/>
    <d v="2024-04-25T00:00:00"/>
    <x v="1"/>
    <x v="2"/>
    <x v="6"/>
    <x v="0"/>
    <n v="9"/>
    <n v="321"/>
    <n v="5"/>
    <n v="2744.55"/>
    <n v="1703.14"/>
    <n v="1041.4100000000001"/>
    <x v="10"/>
    <x v="0"/>
    <n v="0.37944653950556556"/>
  </r>
  <r>
    <n v="1265"/>
    <d v="2023-07-12T00:00:00"/>
    <x v="0"/>
    <x v="0"/>
    <x v="0"/>
    <x v="2"/>
    <n v="10"/>
    <n v="149"/>
    <n v="20"/>
    <n v="1192"/>
    <n v="742.78"/>
    <n v="449.22"/>
    <x v="5"/>
    <x v="1"/>
    <n v="0.37686241610738258"/>
  </r>
  <r>
    <n v="1266"/>
    <d v="2023-12-20T00:00:00"/>
    <x v="1"/>
    <x v="2"/>
    <x v="17"/>
    <x v="1"/>
    <n v="6"/>
    <n v="941"/>
    <n v="20"/>
    <n v="4516.8"/>
    <n v="3586.96"/>
    <n v="929.84"/>
    <x v="6"/>
    <x v="1"/>
    <n v="0.20586255756287636"/>
  </r>
  <r>
    <n v="1267"/>
    <d v="2023-11-13T00:00:00"/>
    <x v="2"/>
    <x v="2"/>
    <x v="17"/>
    <x v="0"/>
    <n v="1"/>
    <n v="858"/>
    <n v="5"/>
    <n v="815.1"/>
    <n v="523.73"/>
    <n v="291.37"/>
    <x v="3"/>
    <x v="1"/>
    <n v="0.35746534167586796"/>
  </r>
  <r>
    <n v="1268"/>
    <d v="2023-05-28T00:00:00"/>
    <x v="3"/>
    <x v="0"/>
    <x v="0"/>
    <x v="1"/>
    <n v="8"/>
    <n v="947"/>
    <n v="15"/>
    <n v="6439.6"/>
    <n v="5082.5"/>
    <n v="1357.1"/>
    <x v="7"/>
    <x v="1"/>
    <n v="0.21074290328591835"/>
  </r>
  <r>
    <n v="1269"/>
    <d v="2023-12-23T00:00:00"/>
    <x v="1"/>
    <x v="3"/>
    <x v="4"/>
    <x v="5"/>
    <n v="5"/>
    <n v="801"/>
    <n v="20"/>
    <n v="3204"/>
    <n v="2056.54"/>
    <n v="1147.46"/>
    <x v="6"/>
    <x v="1"/>
    <n v="0.3581335830212235"/>
  </r>
  <r>
    <n v="1270"/>
    <d v="2023-01-18T00:00:00"/>
    <x v="0"/>
    <x v="4"/>
    <x v="9"/>
    <x v="0"/>
    <n v="5"/>
    <n v="217"/>
    <n v="5"/>
    <n v="1030.75"/>
    <n v="594.24"/>
    <n v="436.51"/>
    <x v="11"/>
    <x v="1"/>
    <n v="0.42348775163715741"/>
  </r>
  <r>
    <n v="1271"/>
    <d v="2024-01-31T00:00:00"/>
    <x v="0"/>
    <x v="1"/>
    <x v="7"/>
    <x v="4"/>
    <n v="2"/>
    <n v="801"/>
    <n v="10"/>
    <n v="1441.8"/>
    <n v="1122.46"/>
    <n v="319.33999999999997"/>
    <x v="11"/>
    <x v="0"/>
    <n v="0.22148703010126231"/>
  </r>
  <r>
    <n v="1272"/>
    <d v="2024-02-10T00:00:00"/>
    <x v="0"/>
    <x v="3"/>
    <x v="4"/>
    <x v="3"/>
    <n v="1"/>
    <n v="544"/>
    <n v="10"/>
    <n v="489.6"/>
    <n v="381.7"/>
    <n v="107.9"/>
    <x v="9"/>
    <x v="0"/>
    <n v="0.22038398692810457"/>
  </r>
  <r>
    <n v="1273"/>
    <d v="2024-08-20T00:00:00"/>
    <x v="1"/>
    <x v="0"/>
    <x v="1"/>
    <x v="0"/>
    <n v="2"/>
    <n v="75"/>
    <n v="15"/>
    <n v="127.5"/>
    <n v="81.040000000000006"/>
    <n v="46.46"/>
    <x v="2"/>
    <x v="0"/>
    <n v="0.36439215686274512"/>
  </r>
  <r>
    <n v="1274"/>
    <d v="2023-12-06T00:00:00"/>
    <x v="2"/>
    <x v="3"/>
    <x v="4"/>
    <x v="1"/>
    <n v="7"/>
    <n v="682"/>
    <n v="10"/>
    <n v="4296.6000000000004"/>
    <n v="3203.53"/>
    <n v="1093.07"/>
    <x v="6"/>
    <x v="1"/>
    <n v="0.25440348182283662"/>
  </r>
  <r>
    <n v="1275"/>
    <d v="2024-04-22T00:00:00"/>
    <x v="2"/>
    <x v="2"/>
    <x v="6"/>
    <x v="5"/>
    <n v="8"/>
    <n v="418"/>
    <n v="20"/>
    <n v="2675.2"/>
    <n v="1378.2"/>
    <n v="1297"/>
    <x v="10"/>
    <x v="0"/>
    <n v="0.48482356459330145"/>
  </r>
  <r>
    <n v="1276"/>
    <d v="2024-07-02T00:00:00"/>
    <x v="3"/>
    <x v="3"/>
    <x v="4"/>
    <x v="0"/>
    <n v="3"/>
    <n v="337"/>
    <n v="10"/>
    <n v="909.9"/>
    <n v="588.27"/>
    <n v="321.63"/>
    <x v="5"/>
    <x v="0"/>
    <n v="0.35347840422024401"/>
  </r>
  <r>
    <n v="1277"/>
    <d v="2023-12-28T00:00:00"/>
    <x v="0"/>
    <x v="0"/>
    <x v="0"/>
    <x v="4"/>
    <n v="1"/>
    <n v="996"/>
    <n v="15"/>
    <n v="846.6"/>
    <n v="616.20000000000005"/>
    <n v="230.4"/>
    <x v="6"/>
    <x v="1"/>
    <n v="0.27214741318214031"/>
  </r>
  <r>
    <n v="1278"/>
    <d v="2024-09-22T00:00:00"/>
    <x v="0"/>
    <x v="3"/>
    <x v="15"/>
    <x v="2"/>
    <n v="3"/>
    <n v="755"/>
    <n v="0"/>
    <n v="2265"/>
    <n v="1628.64"/>
    <n v="636.36"/>
    <x v="0"/>
    <x v="0"/>
    <n v="0.28095364238410597"/>
  </r>
  <r>
    <n v="1279"/>
    <d v="2024-02-22T00:00:00"/>
    <x v="2"/>
    <x v="3"/>
    <x v="19"/>
    <x v="1"/>
    <n v="2"/>
    <n v="967"/>
    <n v="15"/>
    <n v="1643.9"/>
    <n v="833.59"/>
    <n v="810.31"/>
    <x v="9"/>
    <x v="0"/>
    <n v="0.49291927732830459"/>
  </r>
  <r>
    <n v="1280"/>
    <d v="2023-01-29T00:00:00"/>
    <x v="1"/>
    <x v="1"/>
    <x v="2"/>
    <x v="2"/>
    <n v="1"/>
    <n v="164"/>
    <n v="15"/>
    <n v="139.4"/>
    <n v="99.18"/>
    <n v="40.22"/>
    <x v="11"/>
    <x v="1"/>
    <n v="0.2885222381635581"/>
  </r>
  <r>
    <n v="1281"/>
    <d v="2023-12-30T00:00:00"/>
    <x v="0"/>
    <x v="1"/>
    <x v="16"/>
    <x v="2"/>
    <n v="1"/>
    <n v="886"/>
    <n v="5"/>
    <n v="841.7"/>
    <n v="621.15"/>
    <n v="220.55"/>
    <x v="6"/>
    <x v="1"/>
    <n v="0.26202922656528455"/>
  </r>
  <r>
    <n v="1282"/>
    <d v="2023-06-19T00:00:00"/>
    <x v="3"/>
    <x v="3"/>
    <x v="4"/>
    <x v="3"/>
    <n v="7"/>
    <n v="441"/>
    <n v="10"/>
    <n v="2778.3"/>
    <n v="2140.11"/>
    <n v="638.19000000000005"/>
    <x v="4"/>
    <x v="1"/>
    <n v="0.22970521541950115"/>
  </r>
  <r>
    <n v="1283"/>
    <d v="2024-11-19T00:00:00"/>
    <x v="0"/>
    <x v="1"/>
    <x v="16"/>
    <x v="0"/>
    <n v="5"/>
    <n v="511"/>
    <n v="10"/>
    <n v="2299.5"/>
    <n v="1667.08"/>
    <n v="632.41999999999996"/>
    <x v="3"/>
    <x v="0"/>
    <n v="0.27502500543596431"/>
  </r>
  <r>
    <n v="1284"/>
    <d v="2024-04-28T00:00:00"/>
    <x v="1"/>
    <x v="2"/>
    <x v="6"/>
    <x v="0"/>
    <n v="3"/>
    <n v="81"/>
    <n v="15"/>
    <n v="206.55"/>
    <n v="146.26"/>
    <n v="60.29"/>
    <x v="10"/>
    <x v="0"/>
    <n v="0.29189058339385132"/>
  </r>
  <r>
    <n v="1285"/>
    <d v="2023-10-29T00:00:00"/>
    <x v="2"/>
    <x v="3"/>
    <x v="4"/>
    <x v="0"/>
    <n v="8"/>
    <n v="82"/>
    <n v="20"/>
    <n v="524.79999999999995"/>
    <n v="373.03"/>
    <n v="151.77000000000001"/>
    <x v="1"/>
    <x v="1"/>
    <n v="0.28919588414634151"/>
  </r>
  <r>
    <n v="1286"/>
    <d v="2023-07-21T00:00:00"/>
    <x v="3"/>
    <x v="0"/>
    <x v="12"/>
    <x v="4"/>
    <n v="9"/>
    <n v="592"/>
    <n v="10"/>
    <n v="4795.2"/>
    <n v="2759.72"/>
    <n v="2035.48"/>
    <x v="5"/>
    <x v="1"/>
    <n v="0.42448281614948286"/>
  </r>
  <r>
    <n v="1287"/>
    <d v="2024-08-31T00:00:00"/>
    <x v="0"/>
    <x v="0"/>
    <x v="0"/>
    <x v="3"/>
    <n v="9"/>
    <n v="826"/>
    <n v="15"/>
    <n v="6318.9"/>
    <n v="3831.54"/>
    <n v="2487.36"/>
    <x v="2"/>
    <x v="0"/>
    <n v="0.39363813321938951"/>
  </r>
  <r>
    <n v="1288"/>
    <d v="2024-01-02T00:00:00"/>
    <x v="1"/>
    <x v="1"/>
    <x v="7"/>
    <x v="3"/>
    <n v="6"/>
    <n v="347"/>
    <n v="10"/>
    <n v="1873.8"/>
    <n v="1248.99"/>
    <n v="624.80999999999995"/>
    <x v="11"/>
    <x v="0"/>
    <n v="0.33344540505923786"/>
  </r>
  <r>
    <n v="1289"/>
    <d v="2023-09-09T00:00:00"/>
    <x v="3"/>
    <x v="3"/>
    <x v="19"/>
    <x v="3"/>
    <n v="9"/>
    <n v="543"/>
    <n v="15"/>
    <n v="4153.95"/>
    <n v="2620.0700000000002"/>
    <n v="1533.88"/>
    <x v="0"/>
    <x v="1"/>
    <n v="0.36925817595300864"/>
  </r>
  <r>
    <n v="1290"/>
    <d v="2024-08-12T00:00:00"/>
    <x v="0"/>
    <x v="3"/>
    <x v="15"/>
    <x v="1"/>
    <n v="1"/>
    <n v="997"/>
    <n v="10"/>
    <n v="897.3"/>
    <n v="601.54"/>
    <n v="295.76"/>
    <x v="2"/>
    <x v="0"/>
    <n v="0.32961105538838736"/>
  </r>
  <r>
    <n v="1291"/>
    <d v="2024-06-26T00:00:00"/>
    <x v="0"/>
    <x v="0"/>
    <x v="13"/>
    <x v="2"/>
    <n v="6"/>
    <n v="176"/>
    <n v="0"/>
    <n v="1056"/>
    <n v="759.9"/>
    <n v="296.10000000000002"/>
    <x v="4"/>
    <x v="0"/>
    <n v="0.28039772727272727"/>
  </r>
  <r>
    <n v="1292"/>
    <d v="2024-08-29T00:00:00"/>
    <x v="3"/>
    <x v="3"/>
    <x v="15"/>
    <x v="2"/>
    <n v="5"/>
    <n v="114"/>
    <n v="5"/>
    <n v="541.5"/>
    <n v="282.54000000000002"/>
    <n v="258.95999999999998"/>
    <x v="2"/>
    <x v="0"/>
    <n v="0.47822714681440437"/>
  </r>
  <r>
    <n v="1293"/>
    <d v="2023-07-18T00:00:00"/>
    <x v="1"/>
    <x v="4"/>
    <x v="18"/>
    <x v="0"/>
    <n v="1"/>
    <n v="277"/>
    <n v="10"/>
    <n v="249.3"/>
    <n v="161"/>
    <n v="88.3"/>
    <x v="5"/>
    <x v="1"/>
    <n v="0.35419173686321698"/>
  </r>
  <r>
    <n v="1294"/>
    <d v="2024-04-27T00:00:00"/>
    <x v="1"/>
    <x v="4"/>
    <x v="9"/>
    <x v="5"/>
    <n v="4"/>
    <n v="651"/>
    <n v="5"/>
    <n v="2473.8000000000002"/>
    <n v="1488.01"/>
    <n v="985.79"/>
    <x v="10"/>
    <x v="0"/>
    <n v="0.39849219823752924"/>
  </r>
  <r>
    <n v="1295"/>
    <d v="2024-09-16T00:00:00"/>
    <x v="2"/>
    <x v="4"/>
    <x v="14"/>
    <x v="3"/>
    <n v="7"/>
    <n v="84"/>
    <n v="10"/>
    <n v="529.20000000000005"/>
    <n v="357.28"/>
    <n v="171.92"/>
    <x v="0"/>
    <x v="0"/>
    <n v="0.32486772486772481"/>
  </r>
  <r>
    <n v="1296"/>
    <d v="2023-06-23T00:00:00"/>
    <x v="0"/>
    <x v="3"/>
    <x v="15"/>
    <x v="3"/>
    <n v="1"/>
    <n v="853"/>
    <n v="10"/>
    <n v="767.7"/>
    <n v="535.97"/>
    <n v="231.73"/>
    <x v="4"/>
    <x v="1"/>
    <n v="0.30184968086492114"/>
  </r>
  <r>
    <n v="1297"/>
    <d v="2023-06-24T00:00:00"/>
    <x v="2"/>
    <x v="3"/>
    <x v="15"/>
    <x v="0"/>
    <n v="6"/>
    <n v="325"/>
    <n v="10"/>
    <n v="1755"/>
    <n v="1045.24"/>
    <n v="709.76"/>
    <x v="4"/>
    <x v="1"/>
    <n v="0.4044216524216524"/>
  </r>
  <r>
    <n v="1298"/>
    <d v="2023-09-12T00:00:00"/>
    <x v="1"/>
    <x v="0"/>
    <x v="12"/>
    <x v="3"/>
    <n v="5"/>
    <n v="825"/>
    <n v="15"/>
    <n v="3506.25"/>
    <n v="2165.06"/>
    <n v="1341.19"/>
    <x v="0"/>
    <x v="1"/>
    <n v="0.38251408199643494"/>
  </r>
  <r>
    <n v="1299"/>
    <d v="2023-05-04T00:00:00"/>
    <x v="2"/>
    <x v="0"/>
    <x v="12"/>
    <x v="1"/>
    <n v="9"/>
    <n v="889"/>
    <n v="5"/>
    <n v="7600.95"/>
    <n v="4670.6400000000003"/>
    <n v="2930.31"/>
    <x v="7"/>
    <x v="1"/>
    <n v="0.38551891539873306"/>
  </r>
  <r>
    <n v="1300"/>
    <d v="2024-02-05T00:00:00"/>
    <x v="1"/>
    <x v="4"/>
    <x v="9"/>
    <x v="2"/>
    <n v="6"/>
    <n v="577"/>
    <n v="10"/>
    <n v="3115.8"/>
    <n v="1943.17"/>
    <n v="1172.6300000000001"/>
    <x v="9"/>
    <x v="0"/>
    <n v="0.376349573143334"/>
  </r>
  <r>
    <n v="1301"/>
    <d v="2023-05-20T00:00:00"/>
    <x v="3"/>
    <x v="3"/>
    <x v="19"/>
    <x v="3"/>
    <n v="10"/>
    <n v="346"/>
    <n v="20"/>
    <n v="2768"/>
    <n v="1995.37"/>
    <n v="772.63"/>
    <x v="7"/>
    <x v="1"/>
    <n v="0.27912933526011563"/>
  </r>
  <r>
    <n v="1302"/>
    <d v="2023-10-28T00:00:00"/>
    <x v="1"/>
    <x v="3"/>
    <x v="19"/>
    <x v="0"/>
    <n v="3"/>
    <n v="728"/>
    <n v="20"/>
    <n v="1747.2"/>
    <n v="969.69"/>
    <n v="777.51"/>
    <x v="1"/>
    <x v="1"/>
    <n v="0.44500343406593407"/>
  </r>
  <r>
    <n v="1303"/>
    <d v="2024-01-22T00:00:00"/>
    <x v="0"/>
    <x v="1"/>
    <x v="16"/>
    <x v="0"/>
    <n v="6"/>
    <n v="592"/>
    <n v="15"/>
    <n v="3019.2"/>
    <n v="2020.55"/>
    <n v="998.65"/>
    <x v="11"/>
    <x v="0"/>
    <n v="0.33076642819289881"/>
  </r>
  <r>
    <n v="1304"/>
    <d v="2023-01-04T00:00:00"/>
    <x v="3"/>
    <x v="0"/>
    <x v="0"/>
    <x v="4"/>
    <n v="8"/>
    <n v="166"/>
    <n v="15"/>
    <n v="1128.8"/>
    <n v="825.84"/>
    <n v="302.95999999999998"/>
    <x v="11"/>
    <x v="1"/>
    <n v="0.26839121190644932"/>
  </r>
  <r>
    <n v="1305"/>
    <d v="2023-10-12T00:00:00"/>
    <x v="0"/>
    <x v="1"/>
    <x v="16"/>
    <x v="2"/>
    <n v="3"/>
    <n v="500"/>
    <n v="5"/>
    <n v="1425"/>
    <n v="797.66"/>
    <n v="627.34"/>
    <x v="1"/>
    <x v="1"/>
    <n v="0.4402385964912281"/>
  </r>
  <r>
    <n v="1306"/>
    <d v="2023-06-16T00:00:00"/>
    <x v="1"/>
    <x v="3"/>
    <x v="15"/>
    <x v="5"/>
    <n v="2"/>
    <n v="17"/>
    <n v="10"/>
    <n v="30.6"/>
    <n v="21.96"/>
    <n v="8.64"/>
    <x v="4"/>
    <x v="1"/>
    <n v="0.28235294117647058"/>
  </r>
  <r>
    <n v="1307"/>
    <d v="2024-06-27T00:00:00"/>
    <x v="3"/>
    <x v="1"/>
    <x v="5"/>
    <x v="1"/>
    <n v="8"/>
    <n v="560"/>
    <n v="5"/>
    <n v="4256"/>
    <n v="3168.78"/>
    <n v="1087.22"/>
    <x v="4"/>
    <x v="0"/>
    <n v="0.25545582706766917"/>
  </r>
  <r>
    <n v="1308"/>
    <d v="2024-11-27T00:00:00"/>
    <x v="0"/>
    <x v="0"/>
    <x v="1"/>
    <x v="4"/>
    <n v="9"/>
    <n v="414"/>
    <n v="15"/>
    <n v="3167.1"/>
    <n v="2445.63"/>
    <n v="721.47"/>
    <x v="3"/>
    <x v="0"/>
    <n v="0.22780145874775032"/>
  </r>
  <r>
    <n v="1309"/>
    <d v="2023-04-13T00:00:00"/>
    <x v="0"/>
    <x v="2"/>
    <x v="6"/>
    <x v="2"/>
    <n v="10"/>
    <n v="312"/>
    <n v="0"/>
    <n v="3120"/>
    <n v="1805.97"/>
    <n v="1314.03"/>
    <x v="10"/>
    <x v="1"/>
    <n v="0.42116346153846151"/>
  </r>
  <r>
    <n v="1310"/>
    <d v="2024-02-16T00:00:00"/>
    <x v="2"/>
    <x v="3"/>
    <x v="15"/>
    <x v="0"/>
    <n v="8"/>
    <n v="78"/>
    <n v="5"/>
    <n v="592.79999999999995"/>
    <n v="474.12"/>
    <n v="118.68"/>
    <x v="9"/>
    <x v="0"/>
    <n v="0.20020242914979761"/>
  </r>
  <r>
    <n v="1311"/>
    <d v="2024-12-12T00:00:00"/>
    <x v="1"/>
    <x v="1"/>
    <x v="7"/>
    <x v="3"/>
    <n v="1"/>
    <n v="354"/>
    <n v="15"/>
    <n v="300.89999999999998"/>
    <n v="223.96"/>
    <n v="76.94"/>
    <x v="6"/>
    <x v="0"/>
    <n v="0.25569956796277832"/>
  </r>
  <r>
    <n v="1312"/>
    <d v="2023-05-02T00:00:00"/>
    <x v="2"/>
    <x v="0"/>
    <x v="13"/>
    <x v="4"/>
    <n v="3"/>
    <n v="615"/>
    <n v="20"/>
    <n v="1476"/>
    <n v="1114.1300000000001"/>
    <n v="361.87"/>
    <x v="7"/>
    <x v="1"/>
    <n v="0.24516937669376693"/>
  </r>
  <r>
    <n v="1313"/>
    <d v="2023-10-23T00:00:00"/>
    <x v="2"/>
    <x v="3"/>
    <x v="15"/>
    <x v="4"/>
    <n v="4"/>
    <n v="802"/>
    <n v="0"/>
    <n v="3208"/>
    <n v="1802.83"/>
    <n v="1405.17"/>
    <x v="1"/>
    <x v="1"/>
    <n v="0.43802057356608481"/>
  </r>
  <r>
    <n v="1314"/>
    <d v="2024-12-06T00:00:00"/>
    <x v="2"/>
    <x v="4"/>
    <x v="8"/>
    <x v="1"/>
    <n v="8"/>
    <n v="590"/>
    <n v="5"/>
    <n v="4484"/>
    <n v="3289.3"/>
    <n v="1194.7"/>
    <x v="6"/>
    <x v="0"/>
    <n v="0.26643621766280107"/>
  </r>
  <r>
    <n v="1315"/>
    <d v="2023-11-15T00:00:00"/>
    <x v="3"/>
    <x v="1"/>
    <x v="2"/>
    <x v="3"/>
    <n v="6"/>
    <n v="345"/>
    <n v="5"/>
    <n v="1966.5"/>
    <n v="1139.52"/>
    <n v="826.98"/>
    <x v="3"/>
    <x v="1"/>
    <n v="0.42053394355453855"/>
  </r>
  <r>
    <n v="1316"/>
    <d v="2023-10-01T00:00:00"/>
    <x v="1"/>
    <x v="3"/>
    <x v="15"/>
    <x v="1"/>
    <n v="9"/>
    <n v="417"/>
    <n v="20"/>
    <n v="3002.4"/>
    <n v="2276.17"/>
    <n v="726.23"/>
    <x v="1"/>
    <x v="1"/>
    <n v="0.24188316013855582"/>
  </r>
  <r>
    <n v="1317"/>
    <d v="2023-05-29T00:00:00"/>
    <x v="2"/>
    <x v="3"/>
    <x v="11"/>
    <x v="3"/>
    <n v="8"/>
    <n v="572"/>
    <n v="10"/>
    <n v="4118.3999999999996"/>
    <n v="2932.08"/>
    <n v="1186.32"/>
    <x v="7"/>
    <x v="1"/>
    <n v="0.28805361305361304"/>
  </r>
  <r>
    <n v="1318"/>
    <d v="2023-06-06T00:00:00"/>
    <x v="0"/>
    <x v="3"/>
    <x v="15"/>
    <x v="1"/>
    <n v="4"/>
    <n v="810"/>
    <n v="15"/>
    <n v="2754"/>
    <n v="1740.89"/>
    <n v="1013.11"/>
    <x v="4"/>
    <x v="1"/>
    <n v="0.36786855482933917"/>
  </r>
  <r>
    <n v="1319"/>
    <d v="2023-02-25T00:00:00"/>
    <x v="1"/>
    <x v="1"/>
    <x v="16"/>
    <x v="4"/>
    <n v="4"/>
    <n v="234"/>
    <n v="15"/>
    <n v="795.6"/>
    <n v="584.30999999999995"/>
    <n v="211.29"/>
    <x v="9"/>
    <x v="1"/>
    <n v="0.26557315233785822"/>
  </r>
  <r>
    <n v="1320"/>
    <d v="2023-09-25T00:00:00"/>
    <x v="1"/>
    <x v="4"/>
    <x v="18"/>
    <x v="4"/>
    <n v="4"/>
    <n v="256"/>
    <n v="15"/>
    <n v="870.4"/>
    <n v="637.69000000000005"/>
    <n v="232.71"/>
    <x v="0"/>
    <x v="1"/>
    <n v="0.26735983455882356"/>
  </r>
  <r>
    <n v="1321"/>
    <d v="2024-12-14T00:00:00"/>
    <x v="0"/>
    <x v="2"/>
    <x v="6"/>
    <x v="1"/>
    <n v="3"/>
    <n v="148"/>
    <n v="0"/>
    <n v="444"/>
    <n v="295.75"/>
    <n v="148.25"/>
    <x v="6"/>
    <x v="0"/>
    <n v="0.3338963963963964"/>
  </r>
  <r>
    <n v="1322"/>
    <d v="2024-11-21T00:00:00"/>
    <x v="1"/>
    <x v="3"/>
    <x v="19"/>
    <x v="5"/>
    <n v="1"/>
    <n v="583"/>
    <n v="10"/>
    <n v="524.70000000000005"/>
    <n v="404.98"/>
    <n v="119.72"/>
    <x v="3"/>
    <x v="0"/>
    <n v="0.22816847722508099"/>
  </r>
  <r>
    <n v="1323"/>
    <d v="2023-04-16T00:00:00"/>
    <x v="3"/>
    <x v="1"/>
    <x v="2"/>
    <x v="0"/>
    <n v="6"/>
    <n v="375"/>
    <n v="5"/>
    <n v="2137.5"/>
    <n v="1401.92"/>
    <n v="735.58"/>
    <x v="10"/>
    <x v="1"/>
    <n v="0.34413099415204679"/>
  </r>
  <r>
    <n v="1324"/>
    <d v="2024-03-12T00:00:00"/>
    <x v="0"/>
    <x v="4"/>
    <x v="9"/>
    <x v="1"/>
    <n v="7"/>
    <n v="231"/>
    <n v="10"/>
    <n v="1455.3"/>
    <n v="941.25"/>
    <n v="514.04999999999995"/>
    <x v="8"/>
    <x v="0"/>
    <n v="0.35322613894042465"/>
  </r>
  <r>
    <n v="1325"/>
    <d v="2024-12-13T00:00:00"/>
    <x v="3"/>
    <x v="2"/>
    <x v="17"/>
    <x v="2"/>
    <n v="6"/>
    <n v="191"/>
    <n v="10"/>
    <n v="1031.4000000000001"/>
    <n v="778.93"/>
    <n v="252.47"/>
    <x v="6"/>
    <x v="0"/>
    <n v="0.24478378902462669"/>
  </r>
  <r>
    <n v="1326"/>
    <d v="2023-06-12T00:00:00"/>
    <x v="3"/>
    <x v="4"/>
    <x v="8"/>
    <x v="0"/>
    <n v="2"/>
    <n v="987"/>
    <n v="10"/>
    <n v="1776.6"/>
    <n v="1245.99"/>
    <n v="530.61"/>
    <x v="4"/>
    <x v="1"/>
    <n v="0.29866599121918275"/>
  </r>
  <r>
    <n v="1327"/>
    <d v="2024-09-15T00:00:00"/>
    <x v="1"/>
    <x v="4"/>
    <x v="8"/>
    <x v="1"/>
    <n v="4"/>
    <n v="577"/>
    <n v="20"/>
    <n v="1846.4"/>
    <n v="1387.98"/>
    <n v="458.42"/>
    <x v="0"/>
    <x v="0"/>
    <n v="0.24827772963604852"/>
  </r>
  <r>
    <n v="1328"/>
    <d v="2023-05-09T00:00:00"/>
    <x v="3"/>
    <x v="0"/>
    <x v="1"/>
    <x v="5"/>
    <n v="2"/>
    <n v="817"/>
    <n v="0"/>
    <n v="1634"/>
    <n v="873.62"/>
    <n v="760.38"/>
    <x v="7"/>
    <x v="1"/>
    <n v="0.46534883720930231"/>
  </r>
  <r>
    <n v="1329"/>
    <d v="2024-04-07T00:00:00"/>
    <x v="3"/>
    <x v="1"/>
    <x v="2"/>
    <x v="3"/>
    <n v="2"/>
    <n v="539"/>
    <n v="20"/>
    <n v="862.4"/>
    <n v="665.97"/>
    <n v="196.43"/>
    <x v="10"/>
    <x v="0"/>
    <n v="0.22777133580705011"/>
  </r>
  <r>
    <n v="1330"/>
    <d v="2023-10-21T00:00:00"/>
    <x v="0"/>
    <x v="0"/>
    <x v="1"/>
    <x v="2"/>
    <n v="4"/>
    <n v="410"/>
    <n v="10"/>
    <n v="1476"/>
    <n v="775.18"/>
    <n v="700.82"/>
    <x v="1"/>
    <x v="1"/>
    <n v="0.47481029810298109"/>
  </r>
  <r>
    <n v="1331"/>
    <d v="2023-10-03T00:00:00"/>
    <x v="2"/>
    <x v="0"/>
    <x v="13"/>
    <x v="0"/>
    <n v="7"/>
    <n v="795"/>
    <n v="20"/>
    <n v="4452"/>
    <n v="2712.26"/>
    <n v="1739.74"/>
    <x v="1"/>
    <x v="1"/>
    <n v="0.39077717879604673"/>
  </r>
  <r>
    <n v="1332"/>
    <d v="2023-04-13T00:00:00"/>
    <x v="0"/>
    <x v="4"/>
    <x v="14"/>
    <x v="4"/>
    <n v="7"/>
    <n v="682"/>
    <n v="10"/>
    <n v="4296.6000000000004"/>
    <n v="2380.36"/>
    <n v="1916.24"/>
    <x v="10"/>
    <x v="1"/>
    <n v="0.44598985244146533"/>
  </r>
  <r>
    <n v="1333"/>
    <d v="2023-11-01T00:00:00"/>
    <x v="0"/>
    <x v="1"/>
    <x v="5"/>
    <x v="5"/>
    <n v="9"/>
    <n v="370"/>
    <n v="0"/>
    <n v="3330"/>
    <n v="1968.68"/>
    <n v="1361.32"/>
    <x v="3"/>
    <x v="1"/>
    <n v="0.4088048048048048"/>
  </r>
  <r>
    <n v="1334"/>
    <d v="2024-03-18T00:00:00"/>
    <x v="0"/>
    <x v="4"/>
    <x v="9"/>
    <x v="2"/>
    <n v="9"/>
    <n v="423"/>
    <n v="20"/>
    <n v="3045.6"/>
    <n v="2406.79"/>
    <n v="638.80999999999995"/>
    <x v="8"/>
    <x v="0"/>
    <n v="0.20974848962437614"/>
  </r>
  <r>
    <n v="1335"/>
    <d v="2024-08-15T00:00:00"/>
    <x v="1"/>
    <x v="3"/>
    <x v="15"/>
    <x v="2"/>
    <n v="9"/>
    <n v="380"/>
    <n v="5"/>
    <n v="3249"/>
    <n v="1780.48"/>
    <n v="1468.52"/>
    <x v="2"/>
    <x v="0"/>
    <n v="0.4519913819636811"/>
  </r>
  <r>
    <n v="1336"/>
    <d v="2024-04-11T00:00:00"/>
    <x v="0"/>
    <x v="3"/>
    <x v="4"/>
    <x v="5"/>
    <n v="1"/>
    <n v="514"/>
    <n v="0"/>
    <n v="514"/>
    <n v="335.35"/>
    <n v="178.65"/>
    <x v="10"/>
    <x v="0"/>
    <n v="0.34756809338521399"/>
  </r>
  <r>
    <n v="1337"/>
    <d v="2023-06-28T00:00:00"/>
    <x v="0"/>
    <x v="0"/>
    <x v="0"/>
    <x v="0"/>
    <n v="10"/>
    <n v="49"/>
    <n v="0"/>
    <n v="490"/>
    <n v="252.54"/>
    <n v="237.46"/>
    <x v="4"/>
    <x v="1"/>
    <n v="0.48461224489795918"/>
  </r>
  <r>
    <n v="1338"/>
    <d v="2024-09-26T00:00:00"/>
    <x v="1"/>
    <x v="0"/>
    <x v="13"/>
    <x v="4"/>
    <n v="8"/>
    <n v="985"/>
    <n v="15"/>
    <n v="6698"/>
    <n v="3711.36"/>
    <n v="2986.64"/>
    <x v="0"/>
    <x v="0"/>
    <n v="0.44590026873693639"/>
  </r>
  <r>
    <n v="1339"/>
    <d v="2023-03-26T00:00:00"/>
    <x v="2"/>
    <x v="2"/>
    <x v="3"/>
    <x v="3"/>
    <n v="10"/>
    <n v="954"/>
    <n v="10"/>
    <n v="8586"/>
    <n v="6601.25"/>
    <n v="1984.75"/>
    <x v="8"/>
    <x v="1"/>
    <n v="0.23116119263918006"/>
  </r>
  <r>
    <n v="1340"/>
    <d v="2023-08-01T00:00:00"/>
    <x v="3"/>
    <x v="2"/>
    <x v="17"/>
    <x v="0"/>
    <n v="8"/>
    <n v="490"/>
    <n v="0"/>
    <n v="3920"/>
    <n v="2038.11"/>
    <n v="1881.89"/>
    <x v="2"/>
    <x v="1"/>
    <n v="0.48007397959183679"/>
  </r>
  <r>
    <n v="1341"/>
    <d v="2023-12-30T00:00:00"/>
    <x v="2"/>
    <x v="2"/>
    <x v="6"/>
    <x v="1"/>
    <n v="2"/>
    <n v="858"/>
    <n v="5"/>
    <n v="1630.2"/>
    <n v="1182.6199999999999"/>
    <n v="447.58"/>
    <x v="6"/>
    <x v="1"/>
    <n v="0.27455526929211138"/>
  </r>
  <r>
    <n v="1342"/>
    <d v="2023-09-27T00:00:00"/>
    <x v="1"/>
    <x v="3"/>
    <x v="4"/>
    <x v="3"/>
    <n v="4"/>
    <n v="100"/>
    <n v="10"/>
    <n v="360"/>
    <n v="224.83"/>
    <n v="135.16999999999999"/>
    <x v="0"/>
    <x v="1"/>
    <n v="0.37547222222222221"/>
  </r>
  <r>
    <n v="1343"/>
    <d v="2023-07-24T00:00:00"/>
    <x v="1"/>
    <x v="3"/>
    <x v="19"/>
    <x v="1"/>
    <n v="1"/>
    <n v="153"/>
    <n v="0"/>
    <n v="153"/>
    <n v="82.55"/>
    <n v="70.45"/>
    <x v="5"/>
    <x v="1"/>
    <n v="0.46045751633986931"/>
  </r>
  <r>
    <n v="1344"/>
    <d v="2023-04-07T00:00:00"/>
    <x v="0"/>
    <x v="3"/>
    <x v="15"/>
    <x v="1"/>
    <n v="3"/>
    <n v="81"/>
    <n v="15"/>
    <n v="206.55"/>
    <n v="139.29"/>
    <n v="67.260000000000005"/>
    <x v="10"/>
    <x v="1"/>
    <n v="0.32563543936092959"/>
  </r>
  <r>
    <n v="1345"/>
    <d v="2024-11-07T00:00:00"/>
    <x v="0"/>
    <x v="2"/>
    <x v="10"/>
    <x v="4"/>
    <n v="4"/>
    <n v="521"/>
    <n v="20"/>
    <n v="1667.2"/>
    <n v="1144.78"/>
    <n v="522.41999999999996"/>
    <x v="3"/>
    <x v="0"/>
    <n v="0.31335172744721684"/>
  </r>
  <r>
    <n v="1346"/>
    <d v="2024-06-01T00:00:00"/>
    <x v="0"/>
    <x v="3"/>
    <x v="19"/>
    <x v="3"/>
    <n v="5"/>
    <n v="809"/>
    <n v="5"/>
    <n v="3842.75"/>
    <n v="2005.23"/>
    <n v="1837.52"/>
    <x v="4"/>
    <x v="0"/>
    <n v="0.47817838787326783"/>
  </r>
  <r>
    <n v="1347"/>
    <d v="2023-03-31T00:00:00"/>
    <x v="2"/>
    <x v="1"/>
    <x v="16"/>
    <x v="2"/>
    <n v="7"/>
    <n v="565"/>
    <n v="20"/>
    <n v="3164"/>
    <n v="2391.65"/>
    <n v="772.35"/>
    <x v="8"/>
    <x v="1"/>
    <n v="0.24410556257901392"/>
  </r>
  <r>
    <n v="1348"/>
    <d v="2023-04-11T00:00:00"/>
    <x v="0"/>
    <x v="4"/>
    <x v="8"/>
    <x v="5"/>
    <n v="6"/>
    <n v="860"/>
    <n v="0"/>
    <n v="5160"/>
    <n v="2880.01"/>
    <n v="2279.9899999999998"/>
    <x v="10"/>
    <x v="1"/>
    <n v="0.44185852713178292"/>
  </r>
  <r>
    <n v="1349"/>
    <d v="2024-02-05T00:00:00"/>
    <x v="0"/>
    <x v="3"/>
    <x v="4"/>
    <x v="0"/>
    <n v="1"/>
    <n v="220"/>
    <n v="15"/>
    <n v="187"/>
    <n v="119.03"/>
    <n v="67.97"/>
    <x v="9"/>
    <x v="0"/>
    <n v="0.36347593582887699"/>
  </r>
  <r>
    <n v="1350"/>
    <d v="2023-11-11T00:00:00"/>
    <x v="3"/>
    <x v="2"/>
    <x v="10"/>
    <x v="4"/>
    <n v="6"/>
    <n v="104"/>
    <n v="15"/>
    <n v="530.4"/>
    <n v="282.66000000000003"/>
    <n v="247.74"/>
    <x v="3"/>
    <x v="1"/>
    <n v="0.46708144796380097"/>
  </r>
  <r>
    <n v="1351"/>
    <d v="2023-07-03T00:00:00"/>
    <x v="3"/>
    <x v="4"/>
    <x v="9"/>
    <x v="0"/>
    <n v="8"/>
    <n v="514"/>
    <n v="5"/>
    <n v="3906.4"/>
    <n v="2434.31"/>
    <n v="1472.09"/>
    <x v="5"/>
    <x v="1"/>
    <n v="0.376840569322138"/>
  </r>
  <r>
    <n v="1352"/>
    <d v="2023-09-05T00:00:00"/>
    <x v="2"/>
    <x v="3"/>
    <x v="19"/>
    <x v="5"/>
    <n v="3"/>
    <n v="675"/>
    <n v="5"/>
    <n v="1923.75"/>
    <n v="1422.09"/>
    <n v="501.66"/>
    <x v="0"/>
    <x v="1"/>
    <n v="0.26077192982456143"/>
  </r>
  <r>
    <n v="1353"/>
    <d v="2024-12-08T00:00:00"/>
    <x v="0"/>
    <x v="2"/>
    <x v="10"/>
    <x v="4"/>
    <n v="1"/>
    <n v="877"/>
    <n v="20"/>
    <n v="701.6"/>
    <n v="402.59"/>
    <n v="299.01"/>
    <x v="6"/>
    <x v="0"/>
    <n v="0.42618301026225769"/>
  </r>
  <r>
    <n v="1354"/>
    <d v="2024-02-19T00:00:00"/>
    <x v="1"/>
    <x v="3"/>
    <x v="19"/>
    <x v="5"/>
    <n v="2"/>
    <n v="841"/>
    <n v="10"/>
    <n v="1513.8"/>
    <n v="772.65"/>
    <n v="741.15"/>
    <x v="9"/>
    <x v="0"/>
    <n v="0.48959571938168844"/>
  </r>
  <r>
    <n v="1355"/>
    <d v="2023-05-11T00:00:00"/>
    <x v="1"/>
    <x v="4"/>
    <x v="14"/>
    <x v="3"/>
    <n v="7"/>
    <n v="306"/>
    <n v="10"/>
    <n v="1927.8"/>
    <n v="1217.76"/>
    <n v="710.04"/>
    <x v="7"/>
    <x v="1"/>
    <n v="0.36831621537503889"/>
  </r>
  <r>
    <n v="1356"/>
    <d v="2023-09-07T00:00:00"/>
    <x v="1"/>
    <x v="3"/>
    <x v="11"/>
    <x v="3"/>
    <n v="1"/>
    <n v="277"/>
    <n v="5"/>
    <n v="263.14999999999998"/>
    <n v="183.39"/>
    <n v="79.760000000000005"/>
    <x v="0"/>
    <x v="1"/>
    <n v="0.30309709291278741"/>
  </r>
  <r>
    <n v="1357"/>
    <d v="2023-10-17T00:00:00"/>
    <x v="1"/>
    <x v="2"/>
    <x v="3"/>
    <x v="3"/>
    <n v="2"/>
    <n v="484"/>
    <n v="0"/>
    <n v="968"/>
    <n v="680.92"/>
    <n v="287.08"/>
    <x v="1"/>
    <x v="1"/>
    <n v="0.29657024793388426"/>
  </r>
  <r>
    <n v="1358"/>
    <d v="2024-12-03T00:00:00"/>
    <x v="2"/>
    <x v="1"/>
    <x v="2"/>
    <x v="1"/>
    <n v="8"/>
    <n v="839"/>
    <n v="15"/>
    <n v="5705.2"/>
    <n v="3888.88"/>
    <n v="1816.32"/>
    <x v="6"/>
    <x v="0"/>
    <n v="0.31836219589146741"/>
  </r>
  <r>
    <n v="1359"/>
    <d v="2024-12-25T00:00:00"/>
    <x v="1"/>
    <x v="1"/>
    <x v="16"/>
    <x v="5"/>
    <n v="8"/>
    <n v="397"/>
    <n v="15"/>
    <n v="2699.6"/>
    <n v="1928.56"/>
    <n v="771.04"/>
    <x v="6"/>
    <x v="0"/>
    <n v="0.28561268336049783"/>
  </r>
  <r>
    <n v="1360"/>
    <d v="2023-09-26T00:00:00"/>
    <x v="1"/>
    <x v="2"/>
    <x v="3"/>
    <x v="4"/>
    <n v="5"/>
    <n v="797"/>
    <n v="10"/>
    <n v="3586.5"/>
    <n v="2673.01"/>
    <n v="913.49"/>
    <x v="0"/>
    <x v="1"/>
    <n v="0.25470235605743763"/>
  </r>
  <r>
    <n v="1361"/>
    <d v="2023-11-13T00:00:00"/>
    <x v="1"/>
    <x v="3"/>
    <x v="15"/>
    <x v="4"/>
    <n v="6"/>
    <n v="573"/>
    <n v="10"/>
    <n v="3094.2"/>
    <n v="2191.4"/>
    <n v="902.8"/>
    <x v="3"/>
    <x v="1"/>
    <n v="0.29177170189386592"/>
  </r>
  <r>
    <n v="1362"/>
    <d v="2023-09-11T00:00:00"/>
    <x v="1"/>
    <x v="0"/>
    <x v="0"/>
    <x v="0"/>
    <n v="4"/>
    <n v="684"/>
    <n v="20"/>
    <n v="2188.8000000000002"/>
    <n v="1167.6600000000001"/>
    <n v="1021.14"/>
    <x v="0"/>
    <x v="1"/>
    <n v="0.46652960526315784"/>
  </r>
  <r>
    <n v="1363"/>
    <d v="2024-12-17T00:00:00"/>
    <x v="0"/>
    <x v="2"/>
    <x v="6"/>
    <x v="5"/>
    <n v="8"/>
    <n v="570"/>
    <n v="15"/>
    <n v="3876"/>
    <n v="2712.26"/>
    <n v="1163.74"/>
    <x v="6"/>
    <x v="0"/>
    <n v="0.30024251805985552"/>
  </r>
  <r>
    <n v="1364"/>
    <d v="2024-09-06T00:00:00"/>
    <x v="2"/>
    <x v="1"/>
    <x v="16"/>
    <x v="2"/>
    <n v="9"/>
    <n v="324"/>
    <n v="20"/>
    <n v="2332.8000000000002"/>
    <n v="1832.93"/>
    <n v="499.87"/>
    <x v="0"/>
    <x v="0"/>
    <n v="0.21427897805212617"/>
  </r>
  <r>
    <n v="1365"/>
    <d v="2023-08-25T00:00:00"/>
    <x v="1"/>
    <x v="0"/>
    <x v="13"/>
    <x v="5"/>
    <n v="8"/>
    <n v="941"/>
    <n v="0"/>
    <n v="7528"/>
    <n v="5602.47"/>
    <n v="1925.53"/>
    <x v="2"/>
    <x v="1"/>
    <n v="0.25578241232731136"/>
  </r>
  <r>
    <n v="1366"/>
    <d v="2023-05-19T00:00:00"/>
    <x v="3"/>
    <x v="2"/>
    <x v="10"/>
    <x v="4"/>
    <n v="3"/>
    <n v="503"/>
    <n v="15"/>
    <n v="1282.6500000000001"/>
    <n v="1009.28"/>
    <n v="273.37"/>
    <x v="7"/>
    <x v="1"/>
    <n v="0.21312906872490545"/>
  </r>
  <r>
    <n v="1367"/>
    <d v="2024-12-02T00:00:00"/>
    <x v="2"/>
    <x v="3"/>
    <x v="15"/>
    <x v="1"/>
    <n v="5"/>
    <n v="889"/>
    <n v="20"/>
    <n v="3556"/>
    <n v="2363.36"/>
    <n v="1192.6400000000001"/>
    <x v="6"/>
    <x v="0"/>
    <n v="0.33538807649043872"/>
  </r>
  <r>
    <n v="1368"/>
    <d v="2024-02-06T00:00:00"/>
    <x v="0"/>
    <x v="2"/>
    <x v="6"/>
    <x v="0"/>
    <n v="2"/>
    <n v="304"/>
    <n v="20"/>
    <n v="486.4"/>
    <n v="243.97"/>
    <n v="242.43"/>
    <x v="9"/>
    <x v="0"/>
    <n v="0.49841694078947374"/>
  </r>
  <r>
    <n v="1369"/>
    <d v="2023-10-11T00:00:00"/>
    <x v="2"/>
    <x v="4"/>
    <x v="18"/>
    <x v="4"/>
    <n v="10"/>
    <n v="710"/>
    <n v="5"/>
    <n v="6745"/>
    <n v="4017.62"/>
    <n v="2727.38"/>
    <x v="1"/>
    <x v="1"/>
    <n v="0.40435581912527802"/>
  </r>
  <r>
    <n v="1370"/>
    <d v="2023-09-13T00:00:00"/>
    <x v="2"/>
    <x v="2"/>
    <x v="3"/>
    <x v="0"/>
    <n v="10"/>
    <n v="672"/>
    <n v="5"/>
    <n v="6384"/>
    <n v="4406.8100000000004"/>
    <n v="1977.19"/>
    <x v="0"/>
    <x v="1"/>
    <n v="0.30971021303258145"/>
  </r>
  <r>
    <n v="1371"/>
    <d v="2024-05-31T00:00:00"/>
    <x v="3"/>
    <x v="0"/>
    <x v="12"/>
    <x v="0"/>
    <n v="3"/>
    <n v="561"/>
    <n v="20"/>
    <n v="1346.4"/>
    <n v="961.69"/>
    <n v="384.71"/>
    <x v="7"/>
    <x v="0"/>
    <n v="0.28573232323232317"/>
  </r>
  <r>
    <n v="1372"/>
    <d v="2023-05-15T00:00:00"/>
    <x v="0"/>
    <x v="1"/>
    <x v="16"/>
    <x v="4"/>
    <n v="2"/>
    <n v="950"/>
    <n v="20"/>
    <n v="1520"/>
    <n v="820.2"/>
    <n v="699.8"/>
    <x v="7"/>
    <x v="1"/>
    <n v="0.46039473684210525"/>
  </r>
  <r>
    <n v="1373"/>
    <d v="2023-04-27T00:00:00"/>
    <x v="3"/>
    <x v="3"/>
    <x v="15"/>
    <x v="0"/>
    <n v="8"/>
    <n v="489"/>
    <n v="5"/>
    <n v="3716.4"/>
    <n v="2072.9699999999998"/>
    <n v="1643.43"/>
    <x v="10"/>
    <x v="1"/>
    <n v="0.44221020342266709"/>
  </r>
  <r>
    <n v="1374"/>
    <d v="2023-12-16T00:00:00"/>
    <x v="0"/>
    <x v="0"/>
    <x v="1"/>
    <x v="1"/>
    <n v="4"/>
    <n v="587"/>
    <n v="5"/>
    <n v="2230.6"/>
    <n v="1491.56"/>
    <n v="739.04"/>
    <x v="6"/>
    <x v="1"/>
    <n v="0.3313189276427867"/>
  </r>
  <r>
    <n v="1375"/>
    <d v="2024-06-16T00:00:00"/>
    <x v="0"/>
    <x v="3"/>
    <x v="4"/>
    <x v="5"/>
    <n v="8"/>
    <n v="831"/>
    <n v="5"/>
    <n v="6315.6"/>
    <n v="4675.34"/>
    <n v="1640.26"/>
    <x v="4"/>
    <x v="0"/>
    <n v="0.25971562480207738"/>
  </r>
  <r>
    <n v="1376"/>
    <d v="2024-11-01T00:00:00"/>
    <x v="2"/>
    <x v="3"/>
    <x v="11"/>
    <x v="0"/>
    <n v="6"/>
    <n v="493"/>
    <n v="20"/>
    <n v="2366.4"/>
    <n v="1208.92"/>
    <n v="1157.48"/>
    <x v="3"/>
    <x v="0"/>
    <n v="0.48913116970926301"/>
  </r>
  <r>
    <n v="1377"/>
    <d v="2024-05-30T00:00:00"/>
    <x v="2"/>
    <x v="2"/>
    <x v="3"/>
    <x v="2"/>
    <n v="2"/>
    <n v="897"/>
    <n v="5"/>
    <n v="1704.3"/>
    <n v="1051.73"/>
    <n v="652.57000000000005"/>
    <x v="7"/>
    <x v="0"/>
    <n v="0.38289620372000238"/>
  </r>
  <r>
    <n v="1378"/>
    <d v="2024-08-09T00:00:00"/>
    <x v="0"/>
    <x v="1"/>
    <x v="2"/>
    <x v="0"/>
    <n v="3"/>
    <n v="529"/>
    <n v="15"/>
    <n v="1348.95"/>
    <n v="810.73"/>
    <n v="538.22"/>
    <x v="2"/>
    <x v="0"/>
    <n v="0.39899180844360427"/>
  </r>
  <r>
    <n v="1379"/>
    <d v="2024-09-17T00:00:00"/>
    <x v="2"/>
    <x v="2"/>
    <x v="6"/>
    <x v="4"/>
    <n v="2"/>
    <n v="941"/>
    <n v="20"/>
    <n v="1505.6"/>
    <n v="856.16"/>
    <n v="649.44000000000005"/>
    <x v="0"/>
    <x v="0"/>
    <n v="0.43134962805526045"/>
  </r>
  <r>
    <n v="1380"/>
    <d v="2024-07-22T00:00:00"/>
    <x v="1"/>
    <x v="2"/>
    <x v="17"/>
    <x v="1"/>
    <n v="2"/>
    <n v="561"/>
    <n v="0"/>
    <n v="1122"/>
    <n v="599.61"/>
    <n v="522.39"/>
    <x v="5"/>
    <x v="0"/>
    <n v="0.46558823529411764"/>
  </r>
  <r>
    <n v="1381"/>
    <d v="2024-03-08T00:00:00"/>
    <x v="2"/>
    <x v="4"/>
    <x v="9"/>
    <x v="0"/>
    <n v="5"/>
    <n v="562"/>
    <n v="5"/>
    <n v="2669.5"/>
    <n v="1776.05"/>
    <n v="893.45"/>
    <x v="8"/>
    <x v="0"/>
    <n v="0.33468814384716239"/>
  </r>
  <r>
    <n v="1382"/>
    <d v="2024-11-18T00:00:00"/>
    <x v="1"/>
    <x v="1"/>
    <x v="16"/>
    <x v="0"/>
    <n v="1"/>
    <n v="850"/>
    <n v="20"/>
    <n v="680"/>
    <n v="443.69"/>
    <n v="236.31"/>
    <x v="3"/>
    <x v="0"/>
    <n v="0.34751470588235295"/>
  </r>
  <r>
    <n v="1383"/>
    <d v="2023-12-29T00:00:00"/>
    <x v="1"/>
    <x v="2"/>
    <x v="17"/>
    <x v="0"/>
    <n v="8"/>
    <n v="334"/>
    <n v="15"/>
    <n v="2271.1999999999998"/>
    <n v="1742.06"/>
    <n v="529.14"/>
    <x v="6"/>
    <x v="1"/>
    <n v="0.23297816132441002"/>
  </r>
  <r>
    <n v="1384"/>
    <d v="2023-09-20T00:00:00"/>
    <x v="1"/>
    <x v="4"/>
    <x v="18"/>
    <x v="4"/>
    <n v="8"/>
    <n v="24"/>
    <n v="5"/>
    <n v="182.4"/>
    <n v="101.61"/>
    <n v="80.790000000000006"/>
    <x v="0"/>
    <x v="1"/>
    <n v="0.44292763157894738"/>
  </r>
  <r>
    <n v="1385"/>
    <d v="2023-06-19T00:00:00"/>
    <x v="2"/>
    <x v="2"/>
    <x v="10"/>
    <x v="5"/>
    <n v="7"/>
    <n v="502"/>
    <n v="15"/>
    <n v="2986.9"/>
    <n v="1983.05"/>
    <n v="1003.85"/>
    <x v="4"/>
    <x v="1"/>
    <n v="0.33608423449060898"/>
  </r>
  <r>
    <n v="1386"/>
    <d v="2024-12-16T00:00:00"/>
    <x v="0"/>
    <x v="4"/>
    <x v="9"/>
    <x v="2"/>
    <n v="7"/>
    <n v="69"/>
    <n v="15"/>
    <n v="410.55"/>
    <n v="293.52"/>
    <n v="117.03"/>
    <x v="6"/>
    <x v="0"/>
    <n v="0.28505663134819142"/>
  </r>
  <r>
    <n v="1387"/>
    <d v="2024-09-27T00:00:00"/>
    <x v="3"/>
    <x v="3"/>
    <x v="4"/>
    <x v="0"/>
    <n v="3"/>
    <n v="630"/>
    <n v="20"/>
    <n v="1512"/>
    <n v="985.32"/>
    <n v="526.67999999999995"/>
    <x v="0"/>
    <x v="0"/>
    <n v="0.34833333333333327"/>
  </r>
  <r>
    <n v="1388"/>
    <d v="2024-11-25T00:00:00"/>
    <x v="2"/>
    <x v="3"/>
    <x v="15"/>
    <x v="3"/>
    <n v="10"/>
    <n v="717"/>
    <n v="20"/>
    <n v="5736"/>
    <n v="4200.25"/>
    <n v="1535.75"/>
    <x v="3"/>
    <x v="0"/>
    <n v="0.26773884239888424"/>
  </r>
  <r>
    <n v="1389"/>
    <d v="2024-09-27T00:00:00"/>
    <x v="3"/>
    <x v="0"/>
    <x v="13"/>
    <x v="2"/>
    <n v="4"/>
    <n v="246"/>
    <n v="0"/>
    <n v="984"/>
    <n v="518.97"/>
    <n v="465.03"/>
    <x v="0"/>
    <x v="0"/>
    <n v="0.47259146341463409"/>
  </r>
  <r>
    <n v="1390"/>
    <d v="2024-01-02T00:00:00"/>
    <x v="2"/>
    <x v="4"/>
    <x v="18"/>
    <x v="4"/>
    <n v="7"/>
    <n v="392"/>
    <n v="10"/>
    <n v="2469.6"/>
    <n v="1647.71"/>
    <n v="821.89"/>
    <x v="11"/>
    <x v="0"/>
    <n v="0.33280288305798511"/>
  </r>
  <r>
    <n v="1391"/>
    <d v="2024-11-14T00:00:00"/>
    <x v="3"/>
    <x v="3"/>
    <x v="4"/>
    <x v="0"/>
    <n v="9"/>
    <n v="273"/>
    <n v="10"/>
    <n v="2211.3000000000002"/>
    <n v="1312.44"/>
    <n v="898.86"/>
    <x v="3"/>
    <x v="0"/>
    <n v="0.40648487315153981"/>
  </r>
  <r>
    <n v="1392"/>
    <d v="2023-08-08T00:00:00"/>
    <x v="1"/>
    <x v="3"/>
    <x v="4"/>
    <x v="2"/>
    <n v="6"/>
    <n v="611"/>
    <n v="5"/>
    <n v="3482.7"/>
    <n v="2343.4499999999998"/>
    <n v="1139.25"/>
    <x v="2"/>
    <x v="1"/>
    <n v="0.32711689206650013"/>
  </r>
  <r>
    <n v="1393"/>
    <d v="2024-11-02T00:00:00"/>
    <x v="3"/>
    <x v="4"/>
    <x v="14"/>
    <x v="0"/>
    <n v="4"/>
    <n v="719"/>
    <n v="0"/>
    <n v="2876"/>
    <n v="1940.23"/>
    <n v="935.77"/>
    <x v="3"/>
    <x v="0"/>
    <n v="0.32537204450625867"/>
  </r>
  <r>
    <n v="1394"/>
    <d v="2023-07-18T00:00:00"/>
    <x v="0"/>
    <x v="2"/>
    <x v="10"/>
    <x v="2"/>
    <n v="9"/>
    <n v="529"/>
    <n v="20"/>
    <n v="3808.8"/>
    <n v="2778.46"/>
    <n v="1030.3399999999999"/>
    <x v="5"/>
    <x v="1"/>
    <n v="0.27051564797311484"/>
  </r>
  <r>
    <n v="1395"/>
    <d v="2023-02-15T00:00:00"/>
    <x v="1"/>
    <x v="2"/>
    <x v="10"/>
    <x v="0"/>
    <n v="5"/>
    <n v="956"/>
    <n v="10"/>
    <n v="4302"/>
    <n v="3122.35"/>
    <n v="1179.6500000000001"/>
    <x v="9"/>
    <x v="1"/>
    <n v="0.27420966992096701"/>
  </r>
  <r>
    <n v="1396"/>
    <d v="2023-10-21T00:00:00"/>
    <x v="3"/>
    <x v="4"/>
    <x v="18"/>
    <x v="1"/>
    <n v="6"/>
    <n v="324"/>
    <n v="15"/>
    <n v="1652.4"/>
    <n v="1080.3399999999999"/>
    <n v="572.05999999999995"/>
    <x v="1"/>
    <x v="1"/>
    <n v="0.34619946744129748"/>
  </r>
  <r>
    <n v="1397"/>
    <d v="2023-12-04T00:00:00"/>
    <x v="2"/>
    <x v="0"/>
    <x v="1"/>
    <x v="0"/>
    <n v="2"/>
    <n v="291"/>
    <n v="5"/>
    <n v="552.9"/>
    <n v="388.58"/>
    <n v="164.32"/>
    <x v="6"/>
    <x v="1"/>
    <n v="0.29719659974678964"/>
  </r>
  <r>
    <n v="1398"/>
    <d v="2024-03-26T00:00:00"/>
    <x v="2"/>
    <x v="4"/>
    <x v="14"/>
    <x v="1"/>
    <n v="3"/>
    <n v="77"/>
    <n v="10"/>
    <n v="207.9"/>
    <n v="153.99"/>
    <n v="53.91"/>
    <x v="8"/>
    <x v="0"/>
    <n v="0.25930735930735926"/>
  </r>
  <r>
    <n v="1399"/>
    <d v="2023-06-19T00:00:00"/>
    <x v="3"/>
    <x v="0"/>
    <x v="12"/>
    <x v="3"/>
    <n v="2"/>
    <n v="124"/>
    <n v="0"/>
    <n v="248"/>
    <n v="196.74"/>
    <n v="51.26"/>
    <x v="4"/>
    <x v="1"/>
    <n v="0.20669354838709678"/>
  </r>
  <r>
    <n v="1400"/>
    <d v="2023-08-21T00:00:00"/>
    <x v="2"/>
    <x v="1"/>
    <x v="16"/>
    <x v="5"/>
    <n v="10"/>
    <n v="915"/>
    <n v="10"/>
    <n v="8235"/>
    <n v="5014.1000000000004"/>
    <n v="3220.9"/>
    <x v="2"/>
    <x v="1"/>
    <n v="0.39112325440194295"/>
  </r>
  <r>
    <n v="1401"/>
    <d v="2023-06-17T00:00:00"/>
    <x v="1"/>
    <x v="1"/>
    <x v="2"/>
    <x v="5"/>
    <n v="6"/>
    <n v="985"/>
    <n v="5"/>
    <n v="5614.5"/>
    <n v="3069.24"/>
    <n v="2545.2600000000002"/>
    <x v="4"/>
    <x v="1"/>
    <n v="0.45333689553833828"/>
  </r>
  <r>
    <n v="1402"/>
    <d v="2024-05-08T00:00:00"/>
    <x v="0"/>
    <x v="1"/>
    <x v="5"/>
    <x v="1"/>
    <n v="5"/>
    <n v="311"/>
    <n v="10"/>
    <n v="1399.5"/>
    <n v="802.07"/>
    <n v="597.42999999999995"/>
    <x v="7"/>
    <x v="0"/>
    <n v="0.42688817434798138"/>
  </r>
  <r>
    <n v="1403"/>
    <d v="2024-05-12T00:00:00"/>
    <x v="0"/>
    <x v="1"/>
    <x v="16"/>
    <x v="4"/>
    <n v="5"/>
    <n v="651"/>
    <n v="20"/>
    <n v="2604"/>
    <n v="1882.67"/>
    <n v="721.33"/>
    <x v="7"/>
    <x v="0"/>
    <n v="0.27700844854070661"/>
  </r>
  <r>
    <n v="1404"/>
    <d v="2023-05-31T00:00:00"/>
    <x v="1"/>
    <x v="0"/>
    <x v="0"/>
    <x v="3"/>
    <n v="7"/>
    <n v="523"/>
    <n v="15"/>
    <n v="3111.85"/>
    <n v="2011.55"/>
    <n v="1100.3"/>
    <x v="7"/>
    <x v="1"/>
    <n v="0.35358388097112647"/>
  </r>
  <r>
    <n v="1405"/>
    <d v="2023-04-17T00:00:00"/>
    <x v="0"/>
    <x v="0"/>
    <x v="12"/>
    <x v="1"/>
    <n v="2"/>
    <n v="379"/>
    <n v="0"/>
    <n v="758"/>
    <n v="390.01"/>
    <n v="367.99"/>
    <x v="10"/>
    <x v="1"/>
    <n v="0.48547493403693931"/>
  </r>
  <r>
    <n v="1406"/>
    <d v="2024-10-10T00:00:00"/>
    <x v="2"/>
    <x v="2"/>
    <x v="10"/>
    <x v="4"/>
    <n v="8"/>
    <n v="517"/>
    <n v="15"/>
    <n v="3515.6"/>
    <n v="2666.98"/>
    <n v="848.62"/>
    <x v="1"/>
    <x v="0"/>
    <n v="0.24138696097394471"/>
  </r>
  <r>
    <n v="1407"/>
    <d v="2023-11-27T00:00:00"/>
    <x v="1"/>
    <x v="4"/>
    <x v="14"/>
    <x v="1"/>
    <n v="1"/>
    <n v="286"/>
    <n v="15"/>
    <n v="243.1"/>
    <n v="123.52"/>
    <n v="119.58"/>
    <x v="3"/>
    <x v="1"/>
    <n v="0.49189633895516249"/>
  </r>
  <r>
    <n v="1408"/>
    <d v="2024-09-20T00:00:00"/>
    <x v="1"/>
    <x v="4"/>
    <x v="9"/>
    <x v="4"/>
    <n v="6"/>
    <n v="40"/>
    <n v="20"/>
    <n v="192"/>
    <n v="145.66999999999999"/>
    <n v="46.33"/>
    <x v="0"/>
    <x v="0"/>
    <n v="0.24130208333333333"/>
  </r>
  <r>
    <n v="1409"/>
    <d v="2023-01-24T00:00:00"/>
    <x v="2"/>
    <x v="2"/>
    <x v="10"/>
    <x v="3"/>
    <n v="8"/>
    <n v="540"/>
    <n v="10"/>
    <n v="3888"/>
    <n v="2083.88"/>
    <n v="1804.12"/>
    <x v="11"/>
    <x v="1"/>
    <n v="0.46402263374485592"/>
  </r>
  <r>
    <n v="1410"/>
    <d v="2023-10-04T00:00:00"/>
    <x v="0"/>
    <x v="2"/>
    <x v="6"/>
    <x v="3"/>
    <n v="9"/>
    <n v="863"/>
    <n v="20"/>
    <n v="6213.6"/>
    <n v="4714.87"/>
    <n v="1498.73"/>
    <x v="1"/>
    <x v="1"/>
    <n v="0.24120155787305264"/>
  </r>
  <r>
    <n v="1411"/>
    <d v="2024-05-07T00:00:00"/>
    <x v="1"/>
    <x v="4"/>
    <x v="14"/>
    <x v="5"/>
    <n v="5"/>
    <n v="916"/>
    <n v="15"/>
    <n v="3893"/>
    <n v="2835.93"/>
    <n v="1057.07"/>
    <x v="7"/>
    <x v="0"/>
    <n v="0.2715309529925507"/>
  </r>
  <r>
    <n v="1412"/>
    <d v="2023-04-28T00:00:00"/>
    <x v="1"/>
    <x v="3"/>
    <x v="4"/>
    <x v="1"/>
    <n v="8"/>
    <n v="106"/>
    <n v="20"/>
    <n v="678.4"/>
    <n v="446.67"/>
    <n v="231.73"/>
    <x v="10"/>
    <x v="1"/>
    <n v="0.34158313679245284"/>
  </r>
  <r>
    <n v="1413"/>
    <d v="2023-07-14T00:00:00"/>
    <x v="2"/>
    <x v="1"/>
    <x v="5"/>
    <x v="5"/>
    <n v="2"/>
    <n v="274"/>
    <n v="15"/>
    <n v="465.8"/>
    <n v="268.20999999999998"/>
    <n v="197.59"/>
    <x v="5"/>
    <x v="1"/>
    <n v="0.42419493344783166"/>
  </r>
  <r>
    <n v="1414"/>
    <d v="2024-09-21T00:00:00"/>
    <x v="1"/>
    <x v="3"/>
    <x v="15"/>
    <x v="5"/>
    <n v="6"/>
    <n v="967"/>
    <n v="15"/>
    <n v="4931.7"/>
    <n v="3635.31"/>
    <n v="1296.3900000000001"/>
    <x v="0"/>
    <x v="0"/>
    <n v="0.26286878763915084"/>
  </r>
  <r>
    <n v="1415"/>
    <d v="2024-05-13T00:00:00"/>
    <x v="2"/>
    <x v="1"/>
    <x v="16"/>
    <x v="1"/>
    <n v="8"/>
    <n v="333"/>
    <n v="5"/>
    <n v="2530.8000000000002"/>
    <n v="1794.04"/>
    <n v="736.76"/>
    <x v="7"/>
    <x v="0"/>
    <n v="0.29111743322269634"/>
  </r>
  <r>
    <n v="1416"/>
    <d v="2023-09-15T00:00:00"/>
    <x v="2"/>
    <x v="1"/>
    <x v="2"/>
    <x v="4"/>
    <n v="6"/>
    <n v="580"/>
    <n v="0"/>
    <n v="3480"/>
    <n v="2454.0500000000002"/>
    <n v="1025.95"/>
    <x v="0"/>
    <x v="1"/>
    <n v="0.2948132183908046"/>
  </r>
  <r>
    <n v="1417"/>
    <d v="2024-10-13T00:00:00"/>
    <x v="1"/>
    <x v="2"/>
    <x v="10"/>
    <x v="5"/>
    <n v="5"/>
    <n v="465"/>
    <n v="15"/>
    <n v="1976.25"/>
    <n v="1578.55"/>
    <n v="397.7"/>
    <x v="1"/>
    <x v="0"/>
    <n v="0.20123972169512966"/>
  </r>
  <r>
    <n v="1418"/>
    <d v="2023-04-04T00:00:00"/>
    <x v="2"/>
    <x v="1"/>
    <x v="2"/>
    <x v="5"/>
    <n v="4"/>
    <n v="120"/>
    <n v="0"/>
    <n v="480"/>
    <n v="283"/>
    <n v="197"/>
    <x v="10"/>
    <x v="1"/>
    <n v="0.41041666666666665"/>
  </r>
  <r>
    <n v="1419"/>
    <d v="2024-12-27T00:00:00"/>
    <x v="2"/>
    <x v="0"/>
    <x v="13"/>
    <x v="2"/>
    <n v="8"/>
    <n v="52"/>
    <n v="20"/>
    <n v="332.8"/>
    <n v="196.51"/>
    <n v="136.29"/>
    <x v="6"/>
    <x v="0"/>
    <n v="0.40952524038461535"/>
  </r>
  <r>
    <n v="1420"/>
    <d v="2023-08-25T00:00:00"/>
    <x v="1"/>
    <x v="3"/>
    <x v="19"/>
    <x v="4"/>
    <n v="5"/>
    <n v="594"/>
    <n v="20"/>
    <n v="2376"/>
    <n v="1840.97"/>
    <n v="535.03"/>
    <x v="2"/>
    <x v="1"/>
    <n v="0.22518097643097643"/>
  </r>
  <r>
    <n v="1421"/>
    <d v="2024-09-09T00:00:00"/>
    <x v="0"/>
    <x v="2"/>
    <x v="3"/>
    <x v="0"/>
    <n v="5"/>
    <n v="755"/>
    <n v="0"/>
    <n v="3775"/>
    <n v="1966.17"/>
    <n v="1808.83"/>
    <x v="0"/>
    <x v="0"/>
    <n v="0.47916026490066221"/>
  </r>
  <r>
    <n v="1422"/>
    <d v="2024-11-21T00:00:00"/>
    <x v="1"/>
    <x v="3"/>
    <x v="15"/>
    <x v="5"/>
    <n v="4"/>
    <n v="642"/>
    <n v="10"/>
    <n v="2311.1999999999998"/>
    <n v="1178.8900000000001"/>
    <n v="1132.31"/>
    <x v="3"/>
    <x v="0"/>
    <n v="0.48992298373139498"/>
  </r>
  <r>
    <n v="1423"/>
    <d v="2024-12-26T00:00:00"/>
    <x v="2"/>
    <x v="1"/>
    <x v="7"/>
    <x v="4"/>
    <n v="3"/>
    <n v="70"/>
    <n v="5"/>
    <n v="199.5"/>
    <n v="120.02"/>
    <n v="79.48"/>
    <x v="6"/>
    <x v="0"/>
    <n v="0.39839598997493736"/>
  </r>
  <r>
    <n v="1424"/>
    <d v="2024-01-28T00:00:00"/>
    <x v="3"/>
    <x v="2"/>
    <x v="17"/>
    <x v="5"/>
    <n v="4"/>
    <n v="581"/>
    <n v="20"/>
    <n v="1859.2"/>
    <n v="1052.02"/>
    <n v="807.18"/>
    <x v="11"/>
    <x v="0"/>
    <n v="0.43415447504302923"/>
  </r>
  <r>
    <n v="1425"/>
    <d v="2023-07-16T00:00:00"/>
    <x v="0"/>
    <x v="0"/>
    <x v="13"/>
    <x v="1"/>
    <n v="2"/>
    <n v="461"/>
    <n v="0"/>
    <n v="922"/>
    <n v="653.20000000000005"/>
    <n v="268.8"/>
    <x v="5"/>
    <x v="1"/>
    <n v="0.29154013015184382"/>
  </r>
  <r>
    <n v="1426"/>
    <d v="2023-10-09T00:00:00"/>
    <x v="0"/>
    <x v="4"/>
    <x v="9"/>
    <x v="2"/>
    <n v="1"/>
    <n v="971"/>
    <n v="10"/>
    <n v="873.9"/>
    <n v="555.04999999999995"/>
    <n v="318.85000000000002"/>
    <x v="1"/>
    <x v="1"/>
    <n v="0.36485867948277839"/>
  </r>
  <r>
    <n v="1427"/>
    <d v="2023-12-19T00:00:00"/>
    <x v="0"/>
    <x v="4"/>
    <x v="14"/>
    <x v="2"/>
    <n v="6"/>
    <n v="28"/>
    <n v="0"/>
    <n v="168"/>
    <n v="110.08"/>
    <n v="57.92"/>
    <x v="6"/>
    <x v="1"/>
    <n v="0.34476190476190477"/>
  </r>
  <r>
    <n v="1428"/>
    <d v="2024-03-24T00:00:00"/>
    <x v="2"/>
    <x v="3"/>
    <x v="11"/>
    <x v="4"/>
    <n v="2"/>
    <n v="604"/>
    <n v="0"/>
    <n v="1208"/>
    <n v="872.24"/>
    <n v="335.76"/>
    <x v="8"/>
    <x v="0"/>
    <n v="0.27794701986754966"/>
  </r>
  <r>
    <n v="1429"/>
    <d v="2023-02-17T00:00:00"/>
    <x v="3"/>
    <x v="1"/>
    <x v="2"/>
    <x v="5"/>
    <n v="2"/>
    <n v="28"/>
    <n v="0"/>
    <n v="56"/>
    <n v="36.03"/>
    <n v="19.97"/>
    <x v="9"/>
    <x v="1"/>
    <n v="0.35660714285714284"/>
  </r>
  <r>
    <n v="1430"/>
    <d v="2024-08-25T00:00:00"/>
    <x v="3"/>
    <x v="1"/>
    <x v="7"/>
    <x v="3"/>
    <n v="9"/>
    <n v="591"/>
    <n v="0"/>
    <n v="5319"/>
    <n v="3174.21"/>
    <n v="2144.79"/>
    <x v="2"/>
    <x v="0"/>
    <n v="0.40323181049069373"/>
  </r>
  <r>
    <n v="1431"/>
    <d v="2024-03-30T00:00:00"/>
    <x v="0"/>
    <x v="0"/>
    <x v="13"/>
    <x v="3"/>
    <n v="5"/>
    <n v="528"/>
    <n v="20"/>
    <n v="2112"/>
    <n v="1403.26"/>
    <n v="708.74"/>
    <x v="8"/>
    <x v="0"/>
    <n v="0.33557765151515151"/>
  </r>
  <r>
    <n v="1432"/>
    <d v="2024-09-25T00:00:00"/>
    <x v="1"/>
    <x v="1"/>
    <x v="5"/>
    <x v="2"/>
    <n v="3"/>
    <n v="442"/>
    <n v="5"/>
    <n v="1259.7"/>
    <n v="670.27"/>
    <n v="589.42999999999995"/>
    <x v="0"/>
    <x v="0"/>
    <n v="0.46791299515757717"/>
  </r>
  <r>
    <n v="1433"/>
    <d v="2023-05-12T00:00:00"/>
    <x v="2"/>
    <x v="0"/>
    <x v="12"/>
    <x v="2"/>
    <n v="8"/>
    <n v="327"/>
    <n v="15"/>
    <n v="2223.6"/>
    <n v="1250.92"/>
    <n v="972.68"/>
    <x v="7"/>
    <x v="1"/>
    <n v="0.43743479042993344"/>
  </r>
  <r>
    <n v="1434"/>
    <d v="2023-12-23T00:00:00"/>
    <x v="0"/>
    <x v="2"/>
    <x v="3"/>
    <x v="5"/>
    <n v="10"/>
    <n v="388"/>
    <n v="20"/>
    <n v="3104"/>
    <n v="2136.41"/>
    <n v="967.59"/>
    <x v="6"/>
    <x v="1"/>
    <n v="0.31172358247422682"/>
  </r>
  <r>
    <n v="1435"/>
    <d v="2023-12-25T00:00:00"/>
    <x v="0"/>
    <x v="3"/>
    <x v="19"/>
    <x v="1"/>
    <n v="8"/>
    <n v="79"/>
    <n v="15"/>
    <n v="537.20000000000005"/>
    <n v="396.14"/>
    <n v="141.06"/>
    <x v="6"/>
    <x v="1"/>
    <n v="0.26258376768428887"/>
  </r>
  <r>
    <n v="1436"/>
    <d v="2024-06-04T00:00:00"/>
    <x v="1"/>
    <x v="3"/>
    <x v="15"/>
    <x v="5"/>
    <n v="8"/>
    <n v="973"/>
    <n v="20"/>
    <n v="6227.2"/>
    <n v="4694.8900000000003"/>
    <n v="1532.31"/>
    <x v="4"/>
    <x v="0"/>
    <n v="0.246067253340185"/>
  </r>
  <r>
    <n v="1437"/>
    <d v="2024-09-25T00:00:00"/>
    <x v="1"/>
    <x v="4"/>
    <x v="18"/>
    <x v="1"/>
    <n v="7"/>
    <n v="431"/>
    <n v="20"/>
    <n v="2413.6"/>
    <n v="1877.79"/>
    <n v="535.80999999999995"/>
    <x v="0"/>
    <x v="0"/>
    <n v="0.22199618826648987"/>
  </r>
  <r>
    <n v="1438"/>
    <d v="2024-11-10T00:00:00"/>
    <x v="3"/>
    <x v="1"/>
    <x v="7"/>
    <x v="0"/>
    <n v="5"/>
    <n v="650"/>
    <n v="20"/>
    <n v="2600"/>
    <n v="1663.23"/>
    <n v="936.77"/>
    <x v="3"/>
    <x v="0"/>
    <n v="0.36029615384615382"/>
  </r>
  <r>
    <n v="1439"/>
    <d v="2024-03-29T00:00:00"/>
    <x v="1"/>
    <x v="1"/>
    <x v="5"/>
    <x v="4"/>
    <n v="4"/>
    <n v="888"/>
    <n v="0"/>
    <n v="3552"/>
    <n v="2487.09"/>
    <n v="1064.9100000000001"/>
    <x v="8"/>
    <x v="0"/>
    <n v="0.29980574324324327"/>
  </r>
  <r>
    <n v="1440"/>
    <d v="2023-12-30T00:00:00"/>
    <x v="2"/>
    <x v="4"/>
    <x v="14"/>
    <x v="3"/>
    <n v="9"/>
    <n v="309"/>
    <n v="20"/>
    <n v="2224.8000000000002"/>
    <n v="1170.46"/>
    <n v="1054.3399999999999"/>
    <x v="6"/>
    <x v="1"/>
    <n v="0.473903272204243"/>
  </r>
  <r>
    <n v="1441"/>
    <d v="2024-07-05T00:00:00"/>
    <x v="1"/>
    <x v="4"/>
    <x v="8"/>
    <x v="3"/>
    <n v="8"/>
    <n v="409"/>
    <n v="10"/>
    <n v="2944.8"/>
    <n v="1756.4"/>
    <n v="1188.4000000000001"/>
    <x v="5"/>
    <x v="0"/>
    <n v="0.40355881553925566"/>
  </r>
  <r>
    <n v="1442"/>
    <d v="2024-07-21T00:00:00"/>
    <x v="3"/>
    <x v="1"/>
    <x v="16"/>
    <x v="3"/>
    <n v="4"/>
    <n v="71"/>
    <n v="10"/>
    <n v="255.6"/>
    <n v="143.22"/>
    <n v="112.38"/>
    <x v="5"/>
    <x v="0"/>
    <n v="0.43967136150234742"/>
  </r>
  <r>
    <n v="1443"/>
    <d v="2024-11-02T00:00:00"/>
    <x v="2"/>
    <x v="4"/>
    <x v="14"/>
    <x v="5"/>
    <n v="7"/>
    <n v="570"/>
    <n v="20"/>
    <n v="3192"/>
    <n v="1970.02"/>
    <n v="1221.98"/>
    <x v="3"/>
    <x v="0"/>
    <n v="0.38282581453634085"/>
  </r>
  <r>
    <n v="1444"/>
    <d v="2023-01-04T00:00:00"/>
    <x v="3"/>
    <x v="1"/>
    <x v="7"/>
    <x v="1"/>
    <n v="9"/>
    <n v="275"/>
    <n v="0"/>
    <n v="2475"/>
    <n v="1644.17"/>
    <n v="830.83"/>
    <x v="11"/>
    <x v="1"/>
    <n v="0.33568888888888893"/>
  </r>
  <r>
    <n v="1445"/>
    <d v="2023-08-20T00:00:00"/>
    <x v="2"/>
    <x v="3"/>
    <x v="11"/>
    <x v="3"/>
    <n v="8"/>
    <n v="772"/>
    <n v="5"/>
    <n v="5867.2"/>
    <n v="3093.73"/>
    <n v="2773.47"/>
    <x v="2"/>
    <x v="1"/>
    <n v="0.47270759476411234"/>
  </r>
  <r>
    <n v="1446"/>
    <d v="2023-06-23T00:00:00"/>
    <x v="1"/>
    <x v="1"/>
    <x v="2"/>
    <x v="4"/>
    <n v="8"/>
    <n v="969"/>
    <n v="0"/>
    <n v="7752"/>
    <n v="4310.28"/>
    <n v="3441.72"/>
    <x v="4"/>
    <x v="1"/>
    <n v="0.44397832817337457"/>
  </r>
  <r>
    <n v="1447"/>
    <d v="2023-12-13T00:00:00"/>
    <x v="0"/>
    <x v="2"/>
    <x v="3"/>
    <x v="4"/>
    <n v="2"/>
    <n v="937"/>
    <n v="15"/>
    <n v="1592.9"/>
    <n v="1174.27"/>
    <n v="418.63"/>
    <x v="6"/>
    <x v="1"/>
    <n v="0.26280996923849581"/>
  </r>
  <r>
    <n v="1448"/>
    <d v="2023-04-09T00:00:00"/>
    <x v="0"/>
    <x v="2"/>
    <x v="17"/>
    <x v="2"/>
    <n v="10"/>
    <n v="23"/>
    <n v="0"/>
    <n v="230"/>
    <n v="154.11000000000001"/>
    <n v="75.89"/>
    <x v="10"/>
    <x v="1"/>
    <n v="0.32995652173913043"/>
  </r>
  <r>
    <n v="1449"/>
    <d v="2024-05-15T00:00:00"/>
    <x v="0"/>
    <x v="0"/>
    <x v="13"/>
    <x v="5"/>
    <n v="2"/>
    <n v="60"/>
    <n v="10"/>
    <n v="108"/>
    <n v="68.69"/>
    <n v="39.31"/>
    <x v="7"/>
    <x v="0"/>
    <n v="0.36398148148148152"/>
  </r>
  <r>
    <n v="1450"/>
    <d v="2023-07-28T00:00:00"/>
    <x v="0"/>
    <x v="3"/>
    <x v="15"/>
    <x v="3"/>
    <n v="8"/>
    <n v="327"/>
    <n v="5"/>
    <n v="2485.1999999999998"/>
    <n v="1273.81"/>
    <n v="1211.3900000000001"/>
    <x v="5"/>
    <x v="1"/>
    <n v="0.48744165459520367"/>
  </r>
  <r>
    <n v="1451"/>
    <d v="2024-08-25T00:00:00"/>
    <x v="0"/>
    <x v="3"/>
    <x v="19"/>
    <x v="5"/>
    <n v="5"/>
    <n v="206"/>
    <n v="0"/>
    <n v="1030"/>
    <n v="640.27"/>
    <n v="389.73"/>
    <x v="2"/>
    <x v="0"/>
    <n v="0.37837864077669903"/>
  </r>
  <r>
    <n v="1452"/>
    <d v="2023-01-20T00:00:00"/>
    <x v="2"/>
    <x v="1"/>
    <x v="16"/>
    <x v="5"/>
    <n v="5"/>
    <n v="168"/>
    <n v="5"/>
    <n v="798"/>
    <n v="480.3"/>
    <n v="317.7"/>
    <x v="11"/>
    <x v="1"/>
    <n v="0.39812030075187971"/>
  </r>
  <r>
    <n v="1453"/>
    <d v="2023-09-16T00:00:00"/>
    <x v="0"/>
    <x v="1"/>
    <x v="16"/>
    <x v="3"/>
    <n v="4"/>
    <n v="124"/>
    <n v="10"/>
    <n v="446.4"/>
    <n v="329.51"/>
    <n v="116.89"/>
    <x v="0"/>
    <x v="1"/>
    <n v="0.26185035842293908"/>
  </r>
  <r>
    <n v="1454"/>
    <d v="2024-06-24T00:00:00"/>
    <x v="3"/>
    <x v="1"/>
    <x v="7"/>
    <x v="5"/>
    <n v="8"/>
    <n v="198"/>
    <n v="20"/>
    <n v="1267.2"/>
    <n v="715.76"/>
    <n v="551.44000000000005"/>
    <x v="4"/>
    <x v="0"/>
    <n v="0.43516414141414145"/>
  </r>
  <r>
    <n v="1455"/>
    <d v="2023-07-28T00:00:00"/>
    <x v="1"/>
    <x v="1"/>
    <x v="16"/>
    <x v="4"/>
    <n v="4"/>
    <n v="466"/>
    <n v="5"/>
    <n v="1770.8"/>
    <n v="1073.33"/>
    <n v="697.47"/>
    <x v="5"/>
    <x v="1"/>
    <n v="0.39387282584142763"/>
  </r>
  <r>
    <n v="1456"/>
    <d v="2024-01-08T00:00:00"/>
    <x v="3"/>
    <x v="4"/>
    <x v="14"/>
    <x v="2"/>
    <n v="5"/>
    <n v="962"/>
    <n v="15"/>
    <n v="4088.5"/>
    <n v="3136.4"/>
    <n v="952.1"/>
    <x v="11"/>
    <x v="0"/>
    <n v="0.2328726916962211"/>
  </r>
  <r>
    <n v="1457"/>
    <d v="2024-08-20T00:00:00"/>
    <x v="0"/>
    <x v="4"/>
    <x v="14"/>
    <x v="4"/>
    <n v="8"/>
    <n v="927"/>
    <n v="10"/>
    <n v="6674.4"/>
    <n v="4502.47"/>
    <n v="2171.9299999999998"/>
    <x v="2"/>
    <x v="0"/>
    <n v="0.32541202205441688"/>
  </r>
  <r>
    <n v="1458"/>
    <d v="2024-01-14T00:00:00"/>
    <x v="3"/>
    <x v="1"/>
    <x v="2"/>
    <x v="1"/>
    <n v="8"/>
    <n v="489"/>
    <n v="0"/>
    <n v="3912"/>
    <n v="2353.77"/>
    <n v="1558.23"/>
    <x v="11"/>
    <x v="0"/>
    <n v="0.39832055214723927"/>
  </r>
  <r>
    <n v="1459"/>
    <d v="2024-05-15T00:00:00"/>
    <x v="2"/>
    <x v="1"/>
    <x v="7"/>
    <x v="1"/>
    <n v="8"/>
    <n v="935"/>
    <n v="10"/>
    <n v="6732"/>
    <n v="4952.8999999999996"/>
    <n v="1779.1"/>
    <x v="7"/>
    <x v="0"/>
    <n v="0.2642751039809863"/>
  </r>
  <r>
    <n v="1460"/>
    <d v="2024-06-05T00:00:00"/>
    <x v="0"/>
    <x v="0"/>
    <x v="13"/>
    <x v="5"/>
    <n v="8"/>
    <n v="252"/>
    <n v="20"/>
    <n v="1612.8"/>
    <n v="856.91"/>
    <n v="755.89"/>
    <x v="4"/>
    <x v="0"/>
    <n v="0.46868179563492063"/>
  </r>
  <r>
    <n v="1461"/>
    <d v="2024-12-02T00:00:00"/>
    <x v="3"/>
    <x v="2"/>
    <x v="17"/>
    <x v="0"/>
    <n v="4"/>
    <n v="181"/>
    <n v="0"/>
    <n v="724"/>
    <n v="367.17"/>
    <n v="356.83"/>
    <x v="6"/>
    <x v="0"/>
    <n v="0.49285911602209942"/>
  </r>
  <r>
    <n v="1462"/>
    <d v="2024-08-18T00:00:00"/>
    <x v="0"/>
    <x v="0"/>
    <x v="1"/>
    <x v="1"/>
    <n v="5"/>
    <n v="81"/>
    <n v="15"/>
    <n v="344.25"/>
    <n v="216.54"/>
    <n v="127.71"/>
    <x v="2"/>
    <x v="0"/>
    <n v="0.37098039215686274"/>
  </r>
  <r>
    <n v="1463"/>
    <d v="2024-01-04T00:00:00"/>
    <x v="0"/>
    <x v="0"/>
    <x v="13"/>
    <x v="3"/>
    <n v="3"/>
    <n v="857"/>
    <n v="5"/>
    <n v="2442.4499999999998"/>
    <n v="1653.23"/>
    <n v="789.22"/>
    <x v="11"/>
    <x v="0"/>
    <n v="0.32312636901471886"/>
  </r>
  <r>
    <n v="1464"/>
    <d v="2024-07-26T00:00:00"/>
    <x v="3"/>
    <x v="1"/>
    <x v="7"/>
    <x v="0"/>
    <n v="10"/>
    <n v="457"/>
    <n v="15"/>
    <n v="3884.5"/>
    <n v="2725.05"/>
    <n v="1159.45"/>
    <x v="5"/>
    <x v="0"/>
    <n v="0.29848114300424766"/>
  </r>
  <r>
    <n v="1465"/>
    <d v="2024-06-08T00:00:00"/>
    <x v="0"/>
    <x v="1"/>
    <x v="7"/>
    <x v="3"/>
    <n v="1"/>
    <n v="529"/>
    <n v="0"/>
    <n v="529"/>
    <n v="277.64999999999998"/>
    <n v="251.35"/>
    <x v="4"/>
    <x v="0"/>
    <n v="0.47514177693761811"/>
  </r>
  <r>
    <n v="1466"/>
    <d v="2024-03-16T00:00:00"/>
    <x v="0"/>
    <x v="3"/>
    <x v="15"/>
    <x v="0"/>
    <n v="9"/>
    <n v="489"/>
    <n v="20"/>
    <n v="3520.8"/>
    <n v="1943.06"/>
    <n v="1577.74"/>
    <x v="8"/>
    <x v="0"/>
    <n v="0.44811974551238354"/>
  </r>
  <r>
    <n v="1467"/>
    <d v="2024-09-12T00:00:00"/>
    <x v="2"/>
    <x v="1"/>
    <x v="5"/>
    <x v="2"/>
    <n v="1"/>
    <n v="84"/>
    <n v="5"/>
    <n v="79.8"/>
    <n v="41.76"/>
    <n v="38.04"/>
    <x v="0"/>
    <x v="0"/>
    <n v="0.47669172932330828"/>
  </r>
  <r>
    <n v="1468"/>
    <d v="2023-03-09T00:00:00"/>
    <x v="2"/>
    <x v="0"/>
    <x v="0"/>
    <x v="2"/>
    <n v="10"/>
    <n v="107"/>
    <n v="20"/>
    <n v="856"/>
    <n v="575.19000000000005"/>
    <n v="280.81"/>
    <x v="8"/>
    <x v="1"/>
    <n v="0.32804906542056073"/>
  </r>
  <r>
    <n v="1469"/>
    <d v="2023-11-14T00:00:00"/>
    <x v="2"/>
    <x v="1"/>
    <x v="7"/>
    <x v="0"/>
    <n v="9"/>
    <n v="654"/>
    <n v="10"/>
    <n v="5297.4"/>
    <n v="2679.56"/>
    <n v="2617.84"/>
    <x v="3"/>
    <x v="1"/>
    <n v="0.49417450069845592"/>
  </r>
  <r>
    <n v="1470"/>
    <d v="2024-09-26T00:00:00"/>
    <x v="2"/>
    <x v="4"/>
    <x v="9"/>
    <x v="5"/>
    <n v="1"/>
    <n v="798"/>
    <n v="20"/>
    <n v="638.4"/>
    <n v="353.12"/>
    <n v="285.27999999999997"/>
    <x v="0"/>
    <x v="0"/>
    <n v="0.44686716791979947"/>
  </r>
  <r>
    <n v="1471"/>
    <d v="2023-06-12T00:00:00"/>
    <x v="1"/>
    <x v="2"/>
    <x v="6"/>
    <x v="2"/>
    <n v="1"/>
    <n v="593"/>
    <n v="10"/>
    <n v="533.70000000000005"/>
    <n v="322.22000000000003"/>
    <n v="211.48"/>
    <x v="4"/>
    <x v="1"/>
    <n v="0.39625257635375671"/>
  </r>
  <r>
    <n v="1472"/>
    <d v="2023-07-20T00:00:00"/>
    <x v="1"/>
    <x v="2"/>
    <x v="3"/>
    <x v="1"/>
    <n v="5"/>
    <n v="84"/>
    <n v="10"/>
    <n v="378"/>
    <n v="274.25"/>
    <n v="103.75"/>
    <x v="5"/>
    <x v="1"/>
    <n v="0.27447089947089948"/>
  </r>
  <r>
    <n v="1473"/>
    <d v="2024-12-13T00:00:00"/>
    <x v="2"/>
    <x v="2"/>
    <x v="6"/>
    <x v="3"/>
    <n v="4"/>
    <n v="817"/>
    <n v="15"/>
    <n v="2777.8"/>
    <n v="1570.95"/>
    <n v="1206.8499999999999"/>
    <x v="6"/>
    <x v="0"/>
    <n v="0.43446252429980553"/>
  </r>
  <r>
    <n v="1474"/>
    <d v="2024-11-26T00:00:00"/>
    <x v="1"/>
    <x v="4"/>
    <x v="9"/>
    <x v="4"/>
    <n v="3"/>
    <n v="562"/>
    <n v="5"/>
    <n v="1601.7"/>
    <n v="930.6"/>
    <n v="671.1"/>
    <x v="3"/>
    <x v="0"/>
    <n v="0.41899232065929948"/>
  </r>
  <r>
    <n v="1475"/>
    <d v="2023-07-19T00:00:00"/>
    <x v="0"/>
    <x v="2"/>
    <x v="6"/>
    <x v="5"/>
    <n v="6"/>
    <n v="1000"/>
    <n v="10"/>
    <n v="5400"/>
    <n v="4190.29"/>
    <n v="1209.71"/>
    <x v="5"/>
    <x v="1"/>
    <n v="0.22402037037037037"/>
  </r>
  <r>
    <n v="1476"/>
    <d v="2023-10-22T00:00:00"/>
    <x v="2"/>
    <x v="2"/>
    <x v="3"/>
    <x v="2"/>
    <n v="3"/>
    <n v="215"/>
    <n v="15"/>
    <n v="548.25"/>
    <n v="291.05"/>
    <n v="257.2"/>
    <x v="1"/>
    <x v="1"/>
    <n v="0.46912904696762425"/>
  </r>
  <r>
    <n v="1477"/>
    <d v="2023-12-23T00:00:00"/>
    <x v="3"/>
    <x v="3"/>
    <x v="15"/>
    <x v="0"/>
    <n v="3"/>
    <n v="820"/>
    <n v="0"/>
    <n v="2460"/>
    <n v="1801.12"/>
    <n v="658.88"/>
    <x v="6"/>
    <x v="1"/>
    <n v="0.26783739837398374"/>
  </r>
  <r>
    <n v="1478"/>
    <d v="2024-02-17T00:00:00"/>
    <x v="1"/>
    <x v="4"/>
    <x v="14"/>
    <x v="2"/>
    <n v="6"/>
    <n v="479"/>
    <n v="15"/>
    <n v="2442.9"/>
    <n v="1772.82"/>
    <n v="670.08"/>
    <x v="9"/>
    <x v="0"/>
    <n v="0.27429694215890948"/>
  </r>
  <r>
    <n v="1479"/>
    <d v="2024-08-04T00:00:00"/>
    <x v="2"/>
    <x v="0"/>
    <x v="12"/>
    <x v="4"/>
    <n v="10"/>
    <n v="713"/>
    <n v="15"/>
    <n v="6060.5"/>
    <n v="4764.99"/>
    <n v="1295.51"/>
    <x v="2"/>
    <x v="0"/>
    <n v="0.21376289085058989"/>
  </r>
  <r>
    <n v="1480"/>
    <d v="2023-10-07T00:00:00"/>
    <x v="2"/>
    <x v="2"/>
    <x v="17"/>
    <x v="4"/>
    <n v="1"/>
    <n v="689"/>
    <n v="20"/>
    <n v="551.20000000000005"/>
    <n v="309.47000000000003"/>
    <n v="241.73"/>
    <x v="1"/>
    <x v="1"/>
    <n v="0.43855224963715522"/>
  </r>
  <r>
    <n v="1481"/>
    <d v="2023-09-27T00:00:00"/>
    <x v="1"/>
    <x v="2"/>
    <x v="3"/>
    <x v="1"/>
    <n v="3"/>
    <n v="864"/>
    <n v="20"/>
    <n v="2073.6"/>
    <n v="1517.85"/>
    <n v="555.75"/>
    <x v="0"/>
    <x v="1"/>
    <n v="0.26801215277777779"/>
  </r>
  <r>
    <n v="1482"/>
    <d v="2024-11-10T00:00:00"/>
    <x v="2"/>
    <x v="1"/>
    <x v="5"/>
    <x v="2"/>
    <n v="5"/>
    <n v="668"/>
    <n v="20"/>
    <n v="2672"/>
    <n v="1860.26"/>
    <n v="811.74"/>
    <x v="3"/>
    <x v="0"/>
    <n v="0.30379491017964072"/>
  </r>
  <r>
    <n v="1483"/>
    <d v="2024-04-11T00:00:00"/>
    <x v="0"/>
    <x v="3"/>
    <x v="11"/>
    <x v="3"/>
    <n v="6"/>
    <n v="307"/>
    <n v="5"/>
    <n v="1749.9"/>
    <n v="1011.34"/>
    <n v="738.56"/>
    <x v="10"/>
    <x v="0"/>
    <n v="0.42205840333733352"/>
  </r>
  <r>
    <n v="1484"/>
    <d v="2023-08-01T00:00:00"/>
    <x v="0"/>
    <x v="0"/>
    <x v="12"/>
    <x v="4"/>
    <n v="2"/>
    <n v="330"/>
    <n v="10"/>
    <n v="594"/>
    <n v="308.83"/>
    <n v="285.17"/>
    <x v="2"/>
    <x v="1"/>
    <n v="0.48008417508417511"/>
  </r>
  <r>
    <n v="1485"/>
    <d v="2023-04-15T00:00:00"/>
    <x v="2"/>
    <x v="4"/>
    <x v="8"/>
    <x v="5"/>
    <n v="3"/>
    <n v="867"/>
    <n v="15"/>
    <n v="2210.85"/>
    <n v="1170.5999999999999"/>
    <n v="1040.25"/>
    <x v="10"/>
    <x v="1"/>
    <n v="0.47052038808603031"/>
  </r>
  <r>
    <n v="1486"/>
    <d v="2024-09-04T00:00:00"/>
    <x v="1"/>
    <x v="0"/>
    <x v="13"/>
    <x v="3"/>
    <n v="7"/>
    <n v="55"/>
    <n v="15"/>
    <n v="327.25"/>
    <n v="228.37"/>
    <n v="98.88"/>
    <x v="0"/>
    <x v="0"/>
    <n v="0.30215431627196332"/>
  </r>
  <r>
    <n v="1487"/>
    <d v="2023-08-04T00:00:00"/>
    <x v="3"/>
    <x v="3"/>
    <x v="15"/>
    <x v="4"/>
    <n v="8"/>
    <n v="36"/>
    <n v="10"/>
    <n v="259.2"/>
    <n v="180.54"/>
    <n v="78.66"/>
    <x v="2"/>
    <x v="1"/>
    <n v="0.3034722222222222"/>
  </r>
  <r>
    <n v="1488"/>
    <d v="2024-04-01T00:00:00"/>
    <x v="3"/>
    <x v="0"/>
    <x v="0"/>
    <x v="4"/>
    <n v="3"/>
    <n v="94"/>
    <n v="15"/>
    <n v="239.7"/>
    <n v="185.9"/>
    <n v="53.8"/>
    <x v="10"/>
    <x v="0"/>
    <n v="0.22444722569879016"/>
  </r>
  <r>
    <n v="1489"/>
    <d v="2024-04-15T00:00:00"/>
    <x v="2"/>
    <x v="2"/>
    <x v="17"/>
    <x v="3"/>
    <n v="4"/>
    <n v="528"/>
    <n v="10"/>
    <n v="1900.8"/>
    <n v="1141.6199999999999"/>
    <n v="759.18"/>
    <x v="10"/>
    <x v="0"/>
    <n v="0.39940025252525252"/>
  </r>
  <r>
    <n v="1490"/>
    <d v="2023-11-14T00:00:00"/>
    <x v="0"/>
    <x v="0"/>
    <x v="1"/>
    <x v="5"/>
    <n v="3"/>
    <n v="188"/>
    <n v="15"/>
    <n v="479.4"/>
    <n v="330.93"/>
    <n v="148.47"/>
    <x v="3"/>
    <x v="1"/>
    <n v="0.30969962453066335"/>
  </r>
  <r>
    <n v="1491"/>
    <d v="2023-02-17T00:00:00"/>
    <x v="2"/>
    <x v="4"/>
    <x v="18"/>
    <x v="5"/>
    <n v="8"/>
    <n v="842"/>
    <n v="20"/>
    <n v="5388.8"/>
    <n v="3685.46"/>
    <n v="1703.34"/>
    <x v="9"/>
    <x v="1"/>
    <n v="0.31608892517814724"/>
  </r>
  <r>
    <n v="1492"/>
    <d v="2023-01-13T00:00:00"/>
    <x v="2"/>
    <x v="4"/>
    <x v="14"/>
    <x v="1"/>
    <n v="8"/>
    <n v="285"/>
    <n v="15"/>
    <n v="1938"/>
    <n v="990.39"/>
    <n v="947.61"/>
    <x v="11"/>
    <x v="1"/>
    <n v="0.48896284829721365"/>
  </r>
  <r>
    <n v="1493"/>
    <d v="2024-12-11T00:00:00"/>
    <x v="3"/>
    <x v="3"/>
    <x v="19"/>
    <x v="0"/>
    <n v="10"/>
    <n v="565"/>
    <n v="15"/>
    <n v="4802.5"/>
    <n v="3075.47"/>
    <n v="1727.03"/>
    <x v="6"/>
    <x v="0"/>
    <n v="0.35961061946902656"/>
  </r>
  <r>
    <n v="1494"/>
    <d v="2023-11-14T00:00:00"/>
    <x v="1"/>
    <x v="2"/>
    <x v="3"/>
    <x v="0"/>
    <n v="6"/>
    <n v="778"/>
    <n v="0"/>
    <n v="4668"/>
    <n v="3671.05"/>
    <n v="996.95"/>
    <x v="3"/>
    <x v="1"/>
    <n v="0.21357112253641819"/>
  </r>
  <r>
    <n v="1495"/>
    <d v="2024-03-10T00:00:00"/>
    <x v="0"/>
    <x v="4"/>
    <x v="18"/>
    <x v="5"/>
    <n v="9"/>
    <n v="824"/>
    <n v="0"/>
    <n v="7416"/>
    <n v="3724.46"/>
    <n v="3691.54"/>
    <x v="8"/>
    <x v="0"/>
    <n v="0.49778047464940667"/>
  </r>
  <r>
    <n v="1496"/>
    <d v="2023-10-09T00:00:00"/>
    <x v="1"/>
    <x v="1"/>
    <x v="16"/>
    <x v="4"/>
    <n v="8"/>
    <n v="532"/>
    <n v="5"/>
    <n v="4043.2"/>
    <n v="3142.12"/>
    <n v="901.08"/>
    <x v="1"/>
    <x v="1"/>
    <n v="0.22286307874950537"/>
  </r>
  <r>
    <n v="1497"/>
    <d v="2024-05-25T00:00:00"/>
    <x v="3"/>
    <x v="3"/>
    <x v="19"/>
    <x v="0"/>
    <n v="3"/>
    <n v="366"/>
    <n v="10"/>
    <n v="988.2"/>
    <n v="701.91"/>
    <n v="286.29000000000002"/>
    <x v="7"/>
    <x v="0"/>
    <n v="0.28970856102003645"/>
  </r>
  <r>
    <n v="1498"/>
    <d v="2024-08-21T00:00:00"/>
    <x v="2"/>
    <x v="3"/>
    <x v="15"/>
    <x v="4"/>
    <n v="10"/>
    <n v="962"/>
    <n v="20"/>
    <n v="7696"/>
    <n v="5735.44"/>
    <n v="1960.56"/>
    <x v="2"/>
    <x v="0"/>
    <n v="0.25475051975051977"/>
  </r>
  <r>
    <n v="1499"/>
    <d v="2023-02-03T00:00:00"/>
    <x v="0"/>
    <x v="1"/>
    <x v="5"/>
    <x v="3"/>
    <n v="5"/>
    <n v="411"/>
    <n v="15"/>
    <n v="1746.75"/>
    <n v="1339.72"/>
    <n v="407.03"/>
    <x v="9"/>
    <x v="1"/>
    <n v="0.23302132531844852"/>
  </r>
  <r>
    <n v="1500"/>
    <d v="2023-08-30T00:00:00"/>
    <x v="3"/>
    <x v="2"/>
    <x v="17"/>
    <x v="5"/>
    <n v="7"/>
    <n v="477"/>
    <n v="15"/>
    <n v="2838.15"/>
    <n v="1836.55"/>
    <n v="1001.6"/>
    <x v="2"/>
    <x v="1"/>
    <n v="0.35290594225111427"/>
  </r>
  <r>
    <n v="1501"/>
    <d v="2023-07-14T00:00:00"/>
    <x v="2"/>
    <x v="4"/>
    <x v="9"/>
    <x v="2"/>
    <n v="8"/>
    <n v="571"/>
    <n v="0"/>
    <n v="4568"/>
    <n v="2737.47"/>
    <n v="1830.53"/>
    <x v="5"/>
    <x v="1"/>
    <n v="0.40072898423817865"/>
  </r>
  <r>
    <n v="1502"/>
    <d v="2023-02-21T00:00:00"/>
    <x v="2"/>
    <x v="3"/>
    <x v="4"/>
    <x v="2"/>
    <n v="2"/>
    <n v="641"/>
    <n v="10"/>
    <n v="1153.8"/>
    <n v="778.05"/>
    <n v="375.75"/>
    <x v="9"/>
    <x v="1"/>
    <n v="0.32566302652106083"/>
  </r>
  <r>
    <n v="1503"/>
    <d v="2024-08-19T00:00:00"/>
    <x v="3"/>
    <x v="1"/>
    <x v="16"/>
    <x v="1"/>
    <n v="10"/>
    <n v="876"/>
    <n v="5"/>
    <n v="8322"/>
    <n v="4247.92"/>
    <n v="4074.08"/>
    <x v="2"/>
    <x v="0"/>
    <n v="0.48955539533765918"/>
  </r>
  <r>
    <n v="1504"/>
    <d v="2024-02-17T00:00:00"/>
    <x v="3"/>
    <x v="0"/>
    <x v="12"/>
    <x v="1"/>
    <n v="6"/>
    <n v="867"/>
    <n v="0"/>
    <n v="5202"/>
    <n v="3190.98"/>
    <n v="2011.02"/>
    <x v="9"/>
    <x v="0"/>
    <n v="0.38658592848904266"/>
  </r>
  <r>
    <n v="1505"/>
    <d v="2024-10-23T00:00:00"/>
    <x v="2"/>
    <x v="3"/>
    <x v="11"/>
    <x v="5"/>
    <n v="1"/>
    <n v="977"/>
    <n v="15"/>
    <n v="830.45"/>
    <n v="609.5"/>
    <n v="220.95"/>
    <x v="1"/>
    <x v="0"/>
    <n v="0.26606056957071467"/>
  </r>
  <r>
    <n v="1506"/>
    <d v="2024-02-08T00:00:00"/>
    <x v="1"/>
    <x v="1"/>
    <x v="5"/>
    <x v="1"/>
    <n v="3"/>
    <n v="489"/>
    <n v="0"/>
    <n v="1467"/>
    <n v="1159.32"/>
    <n v="307.68"/>
    <x v="9"/>
    <x v="0"/>
    <n v="0.20973415132924336"/>
  </r>
  <r>
    <n v="1507"/>
    <d v="2023-11-29T00:00:00"/>
    <x v="3"/>
    <x v="1"/>
    <x v="16"/>
    <x v="3"/>
    <n v="4"/>
    <n v="75"/>
    <n v="5"/>
    <n v="285"/>
    <n v="145.78"/>
    <n v="139.22"/>
    <x v="3"/>
    <x v="1"/>
    <n v="0.48849122807017542"/>
  </r>
  <r>
    <n v="1508"/>
    <d v="2023-06-21T00:00:00"/>
    <x v="1"/>
    <x v="3"/>
    <x v="19"/>
    <x v="0"/>
    <n v="3"/>
    <n v="788"/>
    <n v="0"/>
    <n v="2364"/>
    <n v="1577.39"/>
    <n v="786.61"/>
    <x v="4"/>
    <x v="1"/>
    <n v="0.33274534686971236"/>
  </r>
  <r>
    <n v="1509"/>
    <d v="2023-02-06T00:00:00"/>
    <x v="1"/>
    <x v="1"/>
    <x v="2"/>
    <x v="0"/>
    <n v="6"/>
    <n v="999"/>
    <n v="5"/>
    <n v="5694.3"/>
    <n v="3914.51"/>
    <n v="1779.79"/>
    <x v="9"/>
    <x v="1"/>
    <n v="0.31255641606518797"/>
  </r>
  <r>
    <n v="1510"/>
    <d v="2024-12-07T00:00:00"/>
    <x v="3"/>
    <x v="3"/>
    <x v="4"/>
    <x v="3"/>
    <n v="10"/>
    <n v="18"/>
    <n v="10"/>
    <n v="162"/>
    <n v="121.63"/>
    <n v="40.369999999999997"/>
    <x v="6"/>
    <x v="0"/>
    <n v="0.24919753086419752"/>
  </r>
  <r>
    <n v="1511"/>
    <d v="2023-09-04T00:00:00"/>
    <x v="1"/>
    <x v="4"/>
    <x v="18"/>
    <x v="5"/>
    <n v="9"/>
    <n v="759"/>
    <n v="0"/>
    <n v="6831"/>
    <n v="4835.0200000000004"/>
    <n v="1995.98"/>
    <x v="0"/>
    <x v="1"/>
    <n v="0.29219440784658174"/>
  </r>
  <r>
    <n v="1512"/>
    <d v="2023-08-03T00:00:00"/>
    <x v="2"/>
    <x v="0"/>
    <x v="1"/>
    <x v="1"/>
    <n v="9"/>
    <n v="463"/>
    <n v="0"/>
    <n v="4167"/>
    <n v="2924.94"/>
    <n v="1242.06"/>
    <x v="2"/>
    <x v="1"/>
    <n v="0.29807055435565155"/>
  </r>
  <r>
    <n v="1513"/>
    <d v="2024-01-11T00:00:00"/>
    <x v="3"/>
    <x v="2"/>
    <x v="3"/>
    <x v="3"/>
    <n v="7"/>
    <n v="259"/>
    <n v="20"/>
    <n v="1450.4"/>
    <n v="1062.54"/>
    <n v="387.86"/>
    <x v="11"/>
    <x v="0"/>
    <n v="0.26741588527302812"/>
  </r>
  <r>
    <n v="1514"/>
    <d v="2023-01-23T00:00:00"/>
    <x v="3"/>
    <x v="1"/>
    <x v="2"/>
    <x v="3"/>
    <n v="8"/>
    <n v="558"/>
    <n v="15"/>
    <n v="3794.4"/>
    <n v="2355.41"/>
    <n v="1438.99"/>
    <x v="11"/>
    <x v="1"/>
    <n v="0.37924045962471009"/>
  </r>
  <r>
    <n v="1515"/>
    <d v="2023-07-09T00:00:00"/>
    <x v="0"/>
    <x v="4"/>
    <x v="18"/>
    <x v="4"/>
    <n v="1"/>
    <n v="296"/>
    <n v="5"/>
    <n v="281.2"/>
    <n v="143.16"/>
    <n v="138.04"/>
    <x v="5"/>
    <x v="1"/>
    <n v="0.49089615931721192"/>
  </r>
  <r>
    <n v="1516"/>
    <d v="2024-06-14T00:00:00"/>
    <x v="2"/>
    <x v="3"/>
    <x v="19"/>
    <x v="5"/>
    <n v="5"/>
    <n v="617"/>
    <n v="10"/>
    <n v="2776.5"/>
    <n v="2215.92"/>
    <n v="560.58000000000004"/>
    <x v="4"/>
    <x v="0"/>
    <n v="0.20190167477039439"/>
  </r>
  <r>
    <n v="1517"/>
    <d v="2023-10-26T00:00:00"/>
    <x v="2"/>
    <x v="2"/>
    <x v="17"/>
    <x v="5"/>
    <n v="3"/>
    <n v="217"/>
    <n v="10"/>
    <n v="585.9"/>
    <n v="309.12"/>
    <n v="276.77999999999997"/>
    <x v="1"/>
    <x v="1"/>
    <n v="0.47240143369175625"/>
  </r>
  <r>
    <n v="1518"/>
    <d v="2023-07-17T00:00:00"/>
    <x v="0"/>
    <x v="0"/>
    <x v="1"/>
    <x v="3"/>
    <n v="3"/>
    <n v="316"/>
    <n v="15"/>
    <n v="805.8"/>
    <n v="431.71"/>
    <n v="374.09"/>
    <x v="5"/>
    <x v="1"/>
    <n v="0.46424671134276496"/>
  </r>
  <r>
    <n v="1519"/>
    <d v="2024-12-03T00:00:00"/>
    <x v="2"/>
    <x v="3"/>
    <x v="4"/>
    <x v="1"/>
    <n v="7"/>
    <n v="50"/>
    <n v="20"/>
    <n v="280"/>
    <n v="223.92"/>
    <n v="56.08"/>
    <x v="6"/>
    <x v="0"/>
    <n v="0.20028571428571429"/>
  </r>
  <r>
    <n v="1520"/>
    <d v="2024-01-23T00:00:00"/>
    <x v="1"/>
    <x v="3"/>
    <x v="11"/>
    <x v="3"/>
    <n v="8"/>
    <n v="172"/>
    <n v="10"/>
    <n v="1238.4000000000001"/>
    <n v="659.83"/>
    <n v="578.57000000000005"/>
    <x v="11"/>
    <x v="0"/>
    <n v="0.46719153746770026"/>
  </r>
  <r>
    <n v="1521"/>
    <d v="2023-06-09T00:00:00"/>
    <x v="2"/>
    <x v="0"/>
    <x v="13"/>
    <x v="3"/>
    <n v="6"/>
    <n v="10"/>
    <n v="15"/>
    <n v="51"/>
    <n v="33.11"/>
    <n v="17.89"/>
    <x v="4"/>
    <x v="1"/>
    <n v="0.35078431372549018"/>
  </r>
  <r>
    <n v="1522"/>
    <d v="2024-12-19T00:00:00"/>
    <x v="1"/>
    <x v="1"/>
    <x v="16"/>
    <x v="3"/>
    <n v="5"/>
    <n v="223"/>
    <n v="5"/>
    <n v="1059.25"/>
    <n v="656.12"/>
    <n v="403.13"/>
    <x v="6"/>
    <x v="0"/>
    <n v="0.38058059948076467"/>
  </r>
  <r>
    <n v="1523"/>
    <d v="2023-06-01T00:00:00"/>
    <x v="0"/>
    <x v="4"/>
    <x v="18"/>
    <x v="0"/>
    <n v="4"/>
    <n v="301"/>
    <n v="5"/>
    <n v="1143.8"/>
    <n v="742.91"/>
    <n v="400.89"/>
    <x v="4"/>
    <x v="1"/>
    <n v="0.35048959608323133"/>
  </r>
  <r>
    <n v="1524"/>
    <d v="2024-04-28T00:00:00"/>
    <x v="3"/>
    <x v="1"/>
    <x v="7"/>
    <x v="0"/>
    <n v="6"/>
    <n v="817"/>
    <n v="5"/>
    <n v="4656.8999999999996"/>
    <n v="3346.74"/>
    <n v="1310.1600000000001"/>
    <x v="10"/>
    <x v="0"/>
    <n v="0.28133737035366879"/>
  </r>
  <r>
    <n v="1525"/>
    <d v="2023-08-26T00:00:00"/>
    <x v="2"/>
    <x v="0"/>
    <x v="13"/>
    <x v="2"/>
    <n v="9"/>
    <n v="430"/>
    <n v="15"/>
    <n v="3289.5"/>
    <n v="1770.81"/>
    <n v="1518.69"/>
    <x v="2"/>
    <x v="1"/>
    <n v="0.46167806657546739"/>
  </r>
  <r>
    <n v="1526"/>
    <d v="2023-05-02T00:00:00"/>
    <x v="1"/>
    <x v="1"/>
    <x v="5"/>
    <x v="1"/>
    <n v="10"/>
    <n v="575"/>
    <n v="20"/>
    <n v="4600"/>
    <n v="2375.39"/>
    <n v="2224.61"/>
    <x v="7"/>
    <x v="1"/>
    <n v="0.48361086956521743"/>
  </r>
  <r>
    <n v="1527"/>
    <d v="2023-12-12T00:00:00"/>
    <x v="2"/>
    <x v="4"/>
    <x v="9"/>
    <x v="0"/>
    <n v="9"/>
    <n v="840"/>
    <n v="15"/>
    <n v="6426"/>
    <n v="3659.7"/>
    <n v="2766.3"/>
    <x v="6"/>
    <x v="1"/>
    <n v="0.4304855275443511"/>
  </r>
  <r>
    <n v="1528"/>
    <d v="2024-01-09T00:00:00"/>
    <x v="1"/>
    <x v="0"/>
    <x v="0"/>
    <x v="0"/>
    <n v="10"/>
    <n v="134"/>
    <n v="15"/>
    <n v="1139"/>
    <n v="817.14"/>
    <n v="321.86"/>
    <x v="11"/>
    <x v="0"/>
    <n v="0.28258121158911326"/>
  </r>
  <r>
    <n v="1529"/>
    <d v="2024-06-07T00:00:00"/>
    <x v="1"/>
    <x v="4"/>
    <x v="14"/>
    <x v="1"/>
    <n v="1"/>
    <n v="287"/>
    <n v="5"/>
    <n v="272.64999999999998"/>
    <n v="200.11"/>
    <n v="72.540000000000006"/>
    <x v="4"/>
    <x v="0"/>
    <n v="0.26605538235833492"/>
  </r>
  <r>
    <n v="1530"/>
    <d v="2023-05-27T00:00:00"/>
    <x v="0"/>
    <x v="0"/>
    <x v="13"/>
    <x v="2"/>
    <n v="4"/>
    <n v="349"/>
    <n v="20"/>
    <n v="1116.8"/>
    <n v="731.84"/>
    <n v="384.96"/>
    <x v="7"/>
    <x v="1"/>
    <n v="0.34469914040114613"/>
  </r>
  <r>
    <n v="1531"/>
    <d v="2024-07-23T00:00:00"/>
    <x v="1"/>
    <x v="3"/>
    <x v="19"/>
    <x v="4"/>
    <n v="8"/>
    <n v="276"/>
    <n v="10"/>
    <n v="1987.2"/>
    <n v="1222.42"/>
    <n v="764.78"/>
    <x v="5"/>
    <x v="0"/>
    <n v="0.38485305958132043"/>
  </r>
  <r>
    <n v="1532"/>
    <d v="2023-05-13T00:00:00"/>
    <x v="1"/>
    <x v="2"/>
    <x v="3"/>
    <x v="5"/>
    <n v="2"/>
    <n v="274"/>
    <n v="15"/>
    <n v="465.8"/>
    <n v="275.64999999999998"/>
    <n v="190.15"/>
    <x v="7"/>
    <x v="1"/>
    <n v="0.40822241305281237"/>
  </r>
  <r>
    <n v="1533"/>
    <d v="2023-04-29T00:00:00"/>
    <x v="1"/>
    <x v="3"/>
    <x v="19"/>
    <x v="5"/>
    <n v="5"/>
    <n v="276"/>
    <n v="0"/>
    <n v="1380"/>
    <n v="817.28"/>
    <n v="562.72"/>
    <x v="10"/>
    <x v="1"/>
    <n v="0.407768115942029"/>
  </r>
  <r>
    <n v="1534"/>
    <d v="2024-06-05T00:00:00"/>
    <x v="1"/>
    <x v="4"/>
    <x v="8"/>
    <x v="2"/>
    <n v="9"/>
    <n v="456"/>
    <n v="15"/>
    <n v="3488.4"/>
    <n v="1787.71"/>
    <n v="1700.69"/>
    <x v="4"/>
    <x v="0"/>
    <n v="0.48752723311546842"/>
  </r>
  <r>
    <n v="1535"/>
    <d v="2023-06-11T00:00:00"/>
    <x v="3"/>
    <x v="4"/>
    <x v="18"/>
    <x v="2"/>
    <n v="4"/>
    <n v="560"/>
    <n v="20"/>
    <n v="1792"/>
    <n v="1353.48"/>
    <n v="438.52"/>
    <x v="4"/>
    <x v="1"/>
    <n v="0.24470982142857142"/>
  </r>
  <r>
    <n v="1536"/>
    <d v="2024-08-26T00:00:00"/>
    <x v="3"/>
    <x v="1"/>
    <x v="2"/>
    <x v="0"/>
    <n v="4"/>
    <n v="403"/>
    <n v="20"/>
    <n v="1289.5999999999999"/>
    <n v="664.78"/>
    <n v="624.82000000000005"/>
    <x v="2"/>
    <x v="0"/>
    <n v="0.48450682382134003"/>
  </r>
  <r>
    <n v="1537"/>
    <d v="2023-05-03T00:00:00"/>
    <x v="2"/>
    <x v="1"/>
    <x v="5"/>
    <x v="1"/>
    <n v="10"/>
    <n v="706"/>
    <n v="5"/>
    <n v="6707"/>
    <n v="5248.28"/>
    <n v="1458.72"/>
    <x v="7"/>
    <x v="1"/>
    <n v="0.21749217235723872"/>
  </r>
  <r>
    <n v="1538"/>
    <d v="2023-02-20T00:00:00"/>
    <x v="2"/>
    <x v="2"/>
    <x v="6"/>
    <x v="4"/>
    <n v="1"/>
    <n v="469"/>
    <n v="15"/>
    <n v="398.65"/>
    <n v="233.31"/>
    <n v="165.34"/>
    <x v="9"/>
    <x v="1"/>
    <n v="0.41474978050921862"/>
  </r>
  <r>
    <n v="1539"/>
    <d v="2023-12-11T00:00:00"/>
    <x v="0"/>
    <x v="4"/>
    <x v="14"/>
    <x v="0"/>
    <n v="5"/>
    <n v="62"/>
    <n v="5"/>
    <n v="294.5"/>
    <n v="164.83"/>
    <n v="129.66999999999999"/>
    <x v="6"/>
    <x v="1"/>
    <n v="0.44030560271646857"/>
  </r>
  <r>
    <n v="1540"/>
    <d v="2023-12-17T00:00:00"/>
    <x v="2"/>
    <x v="4"/>
    <x v="8"/>
    <x v="2"/>
    <n v="1"/>
    <n v="106"/>
    <n v="5"/>
    <n v="100.7"/>
    <n v="64.650000000000006"/>
    <n v="36.049999999999997"/>
    <x v="6"/>
    <x v="1"/>
    <n v="0.35799404170804366"/>
  </r>
  <r>
    <n v="1541"/>
    <d v="2023-09-10T00:00:00"/>
    <x v="2"/>
    <x v="3"/>
    <x v="19"/>
    <x v="0"/>
    <n v="1"/>
    <n v="389"/>
    <n v="15"/>
    <n v="330.65"/>
    <n v="222.42"/>
    <n v="108.23"/>
    <x v="0"/>
    <x v="1"/>
    <n v="0.32732496597610772"/>
  </r>
  <r>
    <n v="1542"/>
    <d v="2023-09-09T00:00:00"/>
    <x v="3"/>
    <x v="0"/>
    <x v="1"/>
    <x v="1"/>
    <n v="2"/>
    <n v="674"/>
    <n v="15"/>
    <n v="1145.8"/>
    <n v="832.98"/>
    <n v="312.82"/>
    <x v="0"/>
    <x v="1"/>
    <n v="0.27301448769418746"/>
  </r>
  <r>
    <n v="1543"/>
    <d v="2024-12-18T00:00:00"/>
    <x v="3"/>
    <x v="3"/>
    <x v="19"/>
    <x v="4"/>
    <n v="1"/>
    <n v="888"/>
    <n v="0"/>
    <n v="888"/>
    <n v="550.71"/>
    <n v="337.29"/>
    <x v="6"/>
    <x v="0"/>
    <n v="0.3798310810810811"/>
  </r>
  <r>
    <n v="1544"/>
    <d v="2023-09-13T00:00:00"/>
    <x v="3"/>
    <x v="3"/>
    <x v="19"/>
    <x v="3"/>
    <n v="10"/>
    <n v="482"/>
    <n v="20"/>
    <n v="3856"/>
    <n v="2201.11"/>
    <n v="1654.89"/>
    <x v="0"/>
    <x v="1"/>
    <n v="0.42917271784232369"/>
  </r>
  <r>
    <n v="1545"/>
    <d v="2024-08-10T00:00:00"/>
    <x v="1"/>
    <x v="3"/>
    <x v="11"/>
    <x v="4"/>
    <n v="2"/>
    <n v="543"/>
    <n v="15"/>
    <n v="923.1"/>
    <n v="726.98"/>
    <n v="196.12"/>
    <x v="2"/>
    <x v="0"/>
    <n v="0.21245802188278626"/>
  </r>
  <r>
    <n v="1546"/>
    <d v="2023-07-06T00:00:00"/>
    <x v="1"/>
    <x v="4"/>
    <x v="18"/>
    <x v="1"/>
    <n v="9"/>
    <n v="295"/>
    <n v="10"/>
    <n v="2389.5"/>
    <n v="1406.47"/>
    <n v="983.03"/>
    <x v="5"/>
    <x v="1"/>
    <n v="0.4113956894747855"/>
  </r>
  <r>
    <n v="1547"/>
    <d v="2024-02-20T00:00:00"/>
    <x v="1"/>
    <x v="1"/>
    <x v="16"/>
    <x v="5"/>
    <n v="6"/>
    <n v="358"/>
    <n v="15"/>
    <n v="1825.8"/>
    <n v="1400.18"/>
    <n v="425.62"/>
    <x v="9"/>
    <x v="0"/>
    <n v="0.23311425128710703"/>
  </r>
  <r>
    <n v="1548"/>
    <d v="2024-08-07T00:00:00"/>
    <x v="1"/>
    <x v="4"/>
    <x v="9"/>
    <x v="4"/>
    <n v="1"/>
    <n v="835"/>
    <n v="10"/>
    <n v="751.5"/>
    <n v="399.24"/>
    <n v="352.26"/>
    <x v="2"/>
    <x v="0"/>
    <n v="0.46874251497005986"/>
  </r>
  <r>
    <n v="1549"/>
    <d v="2024-02-22T00:00:00"/>
    <x v="2"/>
    <x v="4"/>
    <x v="18"/>
    <x v="0"/>
    <n v="1"/>
    <n v="928"/>
    <n v="5"/>
    <n v="881.6"/>
    <n v="492.5"/>
    <n v="389.1"/>
    <x v="9"/>
    <x v="0"/>
    <n v="0.44135662431941924"/>
  </r>
  <r>
    <n v="1550"/>
    <d v="2023-04-01T00:00:00"/>
    <x v="1"/>
    <x v="4"/>
    <x v="9"/>
    <x v="0"/>
    <n v="3"/>
    <n v="898"/>
    <n v="5"/>
    <n v="2559.3000000000002"/>
    <n v="1351.91"/>
    <n v="1207.3900000000001"/>
    <x v="10"/>
    <x v="1"/>
    <n v="0.47176571718829369"/>
  </r>
  <r>
    <n v="1551"/>
    <d v="2023-03-28T00:00:00"/>
    <x v="0"/>
    <x v="0"/>
    <x v="0"/>
    <x v="1"/>
    <n v="8"/>
    <n v="321"/>
    <n v="5"/>
    <n v="2439.6"/>
    <n v="1364.69"/>
    <n v="1074.9100000000001"/>
    <x v="8"/>
    <x v="1"/>
    <n v="0.44060911624856541"/>
  </r>
  <r>
    <n v="1552"/>
    <d v="2023-10-16T00:00:00"/>
    <x v="2"/>
    <x v="1"/>
    <x v="2"/>
    <x v="2"/>
    <n v="1"/>
    <n v="659"/>
    <n v="0"/>
    <n v="659"/>
    <n v="458.4"/>
    <n v="200.6"/>
    <x v="1"/>
    <x v="1"/>
    <n v="0.30440060698027316"/>
  </r>
  <r>
    <n v="1553"/>
    <d v="2023-10-27T00:00:00"/>
    <x v="3"/>
    <x v="3"/>
    <x v="11"/>
    <x v="4"/>
    <n v="9"/>
    <n v="725"/>
    <n v="0"/>
    <n v="6525"/>
    <n v="3821.35"/>
    <n v="2703.65"/>
    <x v="1"/>
    <x v="1"/>
    <n v="0.41435249042145594"/>
  </r>
  <r>
    <n v="1554"/>
    <d v="2024-04-26T00:00:00"/>
    <x v="3"/>
    <x v="4"/>
    <x v="18"/>
    <x v="4"/>
    <n v="1"/>
    <n v="639"/>
    <n v="5"/>
    <n v="607.04999999999995"/>
    <n v="469.99"/>
    <n v="137.06"/>
    <x v="10"/>
    <x v="0"/>
    <n v="0.22578041347500208"/>
  </r>
  <r>
    <n v="1555"/>
    <d v="2023-09-02T00:00:00"/>
    <x v="0"/>
    <x v="0"/>
    <x v="13"/>
    <x v="5"/>
    <n v="5"/>
    <n v="507"/>
    <n v="10"/>
    <n v="2281.5"/>
    <n v="1454.2"/>
    <n v="827.3"/>
    <x v="0"/>
    <x v="1"/>
    <n v="0.36261231645847031"/>
  </r>
  <r>
    <n v="1556"/>
    <d v="2023-11-09T00:00:00"/>
    <x v="2"/>
    <x v="1"/>
    <x v="5"/>
    <x v="1"/>
    <n v="8"/>
    <n v="351"/>
    <n v="0"/>
    <n v="2808"/>
    <n v="1410.91"/>
    <n v="1397.09"/>
    <x v="3"/>
    <x v="1"/>
    <n v="0.49753917378917378"/>
  </r>
  <r>
    <n v="1557"/>
    <d v="2024-08-26T00:00:00"/>
    <x v="1"/>
    <x v="3"/>
    <x v="11"/>
    <x v="1"/>
    <n v="6"/>
    <n v="502"/>
    <n v="15"/>
    <n v="2560.1999999999998"/>
    <n v="1397.41"/>
    <n v="1162.79"/>
    <x v="2"/>
    <x v="0"/>
    <n v="0.4541793609874229"/>
  </r>
  <r>
    <n v="1558"/>
    <d v="2024-07-02T00:00:00"/>
    <x v="3"/>
    <x v="3"/>
    <x v="15"/>
    <x v="3"/>
    <n v="5"/>
    <n v="363"/>
    <n v="5"/>
    <n v="1724.25"/>
    <n v="1319.36"/>
    <n v="404.89"/>
    <x v="5"/>
    <x v="0"/>
    <n v="0.23482093663911846"/>
  </r>
  <r>
    <n v="1559"/>
    <d v="2023-11-27T00:00:00"/>
    <x v="3"/>
    <x v="2"/>
    <x v="10"/>
    <x v="5"/>
    <n v="3"/>
    <n v="403"/>
    <n v="5"/>
    <n v="1148.55"/>
    <n v="591.6"/>
    <n v="556.95000000000005"/>
    <x v="3"/>
    <x v="1"/>
    <n v="0.48491576335379399"/>
  </r>
  <r>
    <n v="1560"/>
    <d v="2023-08-10T00:00:00"/>
    <x v="0"/>
    <x v="1"/>
    <x v="16"/>
    <x v="0"/>
    <n v="10"/>
    <n v="673"/>
    <n v="10"/>
    <n v="6057"/>
    <n v="4670.72"/>
    <n v="1386.28"/>
    <x v="2"/>
    <x v="1"/>
    <n v="0.228872379065544"/>
  </r>
  <r>
    <n v="1561"/>
    <d v="2023-08-19T00:00:00"/>
    <x v="1"/>
    <x v="3"/>
    <x v="19"/>
    <x v="1"/>
    <n v="7"/>
    <n v="435"/>
    <n v="10"/>
    <n v="2740.5"/>
    <n v="1961.03"/>
    <n v="779.47"/>
    <x v="2"/>
    <x v="1"/>
    <n v="0.28442619959861343"/>
  </r>
  <r>
    <n v="1562"/>
    <d v="2023-03-31T00:00:00"/>
    <x v="0"/>
    <x v="2"/>
    <x v="17"/>
    <x v="3"/>
    <n v="2"/>
    <n v="289"/>
    <n v="15"/>
    <n v="491.3"/>
    <n v="360.53"/>
    <n v="130.77000000000001"/>
    <x v="8"/>
    <x v="1"/>
    <n v="0.26617138204762875"/>
  </r>
  <r>
    <n v="1563"/>
    <d v="2023-11-21T00:00:00"/>
    <x v="1"/>
    <x v="3"/>
    <x v="15"/>
    <x v="3"/>
    <n v="10"/>
    <n v="115"/>
    <n v="5"/>
    <n v="1092.5"/>
    <n v="645.44000000000005"/>
    <n v="447.06"/>
    <x v="3"/>
    <x v="1"/>
    <n v="0.40920823798627004"/>
  </r>
  <r>
    <n v="1564"/>
    <d v="2024-11-07T00:00:00"/>
    <x v="2"/>
    <x v="3"/>
    <x v="11"/>
    <x v="1"/>
    <n v="4"/>
    <n v="376"/>
    <n v="0"/>
    <n v="1504"/>
    <n v="1189.92"/>
    <n v="314.08"/>
    <x v="3"/>
    <x v="0"/>
    <n v="0.20882978723404255"/>
  </r>
  <r>
    <n v="1565"/>
    <d v="2023-09-04T00:00:00"/>
    <x v="2"/>
    <x v="0"/>
    <x v="12"/>
    <x v="0"/>
    <n v="1"/>
    <n v="536"/>
    <n v="5"/>
    <n v="509.2"/>
    <n v="296.27"/>
    <n v="212.93"/>
    <x v="0"/>
    <x v="1"/>
    <n v="0.41816575019638652"/>
  </r>
  <r>
    <n v="1566"/>
    <d v="2023-05-09T00:00:00"/>
    <x v="1"/>
    <x v="0"/>
    <x v="12"/>
    <x v="2"/>
    <n v="1"/>
    <n v="333"/>
    <n v="0"/>
    <n v="333"/>
    <n v="189.83"/>
    <n v="143.16999999999999"/>
    <x v="7"/>
    <x v="1"/>
    <n v="0.4299399399399399"/>
  </r>
  <r>
    <n v="1567"/>
    <d v="2023-09-29T00:00:00"/>
    <x v="0"/>
    <x v="0"/>
    <x v="1"/>
    <x v="4"/>
    <n v="3"/>
    <n v="801"/>
    <n v="20"/>
    <n v="1922.4"/>
    <n v="1068.1400000000001"/>
    <n v="854.26"/>
    <x v="0"/>
    <x v="1"/>
    <n v="0.44437161880982101"/>
  </r>
  <r>
    <n v="1568"/>
    <d v="2023-03-27T00:00:00"/>
    <x v="1"/>
    <x v="3"/>
    <x v="11"/>
    <x v="1"/>
    <n v="10"/>
    <n v="72"/>
    <n v="20"/>
    <n v="576"/>
    <n v="316.11"/>
    <n v="259.89"/>
    <x v="8"/>
    <x v="1"/>
    <n v="0.45119791666666664"/>
  </r>
  <r>
    <n v="1569"/>
    <d v="2023-01-10T00:00:00"/>
    <x v="2"/>
    <x v="0"/>
    <x v="13"/>
    <x v="5"/>
    <n v="2"/>
    <n v="885"/>
    <n v="20"/>
    <n v="1416"/>
    <n v="1091.4000000000001"/>
    <n v="324.60000000000002"/>
    <x v="11"/>
    <x v="1"/>
    <n v="0.22923728813559324"/>
  </r>
  <r>
    <n v="1570"/>
    <d v="2024-02-15T00:00:00"/>
    <x v="2"/>
    <x v="4"/>
    <x v="14"/>
    <x v="5"/>
    <n v="6"/>
    <n v="959"/>
    <n v="20"/>
    <n v="4603.2"/>
    <n v="2603.1799999999998"/>
    <n v="2000.02"/>
    <x v="9"/>
    <x v="0"/>
    <n v="0.43448470629127567"/>
  </r>
  <r>
    <n v="1571"/>
    <d v="2023-09-27T00:00:00"/>
    <x v="2"/>
    <x v="4"/>
    <x v="8"/>
    <x v="3"/>
    <n v="5"/>
    <n v="608"/>
    <n v="20"/>
    <n v="2432"/>
    <n v="1579.73"/>
    <n v="852.27"/>
    <x v="0"/>
    <x v="1"/>
    <n v="0.35043996710526315"/>
  </r>
  <r>
    <n v="1572"/>
    <d v="2024-03-27T00:00:00"/>
    <x v="3"/>
    <x v="3"/>
    <x v="15"/>
    <x v="4"/>
    <n v="2"/>
    <n v="994"/>
    <n v="0"/>
    <n v="1988"/>
    <n v="1335.67"/>
    <n v="652.33000000000004"/>
    <x v="8"/>
    <x v="0"/>
    <n v="0.32813380281690141"/>
  </r>
  <r>
    <n v="1573"/>
    <d v="2024-07-22T00:00:00"/>
    <x v="1"/>
    <x v="0"/>
    <x v="0"/>
    <x v="3"/>
    <n v="10"/>
    <n v="868"/>
    <n v="0"/>
    <n v="8680"/>
    <n v="5248.23"/>
    <n v="3431.77"/>
    <x v="5"/>
    <x v="0"/>
    <n v="0.39536520737327191"/>
  </r>
  <r>
    <n v="1574"/>
    <d v="2023-08-31T00:00:00"/>
    <x v="1"/>
    <x v="0"/>
    <x v="0"/>
    <x v="1"/>
    <n v="9"/>
    <n v="192"/>
    <n v="0"/>
    <n v="1728"/>
    <n v="950.8"/>
    <n v="777.2"/>
    <x v="2"/>
    <x v="1"/>
    <n v="0.44976851851851857"/>
  </r>
  <r>
    <n v="1575"/>
    <d v="2024-04-13T00:00:00"/>
    <x v="0"/>
    <x v="0"/>
    <x v="12"/>
    <x v="5"/>
    <n v="2"/>
    <n v="118"/>
    <n v="0"/>
    <n v="236"/>
    <n v="180.35"/>
    <n v="55.65"/>
    <x v="10"/>
    <x v="0"/>
    <n v="0.2358050847457627"/>
  </r>
  <r>
    <n v="1576"/>
    <d v="2024-03-09T00:00:00"/>
    <x v="3"/>
    <x v="1"/>
    <x v="2"/>
    <x v="1"/>
    <n v="4"/>
    <n v="157"/>
    <n v="10"/>
    <n v="565.20000000000005"/>
    <n v="315.07"/>
    <n v="250.13"/>
    <x v="8"/>
    <x v="0"/>
    <n v="0.44255130927105446"/>
  </r>
  <r>
    <n v="1577"/>
    <d v="2023-05-16T00:00:00"/>
    <x v="2"/>
    <x v="1"/>
    <x v="7"/>
    <x v="2"/>
    <n v="1"/>
    <n v="523"/>
    <n v="20"/>
    <n v="418.4"/>
    <n v="249.21"/>
    <n v="169.19"/>
    <x v="7"/>
    <x v="1"/>
    <n v="0.40437380497131931"/>
  </r>
  <r>
    <n v="1578"/>
    <d v="2023-08-31T00:00:00"/>
    <x v="0"/>
    <x v="1"/>
    <x v="2"/>
    <x v="0"/>
    <n v="1"/>
    <n v="302"/>
    <n v="20"/>
    <n v="241.6"/>
    <n v="130.74"/>
    <n v="110.86"/>
    <x v="2"/>
    <x v="1"/>
    <n v="0.45885761589403973"/>
  </r>
  <r>
    <n v="1579"/>
    <d v="2024-08-20T00:00:00"/>
    <x v="2"/>
    <x v="1"/>
    <x v="2"/>
    <x v="3"/>
    <n v="8"/>
    <n v="63"/>
    <n v="20"/>
    <n v="403.2"/>
    <n v="216.77"/>
    <n v="186.43"/>
    <x v="2"/>
    <x v="0"/>
    <n v="0.46237599206349211"/>
  </r>
  <r>
    <n v="1580"/>
    <d v="2023-01-29T00:00:00"/>
    <x v="3"/>
    <x v="3"/>
    <x v="4"/>
    <x v="5"/>
    <n v="2"/>
    <n v="200"/>
    <n v="15"/>
    <n v="340"/>
    <n v="246.28"/>
    <n v="93.72"/>
    <x v="11"/>
    <x v="1"/>
    <n v="0.27564705882352941"/>
  </r>
  <r>
    <n v="1581"/>
    <d v="2024-01-07T00:00:00"/>
    <x v="1"/>
    <x v="3"/>
    <x v="11"/>
    <x v="0"/>
    <n v="2"/>
    <n v="38"/>
    <n v="15"/>
    <n v="64.599999999999994"/>
    <n v="40.72"/>
    <n v="23.88"/>
    <x v="11"/>
    <x v="0"/>
    <n v="0.36965944272445822"/>
  </r>
  <r>
    <n v="1582"/>
    <d v="2024-01-04T00:00:00"/>
    <x v="3"/>
    <x v="3"/>
    <x v="11"/>
    <x v="5"/>
    <n v="5"/>
    <n v="145"/>
    <n v="15"/>
    <n v="616.25"/>
    <n v="398.84"/>
    <n v="217.41"/>
    <x v="11"/>
    <x v="0"/>
    <n v="0.35279513184584177"/>
  </r>
  <r>
    <n v="1583"/>
    <d v="2024-06-17T00:00:00"/>
    <x v="3"/>
    <x v="0"/>
    <x v="1"/>
    <x v="2"/>
    <n v="5"/>
    <n v="392"/>
    <n v="0"/>
    <n v="1960"/>
    <n v="1444.03"/>
    <n v="515.97"/>
    <x v="4"/>
    <x v="0"/>
    <n v="0.26325000000000004"/>
  </r>
  <r>
    <n v="1584"/>
    <d v="2024-10-29T00:00:00"/>
    <x v="3"/>
    <x v="2"/>
    <x v="17"/>
    <x v="0"/>
    <n v="10"/>
    <n v="385"/>
    <n v="0"/>
    <n v="3850"/>
    <n v="2849.89"/>
    <n v="1000.11"/>
    <x v="1"/>
    <x v="0"/>
    <n v="0.25976883116883115"/>
  </r>
  <r>
    <n v="1585"/>
    <d v="2023-05-28T00:00:00"/>
    <x v="1"/>
    <x v="4"/>
    <x v="14"/>
    <x v="0"/>
    <n v="3"/>
    <n v="44"/>
    <n v="10"/>
    <n v="118.8"/>
    <n v="86.05"/>
    <n v="32.75"/>
    <x v="7"/>
    <x v="1"/>
    <n v="0.27567340067340068"/>
  </r>
  <r>
    <n v="1586"/>
    <d v="2023-11-04T00:00:00"/>
    <x v="3"/>
    <x v="3"/>
    <x v="19"/>
    <x v="1"/>
    <n v="6"/>
    <n v="409"/>
    <n v="15"/>
    <n v="2085.9"/>
    <n v="1496.23"/>
    <n v="589.66999999999996"/>
    <x v="3"/>
    <x v="1"/>
    <n v="0.2826933218275085"/>
  </r>
  <r>
    <n v="1587"/>
    <d v="2023-09-02T00:00:00"/>
    <x v="1"/>
    <x v="4"/>
    <x v="9"/>
    <x v="4"/>
    <n v="2"/>
    <n v="568"/>
    <n v="5"/>
    <n v="1079.2"/>
    <n v="641.62"/>
    <n v="437.58"/>
    <x v="0"/>
    <x v="1"/>
    <n v="0.4054670126019273"/>
  </r>
  <r>
    <n v="1588"/>
    <d v="2023-06-03T00:00:00"/>
    <x v="2"/>
    <x v="3"/>
    <x v="19"/>
    <x v="2"/>
    <n v="9"/>
    <n v="768"/>
    <n v="20"/>
    <n v="5529.6"/>
    <n v="3736.93"/>
    <n v="1792.67"/>
    <x v="4"/>
    <x v="1"/>
    <n v="0.32419524016203705"/>
  </r>
  <r>
    <n v="1589"/>
    <d v="2024-03-04T00:00:00"/>
    <x v="1"/>
    <x v="3"/>
    <x v="19"/>
    <x v="2"/>
    <n v="7"/>
    <n v="548"/>
    <n v="0"/>
    <n v="3836"/>
    <n v="2837.19"/>
    <n v="998.81"/>
    <x v="8"/>
    <x v="0"/>
    <n v="0.26037799791449423"/>
  </r>
  <r>
    <n v="1590"/>
    <d v="2024-12-20T00:00:00"/>
    <x v="3"/>
    <x v="3"/>
    <x v="19"/>
    <x v="2"/>
    <n v="6"/>
    <n v="542"/>
    <n v="10"/>
    <n v="2926.8"/>
    <n v="2166.36"/>
    <n v="760.44"/>
    <x v="6"/>
    <x v="0"/>
    <n v="0.25981959819598194"/>
  </r>
  <r>
    <n v="1591"/>
    <d v="2024-08-05T00:00:00"/>
    <x v="3"/>
    <x v="0"/>
    <x v="1"/>
    <x v="3"/>
    <n v="4"/>
    <n v="401"/>
    <n v="5"/>
    <n v="1523.8"/>
    <n v="1030.08"/>
    <n v="493.72"/>
    <x v="2"/>
    <x v="0"/>
    <n v="0.32400577503609401"/>
  </r>
  <r>
    <n v="1592"/>
    <d v="2023-04-29T00:00:00"/>
    <x v="1"/>
    <x v="0"/>
    <x v="1"/>
    <x v="2"/>
    <n v="5"/>
    <n v="335"/>
    <n v="0"/>
    <n v="1675"/>
    <n v="966.07"/>
    <n v="708.93"/>
    <x v="10"/>
    <x v="1"/>
    <n v="0.42324179104477611"/>
  </r>
  <r>
    <n v="1593"/>
    <d v="2023-08-04T00:00:00"/>
    <x v="0"/>
    <x v="4"/>
    <x v="14"/>
    <x v="4"/>
    <n v="7"/>
    <n v="425"/>
    <n v="15"/>
    <n v="2528.75"/>
    <n v="1411.97"/>
    <n v="1116.78"/>
    <x v="2"/>
    <x v="1"/>
    <n v="0.44163321799307959"/>
  </r>
  <r>
    <n v="1594"/>
    <d v="2024-09-28T00:00:00"/>
    <x v="0"/>
    <x v="1"/>
    <x v="2"/>
    <x v="4"/>
    <n v="6"/>
    <n v="671"/>
    <n v="0"/>
    <n v="4026"/>
    <n v="2381.7199999999998"/>
    <n v="1644.28"/>
    <x v="0"/>
    <x v="0"/>
    <n v="0.40841530054644809"/>
  </r>
  <r>
    <n v="1595"/>
    <d v="2023-10-12T00:00:00"/>
    <x v="0"/>
    <x v="2"/>
    <x v="10"/>
    <x v="3"/>
    <n v="3"/>
    <n v="819"/>
    <n v="5"/>
    <n v="2334.15"/>
    <n v="1740.01"/>
    <n v="594.14"/>
    <x v="1"/>
    <x v="1"/>
    <n v="0.25454233875286503"/>
  </r>
  <r>
    <n v="1596"/>
    <d v="2024-11-17T00:00:00"/>
    <x v="0"/>
    <x v="1"/>
    <x v="7"/>
    <x v="1"/>
    <n v="6"/>
    <n v="575"/>
    <n v="15"/>
    <n v="2932.5"/>
    <n v="1848.36"/>
    <n v="1084.1400000000001"/>
    <x v="3"/>
    <x v="0"/>
    <n v="0.36969820971867012"/>
  </r>
  <r>
    <n v="1597"/>
    <d v="2023-12-28T00:00:00"/>
    <x v="3"/>
    <x v="2"/>
    <x v="17"/>
    <x v="5"/>
    <n v="8"/>
    <n v="774"/>
    <n v="20"/>
    <n v="4953.6000000000004"/>
    <n v="3316.71"/>
    <n v="1636.89"/>
    <x v="6"/>
    <x v="1"/>
    <n v="0.33044452519379847"/>
  </r>
  <r>
    <n v="1598"/>
    <d v="2024-05-07T00:00:00"/>
    <x v="1"/>
    <x v="0"/>
    <x v="1"/>
    <x v="1"/>
    <n v="3"/>
    <n v="306"/>
    <n v="15"/>
    <n v="780.3"/>
    <n v="613.79"/>
    <n v="166.51"/>
    <x v="7"/>
    <x v="0"/>
    <n v="0.21339228501858259"/>
  </r>
  <r>
    <n v="1599"/>
    <d v="2024-04-12T00:00:00"/>
    <x v="1"/>
    <x v="0"/>
    <x v="12"/>
    <x v="3"/>
    <n v="8"/>
    <n v="492"/>
    <n v="15"/>
    <n v="3345.6"/>
    <n v="2091.61"/>
    <n v="1253.99"/>
    <x v="10"/>
    <x v="0"/>
    <n v="0.37481767097082735"/>
  </r>
  <r>
    <n v="1600"/>
    <d v="2023-10-13T00:00:00"/>
    <x v="1"/>
    <x v="0"/>
    <x v="1"/>
    <x v="2"/>
    <n v="1"/>
    <n v="600"/>
    <n v="5"/>
    <n v="570"/>
    <n v="443.06"/>
    <n v="126.94"/>
    <x v="1"/>
    <x v="1"/>
    <n v="0.2227017543859649"/>
  </r>
  <r>
    <n v="1601"/>
    <d v="2024-04-29T00:00:00"/>
    <x v="0"/>
    <x v="1"/>
    <x v="16"/>
    <x v="4"/>
    <n v="8"/>
    <n v="34"/>
    <n v="0"/>
    <n v="272"/>
    <n v="175.61"/>
    <n v="96.39"/>
    <x v="10"/>
    <x v="0"/>
    <n v="0.354375"/>
  </r>
  <r>
    <n v="1602"/>
    <d v="2024-06-25T00:00:00"/>
    <x v="1"/>
    <x v="4"/>
    <x v="18"/>
    <x v="2"/>
    <n v="6"/>
    <n v="371"/>
    <n v="5"/>
    <n v="2114.6999999999998"/>
    <n v="1140.2"/>
    <n v="974.5"/>
    <x v="4"/>
    <x v="0"/>
    <n v="0.46082186598571906"/>
  </r>
  <r>
    <n v="1603"/>
    <d v="2023-03-15T00:00:00"/>
    <x v="2"/>
    <x v="1"/>
    <x v="5"/>
    <x v="5"/>
    <n v="4"/>
    <n v="37"/>
    <n v="10"/>
    <n v="133.19999999999999"/>
    <n v="92.39"/>
    <n v="40.81"/>
    <x v="8"/>
    <x v="1"/>
    <n v="0.30638138138138143"/>
  </r>
  <r>
    <n v="1604"/>
    <d v="2024-08-13T00:00:00"/>
    <x v="2"/>
    <x v="0"/>
    <x v="13"/>
    <x v="0"/>
    <n v="3"/>
    <n v="675"/>
    <n v="5"/>
    <n v="1923.75"/>
    <n v="1391.11"/>
    <n v="532.64"/>
    <x v="2"/>
    <x v="0"/>
    <n v="0.27687589343729696"/>
  </r>
  <r>
    <n v="1605"/>
    <d v="2023-09-10T00:00:00"/>
    <x v="2"/>
    <x v="0"/>
    <x v="13"/>
    <x v="3"/>
    <n v="9"/>
    <n v="886"/>
    <n v="20"/>
    <n v="6379.2"/>
    <n v="4960.29"/>
    <n v="1418.91"/>
    <x v="0"/>
    <x v="1"/>
    <n v="0.22242757712565842"/>
  </r>
  <r>
    <n v="1606"/>
    <d v="2023-11-04T00:00:00"/>
    <x v="0"/>
    <x v="4"/>
    <x v="14"/>
    <x v="5"/>
    <n v="8"/>
    <n v="29"/>
    <n v="10"/>
    <n v="208.8"/>
    <n v="144.15"/>
    <n v="64.650000000000006"/>
    <x v="3"/>
    <x v="1"/>
    <n v="0.30962643678160923"/>
  </r>
  <r>
    <n v="1607"/>
    <d v="2024-05-17T00:00:00"/>
    <x v="3"/>
    <x v="0"/>
    <x v="1"/>
    <x v="3"/>
    <n v="8"/>
    <n v="405"/>
    <n v="5"/>
    <n v="3078"/>
    <n v="1623.77"/>
    <n v="1454.23"/>
    <x v="7"/>
    <x v="0"/>
    <n v="0.47245938921377517"/>
  </r>
  <r>
    <n v="1608"/>
    <d v="2023-05-20T00:00:00"/>
    <x v="2"/>
    <x v="3"/>
    <x v="15"/>
    <x v="3"/>
    <n v="2"/>
    <n v="15"/>
    <n v="10"/>
    <n v="27"/>
    <n v="19.37"/>
    <n v="7.63"/>
    <x v="7"/>
    <x v="1"/>
    <n v="0.28259259259259256"/>
  </r>
  <r>
    <n v="1609"/>
    <d v="2024-08-17T00:00:00"/>
    <x v="0"/>
    <x v="3"/>
    <x v="4"/>
    <x v="2"/>
    <n v="10"/>
    <n v="536"/>
    <n v="10"/>
    <n v="4824"/>
    <n v="2588.9299999999998"/>
    <n v="2235.0700000000002"/>
    <x v="2"/>
    <x v="0"/>
    <n v="0.46332296849087895"/>
  </r>
  <r>
    <n v="1610"/>
    <d v="2023-06-14T00:00:00"/>
    <x v="1"/>
    <x v="4"/>
    <x v="18"/>
    <x v="0"/>
    <n v="9"/>
    <n v="468"/>
    <n v="15"/>
    <n v="3580.2"/>
    <n v="2285.16"/>
    <n v="1295.04"/>
    <x v="4"/>
    <x v="1"/>
    <n v="0.36172280878163232"/>
  </r>
  <r>
    <n v="1611"/>
    <d v="2024-06-09T00:00:00"/>
    <x v="3"/>
    <x v="2"/>
    <x v="3"/>
    <x v="1"/>
    <n v="8"/>
    <n v="498"/>
    <n v="0"/>
    <n v="3984"/>
    <n v="2612.5100000000002"/>
    <n v="1371.49"/>
    <x v="4"/>
    <x v="0"/>
    <n v="0.34424949799196786"/>
  </r>
  <r>
    <n v="1612"/>
    <d v="2024-08-04T00:00:00"/>
    <x v="0"/>
    <x v="3"/>
    <x v="15"/>
    <x v="3"/>
    <n v="5"/>
    <n v="543"/>
    <n v="10"/>
    <n v="2443.5"/>
    <n v="1660.92"/>
    <n v="782.58"/>
    <x v="2"/>
    <x v="0"/>
    <n v="0.32027010435850217"/>
  </r>
  <r>
    <n v="1613"/>
    <d v="2023-02-10T00:00:00"/>
    <x v="2"/>
    <x v="0"/>
    <x v="1"/>
    <x v="5"/>
    <n v="1"/>
    <n v="823"/>
    <n v="10"/>
    <n v="740.7"/>
    <n v="421.08"/>
    <n v="319.62"/>
    <x v="9"/>
    <x v="1"/>
    <n v="0.43151073309031995"/>
  </r>
  <r>
    <n v="1614"/>
    <d v="2023-07-15T00:00:00"/>
    <x v="2"/>
    <x v="4"/>
    <x v="18"/>
    <x v="4"/>
    <n v="10"/>
    <n v="807"/>
    <n v="15"/>
    <n v="6859.5"/>
    <n v="4949.97"/>
    <n v="1909.53"/>
    <x v="5"/>
    <x v="1"/>
    <n v="0.27837743275748961"/>
  </r>
  <r>
    <n v="1615"/>
    <d v="2023-10-26T00:00:00"/>
    <x v="1"/>
    <x v="0"/>
    <x v="1"/>
    <x v="0"/>
    <n v="3"/>
    <n v="450"/>
    <n v="15"/>
    <n v="1147.5"/>
    <n v="846.92"/>
    <n v="300.58"/>
    <x v="1"/>
    <x v="1"/>
    <n v="0.26194335511982569"/>
  </r>
  <r>
    <n v="1616"/>
    <d v="2024-04-05T00:00:00"/>
    <x v="0"/>
    <x v="0"/>
    <x v="1"/>
    <x v="0"/>
    <n v="9"/>
    <n v="555"/>
    <n v="0"/>
    <n v="4995"/>
    <n v="3773.13"/>
    <n v="1221.8699999999999"/>
    <x v="10"/>
    <x v="0"/>
    <n v="0.24461861861861858"/>
  </r>
  <r>
    <n v="1617"/>
    <d v="2024-12-15T00:00:00"/>
    <x v="0"/>
    <x v="0"/>
    <x v="0"/>
    <x v="1"/>
    <n v="5"/>
    <n v="486"/>
    <n v="15"/>
    <n v="2065.5"/>
    <n v="1251.83"/>
    <n v="813.67"/>
    <x v="6"/>
    <x v="0"/>
    <n v="0.39393367223432579"/>
  </r>
  <r>
    <n v="1618"/>
    <d v="2023-08-02T00:00:00"/>
    <x v="2"/>
    <x v="0"/>
    <x v="13"/>
    <x v="1"/>
    <n v="4"/>
    <n v="76"/>
    <n v="15"/>
    <n v="258.39999999999998"/>
    <n v="151.06"/>
    <n v="107.34"/>
    <x v="2"/>
    <x v="1"/>
    <n v="0.41540247678018583"/>
  </r>
  <r>
    <n v="1619"/>
    <d v="2023-07-07T00:00:00"/>
    <x v="1"/>
    <x v="0"/>
    <x v="12"/>
    <x v="2"/>
    <n v="8"/>
    <n v="490"/>
    <n v="5"/>
    <n v="3724"/>
    <n v="2212.59"/>
    <n v="1511.41"/>
    <x v="5"/>
    <x v="1"/>
    <n v="0.40585660580021482"/>
  </r>
  <r>
    <n v="1620"/>
    <d v="2023-01-04T00:00:00"/>
    <x v="3"/>
    <x v="4"/>
    <x v="9"/>
    <x v="2"/>
    <n v="6"/>
    <n v="750"/>
    <n v="0"/>
    <n v="4500"/>
    <n v="3517.99"/>
    <n v="982.01"/>
    <x v="11"/>
    <x v="1"/>
    <n v="0.21822444444444444"/>
  </r>
  <r>
    <n v="1621"/>
    <d v="2023-08-28T00:00:00"/>
    <x v="2"/>
    <x v="2"/>
    <x v="10"/>
    <x v="4"/>
    <n v="9"/>
    <n v="408"/>
    <n v="5"/>
    <n v="3488.4"/>
    <n v="2318.7800000000002"/>
    <n v="1169.6199999999999"/>
    <x v="2"/>
    <x v="1"/>
    <n v="0.33528838435959174"/>
  </r>
  <r>
    <n v="1622"/>
    <d v="2024-01-29T00:00:00"/>
    <x v="3"/>
    <x v="1"/>
    <x v="16"/>
    <x v="5"/>
    <n v="4"/>
    <n v="961"/>
    <n v="5"/>
    <n v="3651.8"/>
    <n v="2507.31"/>
    <n v="1144.49"/>
    <x v="11"/>
    <x v="0"/>
    <n v="0.3134043485404458"/>
  </r>
  <r>
    <n v="1623"/>
    <d v="2023-09-22T00:00:00"/>
    <x v="0"/>
    <x v="0"/>
    <x v="12"/>
    <x v="3"/>
    <n v="5"/>
    <n v="324"/>
    <n v="5"/>
    <n v="1539"/>
    <n v="1189.6400000000001"/>
    <n v="349.36"/>
    <x v="0"/>
    <x v="1"/>
    <n v="0.2270045484080572"/>
  </r>
  <r>
    <n v="1624"/>
    <d v="2023-02-26T00:00:00"/>
    <x v="0"/>
    <x v="1"/>
    <x v="5"/>
    <x v="1"/>
    <n v="9"/>
    <n v="33"/>
    <n v="10"/>
    <n v="267.3"/>
    <n v="134.4"/>
    <n v="132.9"/>
    <x v="9"/>
    <x v="1"/>
    <n v="0.49719416386083054"/>
  </r>
  <r>
    <n v="1625"/>
    <d v="2023-06-22T00:00:00"/>
    <x v="3"/>
    <x v="3"/>
    <x v="11"/>
    <x v="0"/>
    <n v="9"/>
    <n v="183"/>
    <n v="10"/>
    <n v="1482.3"/>
    <n v="1149.68"/>
    <n v="332.62"/>
    <x v="4"/>
    <x v="1"/>
    <n v="0.22439452202658033"/>
  </r>
  <r>
    <n v="1626"/>
    <d v="2023-05-15T00:00:00"/>
    <x v="0"/>
    <x v="3"/>
    <x v="19"/>
    <x v="5"/>
    <n v="6"/>
    <n v="785"/>
    <n v="10"/>
    <n v="4239"/>
    <n v="3008.37"/>
    <n v="1230.6300000000001"/>
    <x v="7"/>
    <x v="1"/>
    <n v="0.29031139419674457"/>
  </r>
  <r>
    <n v="1627"/>
    <d v="2023-06-13T00:00:00"/>
    <x v="2"/>
    <x v="2"/>
    <x v="10"/>
    <x v="5"/>
    <n v="7"/>
    <n v="241"/>
    <n v="10"/>
    <n v="1518.3"/>
    <n v="1129.52"/>
    <n v="388.78"/>
    <x v="4"/>
    <x v="1"/>
    <n v="0.25606270170585521"/>
  </r>
  <r>
    <n v="1628"/>
    <d v="2023-03-28T00:00:00"/>
    <x v="2"/>
    <x v="3"/>
    <x v="19"/>
    <x v="1"/>
    <n v="9"/>
    <n v="679"/>
    <n v="0"/>
    <n v="6111"/>
    <n v="4339.38"/>
    <n v="1771.62"/>
    <x v="8"/>
    <x v="1"/>
    <n v="0.28990672557682867"/>
  </r>
  <r>
    <n v="1629"/>
    <d v="2023-05-10T00:00:00"/>
    <x v="0"/>
    <x v="2"/>
    <x v="10"/>
    <x v="0"/>
    <n v="8"/>
    <n v="968"/>
    <n v="0"/>
    <n v="7744"/>
    <n v="5699.49"/>
    <n v="2044.51"/>
    <x v="7"/>
    <x v="1"/>
    <n v="0.26401213842975207"/>
  </r>
  <r>
    <n v="1630"/>
    <d v="2024-12-26T00:00:00"/>
    <x v="3"/>
    <x v="3"/>
    <x v="11"/>
    <x v="2"/>
    <n v="10"/>
    <n v="968"/>
    <n v="20"/>
    <n v="7744"/>
    <n v="3876.17"/>
    <n v="3867.83"/>
    <x v="6"/>
    <x v="0"/>
    <n v="0.49946151859504129"/>
  </r>
  <r>
    <n v="1631"/>
    <d v="2023-11-21T00:00:00"/>
    <x v="1"/>
    <x v="3"/>
    <x v="4"/>
    <x v="1"/>
    <n v="10"/>
    <n v="96"/>
    <n v="20"/>
    <n v="768"/>
    <n v="528.65"/>
    <n v="239.35"/>
    <x v="3"/>
    <x v="1"/>
    <n v="0.31165364583333333"/>
  </r>
  <r>
    <n v="1632"/>
    <d v="2024-08-03T00:00:00"/>
    <x v="0"/>
    <x v="2"/>
    <x v="10"/>
    <x v="1"/>
    <n v="9"/>
    <n v="255"/>
    <n v="10"/>
    <n v="2065.5"/>
    <n v="1527.17"/>
    <n v="538.33000000000004"/>
    <x v="2"/>
    <x v="0"/>
    <n v="0.26062938755749215"/>
  </r>
  <r>
    <n v="1633"/>
    <d v="2023-11-26T00:00:00"/>
    <x v="2"/>
    <x v="4"/>
    <x v="9"/>
    <x v="3"/>
    <n v="2"/>
    <n v="716"/>
    <n v="20"/>
    <n v="1145.5999999999999"/>
    <n v="912.08"/>
    <n v="233.52"/>
    <x v="3"/>
    <x v="1"/>
    <n v="0.20384078212290505"/>
  </r>
  <r>
    <n v="1634"/>
    <d v="2023-08-22T00:00:00"/>
    <x v="2"/>
    <x v="2"/>
    <x v="17"/>
    <x v="3"/>
    <n v="2"/>
    <n v="865"/>
    <n v="5"/>
    <n v="1643.5"/>
    <n v="871.55"/>
    <n v="771.95"/>
    <x v="2"/>
    <x v="1"/>
    <n v="0.46969881350775788"/>
  </r>
  <r>
    <n v="1635"/>
    <d v="2024-05-03T00:00:00"/>
    <x v="3"/>
    <x v="4"/>
    <x v="8"/>
    <x v="5"/>
    <n v="2"/>
    <n v="442"/>
    <n v="10"/>
    <n v="795.6"/>
    <n v="447.92"/>
    <n v="347.68"/>
    <x v="7"/>
    <x v="0"/>
    <n v="0.43700351935646053"/>
  </r>
  <r>
    <n v="1636"/>
    <d v="2023-02-17T00:00:00"/>
    <x v="2"/>
    <x v="2"/>
    <x v="6"/>
    <x v="0"/>
    <n v="1"/>
    <n v="11"/>
    <n v="0"/>
    <n v="11"/>
    <n v="8.4499999999999993"/>
    <n v="2.5499999999999998"/>
    <x v="9"/>
    <x v="1"/>
    <n v="0.23181818181818181"/>
  </r>
  <r>
    <n v="1637"/>
    <d v="2023-06-10T00:00:00"/>
    <x v="2"/>
    <x v="0"/>
    <x v="12"/>
    <x v="5"/>
    <n v="2"/>
    <n v="833"/>
    <n v="5"/>
    <n v="1582.7"/>
    <n v="1225.1500000000001"/>
    <n v="357.55"/>
    <x v="4"/>
    <x v="1"/>
    <n v="0.22591141719845834"/>
  </r>
  <r>
    <n v="1638"/>
    <d v="2024-07-28T00:00:00"/>
    <x v="0"/>
    <x v="3"/>
    <x v="19"/>
    <x v="4"/>
    <n v="6"/>
    <n v="762"/>
    <n v="10"/>
    <n v="4114.8"/>
    <n v="3203.81"/>
    <n v="910.99"/>
    <x v="5"/>
    <x v="0"/>
    <n v="0.22139350636725963"/>
  </r>
  <r>
    <n v="1639"/>
    <d v="2023-09-26T00:00:00"/>
    <x v="0"/>
    <x v="3"/>
    <x v="4"/>
    <x v="0"/>
    <n v="1"/>
    <n v="125"/>
    <n v="20"/>
    <n v="100"/>
    <n v="54.77"/>
    <n v="45.23"/>
    <x v="0"/>
    <x v="1"/>
    <n v="0.45229999999999998"/>
  </r>
  <r>
    <n v="1640"/>
    <d v="2024-07-31T00:00:00"/>
    <x v="0"/>
    <x v="4"/>
    <x v="8"/>
    <x v="5"/>
    <n v="3"/>
    <n v="718"/>
    <n v="5"/>
    <n v="2046.3"/>
    <n v="1314.48"/>
    <n v="731.82"/>
    <x v="5"/>
    <x v="0"/>
    <n v="0.35763084591702099"/>
  </r>
  <r>
    <n v="1641"/>
    <d v="2024-10-17T00:00:00"/>
    <x v="1"/>
    <x v="2"/>
    <x v="3"/>
    <x v="4"/>
    <n v="6"/>
    <n v="349"/>
    <n v="20"/>
    <n v="1675.2"/>
    <n v="1069.33"/>
    <n v="605.87"/>
    <x v="1"/>
    <x v="0"/>
    <n v="0.36167024832855776"/>
  </r>
  <r>
    <n v="1642"/>
    <d v="2023-10-25T00:00:00"/>
    <x v="3"/>
    <x v="2"/>
    <x v="3"/>
    <x v="5"/>
    <n v="2"/>
    <n v="304"/>
    <n v="5"/>
    <n v="577.6"/>
    <n v="437"/>
    <n v="140.6"/>
    <x v="1"/>
    <x v="1"/>
    <n v="0.24342105263157893"/>
  </r>
  <r>
    <n v="1643"/>
    <d v="2023-02-21T00:00:00"/>
    <x v="0"/>
    <x v="2"/>
    <x v="10"/>
    <x v="4"/>
    <n v="10"/>
    <n v="574"/>
    <n v="5"/>
    <n v="5453"/>
    <n v="3933.71"/>
    <n v="1519.29"/>
    <x v="9"/>
    <x v="1"/>
    <n v="0.27861544104162844"/>
  </r>
  <r>
    <n v="1644"/>
    <d v="2024-08-08T00:00:00"/>
    <x v="1"/>
    <x v="3"/>
    <x v="15"/>
    <x v="5"/>
    <n v="4"/>
    <n v="842"/>
    <n v="10"/>
    <n v="3031.2"/>
    <n v="2029.11"/>
    <n v="1002.09"/>
    <x v="2"/>
    <x v="0"/>
    <n v="0.33059184481393511"/>
  </r>
  <r>
    <n v="1645"/>
    <d v="2023-03-07T00:00:00"/>
    <x v="3"/>
    <x v="4"/>
    <x v="18"/>
    <x v="1"/>
    <n v="2"/>
    <n v="580"/>
    <n v="5"/>
    <n v="1102"/>
    <n v="875.91"/>
    <n v="226.09"/>
    <x v="8"/>
    <x v="1"/>
    <n v="0.20516333938294012"/>
  </r>
  <r>
    <n v="1646"/>
    <d v="2024-03-21T00:00:00"/>
    <x v="0"/>
    <x v="0"/>
    <x v="13"/>
    <x v="3"/>
    <n v="8"/>
    <n v="927"/>
    <n v="0"/>
    <n v="7416"/>
    <n v="5211.79"/>
    <n v="2204.21"/>
    <x v="8"/>
    <x v="0"/>
    <n v="0.29722357065803667"/>
  </r>
  <r>
    <n v="1647"/>
    <d v="2023-01-27T00:00:00"/>
    <x v="3"/>
    <x v="0"/>
    <x v="12"/>
    <x v="1"/>
    <n v="8"/>
    <n v="786"/>
    <n v="5"/>
    <n v="5973.6"/>
    <n v="3798.61"/>
    <n v="2174.9899999999998"/>
    <x v="11"/>
    <x v="1"/>
    <n v="0.36410037498325964"/>
  </r>
  <r>
    <n v="1648"/>
    <d v="2024-05-12T00:00:00"/>
    <x v="2"/>
    <x v="2"/>
    <x v="10"/>
    <x v="4"/>
    <n v="5"/>
    <n v="852"/>
    <n v="5"/>
    <n v="4047"/>
    <n v="2278.92"/>
    <n v="1768.08"/>
    <x v="7"/>
    <x v="0"/>
    <n v="0.43688658265381763"/>
  </r>
  <r>
    <n v="1649"/>
    <d v="2023-06-14T00:00:00"/>
    <x v="1"/>
    <x v="0"/>
    <x v="12"/>
    <x v="1"/>
    <n v="2"/>
    <n v="48"/>
    <n v="0"/>
    <n v="96"/>
    <n v="62.23"/>
    <n v="33.770000000000003"/>
    <x v="4"/>
    <x v="1"/>
    <n v="0.35177083333333337"/>
  </r>
  <r>
    <n v="1650"/>
    <d v="2024-03-06T00:00:00"/>
    <x v="3"/>
    <x v="2"/>
    <x v="10"/>
    <x v="2"/>
    <n v="4"/>
    <n v="936"/>
    <n v="0"/>
    <n v="3744"/>
    <n v="2865.17"/>
    <n v="878.83"/>
    <x v="8"/>
    <x v="0"/>
    <n v="0.23473023504273505"/>
  </r>
  <r>
    <n v="1651"/>
    <d v="2024-07-06T00:00:00"/>
    <x v="1"/>
    <x v="0"/>
    <x v="1"/>
    <x v="1"/>
    <n v="1"/>
    <n v="425"/>
    <n v="15"/>
    <n v="361.25"/>
    <n v="233.93"/>
    <n v="127.32"/>
    <x v="5"/>
    <x v="0"/>
    <n v="0.35244290657439442"/>
  </r>
  <r>
    <n v="1652"/>
    <d v="2024-11-10T00:00:00"/>
    <x v="2"/>
    <x v="0"/>
    <x v="12"/>
    <x v="5"/>
    <n v="4"/>
    <n v="346"/>
    <n v="20"/>
    <n v="1107.2"/>
    <n v="884.38"/>
    <n v="222.82"/>
    <x v="3"/>
    <x v="0"/>
    <n v="0.20124638728323699"/>
  </r>
  <r>
    <n v="1653"/>
    <d v="2024-03-12T00:00:00"/>
    <x v="1"/>
    <x v="3"/>
    <x v="4"/>
    <x v="3"/>
    <n v="6"/>
    <n v="754"/>
    <n v="0"/>
    <n v="4524"/>
    <n v="2907.54"/>
    <n v="1616.46"/>
    <x v="8"/>
    <x v="0"/>
    <n v="0.35730769230769233"/>
  </r>
  <r>
    <n v="1654"/>
    <d v="2024-10-10T00:00:00"/>
    <x v="0"/>
    <x v="3"/>
    <x v="4"/>
    <x v="4"/>
    <n v="5"/>
    <n v="119"/>
    <n v="0"/>
    <n v="595"/>
    <n v="402.97"/>
    <n v="192.03"/>
    <x v="1"/>
    <x v="0"/>
    <n v="0.32273949579831934"/>
  </r>
  <r>
    <n v="1655"/>
    <d v="2023-11-07T00:00:00"/>
    <x v="0"/>
    <x v="1"/>
    <x v="2"/>
    <x v="0"/>
    <n v="1"/>
    <n v="290"/>
    <n v="20"/>
    <n v="232"/>
    <n v="124.66"/>
    <n v="107.34"/>
    <x v="3"/>
    <x v="1"/>
    <n v="0.46267241379310348"/>
  </r>
  <r>
    <n v="1656"/>
    <d v="2024-09-14T00:00:00"/>
    <x v="1"/>
    <x v="4"/>
    <x v="9"/>
    <x v="3"/>
    <n v="10"/>
    <n v="867"/>
    <n v="15"/>
    <n v="7369.5"/>
    <n v="3867.68"/>
    <n v="3501.82"/>
    <x v="0"/>
    <x v="0"/>
    <n v="0.47517742044914851"/>
  </r>
  <r>
    <n v="1657"/>
    <d v="2024-05-21T00:00:00"/>
    <x v="0"/>
    <x v="0"/>
    <x v="0"/>
    <x v="3"/>
    <n v="2"/>
    <n v="652"/>
    <n v="0"/>
    <n v="1304"/>
    <n v="1019.46"/>
    <n v="284.54000000000002"/>
    <x v="7"/>
    <x v="0"/>
    <n v="0.21820552147239267"/>
  </r>
  <r>
    <n v="1658"/>
    <d v="2023-05-30T00:00:00"/>
    <x v="0"/>
    <x v="4"/>
    <x v="8"/>
    <x v="3"/>
    <n v="2"/>
    <n v="681"/>
    <n v="15"/>
    <n v="1157.7"/>
    <n v="586.64"/>
    <n v="571.05999999999995"/>
    <x v="7"/>
    <x v="1"/>
    <n v="0.4932711410555411"/>
  </r>
  <r>
    <n v="1659"/>
    <d v="2024-10-21T00:00:00"/>
    <x v="2"/>
    <x v="4"/>
    <x v="8"/>
    <x v="0"/>
    <n v="3"/>
    <n v="465"/>
    <n v="0"/>
    <n v="1395"/>
    <n v="1104.8699999999999"/>
    <n v="290.13"/>
    <x v="1"/>
    <x v="0"/>
    <n v="0.20797849462365592"/>
  </r>
  <r>
    <n v="1660"/>
    <d v="2023-06-28T00:00:00"/>
    <x v="1"/>
    <x v="2"/>
    <x v="3"/>
    <x v="4"/>
    <n v="3"/>
    <n v="714"/>
    <n v="20"/>
    <n v="1713.6"/>
    <n v="933.04"/>
    <n v="780.56"/>
    <x v="4"/>
    <x v="1"/>
    <n v="0.45550887021475256"/>
  </r>
  <r>
    <n v="1661"/>
    <d v="2024-09-03T00:00:00"/>
    <x v="0"/>
    <x v="2"/>
    <x v="3"/>
    <x v="4"/>
    <n v="4"/>
    <n v="511"/>
    <n v="20"/>
    <n v="1635.2"/>
    <n v="876.61"/>
    <n v="758.59"/>
    <x v="0"/>
    <x v="0"/>
    <n v="0.46391267123287672"/>
  </r>
  <r>
    <n v="1662"/>
    <d v="2024-11-28T00:00:00"/>
    <x v="2"/>
    <x v="1"/>
    <x v="5"/>
    <x v="5"/>
    <n v="6"/>
    <n v="637"/>
    <n v="20"/>
    <n v="3057.6"/>
    <n v="1810.26"/>
    <n v="1247.3399999999999"/>
    <x v="3"/>
    <x v="0"/>
    <n v="0.40794740973312399"/>
  </r>
  <r>
    <n v="1663"/>
    <d v="2024-06-29T00:00:00"/>
    <x v="2"/>
    <x v="4"/>
    <x v="18"/>
    <x v="4"/>
    <n v="5"/>
    <n v="56"/>
    <n v="15"/>
    <n v="238"/>
    <n v="178.77"/>
    <n v="59.23"/>
    <x v="4"/>
    <x v="0"/>
    <n v="0.24886554621848739"/>
  </r>
  <r>
    <n v="1664"/>
    <d v="2023-03-06T00:00:00"/>
    <x v="1"/>
    <x v="1"/>
    <x v="5"/>
    <x v="1"/>
    <n v="5"/>
    <n v="594"/>
    <n v="20"/>
    <n v="2376"/>
    <n v="1349.79"/>
    <n v="1026.21"/>
    <x v="8"/>
    <x v="1"/>
    <n v="0.43190656565656566"/>
  </r>
  <r>
    <n v="1665"/>
    <d v="2023-01-27T00:00:00"/>
    <x v="1"/>
    <x v="4"/>
    <x v="8"/>
    <x v="0"/>
    <n v="3"/>
    <n v="705"/>
    <n v="0"/>
    <n v="2115"/>
    <n v="1090.74"/>
    <n v="1024.26"/>
    <x v="11"/>
    <x v="1"/>
    <n v="0.48428368794326243"/>
  </r>
  <r>
    <n v="1666"/>
    <d v="2024-04-19T00:00:00"/>
    <x v="3"/>
    <x v="4"/>
    <x v="14"/>
    <x v="1"/>
    <n v="10"/>
    <n v="269"/>
    <n v="15"/>
    <n v="2286.5"/>
    <n v="1659.04"/>
    <n v="627.46"/>
    <x v="10"/>
    <x v="0"/>
    <n v="0.27441941832495081"/>
  </r>
  <r>
    <n v="1667"/>
    <d v="2024-08-06T00:00:00"/>
    <x v="0"/>
    <x v="0"/>
    <x v="13"/>
    <x v="3"/>
    <n v="4"/>
    <n v="149"/>
    <n v="15"/>
    <n v="506.6"/>
    <n v="324.22000000000003"/>
    <n v="182.38"/>
    <x v="2"/>
    <x v="0"/>
    <n v="0.36000789577575992"/>
  </r>
  <r>
    <n v="1668"/>
    <d v="2024-04-17T00:00:00"/>
    <x v="1"/>
    <x v="2"/>
    <x v="6"/>
    <x v="0"/>
    <n v="9"/>
    <n v="252"/>
    <n v="10"/>
    <n v="2041.2"/>
    <n v="1544.24"/>
    <n v="496.96"/>
    <x v="10"/>
    <x v="0"/>
    <n v="0.24346462864981383"/>
  </r>
  <r>
    <n v="1669"/>
    <d v="2023-07-05T00:00:00"/>
    <x v="1"/>
    <x v="3"/>
    <x v="19"/>
    <x v="5"/>
    <n v="10"/>
    <n v="841"/>
    <n v="10"/>
    <n v="7569"/>
    <n v="3939.25"/>
    <n v="3629.75"/>
    <x v="5"/>
    <x v="1"/>
    <n v="0.47955476284846082"/>
  </r>
  <r>
    <n v="1670"/>
    <d v="2024-11-27T00:00:00"/>
    <x v="3"/>
    <x v="1"/>
    <x v="7"/>
    <x v="4"/>
    <n v="3"/>
    <n v="159"/>
    <n v="0"/>
    <n v="477"/>
    <n v="245.14"/>
    <n v="231.86"/>
    <x v="3"/>
    <x v="0"/>
    <n v="0.48607966457023066"/>
  </r>
  <r>
    <n v="1671"/>
    <d v="2024-05-30T00:00:00"/>
    <x v="1"/>
    <x v="1"/>
    <x v="5"/>
    <x v="5"/>
    <n v="6"/>
    <n v="803"/>
    <n v="10"/>
    <n v="4336.2"/>
    <n v="2999.83"/>
    <n v="1336.37"/>
    <x v="7"/>
    <x v="0"/>
    <n v="0.30818919791522531"/>
  </r>
  <r>
    <n v="1672"/>
    <d v="2024-07-07T00:00:00"/>
    <x v="2"/>
    <x v="0"/>
    <x v="0"/>
    <x v="2"/>
    <n v="10"/>
    <n v="486"/>
    <n v="10"/>
    <n v="4374"/>
    <n v="3087.3"/>
    <n v="1286.7"/>
    <x v="5"/>
    <x v="0"/>
    <n v="0.29417009602194788"/>
  </r>
  <r>
    <n v="1673"/>
    <d v="2023-08-04T00:00:00"/>
    <x v="0"/>
    <x v="0"/>
    <x v="12"/>
    <x v="5"/>
    <n v="9"/>
    <n v="68"/>
    <n v="10"/>
    <n v="550.79999999999995"/>
    <n v="343"/>
    <n v="207.8"/>
    <x v="2"/>
    <x v="1"/>
    <n v="0.3772694262890342"/>
  </r>
  <r>
    <n v="1674"/>
    <d v="2024-01-12T00:00:00"/>
    <x v="0"/>
    <x v="3"/>
    <x v="15"/>
    <x v="4"/>
    <n v="5"/>
    <n v="572"/>
    <n v="10"/>
    <n v="2574"/>
    <n v="1760.17"/>
    <n v="813.83"/>
    <x v="11"/>
    <x v="0"/>
    <n v="0.31617327117327121"/>
  </r>
  <r>
    <n v="1675"/>
    <d v="2024-07-27T00:00:00"/>
    <x v="0"/>
    <x v="3"/>
    <x v="19"/>
    <x v="0"/>
    <n v="9"/>
    <n v="49"/>
    <n v="15"/>
    <n v="374.85"/>
    <n v="271.07"/>
    <n v="103.78"/>
    <x v="5"/>
    <x v="0"/>
    <n v="0.27685740963051886"/>
  </r>
  <r>
    <n v="1676"/>
    <d v="2023-07-23T00:00:00"/>
    <x v="0"/>
    <x v="1"/>
    <x v="16"/>
    <x v="4"/>
    <n v="6"/>
    <n v="137"/>
    <n v="15"/>
    <n v="698.7"/>
    <n v="420.13"/>
    <n v="278.57"/>
    <x v="5"/>
    <x v="1"/>
    <n v="0.39869758122226989"/>
  </r>
  <r>
    <n v="1677"/>
    <d v="2023-04-02T00:00:00"/>
    <x v="2"/>
    <x v="1"/>
    <x v="7"/>
    <x v="5"/>
    <n v="2"/>
    <n v="430"/>
    <n v="0"/>
    <n v="860"/>
    <n v="453.02"/>
    <n v="406.98"/>
    <x v="10"/>
    <x v="1"/>
    <n v="0.47323255813953491"/>
  </r>
  <r>
    <n v="1678"/>
    <d v="2024-11-18T00:00:00"/>
    <x v="2"/>
    <x v="2"/>
    <x v="3"/>
    <x v="0"/>
    <n v="1"/>
    <n v="931"/>
    <n v="20"/>
    <n v="744.8"/>
    <n v="502.16"/>
    <n v="242.64"/>
    <x v="3"/>
    <x v="0"/>
    <n v="0.32577873254564982"/>
  </r>
  <r>
    <n v="1679"/>
    <d v="2023-01-10T00:00:00"/>
    <x v="3"/>
    <x v="1"/>
    <x v="16"/>
    <x v="4"/>
    <n v="7"/>
    <n v="659"/>
    <n v="10"/>
    <n v="4151.7"/>
    <n v="2438.85"/>
    <n v="1712.85"/>
    <x v="11"/>
    <x v="1"/>
    <n v="0.41256593684514775"/>
  </r>
  <r>
    <n v="1680"/>
    <d v="2023-04-01T00:00:00"/>
    <x v="3"/>
    <x v="0"/>
    <x v="1"/>
    <x v="3"/>
    <n v="9"/>
    <n v="181"/>
    <n v="15"/>
    <n v="1384.65"/>
    <n v="1031.3599999999999"/>
    <n v="353.29"/>
    <x v="10"/>
    <x v="1"/>
    <n v="0.25514751020113385"/>
  </r>
  <r>
    <n v="1681"/>
    <d v="2024-02-24T00:00:00"/>
    <x v="0"/>
    <x v="3"/>
    <x v="11"/>
    <x v="1"/>
    <n v="7"/>
    <n v="633"/>
    <n v="0"/>
    <n v="4431"/>
    <n v="2954.94"/>
    <n v="1476.06"/>
    <x v="9"/>
    <x v="0"/>
    <n v="0.33312119160460391"/>
  </r>
  <r>
    <n v="1682"/>
    <d v="2024-03-06T00:00:00"/>
    <x v="1"/>
    <x v="0"/>
    <x v="12"/>
    <x v="1"/>
    <n v="1"/>
    <n v="592"/>
    <n v="15"/>
    <n v="503.2"/>
    <n v="347.91"/>
    <n v="155.29"/>
    <x v="8"/>
    <x v="0"/>
    <n v="0.30860492845786963"/>
  </r>
  <r>
    <n v="1683"/>
    <d v="2023-04-10T00:00:00"/>
    <x v="1"/>
    <x v="1"/>
    <x v="5"/>
    <x v="3"/>
    <n v="6"/>
    <n v="52"/>
    <n v="5"/>
    <n v="296.39999999999998"/>
    <n v="182.84"/>
    <n v="113.56"/>
    <x v="10"/>
    <x v="1"/>
    <n v="0.38313090418353579"/>
  </r>
  <r>
    <n v="1684"/>
    <d v="2024-08-07T00:00:00"/>
    <x v="1"/>
    <x v="0"/>
    <x v="0"/>
    <x v="3"/>
    <n v="9"/>
    <n v="951"/>
    <n v="5"/>
    <n v="8131.05"/>
    <n v="5040.58"/>
    <n v="3090.47"/>
    <x v="2"/>
    <x v="0"/>
    <n v="0.38008252316736457"/>
  </r>
  <r>
    <n v="1685"/>
    <d v="2024-10-25T00:00:00"/>
    <x v="1"/>
    <x v="4"/>
    <x v="9"/>
    <x v="1"/>
    <n v="4"/>
    <n v="170"/>
    <n v="0"/>
    <n v="680"/>
    <n v="439.26"/>
    <n v="240.74"/>
    <x v="1"/>
    <x v="0"/>
    <n v="0.35402941176470587"/>
  </r>
  <r>
    <n v="1686"/>
    <d v="2024-03-03T00:00:00"/>
    <x v="2"/>
    <x v="2"/>
    <x v="3"/>
    <x v="1"/>
    <n v="5"/>
    <n v="501"/>
    <n v="0"/>
    <n v="2505"/>
    <n v="1419.08"/>
    <n v="1085.92"/>
    <x v="8"/>
    <x v="0"/>
    <n v="0.43350099800399206"/>
  </r>
  <r>
    <n v="1687"/>
    <d v="2023-10-13T00:00:00"/>
    <x v="1"/>
    <x v="3"/>
    <x v="4"/>
    <x v="0"/>
    <n v="7"/>
    <n v="321"/>
    <n v="5"/>
    <n v="2134.65"/>
    <n v="1259.4100000000001"/>
    <n v="875.24"/>
    <x v="1"/>
    <x v="1"/>
    <n v="0.41001569343920546"/>
  </r>
  <r>
    <n v="1688"/>
    <d v="2023-02-11T00:00:00"/>
    <x v="1"/>
    <x v="0"/>
    <x v="1"/>
    <x v="0"/>
    <n v="6"/>
    <n v="760"/>
    <n v="20"/>
    <n v="3648"/>
    <n v="2617.14"/>
    <n v="1030.8599999999999"/>
    <x v="9"/>
    <x v="1"/>
    <n v="0.28258223684210526"/>
  </r>
  <r>
    <n v="1689"/>
    <d v="2024-07-15T00:00:00"/>
    <x v="1"/>
    <x v="1"/>
    <x v="5"/>
    <x v="3"/>
    <n v="2"/>
    <n v="304"/>
    <n v="0"/>
    <n v="608"/>
    <n v="434.35"/>
    <n v="173.65"/>
    <x v="5"/>
    <x v="0"/>
    <n v="0.28560855263157897"/>
  </r>
  <r>
    <n v="1690"/>
    <d v="2024-03-23T00:00:00"/>
    <x v="0"/>
    <x v="2"/>
    <x v="17"/>
    <x v="0"/>
    <n v="1"/>
    <n v="455"/>
    <n v="5"/>
    <n v="432.25"/>
    <n v="274.04000000000002"/>
    <n v="158.21"/>
    <x v="8"/>
    <x v="0"/>
    <n v="0.36601503759398496"/>
  </r>
  <r>
    <n v="1691"/>
    <d v="2023-08-31T00:00:00"/>
    <x v="0"/>
    <x v="3"/>
    <x v="4"/>
    <x v="1"/>
    <n v="7"/>
    <n v="790"/>
    <n v="10"/>
    <n v="4977"/>
    <n v="2882.34"/>
    <n v="2094.66"/>
    <x v="2"/>
    <x v="1"/>
    <n v="0.42086799276672693"/>
  </r>
  <r>
    <n v="1692"/>
    <d v="2024-11-30T00:00:00"/>
    <x v="3"/>
    <x v="1"/>
    <x v="5"/>
    <x v="3"/>
    <n v="4"/>
    <n v="228"/>
    <n v="10"/>
    <n v="820.8"/>
    <n v="483.88"/>
    <n v="336.92"/>
    <x v="3"/>
    <x v="0"/>
    <n v="0.41047758284600394"/>
  </r>
  <r>
    <n v="1693"/>
    <d v="2024-12-13T00:00:00"/>
    <x v="3"/>
    <x v="3"/>
    <x v="11"/>
    <x v="0"/>
    <n v="6"/>
    <n v="34"/>
    <n v="5"/>
    <n v="193.8"/>
    <n v="121.87"/>
    <n v="71.930000000000007"/>
    <x v="6"/>
    <x v="0"/>
    <n v="0.37115583075335401"/>
  </r>
  <r>
    <n v="1694"/>
    <d v="2024-06-30T00:00:00"/>
    <x v="3"/>
    <x v="4"/>
    <x v="18"/>
    <x v="2"/>
    <n v="8"/>
    <n v="214"/>
    <n v="15"/>
    <n v="1455.2"/>
    <n v="808.45"/>
    <n v="646.75"/>
    <x v="4"/>
    <x v="0"/>
    <n v="0.44444062671797691"/>
  </r>
  <r>
    <n v="1695"/>
    <d v="2023-04-14T00:00:00"/>
    <x v="0"/>
    <x v="2"/>
    <x v="10"/>
    <x v="1"/>
    <n v="9"/>
    <n v="944"/>
    <n v="10"/>
    <n v="7646.4"/>
    <n v="5424.43"/>
    <n v="2221.9699999999998"/>
    <x v="10"/>
    <x v="1"/>
    <n v="0.29059034316802679"/>
  </r>
  <r>
    <n v="1696"/>
    <d v="2024-08-15T00:00:00"/>
    <x v="2"/>
    <x v="1"/>
    <x v="5"/>
    <x v="1"/>
    <n v="9"/>
    <n v="659"/>
    <n v="10"/>
    <n v="5337.9"/>
    <n v="2719.49"/>
    <n v="2618.41"/>
    <x v="2"/>
    <x v="0"/>
    <n v="0.49053185709736041"/>
  </r>
  <r>
    <n v="1697"/>
    <d v="2023-03-23T00:00:00"/>
    <x v="0"/>
    <x v="3"/>
    <x v="15"/>
    <x v="3"/>
    <n v="1"/>
    <n v="536"/>
    <n v="20"/>
    <n v="428.8"/>
    <n v="229.82"/>
    <n v="198.98"/>
    <x v="8"/>
    <x v="1"/>
    <n v="0.46403917910447756"/>
  </r>
  <r>
    <n v="1698"/>
    <d v="2024-08-27T00:00:00"/>
    <x v="0"/>
    <x v="0"/>
    <x v="13"/>
    <x v="1"/>
    <n v="10"/>
    <n v="976"/>
    <n v="5"/>
    <n v="9272"/>
    <n v="6369.27"/>
    <n v="2902.73"/>
    <x v="2"/>
    <x v="0"/>
    <n v="0.31306406384814495"/>
  </r>
  <r>
    <n v="1699"/>
    <d v="2023-03-20T00:00:00"/>
    <x v="0"/>
    <x v="0"/>
    <x v="1"/>
    <x v="0"/>
    <n v="9"/>
    <n v="141"/>
    <n v="20"/>
    <n v="1015.2"/>
    <n v="755.4"/>
    <n v="259.8"/>
    <x v="8"/>
    <x v="1"/>
    <n v="0.25591016548463358"/>
  </r>
  <r>
    <n v="1700"/>
    <d v="2023-11-25T00:00:00"/>
    <x v="0"/>
    <x v="4"/>
    <x v="14"/>
    <x v="2"/>
    <n v="8"/>
    <n v="274"/>
    <n v="15"/>
    <n v="1863.2"/>
    <n v="1346.68"/>
    <n v="516.52"/>
    <x v="3"/>
    <x v="1"/>
    <n v="0.27722198368398454"/>
  </r>
  <r>
    <n v="1701"/>
    <d v="2023-04-03T00:00:00"/>
    <x v="2"/>
    <x v="1"/>
    <x v="2"/>
    <x v="3"/>
    <n v="2"/>
    <n v="663"/>
    <n v="0"/>
    <n v="1326"/>
    <n v="1011.77"/>
    <n v="314.23"/>
    <x v="10"/>
    <x v="1"/>
    <n v="0.23697586726998493"/>
  </r>
  <r>
    <n v="1702"/>
    <d v="2023-04-25T00:00:00"/>
    <x v="0"/>
    <x v="4"/>
    <x v="9"/>
    <x v="3"/>
    <n v="6"/>
    <n v="544"/>
    <n v="20"/>
    <n v="2611.1999999999998"/>
    <n v="1780.34"/>
    <n v="830.86"/>
    <x v="10"/>
    <x v="1"/>
    <n v="0.31819087009803926"/>
  </r>
  <r>
    <n v="1703"/>
    <d v="2024-03-30T00:00:00"/>
    <x v="0"/>
    <x v="1"/>
    <x v="2"/>
    <x v="5"/>
    <n v="8"/>
    <n v="411"/>
    <n v="20"/>
    <n v="2630.4"/>
    <n v="1620.27"/>
    <n v="1010.13"/>
    <x v="8"/>
    <x v="0"/>
    <n v="0.3840214416058394"/>
  </r>
  <r>
    <n v="1704"/>
    <d v="2023-07-22T00:00:00"/>
    <x v="1"/>
    <x v="0"/>
    <x v="0"/>
    <x v="3"/>
    <n v="3"/>
    <n v="520"/>
    <n v="0"/>
    <n v="1560"/>
    <n v="862.85"/>
    <n v="697.15"/>
    <x v="5"/>
    <x v="1"/>
    <n v="0.44689102564102562"/>
  </r>
  <r>
    <n v="1705"/>
    <d v="2023-04-08T00:00:00"/>
    <x v="0"/>
    <x v="4"/>
    <x v="14"/>
    <x v="1"/>
    <n v="3"/>
    <n v="498"/>
    <n v="5"/>
    <n v="1419.3"/>
    <n v="1021.66"/>
    <n v="397.64"/>
    <x v="10"/>
    <x v="1"/>
    <n v="0.28016627915169451"/>
  </r>
  <r>
    <n v="1706"/>
    <d v="2024-04-17T00:00:00"/>
    <x v="3"/>
    <x v="0"/>
    <x v="1"/>
    <x v="2"/>
    <n v="2"/>
    <n v="653"/>
    <n v="0"/>
    <n v="1306"/>
    <n v="879.65"/>
    <n v="426.35"/>
    <x v="10"/>
    <x v="0"/>
    <n v="0.32645482388973968"/>
  </r>
  <r>
    <n v="1707"/>
    <d v="2024-07-11T00:00:00"/>
    <x v="1"/>
    <x v="1"/>
    <x v="7"/>
    <x v="4"/>
    <n v="1"/>
    <n v="935"/>
    <n v="5"/>
    <n v="888.25"/>
    <n v="668.12"/>
    <n v="220.13"/>
    <x v="5"/>
    <x v="0"/>
    <n v="0.24782437376864622"/>
  </r>
  <r>
    <n v="1708"/>
    <d v="2023-05-05T00:00:00"/>
    <x v="1"/>
    <x v="3"/>
    <x v="11"/>
    <x v="3"/>
    <n v="7"/>
    <n v="237"/>
    <n v="10"/>
    <n v="1493.1"/>
    <n v="896.17"/>
    <n v="596.92999999999995"/>
    <x v="7"/>
    <x v="1"/>
    <n v="0.39979237827339092"/>
  </r>
  <r>
    <n v="1709"/>
    <d v="2023-04-10T00:00:00"/>
    <x v="0"/>
    <x v="1"/>
    <x v="2"/>
    <x v="5"/>
    <n v="8"/>
    <n v="155"/>
    <n v="5"/>
    <n v="1178"/>
    <n v="848.35"/>
    <n v="329.65"/>
    <x v="10"/>
    <x v="1"/>
    <n v="0.27983870967741936"/>
  </r>
  <r>
    <n v="1710"/>
    <d v="2023-11-27T00:00:00"/>
    <x v="0"/>
    <x v="0"/>
    <x v="0"/>
    <x v="3"/>
    <n v="7"/>
    <n v="68"/>
    <n v="10"/>
    <n v="428.4"/>
    <n v="256.23"/>
    <n v="172.17"/>
    <x v="3"/>
    <x v="1"/>
    <n v="0.40189075630252102"/>
  </r>
  <r>
    <n v="1711"/>
    <d v="2023-05-12T00:00:00"/>
    <x v="3"/>
    <x v="1"/>
    <x v="7"/>
    <x v="0"/>
    <n v="7"/>
    <n v="112"/>
    <n v="5"/>
    <n v="744.8"/>
    <n v="444.73"/>
    <n v="300.07"/>
    <x v="7"/>
    <x v="1"/>
    <n v="0.40288668098818475"/>
  </r>
  <r>
    <n v="1712"/>
    <d v="2024-11-21T00:00:00"/>
    <x v="2"/>
    <x v="0"/>
    <x v="1"/>
    <x v="1"/>
    <n v="4"/>
    <n v="20"/>
    <n v="0"/>
    <n v="80"/>
    <n v="60.88"/>
    <n v="19.12"/>
    <x v="3"/>
    <x v="0"/>
    <n v="0.23900000000000002"/>
  </r>
  <r>
    <n v="1713"/>
    <d v="2023-01-18T00:00:00"/>
    <x v="1"/>
    <x v="1"/>
    <x v="16"/>
    <x v="2"/>
    <n v="7"/>
    <n v="994"/>
    <n v="10"/>
    <n v="6262.2"/>
    <n v="3293.92"/>
    <n v="2968.28"/>
    <x v="11"/>
    <x v="1"/>
    <n v="0.47399955287279233"/>
  </r>
  <r>
    <n v="1714"/>
    <d v="2024-11-18T00:00:00"/>
    <x v="2"/>
    <x v="3"/>
    <x v="15"/>
    <x v="4"/>
    <n v="8"/>
    <n v="28"/>
    <n v="10"/>
    <n v="201.6"/>
    <n v="116.8"/>
    <n v="84.8"/>
    <x v="3"/>
    <x v="0"/>
    <n v="0.42063492063492064"/>
  </r>
  <r>
    <n v="1715"/>
    <d v="2023-04-16T00:00:00"/>
    <x v="3"/>
    <x v="0"/>
    <x v="13"/>
    <x v="4"/>
    <n v="6"/>
    <n v="626"/>
    <n v="15"/>
    <n v="3192.6"/>
    <n v="1667.2"/>
    <n v="1525.4"/>
    <x v="10"/>
    <x v="1"/>
    <n v="0.47779239491323688"/>
  </r>
  <r>
    <n v="1716"/>
    <d v="2023-12-12T00:00:00"/>
    <x v="0"/>
    <x v="0"/>
    <x v="13"/>
    <x v="3"/>
    <n v="10"/>
    <n v="179"/>
    <n v="20"/>
    <n v="1432"/>
    <n v="776.04"/>
    <n v="655.96"/>
    <x v="6"/>
    <x v="1"/>
    <n v="0.45807262569832402"/>
  </r>
  <r>
    <n v="1717"/>
    <d v="2024-05-27T00:00:00"/>
    <x v="1"/>
    <x v="3"/>
    <x v="19"/>
    <x v="4"/>
    <n v="6"/>
    <n v="940"/>
    <n v="20"/>
    <n v="4512"/>
    <n v="2530.1999999999998"/>
    <n v="1981.8"/>
    <x v="7"/>
    <x v="0"/>
    <n v="0.43922872340425528"/>
  </r>
  <r>
    <n v="1718"/>
    <d v="2024-03-21T00:00:00"/>
    <x v="3"/>
    <x v="0"/>
    <x v="12"/>
    <x v="0"/>
    <n v="3"/>
    <n v="424"/>
    <n v="5"/>
    <n v="1208.4000000000001"/>
    <n v="932.97"/>
    <n v="275.43"/>
    <x v="8"/>
    <x v="0"/>
    <n v="0.22792949354518371"/>
  </r>
  <r>
    <n v="1719"/>
    <d v="2024-04-04T00:00:00"/>
    <x v="1"/>
    <x v="3"/>
    <x v="4"/>
    <x v="5"/>
    <n v="3"/>
    <n v="189"/>
    <n v="5"/>
    <n v="538.65"/>
    <n v="335.46"/>
    <n v="203.19"/>
    <x v="10"/>
    <x v="0"/>
    <n v="0.37722082985240879"/>
  </r>
  <r>
    <n v="1720"/>
    <d v="2023-12-02T00:00:00"/>
    <x v="1"/>
    <x v="3"/>
    <x v="4"/>
    <x v="5"/>
    <n v="8"/>
    <n v="246"/>
    <n v="10"/>
    <n v="1771.2"/>
    <n v="984.91"/>
    <n v="786.29"/>
    <x v="6"/>
    <x v="1"/>
    <n v="0.44393066847335139"/>
  </r>
  <r>
    <n v="1721"/>
    <d v="2023-05-18T00:00:00"/>
    <x v="2"/>
    <x v="2"/>
    <x v="3"/>
    <x v="3"/>
    <n v="1"/>
    <n v="470"/>
    <n v="0"/>
    <n v="470"/>
    <n v="371.68"/>
    <n v="98.32"/>
    <x v="7"/>
    <x v="1"/>
    <n v="0.20919148936170212"/>
  </r>
  <r>
    <n v="1722"/>
    <d v="2024-11-17T00:00:00"/>
    <x v="3"/>
    <x v="1"/>
    <x v="2"/>
    <x v="2"/>
    <n v="10"/>
    <n v="913"/>
    <n v="0"/>
    <n v="9130"/>
    <n v="4794.6400000000003"/>
    <n v="4335.3599999999997"/>
    <x v="3"/>
    <x v="0"/>
    <n v="0.47484775465498352"/>
  </r>
  <r>
    <n v="1723"/>
    <d v="2024-10-12T00:00:00"/>
    <x v="1"/>
    <x v="3"/>
    <x v="4"/>
    <x v="0"/>
    <n v="5"/>
    <n v="735"/>
    <n v="0"/>
    <n v="3675"/>
    <n v="2295.69"/>
    <n v="1379.31"/>
    <x v="1"/>
    <x v="0"/>
    <n v="0.37532244897959183"/>
  </r>
  <r>
    <n v="1724"/>
    <d v="2023-06-16T00:00:00"/>
    <x v="1"/>
    <x v="1"/>
    <x v="16"/>
    <x v="2"/>
    <n v="4"/>
    <n v="404"/>
    <n v="10"/>
    <n v="1454.4"/>
    <n v="843.36"/>
    <n v="611.04"/>
    <x v="4"/>
    <x v="1"/>
    <n v="0.4201320132013201"/>
  </r>
  <r>
    <n v="1725"/>
    <d v="2023-03-04T00:00:00"/>
    <x v="3"/>
    <x v="1"/>
    <x v="7"/>
    <x v="4"/>
    <n v="6"/>
    <n v="17"/>
    <n v="10"/>
    <n v="91.8"/>
    <n v="58.85"/>
    <n v="32.950000000000003"/>
    <x v="8"/>
    <x v="1"/>
    <n v="0.35893246187363836"/>
  </r>
  <r>
    <n v="1726"/>
    <d v="2024-05-24T00:00:00"/>
    <x v="2"/>
    <x v="3"/>
    <x v="11"/>
    <x v="1"/>
    <n v="9"/>
    <n v="885"/>
    <n v="0"/>
    <n v="7965"/>
    <n v="4908.68"/>
    <n v="3056.32"/>
    <x v="7"/>
    <x v="0"/>
    <n v="0.38371876961707474"/>
  </r>
  <r>
    <n v="1727"/>
    <d v="2024-03-26T00:00:00"/>
    <x v="3"/>
    <x v="0"/>
    <x v="12"/>
    <x v="0"/>
    <n v="9"/>
    <n v="265"/>
    <n v="5"/>
    <n v="2265.75"/>
    <n v="1609.64"/>
    <n v="656.11"/>
    <x v="8"/>
    <x v="0"/>
    <n v="0.28957740262606202"/>
  </r>
  <r>
    <n v="1728"/>
    <d v="2024-03-30T00:00:00"/>
    <x v="1"/>
    <x v="1"/>
    <x v="2"/>
    <x v="1"/>
    <n v="2"/>
    <n v="484"/>
    <n v="20"/>
    <n v="774.4"/>
    <n v="523.29999999999995"/>
    <n v="251.1"/>
    <x v="8"/>
    <x v="0"/>
    <n v="0.32425103305785125"/>
  </r>
  <r>
    <n v="1729"/>
    <d v="2023-04-19T00:00:00"/>
    <x v="0"/>
    <x v="4"/>
    <x v="8"/>
    <x v="2"/>
    <n v="5"/>
    <n v="853"/>
    <n v="5"/>
    <n v="4051.75"/>
    <n v="2257.88"/>
    <n v="1793.87"/>
    <x v="10"/>
    <x v="1"/>
    <n v="0.44273955698155115"/>
  </r>
  <r>
    <n v="1730"/>
    <d v="2024-06-12T00:00:00"/>
    <x v="1"/>
    <x v="1"/>
    <x v="2"/>
    <x v="1"/>
    <n v="7"/>
    <n v="742"/>
    <n v="20"/>
    <n v="4155.2"/>
    <n v="2429.9"/>
    <n v="1725.3"/>
    <x v="4"/>
    <x v="0"/>
    <n v="0.41521467077396995"/>
  </r>
  <r>
    <n v="1731"/>
    <d v="2023-05-17T00:00:00"/>
    <x v="0"/>
    <x v="0"/>
    <x v="1"/>
    <x v="2"/>
    <n v="9"/>
    <n v="19"/>
    <n v="10"/>
    <n v="153.9"/>
    <n v="102.3"/>
    <n v="51.6"/>
    <x v="7"/>
    <x v="1"/>
    <n v="0.33528265107212474"/>
  </r>
  <r>
    <n v="1732"/>
    <d v="2024-01-09T00:00:00"/>
    <x v="0"/>
    <x v="1"/>
    <x v="16"/>
    <x v="5"/>
    <n v="7"/>
    <n v="206"/>
    <n v="20"/>
    <n v="1153.5999999999999"/>
    <n v="676.71"/>
    <n v="476.89"/>
    <x v="11"/>
    <x v="0"/>
    <n v="0.41339285714285717"/>
  </r>
  <r>
    <n v="1733"/>
    <d v="2023-12-21T00:00:00"/>
    <x v="1"/>
    <x v="2"/>
    <x v="10"/>
    <x v="0"/>
    <n v="9"/>
    <n v="585"/>
    <n v="0"/>
    <n v="5265"/>
    <n v="4106.54"/>
    <n v="1158.46"/>
    <x v="6"/>
    <x v="1"/>
    <n v="0.22003038936372271"/>
  </r>
  <r>
    <n v="1734"/>
    <d v="2024-12-03T00:00:00"/>
    <x v="1"/>
    <x v="4"/>
    <x v="18"/>
    <x v="3"/>
    <n v="3"/>
    <n v="404"/>
    <n v="15"/>
    <n v="1030.2"/>
    <n v="643.22"/>
    <n v="386.98"/>
    <x v="6"/>
    <x v="0"/>
    <n v="0.37563579887400506"/>
  </r>
  <r>
    <n v="1735"/>
    <d v="2024-11-10T00:00:00"/>
    <x v="1"/>
    <x v="3"/>
    <x v="15"/>
    <x v="0"/>
    <n v="10"/>
    <n v="359"/>
    <n v="5"/>
    <n v="3410.5"/>
    <n v="1812.27"/>
    <n v="1598.23"/>
    <x v="3"/>
    <x v="0"/>
    <n v="0.46862043688608707"/>
  </r>
  <r>
    <n v="1736"/>
    <d v="2024-11-17T00:00:00"/>
    <x v="3"/>
    <x v="2"/>
    <x v="3"/>
    <x v="3"/>
    <n v="9"/>
    <n v="152"/>
    <n v="15"/>
    <n v="1162.8"/>
    <n v="880.47"/>
    <n v="282.33"/>
    <x v="3"/>
    <x v="0"/>
    <n v="0.24280185758513931"/>
  </r>
  <r>
    <n v="1737"/>
    <d v="2024-06-23T00:00:00"/>
    <x v="0"/>
    <x v="0"/>
    <x v="1"/>
    <x v="1"/>
    <n v="6"/>
    <n v="553"/>
    <n v="20"/>
    <n v="2654.4"/>
    <n v="1955.61"/>
    <n v="698.79"/>
    <x v="4"/>
    <x v="0"/>
    <n v="0.26325723327305606"/>
  </r>
  <r>
    <n v="1738"/>
    <d v="2023-11-06T00:00:00"/>
    <x v="1"/>
    <x v="3"/>
    <x v="11"/>
    <x v="5"/>
    <n v="4"/>
    <n v="385"/>
    <n v="5"/>
    <n v="1463"/>
    <n v="994.35"/>
    <n v="468.65"/>
    <x v="3"/>
    <x v="1"/>
    <n v="0.32033492822966508"/>
  </r>
  <r>
    <n v="1739"/>
    <d v="2023-03-15T00:00:00"/>
    <x v="2"/>
    <x v="1"/>
    <x v="2"/>
    <x v="1"/>
    <n v="7"/>
    <n v="15"/>
    <n v="20"/>
    <n v="84"/>
    <n v="54.48"/>
    <n v="29.52"/>
    <x v="8"/>
    <x v="1"/>
    <n v="0.35142857142857142"/>
  </r>
  <r>
    <n v="1740"/>
    <d v="2024-08-13T00:00:00"/>
    <x v="0"/>
    <x v="0"/>
    <x v="13"/>
    <x v="5"/>
    <n v="5"/>
    <n v="554"/>
    <n v="0"/>
    <n v="2770"/>
    <n v="1609.72"/>
    <n v="1160.28"/>
    <x v="2"/>
    <x v="0"/>
    <n v="0.41887364620938627"/>
  </r>
  <r>
    <n v="1741"/>
    <d v="2023-12-10T00:00:00"/>
    <x v="1"/>
    <x v="4"/>
    <x v="9"/>
    <x v="2"/>
    <n v="9"/>
    <n v="680"/>
    <n v="10"/>
    <n v="5508"/>
    <n v="4307.28"/>
    <n v="1200.72"/>
    <x v="6"/>
    <x v="1"/>
    <n v="0.21799564270152505"/>
  </r>
  <r>
    <n v="1742"/>
    <d v="2023-03-23T00:00:00"/>
    <x v="0"/>
    <x v="2"/>
    <x v="10"/>
    <x v="1"/>
    <n v="7"/>
    <n v="238"/>
    <n v="5"/>
    <n v="1582.7"/>
    <n v="880.25"/>
    <n v="702.45"/>
    <x v="8"/>
    <x v="1"/>
    <n v="0.44383016364440514"/>
  </r>
  <r>
    <n v="1743"/>
    <d v="2024-07-03T00:00:00"/>
    <x v="2"/>
    <x v="0"/>
    <x v="0"/>
    <x v="3"/>
    <n v="9"/>
    <n v="844"/>
    <n v="5"/>
    <n v="7216.2"/>
    <n v="5714.21"/>
    <n v="1501.99"/>
    <x v="5"/>
    <x v="0"/>
    <n v="0.20814140406308029"/>
  </r>
  <r>
    <n v="1744"/>
    <d v="2023-12-18T00:00:00"/>
    <x v="0"/>
    <x v="1"/>
    <x v="2"/>
    <x v="0"/>
    <n v="10"/>
    <n v="186"/>
    <n v="10"/>
    <n v="1674"/>
    <n v="1169.26"/>
    <n v="504.74"/>
    <x v="6"/>
    <x v="1"/>
    <n v="0.30151732377538831"/>
  </r>
  <r>
    <n v="1745"/>
    <d v="2023-02-07T00:00:00"/>
    <x v="0"/>
    <x v="0"/>
    <x v="13"/>
    <x v="1"/>
    <n v="10"/>
    <n v="648"/>
    <n v="0"/>
    <n v="6480"/>
    <n v="4466.8100000000004"/>
    <n v="2013.19"/>
    <x v="9"/>
    <x v="1"/>
    <n v="0.31067746913580246"/>
  </r>
  <r>
    <n v="1746"/>
    <d v="2023-09-14T00:00:00"/>
    <x v="1"/>
    <x v="0"/>
    <x v="12"/>
    <x v="0"/>
    <n v="9"/>
    <n v="959"/>
    <n v="5"/>
    <n v="8199.4500000000007"/>
    <n v="4781.38"/>
    <n v="3418.07"/>
    <x v="0"/>
    <x v="1"/>
    <n v="0.41686576538670272"/>
  </r>
  <r>
    <n v="1747"/>
    <d v="2023-01-28T00:00:00"/>
    <x v="2"/>
    <x v="3"/>
    <x v="19"/>
    <x v="3"/>
    <n v="1"/>
    <n v="78"/>
    <n v="10"/>
    <n v="70.2"/>
    <n v="36.130000000000003"/>
    <n v="34.07"/>
    <x v="11"/>
    <x v="1"/>
    <n v="0.48532763532763529"/>
  </r>
  <r>
    <n v="1748"/>
    <d v="2024-04-17T00:00:00"/>
    <x v="0"/>
    <x v="4"/>
    <x v="9"/>
    <x v="4"/>
    <n v="6"/>
    <n v="69"/>
    <n v="5"/>
    <n v="393.3"/>
    <n v="251.66"/>
    <n v="141.63999999999999"/>
    <x v="10"/>
    <x v="0"/>
    <n v="0.3601322145944571"/>
  </r>
  <r>
    <n v="1749"/>
    <d v="2024-08-02T00:00:00"/>
    <x v="3"/>
    <x v="3"/>
    <x v="15"/>
    <x v="2"/>
    <n v="8"/>
    <n v="688"/>
    <n v="10"/>
    <n v="4953.6000000000004"/>
    <n v="3176.2"/>
    <n v="1777.4"/>
    <x v="2"/>
    <x v="0"/>
    <n v="0.35880975452196384"/>
  </r>
  <r>
    <n v="1750"/>
    <d v="2023-10-11T00:00:00"/>
    <x v="2"/>
    <x v="1"/>
    <x v="5"/>
    <x v="3"/>
    <n v="6"/>
    <n v="917"/>
    <n v="15"/>
    <n v="4676.7"/>
    <n v="2993.33"/>
    <n v="1683.37"/>
    <x v="1"/>
    <x v="1"/>
    <n v="0.35994825411080461"/>
  </r>
  <r>
    <n v="1751"/>
    <d v="2023-01-26T00:00:00"/>
    <x v="3"/>
    <x v="0"/>
    <x v="1"/>
    <x v="1"/>
    <n v="6"/>
    <n v="676"/>
    <n v="5"/>
    <n v="3853.2"/>
    <n v="2517.5500000000002"/>
    <n v="1335.65"/>
    <x v="11"/>
    <x v="1"/>
    <n v="0.34663396657323786"/>
  </r>
  <r>
    <n v="1752"/>
    <d v="2023-07-25T00:00:00"/>
    <x v="3"/>
    <x v="0"/>
    <x v="1"/>
    <x v="2"/>
    <n v="3"/>
    <n v="998"/>
    <n v="0"/>
    <n v="2994"/>
    <n v="2286.81"/>
    <n v="707.19"/>
    <x v="5"/>
    <x v="1"/>
    <n v="0.23620240480961927"/>
  </r>
  <r>
    <n v="1753"/>
    <d v="2023-03-26T00:00:00"/>
    <x v="0"/>
    <x v="3"/>
    <x v="4"/>
    <x v="0"/>
    <n v="7"/>
    <n v="887"/>
    <n v="0"/>
    <n v="6209"/>
    <n v="4583.37"/>
    <n v="1625.63"/>
    <x v="8"/>
    <x v="1"/>
    <n v="0.26181832823320988"/>
  </r>
  <r>
    <n v="1754"/>
    <d v="2023-03-12T00:00:00"/>
    <x v="1"/>
    <x v="2"/>
    <x v="3"/>
    <x v="3"/>
    <n v="1"/>
    <n v="486"/>
    <n v="10"/>
    <n v="437.4"/>
    <n v="347.54"/>
    <n v="89.86"/>
    <x v="8"/>
    <x v="1"/>
    <n v="0.20544124371284866"/>
  </r>
  <r>
    <n v="1755"/>
    <d v="2024-03-03T00:00:00"/>
    <x v="2"/>
    <x v="0"/>
    <x v="0"/>
    <x v="4"/>
    <n v="9"/>
    <n v="940"/>
    <n v="20"/>
    <n v="6768"/>
    <n v="4928.26"/>
    <n v="1839.74"/>
    <x v="8"/>
    <x v="0"/>
    <n v="0.27182919621749407"/>
  </r>
  <r>
    <n v="1756"/>
    <d v="2024-11-20T00:00:00"/>
    <x v="1"/>
    <x v="3"/>
    <x v="11"/>
    <x v="4"/>
    <n v="7"/>
    <n v="975"/>
    <n v="10"/>
    <n v="6142.5"/>
    <n v="4265.53"/>
    <n v="1876.97"/>
    <x v="3"/>
    <x v="0"/>
    <n v="0.30557102157102156"/>
  </r>
  <r>
    <n v="1757"/>
    <d v="2024-07-13T00:00:00"/>
    <x v="2"/>
    <x v="3"/>
    <x v="15"/>
    <x v="0"/>
    <n v="7"/>
    <n v="633"/>
    <n v="0"/>
    <n v="4431"/>
    <n v="2375.3000000000002"/>
    <n v="2055.6999999999998"/>
    <x v="5"/>
    <x v="0"/>
    <n v="0.46393590611600088"/>
  </r>
  <r>
    <n v="1758"/>
    <d v="2023-01-09T00:00:00"/>
    <x v="3"/>
    <x v="1"/>
    <x v="5"/>
    <x v="1"/>
    <n v="5"/>
    <n v="97"/>
    <n v="20"/>
    <n v="388"/>
    <n v="282.87"/>
    <n v="105.13"/>
    <x v="11"/>
    <x v="1"/>
    <n v="0.27095360824742265"/>
  </r>
  <r>
    <n v="1759"/>
    <d v="2023-11-14T00:00:00"/>
    <x v="3"/>
    <x v="2"/>
    <x v="10"/>
    <x v="0"/>
    <n v="10"/>
    <n v="464"/>
    <n v="0"/>
    <n v="4640"/>
    <n v="3404.65"/>
    <n v="1235.3499999999999"/>
    <x v="3"/>
    <x v="1"/>
    <n v="0.266239224137931"/>
  </r>
  <r>
    <n v="1760"/>
    <d v="2024-02-13T00:00:00"/>
    <x v="3"/>
    <x v="0"/>
    <x v="12"/>
    <x v="4"/>
    <n v="8"/>
    <n v="469"/>
    <n v="10"/>
    <n v="3376.8"/>
    <n v="2156.86"/>
    <n v="1219.94"/>
    <x v="9"/>
    <x v="0"/>
    <n v="0.36127102582326465"/>
  </r>
  <r>
    <n v="1761"/>
    <d v="2023-08-07T00:00:00"/>
    <x v="1"/>
    <x v="0"/>
    <x v="1"/>
    <x v="4"/>
    <n v="8"/>
    <n v="343"/>
    <n v="15"/>
    <n v="2332.4"/>
    <n v="1179.58"/>
    <n v="1152.82"/>
    <x v="2"/>
    <x v="1"/>
    <n v="0.49426341965357568"/>
  </r>
  <r>
    <n v="1762"/>
    <d v="2024-07-06T00:00:00"/>
    <x v="1"/>
    <x v="0"/>
    <x v="0"/>
    <x v="5"/>
    <n v="5"/>
    <n v="615"/>
    <n v="5"/>
    <n v="2921.25"/>
    <n v="1943.44"/>
    <n v="977.81"/>
    <x v="5"/>
    <x v="0"/>
    <n v="0.33472314933675651"/>
  </r>
  <r>
    <n v="1763"/>
    <d v="2024-07-09T00:00:00"/>
    <x v="2"/>
    <x v="1"/>
    <x v="16"/>
    <x v="3"/>
    <n v="1"/>
    <n v="618"/>
    <n v="10"/>
    <n v="556.20000000000005"/>
    <n v="431.27"/>
    <n v="124.93"/>
    <x v="5"/>
    <x v="0"/>
    <n v="0.22461344839985617"/>
  </r>
  <r>
    <n v="1764"/>
    <d v="2024-10-27T00:00:00"/>
    <x v="0"/>
    <x v="3"/>
    <x v="15"/>
    <x v="5"/>
    <n v="4"/>
    <n v="976"/>
    <n v="10"/>
    <n v="3513.6"/>
    <n v="2271"/>
    <n v="1242.5999999999999"/>
    <x v="1"/>
    <x v="0"/>
    <n v="0.35365437158469942"/>
  </r>
  <r>
    <n v="1765"/>
    <d v="2023-08-12T00:00:00"/>
    <x v="3"/>
    <x v="2"/>
    <x v="3"/>
    <x v="4"/>
    <n v="9"/>
    <n v="743"/>
    <n v="5"/>
    <n v="6352.65"/>
    <n v="4213.54"/>
    <n v="2139.11"/>
    <x v="2"/>
    <x v="1"/>
    <n v="0.33672719258891964"/>
  </r>
  <r>
    <n v="1766"/>
    <d v="2024-02-07T00:00:00"/>
    <x v="2"/>
    <x v="2"/>
    <x v="3"/>
    <x v="5"/>
    <n v="10"/>
    <n v="72"/>
    <n v="0"/>
    <n v="720"/>
    <n v="413.37"/>
    <n v="306.63"/>
    <x v="9"/>
    <x v="0"/>
    <n v="0.425875"/>
  </r>
  <r>
    <n v="1767"/>
    <d v="2024-05-30T00:00:00"/>
    <x v="1"/>
    <x v="0"/>
    <x v="1"/>
    <x v="0"/>
    <n v="5"/>
    <n v="405"/>
    <n v="0"/>
    <n v="2025"/>
    <n v="1185.96"/>
    <n v="839.04"/>
    <x v="7"/>
    <x v="0"/>
    <n v="0.41434074074074073"/>
  </r>
  <r>
    <n v="1768"/>
    <d v="2024-05-11T00:00:00"/>
    <x v="1"/>
    <x v="1"/>
    <x v="5"/>
    <x v="2"/>
    <n v="8"/>
    <n v="484"/>
    <n v="15"/>
    <n v="3291.2"/>
    <n v="2316.9699999999998"/>
    <n v="974.23"/>
    <x v="7"/>
    <x v="0"/>
    <n v="0.29601057365094802"/>
  </r>
  <r>
    <n v="1769"/>
    <d v="2023-08-22T00:00:00"/>
    <x v="0"/>
    <x v="3"/>
    <x v="11"/>
    <x v="3"/>
    <n v="3"/>
    <n v="211"/>
    <n v="20"/>
    <n v="506.4"/>
    <n v="305.68"/>
    <n v="200.72"/>
    <x v="2"/>
    <x v="1"/>
    <n v="0.39636650868878359"/>
  </r>
  <r>
    <n v="1770"/>
    <d v="2024-06-02T00:00:00"/>
    <x v="3"/>
    <x v="4"/>
    <x v="8"/>
    <x v="1"/>
    <n v="1"/>
    <n v="158"/>
    <n v="10"/>
    <n v="142.19999999999999"/>
    <n v="99.01"/>
    <n v="43.19"/>
    <x v="4"/>
    <x v="0"/>
    <n v="0.30372714486638536"/>
  </r>
  <r>
    <n v="1771"/>
    <d v="2024-05-24T00:00:00"/>
    <x v="2"/>
    <x v="4"/>
    <x v="18"/>
    <x v="2"/>
    <n v="8"/>
    <n v="264"/>
    <n v="0"/>
    <n v="2112"/>
    <n v="1467.26"/>
    <n v="644.74"/>
    <x v="7"/>
    <x v="0"/>
    <n v="0.30527462121212123"/>
  </r>
  <r>
    <n v="1772"/>
    <d v="2024-12-04T00:00:00"/>
    <x v="1"/>
    <x v="2"/>
    <x v="17"/>
    <x v="4"/>
    <n v="5"/>
    <n v="559"/>
    <n v="0"/>
    <n v="2795"/>
    <n v="1774.17"/>
    <n v="1020.83"/>
    <x v="6"/>
    <x v="0"/>
    <n v="0.36523434704830054"/>
  </r>
  <r>
    <n v="1773"/>
    <d v="2024-05-21T00:00:00"/>
    <x v="0"/>
    <x v="2"/>
    <x v="10"/>
    <x v="2"/>
    <n v="1"/>
    <n v="886"/>
    <n v="0"/>
    <n v="886"/>
    <n v="615.91999999999996"/>
    <n v="270.08"/>
    <x v="7"/>
    <x v="0"/>
    <n v="0.30483069977426636"/>
  </r>
  <r>
    <n v="1774"/>
    <d v="2023-11-06T00:00:00"/>
    <x v="2"/>
    <x v="2"/>
    <x v="17"/>
    <x v="0"/>
    <n v="3"/>
    <n v="201"/>
    <n v="20"/>
    <n v="482.4"/>
    <n v="318.98"/>
    <n v="163.41999999999999"/>
    <x v="3"/>
    <x v="1"/>
    <n v="0.33876451077943615"/>
  </r>
  <r>
    <n v="1775"/>
    <d v="2024-03-11T00:00:00"/>
    <x v="3"/>
    <x v="1"/>
    <x v="16"/>
    <x v="4"/>
    <n v="6"/>
    <n v="236"/>
    <n v="15"/>
    <n v="1203.5999999999999"/>
    <n v="679.71"/>
    <n v="523.89"/>
    <x v="8"/>
    <x v="0"/>
    <n v="0.43526919242273182"/>
  </r>
  <r>
    <n v="1776"/>
    <d v="2024-11-07T00:00:00"/>
    <x v="3"/>
    <x v="3"/>
    <x v="11"/>
    <x v="3"/>
    <n v="8"/>
    <n v="960"/>
    <n v="10"/>
    <n v="6912"/>
    <n v="3968.06"/>
    <n v="2943.94"/>
    <x v="3"/>
    <x v="0"/>
    <n v="0.4259172453703704"/>
  </r>
  <r>
    <n v="1777"/>
    <d v="2023-07-23T00:00:00"/>
    <x v="1"/>
    <x v="4"/>
    <x v="18"/>
    <x v="2"/>
    <n v="9"/>
    <n v="539"/>
    <n v="10"/>
    <n v="4365.8999999999996"/>
    <n v="3039.94"/>
    <n v="1325.96"/>
    <x v="5"/>
    <x v="1"/>
    <n v="0.30370828466066563"/>
  </r>
  <r>
    <n v="1778"/>
    <d v="2023-09-20T00:00:00"/>
    <x v="2"/>
    <x v="0"/>
    <x v="0"/>
    <x v="3"/>
    <n v="2"/>
    <n v="481"/>
    <n v="5"/>
    <n v="913.9"/>
    <n v="665.16"/>
    <n v="248.74"/>
    <x v="0"/>
    <x v="1"/>
    <n v="0.27217419848998797"/>
  </r>
  <r>
    <n v="1779"/>
    <d v="2024-03-20T00:00:00"/>
    <x v="3"/>
    <x v="1"/>
    <x v="7"/>
    <x v="1"/>
    <n v="1"/>
    <n v="389"/>
    <n v="15"/>
    <n v="330.65"/>
    <n v="203.74"/>
    <n v="126.91"/>
    <x v="8"/>
    <x v="0"/>
    <n v="0.38381974897928323"/>
  </r>
  <r>
    <n v="1780"/>
    <d v="2023-07-21T00:00:00"/>
    <x v="0"/>
    <x v="4"/>
    <x v="9"/>
    <x v="3"/>
    <n v="1"/>
    <n v="891"/>
    <n v="10"/>
    <n v="801.9"/>
    <n v="565.29999999999995"/>
    <n v="236.6"/>
    <x v="5"/>
    <x v="1"/>
    <n v="0.29504925801222098"/>
  </r>
  <r>
    <n v="1781"/>
    <d v="2023-07-15T00:00:00"/>
    <x v="3"/>
    <x v="4"/>
    <x v="18"/>
    <x v="2"/>
    <n v="9"/>
    <n v="764"/>
    <n v="10"/>
    <n v="6188.4"/>
    <n v="3185.27"/>
    <n v="3003.13"/>
    <x v="5"/>
    <x v="1"/>
    <n v="0.4852837567060953"/>
  </r>
  <r>
    <n v="1782"/>
    <d v="2024-02-20T00:00:00"/>
    <x v="3"/>
    <x v="1"/>
    <x v="2"/>
    <x v="0"/>
    <n v="10"/>
    <n v="798"/>
    <n v="15"/>
    <n v="6783"/>
    <n v="3408.4"/>
    <n v="3374.6"/>
    <x v="9"/>
    <x v="0"/>
    <n v="0.49750847707504053"/>
  </r>
  <r>
    <n v="1783"/>
    <d v="2024-11-23T00:00:00"/>
    <x v="3"/>
    <x v="3"/>
    <x v="15"/>
    <x v="4"/>
    <n v="9"/>
    <n v="810"/>
    <n v="10"/>
    <n v="6561"/>
    <n v="3417.46"/>
    <n v="3143.54"/>
    <x v="3"/>
    <x v="0"/>
    <n v="0.47912513336381651"/>
  </r>
  <r>
    <n v="1784"/>
    <d v="2023-02-19T00:00:00"/>
    <x v="3"/>
    <x v="4"/>
    <x v="18"/>
    <x v="2"/>
    <n v="4"/>
    <n v="718"/>
    <n v="0"/>
    <n v="2872"/>
    <n v="1788.42"/>
    <n v="1083.58"/>
    <x v="9"/>
    <x v="1"/>
    <n v="0.37729108635097491"/>
  </r>
  <r>
    <n v="1785"/>
    <d v="2023-01-18T00:00:00"/>
    <x v="3"/>
    <x v="2"/>
    <x v="6"/>
    <x v="0"/>
    <n v="6"/>
    <n v="398"/>
    <n v="5"/>
    <n v="2268.6"/>
    <n v="1801.13"/>
    <n v="467.47"/>
    <x v="11"/>
    <x v="1"/>
    <n v="0.20606100678832762"/>
  </r>
  <r>
    <n v="1786"/>
    <d v="2024-04-22T00:00:00"/>
    <x v="2"/>
    <x v="2"/>
    <x v="17"/>
    <x v="4"/>
    <n v="9"/>
    <n v="543"/>
    <n v="5"/>
    <n v="4642.6499999999996"/>
    <n v="3252.49"/>
    <n v="1390.16"/>
    <x v="10"/>
    <x v="0"/>
    <n v="0.2994324362163851"/>
  </r>
  <r>
    <n v="1787"/>
    <d v="2023-02-09T00:00:00"/>
    <x v="3"/>
    <x v="2"/>
    <x v="10"/>
    <x v="5"/>
    <n v="5"/>
    <n v="879"/>
    <n v="15"/>
    <n v="3735.75"/>
    <n v="2616.79"/>
    <n v="1118.96"/>
    <x v="9"/>
    <x v="1"/>
    <n v="0.29952753797764842"/>
  </r>
  <r>
    <n v="1788"/>
    <d v="2024-09-01T00:00:00"/>
    <x v="3"/>
    <x v="3"/>
    <x v="11"/>
    <x v="4"/>
    <n v="2"/>
    <n v="508"/>
    <n v="0"/>
    <n v="1016"/>
    <n v="547.17999999999995"/>
    <n v="468.82"/>
    <x v="0"/>
    <x v="0"/>
    <n v="0.46143700787401576"/>
  </r>
  <r>
    <n v="1789"/>
    <d v="2023-07-06T00:00:00"/>
    <x v="3"/>
    <x v="1"/>
    <x v="7"/>
    <x v="5"/>
    <n v="8"/>
    <n v="244"/>
    <n v="10"/>
    <n v="1756.8"/>
    <n v="909.74"/>
    <n v="847.06"/>
    <x v="5"/>
    <x v="1"/>
    <n v="0.48216074681238613"/>
  </r>
  <r>
    <n v="1790"/>
    <d v="2023-01-10T00:00:00"/>
    <x v="1"/>
    <x v="3"/>
    <x v="11"/>
    <x v="3"/>
    <n v="4"/>
    <n v="251"/>
    <n v="5"/>
    <n v="953.8"/>
    <n v="489.18"/>
    <n v="464.62"/>
    <x v="11"/>
    <x v="1"/>
    <n v="0.48712518347661987"/>
  </r>
  <r>
    <n v="1791"/>
    <d v="2023-03-31T00:00:00"/>
    <x v="1"/>
    <x v="2"/>
    <x v="10"/>
    <x v="2"/>
    <n v="2"/>
    <n v="471"/>
    <n v="0"/>
    <n v="942"/>
    <n v="502.81"/>
    <n v="439.19"/>
    <x v="8"/>
    <x v="1"/>
    <n v="0.46623142250530786"/>
  </r>
  <r>
    <n v="1792"/>
    <d v="2024-05-23T00:00:00"/>
    <x v="0"/>
    <x v="4"/>
    <x v="14"/>
    <x v="3"/>
    <n v="1"/>
    <n v="680"/>
    <n v="5"/>
    <n v="646"/>
    <n v="374.41"/>
    <n v="271.58999999999997"/>
    <x v="7"/>
    <x v="0"/>
    <n v="0.42041795665634674"/>
  </r>
  <r>
    <n v="1793"/>
    <d v="2024-02-23T00:00:00"/>
    <x v="1"/>
    <x v="1"/>
    <x v="2"/>
    <x v="1"/>
    <n v="1"/>
    <n v="246"/>
    <n v="0"/>
    <n v="246"/>
    <n v="152.66999999999999"/>
    <n v="93.33"/>
    <x v="9"/>
    <x v="0"/>
    <n v="0.37939024390243903"/>
  </r>
  <r>
    <n v="1794"/>
    <d v="2024-05-26T00:00:00"/>
    <x v="1"/>
    <x v="0"/>
    <x v="0"/>
    <x v="5"/>
    <n v="3"/>
    <n v="701"/>
    <n v="0"/>
    <n v="2103"/>
    <n v="1591.83"/>
    <n v="511.17"/>
    <x v="7"/>
    <x v="0"/>
    <n v="0.24306704707560628"/>
  </r>
  <r>
    <n v="1795"/>
    <d v="2024-02-17T00:00:00"/>
    <x v="3"/>
    <x v="2"/>
    <x v="10"/>
    <x v="1"/>
    <n v="10"/>
    <n v="651"/>
    <n v="0"/>
    <n v="6510"/>
    <n v="3774.31"/>
    <n v="2735.69"/>
    <x v="9"/>
    <x v="0"/>
    <n v="0.42022887864823349"/>
  </r>
  <r>
    <n v="1796"/>
    <d v="2024-10-09T00:00:00"/>
    <x v="0"/>
    <x v="4"/>
    <x v="8"/>
    <x v="0"/>
    <n v="2"/>
    <n v="174"/>
    <n v="5"/>
    <n v="330.6"/>
    <n v="236.92"/>
    <n v="93.68"/>
    <x v="1"/>
    <x v="0"/>
    <n v="0.28336358136721113"/>
  </r>
  <r>
    <n v="1797"/>
    <d v="2023-12-01T00:00:00"/>
    <x v="3"/>
    <x v="4"/>
    <x v="18"/>
    <x v="0"/>
    <n v="9"/>
    <n v="839"/>
    <n v="15"/>
    <n v="6418.35"/>
    <n v="4296.6499999999996"/>
    <n v="2121.6999999999998"/>
    <x v="6"/>
    <x v="1"/>
    <n v="0.33056782506407406"/>
  </r>
  <r>
    <n v="1798"/>
    <d v="2023-11-16T00:00:00"/>
    <x v="0"/>
    <x v="1"/>
    <x v="2"/>
    <x v="3"/>
    <n v="3"/>
    <n v="398"/>
    <n v="5"/>
    <n v="1134.3"/>
    <n v="605.73"/>
    <n v="528.57000000000005"/>
    <x v="3"/>
    <x v="1"/>
    <n v="0.46598783390637405"/>
  </r>
  <r>
    <n v="1799"/>
    <d v="2024-01-17T00:00:00"/>
    <x v="2"/>
    <x v="4"/>
    <x v="9"/>
    <x v="5"/>
    <n v="9"/>
    <n v="884"/>
    <n v="15"/>
    <n v="6762.6"/>
    <n v="4821.72"/>
    <n v="1940.88"/>
    <x v="11"/>
    <x v="0"/>
    <n v="0.28700204063525864"/>
  </r>
  <r>
    <n v="1800"/>
    <d v="2024-08-02T00:00:00"/>
    <x v="1"/>
    <x v="1"/>
    <x v="16"/>
    <x v="1"/>
    <n v="3"/>
    <n v="552"/>
    <n v="10"/>
    <n v="1490.4"/>
    <n v="1168.1500000000001"/>
    <n v="322.25"/>
    <x v="2"/>
    <x v="0"/>
    <n v="0.21621712292002146"/>
  </r>
  <r>
    <n v="1801"/>
    <d v="2023-10-20T00:00:00"/>
    <x v="0"/>
    <x v="4"/>
    <x v="18"/>
    <x v="1"/>
    <n v="1"/>
    <n v="262"/>
    <n v="5"/>
    <n v="248.9"/>
    <n v="158.69"/>
    <n v="90.21"/>
    <x v="1"/>
    <x v="1"/>
    <n v="0.36243471273603856"/>
  </r>
  <r>
    <n v="1802"/>
    <d v="2023-05-06T00:00:00"/>
    <x v="3"/>
    <x v="1"/>
    <x v="5"/>
    <x v="3"/>
    <n v="9"/>
    <n v="853"/>
    <n v="10"/>
    <n v="6909.3"/>
    <n v="5169.46"/>
    <n v="1739.84"/>
    <x v="7"/>
    <x v="1"/>
    <n v="0.25181132676247953"/>
  </r>
  <r>
    <n v="1803"/>
    <d v="2024-12-07T00:00:00"/>
    <x v="1"/>
    <x v="4"/>
    <x v="14"/>
    <x v="3"/>
    <n v="5"/>
    <n v="451"/>
    <n v="20"/>
    <n v="1804"/>
    <n v="1077.81"/>
    <n v="726.19"/>
    <x v="6"/>
    <x v="0"/>
    <n v="0.40254434589800447"/>
  </r>
  <r>
    <n v="1804"/>
    <d v="2023-07-07T00:00:00"/>
    <x v="0"/>
    <x v="3"/>
    <x v="11"/>
    <x v="1"/>
    <n v="8"/>
    <n v="594"/>
    <n v="0"/>
    <n v="4752"/>
    <n v="3606.1"/>
    <n v="1145.9000000000001"/>
    <x v="5"/>
    <x v="1"/>
    <n v="0.24114057239057241"/>
  </r>
  <r>
    <n v="1805"/>
    <d v="2023-03-06T00:00:00"/>
    <x v="0"/>
    <x v="4"/>
    <x v="9"/>
    <x v="1"/>
    <n v="8"/>
    <n v="158"/>
    <n v="20"/>
    <n v="1011.2"/>
    <n v="530.01"/>
    <n v="481.19"/>
    <x v="8"/>
    <x v="1"/>
    <n v="0.47586036392405062"/>
  </r>
  <r>
    <n v="1806"/>
    <d v="2023-01-07T00:00:00"/>
    <x v="1"/>
    <x v="1"/>
    <x v="5"/>
    <x v="1"/>
    <n v="5"/>
    <n v="951"/>
    <n v="15"/>
    <n v="4041.75"/>
    <n v="3008.3"/>
    <n v="1033.45"/>
    <x v="11"/>
    <x v="1"/>
    <n v="0.25569369703717448"/>
  </r>
  <r>
    <n v="1807"/>
    <d v="2023-01-02T00:00:00"/>
    <x v="3"/>
    <x v="4"/>
    <x v="8"/>
    <x v="3"/>
    <n v="10"/>
    <n v="129"/>
    <n v="10"/>
    <n v="1161"/>
    <n v="814.16"/>
    <n v="346.84"/>
    <x v="11"/>
    <x v="1"/>
    <n v="0.29874246339362615"/>
  </r>
  <r>
    <n v="1808"/>
    <d v="2024-09-20T00:00:00"/>
    <x v="0"/>
    <x v="2"/>
    <x v="3"/>
    <x v="0"/>
    <n v="10"/>
    <n v="87"/>
    <n v="20"/>
    <n v="696"/>
    <n v="413.82"/>
    <n v="282.18"/>
    <x v="0"/>
    <x v="0"/>
    <n v="0.40543103448275863"/>
  </r>
  <r>
    <n v="1809"/>
    <d v="2024-07-20T00:00:00"/>
    <x v="0"/>
    <x v="2"/>
    <x v="3"/>
    <x v="1"/>
    <n v="2"/>
    <n v="48"/>
    <n v="15"/>
    <n v="81.599999999999994"/>
    <n v="48.41"/>
    <n v="33.19"/>
    <x v="5"/>
    <x v="0"/>
    <n v="0.40674019607843137"/>
  </r>
  <r>
    <n v="1810"/>
    <d v="2024-09-25T00:00:00"/>
    <x v="2"/>
    <x v="0"/>
    <x v="13"/>
    <x v="1"/>
    <n v="8"/>
    <n v="146"/>
    <n v="20"/>
    <n v="934.4"/>
    <n v="489.03"/>
    <n v="445.37"/>
    <x v="0"/>
    <x v="0"/>
    <n v="0.47663741438356166"/>
  </r>
  <r>
    <n v="1811"/>
    <d v="2023-10-23T00:00:00"/>
    <x v="1"/>
    <x v="4"/>
    <x v="18"/>
    <x v="1"/>
    <n v="7"/>
    <n v="581"/>
    <n v="10"/>
    <n v="3660.3"/>
    <n v="2282.4699999999998"/>
    <n v="1377.83"/>
    <x v="1"/>
    <x v="1"/>
    <n v="0.3764254296095948"/>
  </r>
  <r>
    <n v="1812"/>
    <d v="2023-08-04T00:00:00"/>
    <x v="1"/>
    <x v="2"/>
    <x v="6"/>
    <x v="5"/>
    <n v="10"/>
    <n v="580"/>
    <n v="0"/>
    <n v="5800"/>
    <n v="4528.38"/>
    <n v="1271.6199999999999"/>
    <x v="2"/>
    <x v="1"/>
    <n v="0.21924482758620686"/>
  </r>
  <r>
    <n v="1813"/>
    <d v="2024-05-12T00:00:00"/>
    <x v="3"/>
    <x v="1"/>
    <x v="2"/>
    <x v="3"/>
    <n v="4"/>
    <n v="810"/>
    <n v="0"/>
    <n v="3240"/>
    <n v="2002.4"/>
    <n v="1237.5999999999999"/>
    <x v="7"/>
    <x v="0"/>
    <n v="0.38197530864197526"/>
  </r>
  <r>
    <n v="1814"/>
    <d v="2023-12-28T00:00:00"/>
    <x v="1"/>
    <x v="2"/>
    <x v="6"/>
    <x v="3"/>
    <n v="7"/>
    <n v="224"/>
    <n v="15"/>
    <n v="1332.8"/>
    <n v="802.21"/>
    <n v="530.59"/>
    <x v="6"/>
    <x v="1"/>
    <n v="0.39810174069627857"/>
  </r>
  <r>
    <n v="1815"/>
    <d v="2023-03-25T00:00:00"/>
    <x v="3"/>
    <x v="4"/>
    <x v="9"/>
    <x v="4"/>
    <n v="1"/>
    <n v="199"/>
    <n v="20"/>
    <n v="159.19999999999999"/>
    <n v="121.46"/>
    <n v="37.74"/>
    <x v="8"/>
    <x v="1"/>
    <n v="0.23706030150753771"/>
  </r>
  <r>
    <n v="1816"/>
    <d v="2023-04-30T00:00:00"/>
    <x v="1"/>
    <x v="1"/>
    <x v="5"/>
    <x v="5"/>
    <n v="3"/>
    <n v="273"/>
    <n v="5"/>
    <n v="778.05"/>
    <n v="426.9"/>
    <n v="351.15"/>
    <x v="10"/>
    <x v="1"/>
    <n v="0.45132060921534606"/>
  </r>
  <r>
    <n v="1817"/>
    <d v="2023-09-09T00:00:00"/>
    <x v="0"/>
    <x v="0"/>
    <x v="1"/>
    <x v="4"/>
    <n v="7"/>
    <n v="941"/>
    <n v="10"/>
    <n v="5928.3"/>
    <n v="4738.01"/>
    <n v="1190.29"/>
    <x v="0"/>
    <x v="1"/>
    <n v="0.20078099961203041"/>
  </r>
  <r>
    <n v="1818"/>
    <d v="2024-07-23T00:00:00"/>
    <x v="2"/>
    <x v="1"/>
    <x v="5"/>
    <x v="4"/>
    <n v="2"/>
    <n v="407"/>
    <n v="20"/>
    <n v="651.20000000000005"/>
    <n v="440.15"/>
    <n v="211.05"/>
    <x v="5"/>
    <x v="0"/>
    <n v="0.32409398034398035"/>
  </r>
  <r>
    <n v="1819"/>
    <d v="2024-04-12T00:00:00"/>
    <x v="1"/>
    <x v="3"/>
    <x v="19"/>
    <x v="5"/>
    <n v="9"/>
    <n v="543"/>
    <n v="20"/>
    <n v="3909.6"/>
    <n v="2664.22"/>
    <n v="1245.3800000000001"/>
    <x v="10"/>
    <x v="0"/>
    <n v="0.31854409658277066"/>
  </r>
  <r>
    <n v="1820"/>
    <d v="2024-10-03T00:00:00"/>
    <x v="0"/>
    <x v="1"/>
    <x v="2"/>
    <x v="4"/>
    <n v="3"/>
    <n v="287"/>
    <n v="10"/>
    <n v="774.9"/>
    <n v="490.41"/>
    <n v="284.49"/>
    <x v="1"/>
    <x v="0"/>
    <n v="0.36713124274099884"/>
  </r>
  <r>
    <n v="1821"/>
    <d v="2023-06-20T00:00:00"/>
    <x v="2"/>
    <x v="4"/>
    <x v="18"/>
    <x v="0"/>
    <n v="5"/>
    <n v="920"/>
    <n v="10"/>
    <n v="4140"/>
    <n v="2463.19"/>
    <n v="1676.81"/>
    <x v="4"/>
    <x v="1"/>
    <n v="0.40502657004830916"/>
  </r>
  <r>
    <n v="1822"/>
    <d v="2024-07-31T00:00:00"/>
    <x v="0"/>
    <x v="2"/>
    <x v="17"/>
    <x v="0"/>
    <n v="1"/>
    <n v="152"/>
    <n v="5"/>
    <n v="144.4"/>
    <n v="103.7"/>
    <n v="40.700000000000003"/>
    <x v="5"/>
    <x v="0"/>
    <n v="0.28185595567867039"/>
  </r>
  <r>
    <n v="1823"/>
    <d v="2023-02-14T00:00:00"/>
    <x v="3"/>
    <x v="2"/>
    <x v="6"/>
    <x v="3"/>
    <n v="7"/>
    <n v="480"/>
    <n v="5"/>
    <n v="3192"/>
    <n v="2391.4"/>
    <n v="800.6"/>
    <x v="9"/>
    <x v="1"/>
    <n v="0.25081453634085216"/>
  </r>
  <r>
    <n v="1824"/>
    <d v="2024-02-09T00:00:00"/>
    <x v="2"/>
    <x v="0"/>
    <x v="0"/>
    <x v="5"/>
    <n v="3"/>
    <n v="717"/>
    <n v="15"/>
    <n v="1828.35"/>
    <n v="944.8"/>
    <n v="883.55"/>
    <x v="9"/>
    <x v="0"/>
    <n v="0.48324992479558071"/>
  </r>
  <r>
    <n v="1825"/>
    <d v="2024-11-04T00:00:00"/>
    <x v="1"/>
    <x v="0"/>
    <x v="0"/>
    <x v="0"/>
    <n v="10"/>
    <n v="853"/>
    <n v="0"/>
    <n v="8530"/>
    <n v="5061.66"/>
    <n v="3468.34"/>
    <x v="3"/>
    <x v="0"/>
    <n v="0.40660492379835877"/>
  </r>
  <r>
    <n v="1826"/>
    <d v="2023-05-30T00:00:00"/>
    <x v="1"/>
    <x v="3"/>
    <x v="19"/>
    <x v="2"/>
    <n v="1"/>
    <n v="505"/>
    <n v="10"/>
    <n v="454.5"/>
    <n v="304.79000000000002"/>
    <n v="149.71"/>
    <x v="7"/>
    <x v="1"/>
    <n v="0.32939493949394943"/>
  </r>
  <r>
    <n v="1827"/>
    <d v="2024-06-15T00:00:00"/>
    <x v="2"/>
    <x v="2"/>
    <x v="6"/>
    <x v="3"/>
    <n v="10"/>
    <n v="502"/>
    <n v="20"/>
    <n v="4016"/>
    <n v="2040"/>
    <n v="1976"/>
    <x v="4"/>
    <x v="0"/>
    <n v="0.49203187250996017"/>
  </r>
  <r>
    <n v="1828"/>
    <d v="2024-08-12T00:00:00"/>
    <x v="1"/>
    <x v="2"/>
    <x v="17"/>
    <x v="0"/>
    <n v="6"/>
    <n v="173"/>
    <n v="0"/>
    <n v="1038"/>
    <n v="643.95000000000005"/>
    <n v="394.05"/>
    <x v="2"/>
    <x v="0"/>
    <n v="0.3796242774566474"/>
  </r>
  <r>
    <n v="1829"/>
    <d v="2023-02-13T00:00:00"/>
    <x v="1"/>
    <x v="0"/>
    <x v="12"/>
    <x v="2"/>
    <n v="9"/>
    <n v="407"/>
    <n v="20"/>
    <n v="2930.4"/>
    <n v="2235.77"/>
    <n v="694.63"/>
    <x v="9"/>
    <x v="1"/>
    <n v="0.23704272454272454"/>
  </r>
  <r>
    <n v="1830"/>
    <d v="2023-03-03T00:00:00"/>
    <x v="1"/>
    <x v="3"/>
    <x v="19"/>
    <x v="3"/>
    <n v="7"/>
    <n v="130"/>
    <n v="5"/>
    <n v="864.5"/>
    <n v="488.67"/>
    <n v="375.83"/>
    <x v="8"/>
    <x v="1"/>
    <n v="0.43473684210526314"/>
  </r>
  <r>
    <n v="1831"/>
    <d v="2023-09-08T00:00:00"/>
    <x v="2"/>
    <x v="4"/>
    <x v="14"/>
    <x v="3"/>
    <n v="1"/>
    <n v="941"/>
    <n v="15"/>
    <n v="799.85"/>
    <n v="478.42"/>
    <n v="321.43"/>
    <x v="0"/>
    <x v="1"/>
    <n v="0.40186284928424082"/>
  </r>
  <r>
    <n v="1832"/>
    <d v="2024-07-30T00:00:00"/>
    <x v="0"/>
    <x v="1"/>
    <x v="16"/>
    <x v="2"/>
    <n v="9"/>
    <n v="387"/>
    <n v="10"/>
    <n v="3134.7"/>
    <n v="1642.21"/>
    <n v="1492.49"/>
    <x v="5"/>
    <x v="0"/>
    <n v="0.47611892685105434"/>
  </r>
  <r>
    <n v="1833"/>
    <d v="2024-03-25T00:00:00"/>
    <x v="1"/>
    <x v="4"/>
    <x v="9"/>
    <x v="5"/>
    <n v="7"/>
    <n v="141"/>
    <n v="5"/>
    <n v="937.65"/>
    <n v="683.04"/>
    <n v="254.61"/>
    <x v="8"/>
    <x v="0"/>
    <n v="0.27154055351143819"/>
  </r>
  <r>
    <n v="1834"/>
    <d v="2024-06-09T00:00:00"/>
    <x v="2"/>
    <x v="0"/>
    <x v="13"/>
    <x v="1"/>
    <n v="10"/>
    <n v="83"/>
    <n v="20"/>
    <n v="664"/>
    <n v="371.74"/>
    <n v="292.26"/>
    <x v="4"/>
    <x v="0"/>
    <n v="0.44015060240963855"/>
  </r>
  <r>
    <n v="1835"/>
    <d v="2024-05-29T00:00:00"/>
    <x v="1"/>
    <x v="4"/>
    <x v="18"/>
    <x v="3"/>
    <n v="6"/>
    <n v="199"/>
    <n v="15"/>
    <n v="1014.9"/>
    <n v="527.87"/>
    <n v="487.03"/>
    <x v="7"/>
    <x v="0"/>
    <n v="0.47987979111242485"/>
  </r>
  <r>
    <n v="1836"/>
    <d v="2023-04-15T00:00:00"/>
    <x v="2"/>
    <x v="0"/>
    <x v="0"/>
    <x v="5"/>
    <n v="5"/>
    <n v="478"/>
    <n v="15"/>
    <n v="2031.5"/>
    <n v="1265.3900000000001"/>
    <n v="766.11"/>
    <x v="10"/>
    <x v="1"/>
    <n v="0.37711543194683733"/>
  </r>
  <r>
    <n v="1837"/>
    <d v="2024-09-17T00:00:00"/>
    <x v="2"/>
    <x v="4"/>
    <x v="14"/>
    <x v="0"/>
    <n v="4"/>
    <n v="462"/>
    <n v="0"/>
    <n v="1848"/>
    <n v="1468.04"/>
    <n v="379.96"/>
    <x v="0"/>
    <x v="0"/>
    <n v="0.2056060606060606"/>
  </r>
  <r>
    <n v="1838"/>
    <d v="2023-04-02T00:00:00"/>
    <x v="3"/>
    <x v="1"/>
    <x v="2"/>
    <x v="0"/>
    <n v="3"/>
    <n v="382"/>
    <n v="0"/>
    <n v="1146"/>
    <n v="883.15"/>
    <n v="262.85000000000002"/>
    <x v="10"/>
    <x v="1"/>
    <n v="0.22936300174520072"/>
  </r>
  <r>
    <n v="1839"/>
    <d v="2024-12-13T00:00:00"/>
    <x v="3"/>
    <x v="1"/>
    <x v="7"/>
    <x v="5"/>
    <n v="9"/>
    <n v="625"/>
    <n v="10"/>
    <n v="5062.5"/>
    <n v="3723.18"/>
    <n v="1339.32"/>
    <x v="6"/>
    <x v="0"/>
    <n v="0.26455703703703703"/>
  </r>
  <r>
    <n v="1840"/>
    <d v="2024-12-29T00:00:00"/>
    <x v="0"/>
    <x v="1"/>
    <x v="16"/>
    <x v="5"/>
    <n v="9"/>
    <n v="443"/>
    <n v="5"/>
    <n v="3787.65"/>
    <n v="2582.86"/>
    <n v="1204.79"/>
    <x v="6"/>
    <x v="0"/>
    <n v="0.31808377225984447"/>
  </r>
  <r>
    <n v="1841"/>
    <d v="2023-09-19T00:00:00"/>
    <x v="2"/>
    <x v="0"/>
    <x v="0"/>
    <x v="2"/>
    <n v="1"/>
    <n v="687"/>
    <n v="15"/>
    <n v="583.95000000000005"/>
    <n v="292.36"/>
    <n v="291.58999999999997"/>
    <x v="0"/>
    <x v="1"/>
    <n v="0.49934069697748085"/>
  </r>
  <r>
    <n v="1842"/>
    <d v="2023-05-14T00:00:00"/>
    <x v="2"/>
    <x v="4"/>
    <x v="8"/>
    <x v="0"/>
    <n v="2"/>
    <n v="706"/>
    <n v="0"/>
    <n v="1412"/>
    <n v="874.84"/>
    <n v="537.16"/>
    <x v="7"/>
    <x v="1"/>
    <n v="0.38042492917847021"/>
  </r>
  <r>
    <n v="1843"/>
    <d v="2023-08-01T00:00:00"/>
    <x v="3"/>
    <x v="1"/>
    <x v="2"/>
    <x v="4"/>
    <n v="10"/>
    <n v="448"/>
    <n v="10"/>
    <n v="4032"/>
    <n v="2671.79"/>
    <n v="1360.21"/>
    <x v="2"/>
    <x v="1"/>
    <n v="0.33735367063492067"/>
  </r>
  <r>
    <n v="1844"/>
    <d v="2023-09-09T00:00:00"/>
    <x v="3"/>
    <x v="2"/>
    <x v="6"/>
    <x v="4"/>
    <n v="1"/>
    <n v="498"/>
    <n v="10"/>
    <n v="448.2"/>
    <n v="355.1"/>
    <n v="93.1"/>
    <x v="0"/>
    <x v="1"/>
    <n v="0.2077197679607318"/>
  </r>
  <r>
    <n v="1845"/>
    <d v="2023-07-17T00:00:00"/>
    <x v="2"/>
    <x v="3"/>
    <x v="11"/>
    <x v="3"/>
    <n v="1"/>
    <n v="424"/>
    <n v="15"/>
    <n v="360.4"/>
    <n v="267.16000000000003"/>
    <n v="93.24"/>
    <x v="5"/>
    <x v="1"/>
    <n v="0.25871254162042173"/>
  </r>
  <r>
    <n v="1846"/>
    <d v="2023-04-16T00:00:00"/>
    <x v="2"/>
    <x v="2"/>
    <x v="17"/>
    <x v="1"/>
    <n v="4"/>
    <n v="414"/>
    <n v="15"/>
    <n v="1407.6"/>
    <n v="910.81"/>
    <n v="496.79"/>
    <x v="10"/>
    <x v="1"/>
    <n v="0.35293407217959649"/>
  </r>
  <r>
    <n v="1847"/>
    <d v="2024-05-24T00:00:00"/>
    <x v="1"/>
    <x v="3"/>
    <x v="19"/>
    <x v="2"/>
    <n v="7"/>
    <n v="416"/>
    <n v="5"/>
    <n v="2766.4"/>
    <n v="1720.42"/>
    <n v="1045.98"/>
    <x v="7"/>
    <x v="0"/>
    <n v="0.37810150375939849"/>
  </r>
  <r>
    <n v="1848"/>
    <d v="2023-05-14T00:00:00"/>
    <x v="1"/>
    <x v="0"/>
    <x v="13"/>
    <x v="0"/>
    <n v="9"/>
    <n v="657"/>
    <n v="20"/>
    <n v="4730.3999999999996"/>
    <n v="2659.4"/>
    <n v="2071"/>
    <x v="7"/>
    <x v="1"/>
    <n v="0.43780652798917641"/>
  </r>
  <r>
    <n v="1849"/>
    <d v="2023-09-30T00:00:00"/>
    <x v="3"/>
    <x v="1"/>
    <x v="16"/>
    <x v="4"/>
    <n v="2"/>
    <n v="712"/>
    <n v="0"/>
    <n v="1424"/>
    <n v="817.83"/>
    <n v="606.16999999999996"/>
    <x v="0"/>
    <x v="1"/>
    <n v="0.42568117977528086"/>
  </r>
  <r>
    <n v="1850"/>
    <d v="2024-06-22T00:00:00"/>
    <x v="0"/>
    <x v="1"/>
    <x v="16"/>
    <x v="2"/>
    <n v="10"/>
    <n v="495"/>
    <n v="15"/>
    <n v="4207.5"/>
    <n v="2836.14"/>
    <n v="1371.36"/>
    <x v="4"/>
    <x v="0"/>
    <n v="0.32593226381461671"/>
  </r>
  <r>
    <n v="1851"/>
    <d v="2023-03-11T00:00:00"/>
    <x v="1"/>
    <x v="4"/>
    <x v="18"/>
    <x v="0"/>
    <n v="10"/>
    <n v="402"/>
    <n v="5"/>
    <n v="3819"/>
    <n v="2858.01"/>
    <n v="960.99"/>
    <x v="8"/>
    <x v="1"/>
    <n v="0.25163393558523173"/>
  </r>
  <r>
    <n v="1852"/>
    <d v="2023-03-17T00:00:00"/>
    <x v="2"/>
    <x v="4"/>
    <x v="14"/>
    <x v="5"/>
    <n v="1"/>
    <n v="86"/>
    <n v="5"/>
    <n v="81.7"/>
    <n v="41.61"/>
    <n v="40.090000000000003"/>
    <x v="8"/>
    <x v="1"/>
    <n v="0.49069767441860468"/>
  </r>
  <r>
    <n v="1853"/>
    <d v="2024-11-29T00:00:00"/>
    <x v="1"/>
    <x v="1"/>
    <x v="2"/>
    <x v="5"/>
    <n v="2"/>
    <n v="950"/>
    <n v="10"/>
    <n v="1710"/>
    <n v="1105.95"/>
    <n v="604.04999999999995"/>
    <x v="3"/>
    <x v="0"/>
    <n v="0.3532456140350877"/>
  </r>
  <r>
    <n v="1854"/>
    <d v="2023-06-29T00:00:00"/>
    <x v="2"/>
    <x v="1"/>
    <x v="7"/>
    <x v="1"/>
    <n v="2"/>
    <n v="514"/>
    <n v="15"/>
    <n v="873.8"/>
    <n v="507.57"/>
    <n v="366.23"/>
    <x v="4"/>
    <x v="1"/>
    <n v="0.41912336919203486"/>
  </r>
  <r>
    <n v="1855"/>
    <d v="2024-07-01T00:00:00"/>
    <x v="1"/>
    <x v="1"/>
    <x v="2"/>
    <x v="1"/>
    <n v="8"/>
    <n v="103"/>
    <n v="20"/>
    <n v="659.2"/>
    <n v="483.56"/>
    <n v="175.64"/>
    <x v="5"/>
    <x v="0"/>
    <n v="0.26644417475728149"/>
  </r>
  <r>
    <n v="1856"/>
    <d v="2024-07-31T00:00:00"/>
    <x v="1"/>
    <x v="0"/>
    <x v="1"/>
    <x v="1"/>
    <n v="4"/>
    <n v="372"/>
    <n v="5"/>
    <n v="1413.6"/>
    <n v="892.83"/>
    <n v="520.77"/>
    <x v="5"/>
    <x v="0"/>
    <n v="0.3683998302207131"/>
  </r>
  <r>
    <n v="1857"/>
    <d v="2024-11-19T00:00:00"/>
    <x v="3"/>
    <x v="3"/>
    <x v="4"/>
    <x v="0"/>
    <n v="10"/>
    <n v="839"/>
    <n v="0"/>
    <n v="8390"/>
    <n v="5120.83"/>
    <n v="3269.17"/>
    <x v="3"/>
    <x v="0"/>
    <n v="0.38965077473182363"/>
  </r>
  <r>
    <n v="1858"/>
    <d v="2024-07-29T00:00:00"/>
    <x v="1"/>
    <x v="0"/>
    <x v="0"/>
    <x v="4"/>
    <n v="6"/>
    <n v="161"/>
    <n v="5"/>
    <n v="917.7"/>
    <n v="483.57"/>
    <n v="434.13"/>
    <x v="5"/>
    <x v="0"/>
    <n v="0.47306309251389339"/>
  </r>
  <r>
    <n v="1859"/>
    <d v="2024-08-06T00:00:00"/>
    <x v="2"/>
    <x v="2"/>
    <x v="3"/>
    <x v="4"/>
    <n v="8"/>
    <n v="847"/>
    <n v="5"/>
    <n v="6437.2"/>
    <n v="3467.84"/>
    <n v="2969.36"/>
    <x v="2"/>
    <x v="0"/>
    <n v="0.46128130242962784"/>
  </r>
  <r>
    <n v="1860"/>
    <d v="2024-05-22T00:00:00"/>
    <x v="0"/>
    <x v="2"/>
    <x v="10"/>
    <x v="5"/>
    <n v="1"/>
    <n v="125"/>
    <n v="0"/>
    <n v="125"/>
    <n v="69.78"/>
    <n v="55.22"/>
    <x v="7"/>
    <x v="0"/>
    <n v="0.44175999999999999"/>
  </r>
  <r>
    <n v="1861"/>
    <d v="2023-03-29T00:00:00"/>
    <x v="0"/>
    <x v="3"/>
    <x v="4"/>
    <x v="4"/>
    <n v="8"/>
    <n v="490"/>
    <n v="0"/>
    <n v="3920"/>
    <n v="3078.68"/>
    <n v="841.32"/>
    <x v="8"/>
    <x v="1"/>
    <n v="0.21462244897959185"/>
  </r>
  <r>
    <n v="1862"/>
    <d v="2023-06-01T00:00:00"/>
    <x v="3"/>
    <x v="4"/>
    <x v="14"/>
    <x v="2"/>
    <n v="2"/>
    <n v="200"/>
    <n v="20"/>
    <n v="320"/>
    <n v="187.63"/>
    <n v="132.37"/>
    <x v="4"/>
    <x v="1"/>
    <n v="0.41365625"/>
  </r>
  <r>
    <n v="1863"/>
    <d v="2024-01-03T00:00:00"/>
    <x v="3"/>
    <x v="1"/>
    <x v="7"/>
    <x v="4"/>
    <n v="9"/>
    <n v="463"/>
    <n v="0"/>
    <n v="4167"/>
    <n v="3305.17"/>
    <n v="861.83"/>
    <x v="11"/>
    <x v="0"/>
    <n v="0.20682265418766499"/>
  </r>
  <r>
    <n v="1864"/>
    <d v="2024-07-01T00:00:00"/>
    <x v="3"/>
    <x v="2"/>
    <x v="3"/>
    <x v="0"/>
    <n v="1"/>
    <n v="900"/>
    <n v="0"/>
    <n v="900"/>
    <n v="565.39"/>
    <n v="334.61"/>
    <x v="5"/>
    <x v="0"/>
    <n v="0.37178888888888889"/>
  </r>
  <r>
    <n v="1865"/>
    <d v="2023-02-18T00:00:00"/>
    <x v="3"/>
    <x v="1"/>
    <x v="7"/>
    <x v="3"/>
    <n v="10"/>
    <n v="706"/>
    <n v="20"/>
    <n v="5648"/>
    <n v="3193.9"/>
    <n v="2454.1"/>
    <x v="9"/>
    <x v="1"/>
    <n v="0.43450779036827192"/>
  </r>
  <r>
    <n v="1866"/>
    <d v="2024-04-18T00:00:00"/>
    <x v="2"/>
    <x v="2"/>
    <x v="6"/>
    <x v="2"/>
    <n v="4"/>
    <n v="492"/>
    <n v="15"/>
    <n v="1672.8"/>
    <n v="965.22"/>
    <n v="707.58"/>
    <x v="10"/>
    <x v="0"/>
    <n v="0.42299139167862271"/>
  </r>
  <r>
    <n v="1867"/>
    <d v="2024-08-18T00:00:00"/>
    <x v="3"/>
    <x v="4"/>
    <x v="8"/>
    <x v="4"/>
    <n v="9"/>
    <n v="334"/>
    <n v="0"/>
    <n v="3006"/>
    <n v="1701.73"/>
    <n v="1304.27"/>
    <x v="2"/>
    <x v="0"/>
    <n v="0.43388888888888888"/>
  </r>
  <r>
    <n v="1868"/>
    <d v="2023-08-28T00:00:00"/>
    <x v="3"/>
    <x v="0"/>
    <x v="13"/>
    <x v="1"/>
    <n v="4"/>
    <n v="307"/>
    <n v="5"/>
    <n v="1166.5999999999999"/>
    <n v="768.42"/>
    <n v="398.18"/>
    <x v="2"/>
    <x v="1"/>
    <n v="0.3413166466655238"/>
  </r>
  <r>
    <n v="1869"/>
    <d v="2023-09-30T00:00:00"/>
    <x v="3"/>
    <x v="2"/>
    <x v="6"/>
    <x v="2"/>
    <n v="5"/>
    <n v="553"/>
    <n v="5"/>
    <n v="2626.75"/>
    <n v="1840.74"/>
    <n v="786.01"/>
    <x v="0"/>
    <x v="1"/>
    <n v="0.29923289235747597"/>
  </r>
  <r>
    <n v="1870"/>
    <d v="2024-02-14T00:00:00"/>
    <x v="3"/>
    <x v="0"/>
    <x v="1"/>
    <x v="4"/>
    <n v="3"/>
    <n v="324"/>
    <n v="15"/>
    <n v="826.2"/>
    <n v="639.52"/>
    <n v="186.68"/>
    <x v="9"/>
    <x v="0"/>
    <n v="0.22595013313967563"/>
  </r>
  <r>
    <n v="1871"/>
    <d v="2023-05-06T00:00:00"/>
    <x v="0"/>
    <x v="1"/>
    <x v="5"/>
    <x v="2"/>
    <n v="6"/>
    <n v="958"/>
    <n v="10"/>
    <n v="5173.2"/>
    <n v="3059.94"/>
    <n v="2113.2600000000002"/>
    <x v="7"/>
    <x v="1"/>
    <n v="0.40850150777081889"/>
  </r>
  <r>
    <n v="1872"/>
    <d v="2023-01-25T00:00:00"/>
    <x v="2"/>
    <x v="1"/>
    <x v="16"/>
    <x v="2"/>
    <n v="2"/>
    <n v="716"/>
    <n v="0"/>
    <n v="1432"/>
    <n v="929.49"/>
    <n v="502.51"/>
    <x v="11"/>
    <x v="1"/>
    <n v="0.35091480446927376"/>
  </r>
  <r>
    <n v="1873"/>
    <d v="2024-07-16T00:00:00"/>
    <x v="0"/>
    <x v="2"/>
    <x v="6"/>
    <x v="5"/>
    <n v="8"/>
    <n v="952"/>
    <n v="5"/>
    <n v="7235.2"/>
    <n v="5522.78"/>
    <n v="1712.42"/>
    <x v="5"/>
    <x v="0"/>
    <n v="0.23667901371074748"/>
  </r>
  <r>
    <n v="1874"/>
    <d v="2024-07-16T00:00:00"/>
    <x v="2"/>
    <x v="0"/>
    <x v="12"/>
    <x v="0"/>
    <n v="8"/>
    <n v="245"/>
    <n v="10"/>
    <n v="1764"/>
    <n v="1074.97"/>
    <n v="689.03"/>
    <x v="5"/>
    <x v="0"/>
    <n v="0.39060657596371878"/>
  </r>
  <r>
    <n v="1875"/>
    <d v="2024-12-17T00:00:00"/>
    <x v="3"/>
    <x v="3"/>
    <x v="15"/>
    <x v="4"/>
    <n v="8"/>
    <n v="285"/>
    <n v="0"/>
    <n v="2280"/>
    <n v="1720.84"/>
    <n v="559.16"/>
    <x v="6"/>
    <x v="0"/>
    <n v="0.24524561403508771"/>
  </r>
  <r>
    <n v="1876"/>
    <d v="2024-08-15T00:00:00"/>
    <x v="1"/>
    <x v="1"/>
    <x v="5"/>
    <x v="1"/>
    <n v="1"/>
    <n v="176"/>
    <n v="15"/>
    <n v="149.6"/>
    <n v="101.57"/>
    <n v="48.03"/>
    <x v="2"/>
    <x v="0"/>
    <n v="0.32105614973262037"/>
  </r>
  <r>
    <n v="1877"/>
    <d v="2024-05-25T00:00:00"/>
    <x v="0"/>
    <x v="1"/>
    <x v="16"/>
    <x v="5"/>
    <n v="7"/>
    <n v="644"/>
    <n v="15"/>
    <n v="3831.8"/>
    <n v="2970.57"/>
    <n v="861.23"/>
    <x v="7"/>
    <x v="0"/>
    <n v="0.22475859909181062"/>
  </r>
  <r>
    <n v="1878"/>
    <d v="2024-01-21T00:00:00"/>
    <x v="2"/>
    <x v="3"/>
    <x v="19"/>
    <x v="5"/>
    <n v="1"/>
    <n v="393"/>
    <n v="15"/>
    <n v="334.05"/>
    <n v="222.54"/>
    <n v="111.51"/>
    <x v="11"/>
    <x v="0"/>
    <n v="0.33381230354737318"/>
  </r>
  <r>
    <n v="1879"/>
    <d v="2024-10-06T00:00:00"/>
    <x v="0"/>
    <x v="2"/>
    <x v="17"/>
    <x v="5"/>
    <n v="7"/>
    <n v="682"/>
    <n v="5"/>
    <n v="4535.3"/>
    <n v="3380.74"/>
    <n v="1154.56"/>
    <x v="1"/>
    <x v="0"/>
    <n v="0.25457191365510551"/>
  </r>
  <r>
    <n v="1880"/>
    <d v="2023-08-22T00:00:00"/>
    <x v="3"/>
    <x v="4"/>
    <x v="14"/>
    <x v="4"/>
    <n v="3"/>
    <n v="211"/>
    <n v="0"/>
    <n v="633"/>
    <n v="346.01"/>
    <n v="286.99"/>
    <x v="2"/>
    <x v="1"/>
    <n v="0.45338072669826224"/>
  </r>
  <r>
    <n v="1881"/>
    <d v="2023-05-07T00:00:00"/>
    <x v="2"/>
    <x v="1"/>
    <x v="5"/>
    <x v="5"/>
    <n v="8"/>
    <n v="271"/>
    <n v="10"/>
    <n v="1951.2"/>
    <n v="1125.3800000000001"/>
    <n v="825.82"/>
    <x v="7"/>
    <x v="1"/>
    <n v="0.42323698236982371"/>
  </r>
  <r>
    <n v="1882"/>
    <d v="2024-12-28T00:00:00"/>
    <x v="2"/>
    <x v="3"/>
    <x v="19"/>
    <x v="4"/>
    <n v="5"/>
    <n v="264"/>
    <n v="10"/>
    <n v="1188"/>
    <n v="922.23"/>
    <n v="265.77"/>
    <x v="6"/>
    <x v="0"/>
    <n v="0.2237121212121212"/>
  </r>
  <r>
    <n v="1883"/>
    <d v="2023-09-28T00:00:00"/>
    <x v="1"/>
    <x v="4"/>
    <x v="14"/>
    <x v="4"/>
    <n v="6"/>
    <n v="854"/>
    <n v="10"/>
    <n v="4611.6000000000004"/>
    <n v="3045.19"/>
    <n v="1566.41"/>
    <x v="0"/>
    <x v="1"/>
    <n v="0.33966736056899988"/>
  </r>
  <r>
    <n v="1884"/>
    <d v="2023-03-13T00:00:00"/>
    <x v="2"/>
    <x v="4"/>
    <x v="9"/>
    <x v="1"/>
    <n v="8"/>
    <n v="172"/>
    <n v="20"/>
    <n v="1100.8"/>
    <n v="659.31"/>
    <n v="441.49"/>
    <x v="8"/>
    <x v="1"/>
    <n v="0.40106286337209307"/>
  </r>
  <r>
    <n v="1885"/>
    <d v="2023-12-20T00:00:00"/>
    <x v="2"/>
    <x v="3"/>
    <x v="4"/>
    <x v="4"/>
    <n v="3"/>
    <n v="822"/>
    <n v="15"/>
    <n v="2096.1"/>
    <n v="1136.75"/>
    <n v="959.35"/>
    <x v="6"/>
    <x v="1"/>
    <n v="0.4576833166356567"/>
  </r>
  <r>
    <n v="1886"/>
    <d v="2023-08-21T00:00:00"/>
    <x v="0"/>
    <x v="2"/>
    <x v="6"/>
    <x v="1"/>
    <n v="4"/>
    <n v="554"/>
    <n v="20"/>
    <n v="1772.8"/>
    <n v="1192.1099999999999"/>
    <n v="580.69000000000005"/>
    <x v="2"/>
    <x v="1"/>
    <n v="0.32755527978339355"/>
  </r>
  <r>
    <n v="1887"/>
    <d v="2023-12-19T00:00:00"/>
    <x v="1"/>
    <x v="4"/>
    <x v="18"/>
    <x v="1"/>
    <n v="7"/>
    <n v="755"/>
    <n v="0"/>
    <n v="5285"/>
    <n v="3936.95"/>
    <n v="1348.05"/>
    <x v="6"/>
    <x v="1"/>
    <n v="0.25507095553453168"/>
  </r>
  <r>
    <n v="1888"/>
    <d v="2023-12-23T00:00:00"/>
    <x v="1"/>
    <x v="4"/>
    <x v="9"/>
    <x v="4"/>
    <n v="8"/>
    <n v="721"/>
    <n v="15"/>
    <n v="4902.8"/>
    <n v="2770.38"/>
    <n v="2132.42"/>
    <x v="6"/>
    <x v="1"/>
    <n v="0.4349392184058089"/>
  </r>
  <r>
    <n v="1889"/>
    <d v="2023-11-21T00:00:00"/>
    <x v="3"/>
    <x v="0"/>
    <x v="1"/>
    <x v="2"/>
    <n v="6"/>
    <n v="277"/>
    <n v="20"/>
    <n v="1329.6"/>
    <n v="1029.97"/>
    <n v="299.63"/>
    <x v="3"/>
    <x v="1"/>
    <n v="0.22535348977135983"/>
  </r>
  <r>
    <n v="1890"/>
    <d v="2024-08-28T00:00:00"/>
    <x v="3"/>
    <x v="1"/>
    <x v="7"/>
    <x v="0"/>
    <n v="7"/>
    <n v="771"/>
    <n v="5"/>
    <n v="5127.1499999999996"/>
    <n v="3856.31"/>
    <n v="1270.8399999999999"/>
    <x v="2"/>
    <x v="0"/>
    <n v="0.24786479818222598"/>
  </r>
  <r>
    <n v="1891"/>
    <d v="2024-02-02T00:00:00"/>
    <x v="2"/>
    <x v="2"/>
    <x v="6"/>
    <x v="5"/>
    <n v="1"/>
    <n v="109"/>
    <n v="5"/>
    <n v="103.55"/>
    <n v="72.540000000000006"/>
    <n v="31.01"/>
    <x v="9"/>
    <x v="0"/>
    <n v="0.29946885562530179"/>
  </r>
  <r>
    <n v="1892"/>
    <d v="2024-02-02T00:00:00"/>
    <x v="2"/>
    <x v="0"/>
    <x v="1"/>
    <x v="2"/>
    <n v="2"/>
    <n v="368"/>
    <n v="0"/>
    <n v="736"/>
    <n v="400.93"/>
    <n v="335.07"/>
    <x v="9"/>
    <x v="0"/>
    <n v="0.45525815217391302"/>
  </r>
  <r>
    <n v="1893"/>
    <d v="2023-01-11T00:00:00"/>
    <x v="1"/>
    <x v="1"/>
    <x v="16"/>
    <x v="2"/>
    <n v="7"/>
    <n v="571"/>
    <n v="0"/>
    <n v="3997"/>
    <n v="2819.69"/>
    <n v="1177.31"/>
    <x v="11"/>
    <x v="1"/>
    <n v="0.29454841130848136"/>
  </r>
  <r>
    <n v="1894"/>
    <d v="2024-09-26T00:00:00"/>
    <x v="3"/>
    <x v="3"/>
    <x v="15"/>
    <x v="4"/>
    <n v="9"/>
    <n v="118"/>
    <n v="15"/>
    <n v="902.7"/>
    <n v="495.67"/>
    <n v="407.03"/>
    <x v="0"/>
    <x v="0"/>
    <n v="0.45090284701451194"/>
  </r>
  <r>
    <n v="1895"/>
    <d v="2023-03-09T00:00:00"/>
    <x v="3"/>
    <x v="3"/>
    <x v="15"/>
    <x v="3"/>
    <n v="1"/>
    <n v="365"/>
    <n v="15"/>
    <n v="310.25"/>
    <n v="197.92"/>
    <n v="112.33"/>
    <x v="8"/>
    <x v="1"/>
    <n v="0.36206285253827558"/>
  </r>
  <r>
    <n v="1896"/>
    <d v="2023-05-11T00:00:00"/>
    <x v="2"/>
    <x v="2"/>
    <x v="3"/>
    <x v="3"/>
    <n v="7"/>
    <n v="436"/>
    <n v="15"/>
    <n v="2594.1999999999998"/>
    <n v="1541.5"/>
    <n v="1052.7"/>
    <x v="7"/>
    <x v="1"/>
    <n v="0.40578983887132841"/>
  </r>
  <r>
    <n v="1897"/>
    <d v="2024-06-06T00:00:00"/>
    <x v="1"/>
    <x v="4"/>
    <x v="14"/>
    <x v="5"/>
    <n v="7"/>
    <n v="74"/>
    <n v="5"/>
    <n v="492.1"/>
    <n v="279.04000000000002"/>
    <n v="213.06"/>
    <x v="4"/>
    <x v="0"/>
    <n v="0.43296078032920138"/>
  </r>
  <r>
    <n v="1898"/>
    <d v="2024-08-23T00:00:00"/>
    <x v="0"/>
    <x v="4"/>
    <x v="14"/>
    <x v="5"/>
    <n v="7"/>
    <n v="637"/>
    <n v="15"/>
    <n v="3790.15"/>
    <n v="2094.4899999999998"/>
    <n v="1695.66"/>
    <x v="2"/>
    <x v="0"/>
    <n v="0.44738598736197777"/>
  </r>
  <r>
    <n v="1899"/>
    <d v="2024-03-07T00:00:00"/>
    <x v="3"/>
    <x v="4"/>
    <x v="9"/>
    <x v="3"/>
    <n v="3"/>
    <n v="753"/>
    <n v="15"/>
    <n v="1920.15"/>
    <n v="1191.5"/>
    <n v="728.65"/>
    <x v="8"/>
    <x v="0"/>
    <n v="0.37947556180506731"/>
  </r>
  <r>
    <n v="1900"/>
    <d v="2023-09-25T00:00:00"/>
    <x v="1"/>
    <x v="1"/>
    <x v="5"/>
    <x v="2"/>
    <n v="3"/>
    <n v="367"/>
    <n v="20"/>
    <n v="880.8"/>
    <n v="674.29"/>
    <n v="206.51"/>
    <x v="0"/>
    <x v="1"/>
    <n v="0.23445731153496821"/>
  </r>
  <r>
    <n v="1901"/>
    <d v="2024-01-08T00:00:00"/>
    <x v="0"/>
    <x v="4"/>
    <x v="14"/>
    <x v="3"/>
    <n v="8"/>
    <n v="566"/>
    <n v="5"/>
    <n v="4301.6000000000004"/>
    <n v="2310.31"/>
    <n v="1991.29"/>
    <x v="11"/>
    <x v="0"/>
    <n v="0.46291844894922812"/>
  </r>
  <r>
    <n v="1902"/>
    <d v="2023-04-03T00:00:00"/>
    <x v="1"/>
    <x v="4"/>
    <x v="8"/>
    <x v="2"/>
    <n v="6"/>
    <n v="718"/>
    <n v="0"/>
    <n v="4308"/>
    <n v="2655.36"/>
    <n v="1652.64"/>
    <x v="10"/>
    <x v="1"/>
    <n v="0.38362116991643458"/>
  </r>
  <r>
    <n v="1903"/>
    <d v="2024-11-21T00:00:00"/>
    <x v="2"/>
    <x v="1"/>
    <x v="5"/>
    <x v="0"/>
    <n v="3"/>
    <n v="704"/>
    <n v="10"/>
    <n v="1900.8"/>
    <n v="1177.06"/>
    <n v="723.74"/>
    <x v="3"/>
    <x v="0"/>
    <n v="0.38075547138047139"/>
  </r>
  <r>
    <n v="1904"/>
    <d v="2023-12-03T00:00:00"/>
    <x v="0"/>
    <x v="3"/>
    <x v="19"/>
    <x v="3"/>
    <n v="6"/>
    <n v="375"/>
    <n v="20"/>
    <n v="1800"/>
    <n v="939.46"/>
    <n v="860.54"/>
    <x v="6"/>
    <x v="1"/>
    <n v="0.47807777777777777"/>
  </r>
  <r>
    <n v="1905"/>
    <d v="2023-10-06T00:00:00"/>
    <x v="3"/>
    <x v="0"/>
    <x v="13"/>
    <x v="5"/>
    <n v="8"/>
    <n v="666"/>
    <n v="20"/>
    <n v="4262.3999999999996"/>
    <n v="3335.74"/>
    <n v="926.66"/>
    <x v="1"/>
    <x v="1"/>
    <n v="0.21740334084084084"/>
  </r>
  <r>
    <n v="1906"/>
    <d v="2023-03-31T00:00:00"/>
    <x v="3"/>
    <x v="0"/>
    <x v="12"/>
    <x v="3"/>
    <n v="1"/>
    <n v="983"/>
    <n v="20"/>
    <n v="786.4"/>
    <n v="393.95"/>
    <n v="392.45"/>
    <x v="8"/>
    <x v="1"/>
    <n v="0.49904628687690744"/>
  </r>
  <r>
    <n v="1907"/>
    <d v="2023-08-16T00:00:00"/>
    <x v="0"/>
    <x v="2"/>
    <x v="6"/>
    <x v="4"/>
    <n v="7"/>
    <n v="605"/>
    <n v="10"/>
    <n v="3811.5"/>
    <n v="2708.95"/>
    <n v="1102.55"/>
    <x v="2"/>
    <x v="1"/>
    <n v="0.2892693165420438"/>
  </r>
  <r>
    <n v="1908"/>
    <d v="2023-04-17T00:00:00"/>
    <x v="0"/>
    <x v="0"/>
    <x v="12"/>
    <x v="1"/>
    <n v="3"/>
    <n v="799"/>
    <n v="20"/>
    <n v="1917.6"/>
    <n v="1227.51"/>
    <n v="690.09"/>
    <x v="10"/>
    <x v="1"/>
    <n v="0.35987171464330414"/>
  </r>
  <r>
    <n v="1909"/>
    <d v="2023-08-24T00:00:00"/>
    <x v="2"/>
    <x v="0"/>
    <x v="0"/>
    <x v="0"/>
    <n v="2"/>
    <n v="106"/>
    <n v="10"/>
    <n v="190.8"/>
    <n v="99.74"/>
    <n v="91.06"/>
    <x v="2"/>
    <x v="1"/>
    <n v="0.47725366876310271"/>
  </r>
  <r>
    <n v="1910"/>
    <d v="2024-08-20T00:00:00"/>
    <x v="3"/>
    <x v="0"/>
    <x v="0"/>
    <x v="5"/>
    <n v="6"/>
    <n v="938"/>
    <n v="15"/>
    <n v="4783.8"/>
    <n v="3420.06"/>
    <n v="1363.74"/>
    <x v="2"/>
    <x v="0"/>
    <n v="0.28507462686567164"/>
  </r>
  <r>
    <n v="1911"/>
    <d v="2023-12-29T00:00:00"/>
    <x v="3"/>
    <x v="3"/>
    <x v="11"/>
    <x v="5"/>
    <n v="10"/>
    <n v="654"/>
    <n v="15"/>
    <n v="5559"/>
    <n v="3740.64"/>
    <n v="1818.36"/>
    <x v="6"/>
    <x v="1"/>
    <n v="0.32710199676200752"/>
  </r>
  <r>
    <n v="1912"/>
    <d v="2023-02-22T00:00:00"/>
    <x v="3"/>
    <x v="0"/>
    <x v="0"/>
    <x v="5"/>
    <n v="10"/>
    <n v="995"/>
    <n v="10"/>
    <n v="8955"/>
    <n v="6549.12"/>
    <n v="2405.88"/>
    <x v="9"/>
    <x v="1"/>
    <n v="0.26866331658291459"/>
  </r>
  <r>
    <n v="1913"/>
    <d v="2024-05-04T00:00:00"/>
    <x v="1"/>
    <x v="1"/>
    <x v="7"/>
    <x v="2"/>
    <n v="8"/>
    <n v="795"/>
    <n v="0"/>
    <n v="6360"/>
    <n v="3597.24"/>
    <n v="2762.76"/>
    <x v="7"/>
    <x v="0"/>
    <n v="0.4343962264150944"/>
  </r>
  <r>
    <n v="1914"/>
    <d v="2024-03-01T00:00:00"/>
    <x v="0"/>
    <x v="4"/>
    <x v="14"/>
    <x v="5"/>
    <n v="7"/>
    <n v="465"/>
    <n v="15"/>
    <n v="2766.75"/>
    <n v="1814.43"/>
    <n v="952.32"/>
    <x v="8"/>
    <x v="0"/>
    <n v="0.34420168067226892"/>
  </r>
  <r>
    <n v="1915"/>
    <d v="2024-11-15T00:00:00"/>
    <x v="3"/>
    <x v="2"/>
    <x v="3"/>
    <x v="1"/>
    <n v="7"/>
    <n v="235"/>
    <n v="5"/>
    <n v="1562.75"/>
    <n v="1024.99"/>
    <n v="537.76"/>
    <x v="3"/>
    <x v="0"/>
    <n v="0.34411134218525036"/>
  </r>
  <r>
    <n v="1916"/>
    <d v="2023-08-14T00:00:00"/>
    <x v="2"/>
    <x v="0"/>
    <x v="12"/>
    <x v="2"/>
    <n v="6"/>
    <n v="958"/>
    <n v="20"/>
    <n v="4598.3999999999996"/>
    <n v="3435.28"/>
    <n v="1163.1199999999999"/>
    <x v="2"/>
    <x v="1"/>
    <n v="0.25294015309672929"/>
  </r>
  <r>
    <n v="1917"/>
    <d v="2024-11-25T00:00:00"/>
    <x v="0"/>
    <x v="2"/>
    <x v="3"/>
    <x v="4"/>
    <n v="6"/>
    <n v="37"/>
    <n v="15"/>
    <n v="188.7"/>
    <n v="136.78"/>
    <n v="51.92"/>
    <x v="3"/>
    <x v="0"/>
    <n v="0.2751457339692634"/>
  </r>
  <r>
    <n v="1918"/>
    <d v="2023-12-08T00:00:00"/>
    <x v="3"/>
    <x v="0"/>
    <x v="1"/>
    <x v="5"/>
    <n v="1"/>
    <n v="934"/>
    <n v="15"/>
    <n v="793.9"/>
    <n v="566.75"/>
    <n v="227.15"/>
    <x v="6"/>
    <x v="1"/>
    <n v="0.28611915858420456"/>
  </r>
  <r>
    <n v="1919"/>
    <d v="2024-06-24T00:00:00"/>
    <x v="1"/>
    <x v="1"/>
    <x v="16"/>
    <x v="1"/>
    <n v="2"/>
    <n v="566"/>
    <n v="10"/>
    <n v="1018.8"/>
    <n v="682.13"/>
    <n v="336.67"/>
    <x v="4"/>
    <x v="0"/>
    <n v="0.3304574008637613"/>
  </r>
  <r>
    <n v="1920"/>
    <d v="2023-12-20T00:00:00"/>
    <x v="2"/>
    <x v="2"/>
    <x v="6"/>
    <x v="1"/>
    <n v="3"/>
    <n v="265"/>
    <n v="5"/>
    <n v="755.25"/>
    <n v="465.24"/>
    <n v="290.01"/>
    <x v="6"/>
    <x v="1"/>
    <n v="0.38399205561072491"/>
  </r>
  <r>
    <n v="1921"/>
    <d v="2023-08-07T00:00:00"/>
    <x v="3"/>
    <x v="2"/>
    <x v="17"/>
    <x v="1"/>
    <n v="7"/>
    <n v="912"/>
    <n v="0"/>
    <n v="6384"/>
    <n v="4832.7700000000004"/>
    <n v="1551.23"/>
    <x v="2"/>
    <x v="1"/>
    <n v="0.24298715538847118"/>
  </r>
  <r>
    <n v="1922"/>
    <d v="2023-06-15T00:00:00"/>
    <x v="1"/>
    <x v="4"/>
    <x v="14"/>
    <x v="5"/>
    <n v="6"/>
    <n v="285"/>
    <n v="5"/>
    <n v="1624.5"/>
    <n v="1288.56"/>
    <n v="335.94"/>
    <x v="4"/>
    <x v="1"/>
    <n v="0.20679593721144968"/>
  </r>
  <r>
    <n v="1923"/>
    <d v="2024-08-02T00:00:00"/>
    <x v="0"/>
    <x v="3"/>
    <x v="19"/>
    <x v="1"/>
    <n v="4"/>
    <n v="88"/>
    <n v="5"/>
    <n v="334.4"/>
    <n v="261.26"/>
    <n v="73.14"/>
    <x v="2"/>
    <x v="0"/>
    <n v="0.21872009569377993"/>
  </r>
  <r>
    <n v="1924"/>
    <d v="2023-02-13T00:00:00"/>
    <x v="1"/>
    <x v="1"/>
    <x v="16"/>
    <x v="5"/>
    <n v="10"/>
    <n v="575"/>
    <n v="15"/>
    <n v="4887.5"/>
    <n v="2904.69"/>
    <n v="1982.81"/>
    <x v="9"/>
    <x v="1"/>
    <n v="0.40569002557544753"/>
  </r>
  <r>
    <n v="1925"/>
    <d v="2023-11-03T00:00:00"/>
    <x v="2"/>
    <x v="3"/>
    <x v="19"/>
    <x v="5"/>
    <n v="1"/>
    <n v="121"/>
    <n v="15"/>
    <n v="102.85"/>
    <n v="72.14"/>
    <n v="30.71"/>
    <x v="3"/>
    <x v="1"/>
    <n v="0.29859017987360237"/>
  </r>
  <r>
    <n v="1926"/>
    <d v="2024-09-04T00:00:00"/>
    <x v="3"/>
    <x v="4"/>
    <x v="9"/>
    <x v="1"/>
    <n v="6"/>
    <n v="723"/>
    <n v="15"/>
    <n v="3687.3"/>
    <n v="2752.12"/>
    <n v="935.18"/>
    <x v="0"/>
    <x v="0"/>
    <n v="0.25362189135681934"/>
  </r>
  <r>
    <n v="1927"/>
    <d v="2023-10-03T00:00:00"/>
    <x v="0"/>
    <x v="2"/>
    <x v="17"/>
    <x v="1"/>
    <n v="7"/>
    <n v="895"/>
    <n v="20"/>
    <n v="5012"/>
    <n v="3253.25"/>
    <n v="1758.75"/>
    <x v="1"/>
    <x v="1"/>
    <n v="0.35090782122905029"/>
  </r>
  <r>
    <n v="1928"/>
    <d v="2023-05-16T00:00:00"/>
    <x v="1"/>
    <x v="1"/>
    <x v="16"/>
    <x v="2"/>
    <n v="5"/>
    <n v="222"/>
    <n v="20"/>
    <n v="888"/>
    <n v="652.83000000000004"/>
    <n v="235.17"/>
    <x v="7"/>
    <x v="1"/>
    <n v="0.26483108108108105"/>
  </r>
  <r>
    <n v="1929"/>
    <d v="2023-02-12T00:00:00"/>
    <x v="1"/>
    <x v="2"/>
    <x v="3"/>
    <x v="0"/>
    <n v="4"/>
    <n v="976"/>
    <n v="0"/>
    <n v="3904"/>
    <n v="2673.6"/>
    <n v="1230.4000000000001"/>
    <x v="9"/>
    <x v="1"/>
    <n v="0.31516393442622953"/>
  </r>
  <r>
    <n v="1930"/>
    <d v="2024-11-22T00:00:00"/>
    <x v="2"/>
    <x v="4"/>
    <x v="18"/>
    <x v="4"/>
    <n v="9"/>
    <n v="627"/>
    <n v="10"/>
    <n v="5078.7"/>
    <n v="3225.25"/>
    <n v="1853.45"/>
    <x v="3"/>
    <x v="0"/>
    <n v="0.36494575383464273"/>
  </r>
  <r>
    <n v="1931"/>
    <d v="2024-11-19T00:00:00"/>
    <x v="3"/>
    <x v="1"/>
    <x v="7"/>
    <x v="0"/>
    <n v="2"/>
    <n v="588"/>
    <n v="20"/>
    <n v="940.8"/>
    <n v="749.94"/>
    <n v="190.86"/>
    <x v="3"/>
    <x v="0"/>
    <n v="0.2028698979591837"/>
  </r>
  <r>
    <n v="1932"/>
    <d v="2024-02-13T00:00:00"/>
    <x v="3"/>
    <x v="3"/>
    <x v="19"/>
    <x v="5"/>
    <n v="1"/>
    <n v="388"/>
    <n v="20"/>
    <n v="310.39999999999998"/>
    <n v="239.48"/>
    <n v="70.92"/>
    <x v="9"/>
    <x v="0"/>
    <n v="0.22847938144329899"/>
  </r>
  <r>
    <n v="1933"/>
    <d v="2024-09-26T00:00:00"/>
    <x v="2"/>
    <x v="0"/>
    <x v="0"/>
    <x v="2"/>
    <n v="7"/>
    <n v="360"/>
    <n v="0"/>
    <n v="2520"/>
    <n v="1318.8"/>
    <n v="1201.2"/>
    <x v="0"/>
    <x v="0"/>
    <n v="0.47666666666666668"/>
  </r>
  <r>
    <n v="1934"/>
    <d v="2023-11-01T00:00:00"/>
    <x v="2"/>
    <x v="3"/>
    <x v="4"/>
    <x v="5"/>
    <n v="4"/>
    <n v="376"/>
    <n v="10"/>
    <n v="1353.6"/>
    <n v="777.75"/>
    <n v="575.85"/>
    <x v="3"/>
    <x v="1"/>
    <n v="0.4254210992907802"/>
  </r>
  <r>
    <n v="1935"/>
    <d v="2023-01-18T00:00:00"/>
    <x v="3"/>
    <x v="0"/>
    <x v="0"/>
    <x v="5"/>
    <n v="10"/>
    <n v="440"/>
    <n v="5"/>
    <n v="4180"/>
    <n v="2623.04"/>
    <n v="1556.96"/>
    <x v="11"/>
    <x v="1"/>
    <n v="0.37247846889952152"/>
  </r>
  <r>
    <n v="1936"/>
    <d v="2024-09-18T00:00:00"/>
    <x v="2"/>
    <x v="2"/>
    <x v="3"/>
    <x v="5"/>
    <n v="9"/>
    <n v="162"/>
    <n v="20"/>
    <n v="1166.4000000000001"/>
    <n v="787.83"/>
    <n v="378.57"/>
    <x v="0"/>
    <x v="0"/>
    <n v="0.32456275720164607"/>
  </r>
  <r>
    <n v="1937"/>
    <d v="2023-11-04T00:00:00"/>
    <x v="0"/>
    <x v="3"/>
    <x v="11"/>
    <x v="3"/>
    <n v="1"/>
    <n v="705"/>
    <n v="10"/>
    <n v="634.5"/>
    <n v="393.02"/>
    <n v="241.48"/>
    <x v="3"/>
    <x v="1"/>
    <n v="0.38058313632781715"/>
  </r>
  <r>
    <n v="1938"/>
    <d v="2024-03-17T00:00:00"/>
    <x v="1"/>
    <x v="2"/>
    <x v="3"/>
    <x v="5"/>
    <n v="1"/>
    <n v="812"/>
    <n v="5"/>
    <n v="771.4"/>
    <n v="523.85"/>
    <n v="247.55"/>
    <x v="8"/>
    <x v="0"/>
    <n v="0.32091003370495208"/>
  </r>
  <r>
    <n v="1939"/>
    <d v="2024-11-19T00:00:00"/>
    <x v="2"/>
    <x v="0"/>
    <x v="1"/>
    <x v="3"/>
    <n v="2"/>
    <n v="519"/>
    <n v="20"/>
    <n v="830.4"/>
    <n v="617.76"/>
    <n v="212.64"/>
    <x v="3"/>
    <x v="0"/>
    <n v="0.25606936416184972"/>
  </r>
  <r>
    <n v="1940"/>
    <d v="2024-11-27T00:00:00"/>
    <x v="0"/>
    <x v="4"/>
    <x v="8"/>
    <x v="1"/>
    <n v="4"/>
    <n v="129"/>
    <n v="0"/>
    <n v="516"/>
    <n v="293.58"/>
    <n v="222.42"/>
    <x v="3"/>
    <x v="0"/>
    <n v="0.43104651162790697"/>
  </r>
  <r>
    <n v="1941"/>
    <d v="2023-01-19T00:00:00"/>
    <x v="2"/>
    <x v="1"/>
    <x v="2"/>
    <x v="3"/>
    <n v="4"/>
    <n v="112"/>
    <n v="10"/>
    <n v="403.2"/>
    <n v="237.12"/>
    <n v="166.08"/>
    <x v="11"/>
    <x v="1"/>
    <n v="0.41190476190476194"/>
  </r>
  <r>
    <n v="1942"/>
    <d v="2024-01-10T00:00:00"/>
    <x v="3"/>
    <x v="1"/>
    <x v="7"/>
    <x v="2"/>
    <n v="9"/>
    <n v="973"/>
    <n v="0"/>
    <n v="8757"/>
    <n v="6140.18"/>
    <n v="2616.8200000000002"/>
    <x v="11"/>
    <x v="0"/>
    <n v="0.29882608199154964"/>
  </r>
  <r>
    <n v="1943"/>
    <d v="2024-08-21T00:00:00"/>
    <x v="1"/>
    <x v="0"/>
    <x v="13"/>
    <x v="2"/>
    <n v="8"/>
    <n v="604"/>
    <n v="20"/>
    <n v="3865.6"/>
    <n v="2622.07"/>
    <n v="1243.53"/>
    <x v="2"/>
    <x v="0"/>
    <n v="0.32169132864238409"/>
  </r>
  <r>
    <n v="1944"/>
    <d v="2023-09-14T00:00:00"/>
    <x v="1"/>
    <x v="2"/>
    <x v="6"/>
    <x v="4"/>
    <n v="5"/>
    <n v="709"/>
    <n v="0"/>
    <n v="3545"/>
    <n v="2447.35"/>
    <n v="1097.6500000000001"/>
    <x v="0"/>
    <x v="1"/>
    <n v="0.30963328631875886"/>
  </r>
  <r>
    <n v="1945"/>
    <d v="2023-12-06T00:00:00"/>
    <x v="3"/>
    <x v="3"/>
    <x v="15"/>
    <x v="0"/>
    <n v="7"/>
    <n v="29"/>
    <n v="20"/>
    <n v="162.4"/>
    <n v="86.11"/>
    <n v="76.290000000000006"/>
    <x v="6"/>
    <x v="1"/>
    <n v="0.46976600985221678"/>
  </r>
  <r>
    <n v="1946"/>
    <d v="2023-02-11T00:00:00"/>
    <x v="1"/>
    <x v="3"/>
    <x v="15"/>
    <x v="4"/>
    <n v="8"/>
    <n v="367"/>
    <n v="0"/>
    <n v="2936"/>
    <n v="2281.81"/>
    <n v="654.19000000000005"/>
    <x v="9"/>
    <x v="1"/>
    <n v="0.22281675749318802"/>
  </r>
  <r>
    <n v="1947"/>
    <d v="2023-05-28T00:00:00"/>
    <x v="2"/>
    <x v="4"/>
    <x v="18"/>
    <x v="1"/>
    <n v="10"/>
    <n v="36"/>
    <n v="5"/>
    <n v="342"/>
    <n v="259.52999999999997"/>
    <n v="82.47"/>
    <x v="7"/>
    <x v="1"/>
    <n v="0.24114035087719299"/>
  </r>
  <r>
    <n v="1948"/>
    <d v="2024-12-28T00:00:00"/>
    <x v="0"/>
    <x v="0"/>
    <x v="13"/>
    <x v="0"/>
    <n v="9"/>
    <n v="690"/>
    <n v="5"/>
    <n v="5899.5"/>
    <n v="3904.43"/>
    <n v="1995.07"/>
    <x v="6"/>
    <x v="0"/>
    <n v="0.33817611662005254"/>
  </r>
  <r>
    <n v="1949"/>
    <d v="2023-12-31T00:00:00"/>
    <x v="0"/>
    <x v="4"/>
    <x v="8"/>
    <x v="0"/>
    <n v="9"/>
    <n v="617"/>
    <n v="10"/>
    <n v="4997.7"/>
    <n v="3489.55"/>
    <n v="1508.15"/>
    <x v="6"/>
    <x v="1"/>
    <n v="0.30176881365428099"/>
  </r>
  <r>
    <n v="1950"/>
    <d v="2023-11-03T00:00:00"/>
    <x v="1"/>
    <x v="0"/>
    <x v="13"/>
    <x v="3"/>
    <n v="2"/>
    <n v="273"/>
    <n v="0"/>
    <n v="546"/>
    <n v="295.58999999999997"/>
    <n v="250.41"/>
    <x v="3"/>
    <x v="1"/>
    <n v="0.4586263736263736"/>
  </r>
  <r>
    <n v="1951"/>
    <d v="2024-06-09T00:00:00"/>
    <x v="1"/>
    <x v="1"/>
    <x v="2"/>
    <x v="0"/>
    <n v="6"/>
    <n v="20"/>
    <n v="10"/>
    <n v="108"/>
    <n v="65.06"/>
    <n v="42.94"/>
    <x v="4"/>
    <x v="0"/>
    <n v="0.39759259259259255"/>
  </r>
  <r>
    <n v="1952"/>
    <d v="2023-07-08T00:00:00"/>
    <x v="1"/>
    <x v="0"/>
    <x v="1"/>
    <x v="3"/>
    <n v="2"/>
    <n v="359"/>
    <n v="15"/>
    <n v="610.29999999999995"/>
    <n v="383.31"/>
    <n v="226.99"/>
    <x v="5"/>
    <x v="1"/>
    <n v="0.37193183680157305"/>
  </r>
  <r>
    <n v="1953"/>
    <d v="2023-10-12T00:00:00"/>
    <x v="0"/>
    <x v="2"/>
    <x v="6"/>
    <x v="4"/>
    <n v="5"/>
    <n v="417"/>
    <n v="0"/>
    <n v="2085"/>
    <n v="1100.32"/>
    <n v="984.68"/>
    <x v="1"/>
    <x v="1"/>
    <n v="0.47226858513189446"/>
  </r>
  <r>
    <n v="1954"/>
    <d v="2024-07-01T00:00:00"/>
    <x v="1"/>
    <x v="2"/>
    <x v="10"/>
    <x v="1"/>
    <n v="2"/>
    <n v="213"/>
    <n v="15"/>
    <n v="362.1"/>
    <n v="235.53"/>
    <n v="126.57"/>
    <x v="5"/>
    <x v="0"/>
    <n v="0.34954432477216235"/>
  </r>
  <r>
    <n v="1955"/>
    <d v="2023-11-17T00:00:00"/>
    <x v="1"/>
    <x v="2"/>
    <x v="17"/>
    <x v="0"/>
    <n v="10"/>
    <n v="567"/>
    <n v="20"/>
    <n v="4536"/>
    <n v="3179.78"/>
    <n v="1356.22"/>
    <x v="3"/>
    <x v="1"/>
    <n v="0.29899029982363318"/>
  </r>
  <r>
    <n v="1956"/>
    <d v="2024-06-17T00:00:00"/>
    <x v="0"/>
    <x v="1"/>
    <x v="7"/>
    <x v="3"/>
    <n v="8"/>
    <n v="51"/>
    <n v="10"/>
    <n v="367.2"/>
    <n v="227.68"/>
    <n v="139.52000000000001"/>
    <x v="4"/>
    <x v="0"/>
    <n v="0.37995642701525056"/>
  </r>
  <r>
    <n v="1957"/>
    <d v="2023-02-28T00:00:00"/>
    <x v="3"/>
    <x v="4"/>
    <x v="18"/>
    <x v="2"/>
    <n v="10"/>
    <n v="247"/>
    <n v="15"/>
    <n v="2099.5"/>
    <n v="1487.32"/>
    <n v="612.17999999999995"/>
    <x v="9"/>
    <x v="1"/>
    <n v="0.29158371040723979"/>
  </r>
  <r>
    <n v="1958"/>
    <d v="2023-11-02T00:00:00"/>
    <x v="0"/>
    <x v="4"/>
    <x v="18"/>
    <x v="3"/>
    <n v="7"/>
    <n v="618"/>
    <n v="0"/>
    <n v="4326"/>
    <n v="2795.81"/>
    <n v="1530.19"/>
    <x v="3"/>
    <x v="1"/>
    <n v="0.35371937124364311"/>
  </r>
  <r>
    <n v="1959"/>
    <d v="2024-03-13T00:00:00"/>
    <x v="2"/>
    <x v="0"/>
    <x v="1"/>
    <x v="2"/>
    <n v="2"/>
    <n v="875"/>
    <n v="0"/>
    <n v="1750"/>
    <n v="1171.5"/>
    <n v="578.5"/>
    <x v="8"/>
    <x v="0"/>
    <n v="0.33057142857142857"/>
  </r>
  <r>
    <n v="1960"/>
    <d v="2023-09-28T00:00:00"/>
    <x v="1"/>
    <x v="4"/>
    <x v="8"/>
    <x v="3"/>
    <n v="5"/>
    <n v="852"/>
    <n v="5"/>
    <n v="4047"/>
    <n v="2714.95"/>
    <n v="1332.05"/>
    <x v="0"/>
    <x v="1"/>
    <n v="0.32914504571287373"/>
  </r>
  <r>
    <n v="1961"/>
    <d v="2023-07-18T00:00:00"/>
    <x v="3"/>
    <x v="1"/>
    <x v="2"/>
    <x v="1"/>
    <n v="7"/>
    <n v="279"/>
    <n v="5"/>
    <n v="1855.35"/>
    <n v="1213.8800000000001"/>
    <n v="641.47"/>
    <x v="5"/>
    <x v="1"/>
    <n v="0.34574069582558548"/>
  </r>
  <r>
    <n v="1962"/>
    <d v="2023-03-05T00:00:00"/>
    <x v="1"/>
    <x v="2"/>
    <x v="17"/>
    <x v="5"/>
    <n v="3"/>
    <n v="384"/>
    <n v="15"/>
    <n v="979.2"/>
    <n v="712.27"/>
    <n v="266.93"/>
    <x v="8"/>
    <x v="1"/>
    <n v="0.27260008169934641"/>
  </r>
  <r>
    <n v="1963"/>
    <d v="2023-01-04T00:00:00"/>
    <x v="0"/>
    <x v="4"/>
    <x v="18"/>
    <x v="5"/>
    <n v="2"/>
    <n v="987"/>
    <n v="5"/>
    <n v="1875.3"/>
    <n v="1250.1099999999999"/>
    <n v="625.19000000000005"/>
    <x v="11"/>
    <x v="1"/>
    <n v="0.33338132565456197"/>
  </r>
  <r>
    <n v="1964"/>
    <d v="2023-04-28T00:00:00"/>
    <x v="2"/>
    <x v="4"/>
    <x v="8"/>
    <x v="4"/>
    <n v="5"/>
    <n v="103"/>
    <n v="0"/>
    <n v="515"/>
    <n v="263.33999999999997"/>
    <n v="251.66"/>
    <x v="10"/>
    <x v="1"/>
    <n v="0.48866019417475726"/>
  </r>
  <r>
    <n v="1965"/>
    <d v="2024-04-12T00:00:00"/>
    <x v="0"/>
    <x v="2"/>
    <x v="17"/>
    <x v="0"/>
    <n v="1"/>
    <n v="205"/>
    <n v="0"/>
    <n v="205"/>
    <n v="131.86000000000001"/>
    <n v="73.14"/>
    <x v="10"/>
    <x v="0"/>
    <n v="0.35678048780487803"/>
  </r>
  <r>
    <n v="1966"/>
    <d v="2023-06-14T00:00:00"/>
    <x v="0"/>
    <x v="3"/>
    <x v="4"/>
    <x v="0"/>
    <n v="9"/>
    <n v="693"/>
    <n v="15"/>
    <n v="5301.45"/>
    <n v="3820.67"/>
    <n v="1480.78"/>
    <x v="4"/>
    <x v="1"/>
    <n v="0.27931603617878126"/>
  </r>
  <r>
    <n v="1967"/>
    <d v="2024-12-21T00:00:00"/>
    <x v="1"/>
    <x v="3"/>
    <x v="11"/>
    <x v="5"/>
    <n v="8"/>
    <n v="664"/>
    <n v="20"/>
    <n v="4249.6000000000004"/>
    <n v="3133.46"/>
    <n v="1116.1400000000001"/>
    <x v="6"/>
    <x v="0"/>
    <n v="0.26264589608433736"/>
  </r>
  <r>
    <n v="1968"/>
    <d v="2023-01-29T00:00:00"/>
    <x v="1"/>
    <x v="2"/>
    <x v="6"/>
    <x v="1"/>
    <n v="6"/>
    <n v="910"/>
    <n v="10"/>
    <n v="4914"/>
    <n v="3254.95"/>
    <n v="1659.05"/>
    <x v="11"/>
    <x v="1"/>
    <n v="0.3376170126170126"/>
  </r>
  <r>
    <n v="1969"/>
    <d v="2024-12-11T00:00:00"/>
    <x v="2"/>
    <x v="4"/>
    <x v="8"/>
    <x v="3"/>
    <n v="4"/>
    <n v="593"/>
    <n v="20"/>
    <n v="1897.6"/>
    <n v="1100.24"/>
    <n v="797.36"/>
    <x v="6"/>
    <x v="0"/>
    <n v="0.42019392917369314"/>
  </r>
  <r>
    <n v="1970"/>
    <d v="2023-03-25T00:00:00"/>
    <x v="3"/>
    <x v="2"/>
    <x v="17"/>
    <x v="4"/>
    <n v="6"/>
    <n v="790"/>
    <n v="15"/>
    <n v="4029"/>
    <n v="2593.64"/>
    <n v="1435.36"/>
    <x v="8"/>
    <x v="1"/>
    <n v="0.35625713576569867"/>
  </r>
  <r>
    <n v="1971"/>
    <d v="2024-03-28T00:00:00"/>
    <x v="2"/>
    <x v="4"/>
    <x v="9"/>
    <x v="1"/>
    <n v="4"/>
    <n v="194"/>
    <n v="10"/>
    <n v="698.4"/>
    <n v="460.17"/>
    <n v="238.23"/>
    <x v="8"/>
    <x v="0"/>
    <n v="0.34110824742268042"/>
  </r>
  <r>
    <n v="1972"/>
    <d v="2023-11-02T00:00:00"/>
    <x v="3"/>
    <x v="3"/>
    <x v="11"/>
    <x v="3"/>
    <n v="7"/>
    <n v="919"/>
    <n v="0"/>
    <n v="6433"/>
    <n v="3734.29"/>
    <n v="2698.71"/>
    <x v="3"/>
    <x v="1"/>
    <n v="0.41951033732317738"/>
  </r>
  <r>
    <n v="1973"/>
    <d v="2024-02-07T00:00:00"/>
    <x v="0"/>
    <x v="3"/>
    <x v="4"/>
    <x v="3"/>
    <n v="7"/>
    <n v="920"/>
    <n v="20"/>
    <n v="5152"/>
    <n v="3661.37"/>
    <n v="1490.63"/>
    <x v="9"/>
    <x v="0"/>
    <n v="0.28933035714285715"/>
  </r>
  <r>
    <n v="1974"/>
    <d v="2023-03-01T00:00:00"/>
    <x v="2"/>
    <x v="3"/>
    <x v="11"/>
    <x v="0"/>
    <n v="8"/>
    <n v="781"/>
    <n v="10"/>
    <n v="5623.2"/>
    <n v="3713.32"/>
    <n v="1909.88"/>
    <x v="8"/>
    <x v="1"/>
    <n v="0.33964290795276714"/>
  </r>
  <r>
    <n v="1975"/>
    <d v="2024-02-16T00:00:00"/>
    <x v="3"/>
    <x v="3"/>
    <x v="15"/>
    <x v="0"/>
    <n v="7"/>
    <n v="384"/>
    <n v="20"/>
    <n v="2150.4"/>
    <n v="1339.26"/>
    <n v="811.14"/>
    <x v="9"/>
    <x v="0"/>
    <n v="0.37720424107142853"/>
  </r>
  <r>
    <n v="1976"/>
    <d v="2023-11-12T00:00:00"/>
    <x v="2"/>
    <x v="4"/>
    <x v="8"/>
    <x v="2"/>
    <n v="1"/>
    <n v="607"/>
    <n v="20"/>
    <n v="485.6"/>
    <n v="360.06"/>
    <n v="125.54"/>
    <x v="3"/>
    <x v="1"/>
    <n v="0.25852553542009887"/>
  </r>
  <r>
    <n v="1977"/>
    <d v="2024-07-03T00:00:00"/>
    <x v="0"/>
    <x v="0"/>
    <x v="12"/>
    <x v="0"/>
    <n v="7"/>
    <n v="936"/>
    <n v="10"/>
    <n v="5896.8"/>
    <n v="3162.79"/>
    <n v="2734.01"/>
    <x v="5"/>
    <x v="0"/>
    <n v="0.46364299280965948"/>
  </r>
  <r>
    <n v="1978"/>
    <d v="2024-10-07T00:00:00"/>
    <x v="1"/>
    <x v="2"/>
    <x v="6"/>
    <x v="1"/>
    <n v="8"/>
    <n v="721"/>
    <n v="10"/>
    <n v="5191.2"/>
    <n v="3602.84"/>
    <n v="1588.36"/>
    <x v="1"/>
    <x v="0"/>
    <n v="0.30597164432115886"/>
  </r>
  <r>
    <n v="1979"/>
    <d v="2024-08-28T00:00:00"/>
    <x v="2"/>
    <x v="1"/>
    <x v="5"/>
    <x v="3"/>
    <n v="6"/>
    <n v="950"/>
    <n v="10"/>
    <n v="5130"/>
    <n v="3937.85"/>
    <n v="1192.1500000000001"/>
    <x v="2"/>
    <x v="0"/>
    <n v="0.2323879142300195"/>
  </r>
  <r>
    <n v="1980"/>
    <d v="2024-04-26T00:00:00"/>
    <x v="0"/>
    <x v="3"/>
    <x v="4"/>
    <x v="0"/>
    <n v="6"/>
    <n v="635"/>
    <n v="0"/>
    <n v="3810"/>
    <n v="2921.46"/>
    <n v="888.54"/>
    <x v="10"/>
    <x v="0"/>
    <n v="0.23321259842519684"/>
  </r>
  <r>
    <n v="1981"/>
    <d v="2023-02-16T00:00:00"/>
    <x v="3"/>
    <x v="0"/>
    <x v="12"/>
    <x v="0"/>
    <n v="6"/>
    <n v="596"/>
    <n v="15"/>
    <n v="3039.6"/>
    <n v="2163.8200000000002"/>
    <n v="875.78"/>
    <x v="9"/>
    <x v="1"/>
    <n v="0.28812343729438084"/>
  </r>
  <r>
    <n v="1982"/>
    <d v="2024-04-17T00:00:00"/>
    <x v="0"/>
    <x v="3"/>
    <x v="11"/>
    <x v="4"/>
    <n v="2"/>
    <n v="708"/>
    <n v="10"/>
    <n v="1274.4000000000001"/>
    <n v="709.83"/>
    <n v="564.57000000000005"/>
    <x v="10"/>
    <x v="0"/>
    <n v="0.44300847457627118"/>
  </r>
  <r>
    <n v="1983"/>
    <d v="2024-01-18T00:00:00"/>
    <x v="1"/>
    <x v="2"/>
    <x v="10"/>
    <x v="3"/>
    <n v="4"/>
    <n v="963"/>
    <n v="15"/>
    <n v="3274.2"/>
    <n v="1857.11"/>
    <n v="1417.09"/>
    <x v="11"/>
    <x v="0"/>
    <n v="0.43280495999022661"/>
  </r>
  <r>
    <n v="1984"/>
    <d v="2024-05-07T00:00:00"/>
    <x v="3"/>
    <x v="2"/>
    <x v="17"/>
    <x v="3"/>
    <n v="2"/>
    <n v="262"/>
    <n v="15"/>
    <n v="445.4"/>
    <n v="324.95999999999998"/>
    <n v="120.44"/>
    <x v="7"/>
    <x v="0"/>
    <n v="0.27040862146385275"/>
  </r>
  <r>
    <n v="1985"/>
    <d v="2023-06-05T00:00:00"/>
    <x v="1"/>
    <x v="3"/>
    <x v="11"/>
    <x v="0"/>
    <n v="5"/>
    <n v="897"/>
    <n v="10"/>
    <n v="4036.5"/>
    <n v="3174.08"/>
    <n v="862.42"/>
    <x v="4"/>
    <x v="1"/>
    <n v="0.21365539452495974"/>
  </r>
  <r>
    <n v="1986"/>
    <d v="2024-04-02T00:00:00"/>
    <x v="2"/>
    <x v="1"/>
    <x v="16"/>
    <x v="0"/>
    <n v="4"/>
    <n v="781"/>
    <n v="5"/>
    <n v="2967.8"/>
    <n v="1670.26"/>
    <n v="1297.54"/>
    <x v="10"/>
    <x v="0"/>
    <n v="0.43720601118673763"/>
  </r>
  <r>
    <n v="1987"/>
    <d v="2024-09-20T00:00:00"/>
    <x v="1"/>
    <x v="3"/>
    <x v="11"/>
    <x v="4"/>
    <n v="4"/>
    <n v="148"/>
    <n v="5"/>
    <n v="562.4"/>
    <n v="282.19"/>
    <n v="280.20999999999998"/>
    <x v="0"/>
    <x v="0"/>
    <n v="0.4982396870554765"/>
  </r>
  <r>
    <n v="1988"/>
    <d v="2023-11-10T00:00:00"/>
    <x v="3"/>
    <x v="2"/>
    <x v="3"/>
    <x v="2"/>
    <n v="10"/>
    <n v="289"/>
    <n v="20"/>
    <n v="2312"/>
    <n v="1576.43"/>
    <n v="735.57"/>
    <x v="3"/>
    <x v="1"/>
    <n v="0.31815311418685122"/>
  </r>
  <r>
    <n v="1989"/>
    <d v="2024-09-05T00:00:00"/>
    <x v="3"/>
    <x v="2"/>
    <x v="17"/>
    <x v="3"/>
    <n v="7"/>
    <n v="780"/>
    <n v="5"/>
    <n v="5187"/>
    <n v="2608.33"/>
    <n v="2578.67"/>
    <x v="0"/>
    <x v="0"/>
    <n v="0.49714092924619241"/>
  </r>
  <r>
    <n v="1990"/>
    <d v="2023-05-21T00:00:00"/>
    <x v="2"/>
    <x v="4"/>
    <x v="8"/>
    <x v="0"/>
    <n v="7"/>
    <n v="652"/>
    <n v="0"/>
    <n v="4564"/>
    <n v="3455.37"/>
    <n v="1108.6300000000001"/>
    <x v="7"/>
    <x v="1"/>
    <n v="0.24290753724802808"/>
  </r>
  <r>
    <n v="1991"/>
    <d v="2024-01-27T00:00:00"/>
    <x v="1"/>
    <x v="0"/>
    <x v="12"/>
    <x v="1"/>
    <n v="2"/>
    <n v="803"/>
    <n v="0"/>
    <n v="1606"/>
    <n v="1002.85"/>
    <n v="603.15"/>
    <x v="11"/>
    <x v="0"/>
    <n v="0.37556039850560397"/>
  </r>
  <r>
    <n v="1992"/>
    <d v="2023-08-26T00:00:00"/>
    <x v="1"/>
    <x v="2"/>
    <x v="17"/>
    <x v="5"/>
    <n v="10"/>
    <n v="540"/>
    <n v="5"/>
    <n v="5130"/>
    <n v="3266.3"/>
    <n v="1863.7"/>
    <x v="2"/>
    <x v="1"/>
    <n v="0.3632943469785575"/>
  </r>
  <r>
    <n v="1993"/>
    <d v="2024-08-03T00:00:00"/>
    <x v="1"/>
    <x v="2"/>
    <x v="6"/>
    <x v="3"/>
    <n v="4"/>
    <n v="654"/>
    <n v="15"/>
    <n v="2223.6"/>
    <n v="1755.76"/>
    <n v="467.84"/>
    <x v="2"/>
    <x v="0"/>
    <n v="0.21039755351681957"/>
  </r>
  <r>
    <n v="1994"/>
    <d v="2023-01-15T00:00:00"/>
    <x v="1"/>
    <x v="3"/>
    <x v="15"/>
    <x v="4"/>
    <n v="4"/>
    <n v="579"/>
    <n v="5"/>
    <n v="2200.1999999999998"/>
    <n v="1425.09"/>
    <n v="775.11"/>
    <x v="11"/>
    <x v="1"/>
    <n v="0.35229070084537772"/>
  </r>
  <r>
    <n v="1995"/>
    <d v="2023-07-31T00:00:00"/>
    <x v="3"/>
    <x v="4"/>
    <x v="18"/>
    <x v="5"/>
    <n v="10"/>
    <n v="872"/>
    <n v="5"/>
    <n v="8284"/>
    <n v="5721.83"/>
    <n v="2562.17"/>
    <x v="5"/>
    <x v="1"/>
    <n v="0.30929140511830033"/>
  </r>
  <r>
    <n v="1996"/>
    <d v="2024-11-05T00:00:00"/>
    <x v="0"/>
    <x v="3"/>
    <x v="4"/>
    <x v="0"/>
    <n v="7"/>
    <n v="138"/>
    <n v="10"/>
    <n v="869.4"/>
    <n v="651.52"/>
    <n v="217.88"/>
    <x v="3"/>
    <x v="0"/>
    <n v="0.25060961582700714"/>
  </r>
  <r>
    <n v="1997"/>
    <d v="2023-10-27T00:00:00"/>
    <x v="2"/>
    <x v="3"/>
    <x v="15"/>
    <x v="1"/>
    <n v="10"/>
    <n v="723"/>
    <n v="5"/>
    <n v="6868.5"/>
    <n v="3770.37"/>
    <n v="3098.13"/>
    <x v="1"/>
    <x v="1"/>
    <n v="0.45106355099366674"/>
  </r>
  <r>
    <n v="1998"/>
    <d v="2024-06-21T00:00:00"/>
    <x v="1"/>
    <x v="3"/>
    <x v="15"/>
    <x v="0"/>
    <n v="7"/>
    <n v="594"/>
    <n v="5"/>
    <n v="3950.1"/>
    <n v="2405.4"/>
    <n v="1544.7"/>
    <x v="4"/>
    <x v="0"/>
    <n v="0.3910533910533911"/>
  </r>
  <r>
    <n v="1999"/>
    <d v="2024-11-10T00:00:00"/>
    <x v="3"/>
    <x v="0"/>
    <x v="12"/>
    <x v="2"/>
    <n v="2"/>
    <n v="525"/>
    <n v="0"/>
    <n v="1050"/>
    <n v="806.15"/>
    <n v="243.85"/>
    <x v="3"/>
    <x v="0"/>
    <n v="0.23223809523809524"/>
  </r>
  <r>
    <n v="2000"/>
    <d v="2023-04-18T00:00:00"/>
    <x v="3"/>
    <x v="0"/>
    <x v="12"/>
    <x v="2"/>
    <n v="3"/>
    <n v="427"/>
    <n v="10"/>
    <n v="1152.9000000000001"/>
    <n v="750.88"/>
    <n v="402.02"/>
    <x v="10"/>
    <x v="1"/>
    <n v="0.34870327001474538"/>
  </r>
  <r>
    <n v="2001"/>
    <d v="2024-09-28T00:00:00"/>
    <x v="0"/>
    <x v="0"/>
    <x v="1"/>
    <x v="1"/>
    <n v="6"/>
    <n v="187"/>
    <n v="10"/>
    <n v="1009.8"/>
    <n v="781.84"/>
    <n v="227.96"/>
    <x v="0"/>
    <x v="0"/>
    <n v="0.22574767280649635"/>
  </r>
  <r>
    <n v="2002"/>
    <d v="2023-08-20T00:00:00"/>
    <x v="2"/>
    <x v="0"/>
    <x v="1"/>
    <x v="3"/>
    <n v="6"/>
    <n v="679"/>
    <n v="15"/>
    <n v="3462.9"/>
    <n v="2506.81"/>
    <n v="956.09"/>
    <x v="2"/>
    <x v="1"/>
    <n v="0.27609518034017733"/>
  </r>
  <r>
    <n v="2003"/>
    <d v="2024-12-27T00:00:00"/>
    <x v="1"/>
    <x v="4"/>
    <x v="8"/>
    <x v="4"/>
    <n v="6"/>
    <n v="535"/>
    <n v="10"/>
    <n v="2889"/>
    <n v="1811.45"/>
    <n v="1077.55"/>
    <x v="6"/>
    <x v="0"/>
    <n v="0.37298373139494634"/>
  </r>
  <r>
    <n v="2004"/>
    <d v="2023-09-05T00:00:00"/>
    <x v="3"/>
    <x v="1"/>
    <x v="16"/>
    <x v="0"/>
    <n v="1"/>
    <n v="407"/>
    <n v="10"/>
    <n v="366.3"/>
    <n v="214.73"/>
    <n v="151.57"/>
    <x v="0"/>
    <x v="1"/>
    <n v="0.41378651378651377"/>
  </r>
  <r>
    <n v="2005"/>
    <d v="2023-12-27T00:00:00"/>
    <x v="3"/>
    <x v="3"/>
    <x v="19"/>
    <x v="1"/>
    <n v="4"/>
    <n v="511"/>
    <n v="0"/>
    <n v="2044"/>
    <n v="1542.79"/>
    <n v="501.21"/>
    <x v="6"/>
    <x v="1"/>
    <n v="0.24521037181996086"/>
  </r>
  <r>
    <n v="2006"/>
    <d v="2023-04-01T00:00:00"/>
    <x v="3"/>
    <x v="0"/>
    <x v="12"/>
    <x v="0"/>
    <n v="3"/>
    <n v="816"/>
    <n v="15"/>
    <n v="2080.8000000000002"/>
    <n v="1341.74"/>
    <n v="739.06"/>
    <x v="10"/>
    <x v="1"/>
    <n v="0.35518069973087268"/>
  </r>
  <r>
    <n v="2007"/>
    <d v="2023-06-10T00:00:00"/>
    <x v="3"/>
    <x v="3"/>
    <x v="4"/>
    <x v="4"/>
    <n v="4"/>
    <n v="435"/>
    <n v="0"/>
    <n v="1740"/>
    <n v="1037.82"/>
    <n v="702.18"/>
    <x v="4"/>
    <x v="1"/>
    <n v="0.403551724137931"/>
  </r>
  <r>
    <n v="2008"/>
    <d v="2023-12-29T00:00:00"/>
    <x v="2"/>
    <x v="1"/>
    <x v="5"/>
    <x v="1"/>
    <n v="8"/>
    <n v="852"/>
    <n v="10"/>
    <n v="6134.4"/>
    <n v="3577.25"/>
    <n v="2557.15"/>
    <x v="6"/>
    <x v="1"/>
    <n v="0.41685413406364114"/>
  </r>
  <r>
    <n v="2009"/>
    <d v="2023-12-04T00:00:00"/>
    <x v="0"/>
    <x v="3"/>
    <x v="19"/>
    <x v="4"/>
    <n v="10"/>
    <n v="981"/>
    <n v="15"/>
    <n v="8338.5"/>
    <n v="5383.03"/>
    <n v="2955.47"/>
    <x v="6"/>
    <x v="1"/>
    <n v="0.35443664927744795"/>
  </r>
  <r>
    <n v="2010"/>
    <d v="2024-09-08T00:00:00"/>
    <x v="2"/>
    <x v="3"/>
    <x v="19"/>
    <x v="5"/>
    <n v="10"/>
    <n v="563"/>
    <n v="5"/>
    <n v="5348.5"/>
    <n v="3063.86"/>
    <n v="2284.64"/>
    <x v="0"/>
    <x v="0"/>
    <n v="0.42715527718051788"/>
  </r>
  <r>
    <n v="2011"/>
    <d v="2023-03-02T00:00:00"/>
    <x v="3"/>
    <x v="1"/>
    <x v="2"/>
    <x v="2"/>
    <n v="10"/>
    <n v="463"/>
    <n v="0"/>
    <n v="4630"/>
    <n v="3412.1"/>
    <n v="1217.9000000000001"/>
    <x v="8"/>
    <x v="1"/>
    <n v="0.26304535637149029"/>
  </r>
  <r>
    <n v="2012"/>
    <d v="2023-11-01T00:00:00"/>
    <x v="2"/>
    <x v="4"/>
    <x v="18"/>
    <x v="4"/>
    <n v="6"/>
    <n v="702"/>
    <n v="0"/>
    <n v="4212"/>
    <n v="3058.25"/>
    <n v="1153.75"/>
    <x v="3"/>
    <x v="1"/>
    <n v="0.27391975308641975"/>
  </r>
  <r>
    <n v="2013"/>
    <d v="2024-05-06T00:00:00"/>
    <x v="2"/>
    <x v="1"/>
    <x v="7"/>
    <x v="1"/>
    <n v="7"/>
    <n v="104"/>
    <n v="5"/>
    <n v="691.6"/>
    <n v="385.21"/>
    <n v="306.39"/>
    <x v="7"/>
    <x v="0"/>
    <n v="0.44301619433198375"/>
  </r>
  <r>
    <n v="2014"/>
    <d v="2023-01-20T00:00:00"/>
    <x v="1"/>
    <x v="1"/>
    <x v="7"/>
    <x v="0"/>
    <n v="2"/>
    <n v="396"/>
    <n v="15"/>
    <n v="673.2"/>
    <n v="421.11"/>
    <n v="252.09"/>
    <x v="11"/>
    <x v="1"/>
    <n v="0.37446524064171122"/>
  </r>
  <r>
    <n v="2015"/>
    <d v="2024-06-21T00:00:00"/>
    <x v="2"/>
    <x v="3"/>
    <x v="4"/>
    <x v="0"/>
    <n v="7"/>
    <n v="325"/>
    <n v="5"/>
    <n v="2161.25"/>
    <n v="1420.03"/>
    <n v="741.22"/>
    <x v="4"/>
    <x v="0"/>
    <n v="0.34295893580104109"/>
  </r>
  <r>
    <n v="2016"/>
    <d v="2023-03-17T00:00:00"/>
    <x v="1"/>
    <x v="0"/>
    <x v="13"/>
    <x v="4"/>
    <n v="6"/>
    <n v="412"/>
    <n v="5"/>
    <n v="2348.4"/>
    <n v="1615.77"/>
    <n v="732.63"/>
    <x v="8"/>
    <x v="1"/>
    <n v="0.311969851814001"/>
  </r>
  <r>
    <n v="2017"/>
    <d v="2024-12-26T00:00:00"/>
    <x v="2"/>
    <x v="3"/>
    <x v="11"/>
    <x v="2"/>
    <n v="3"/>
    <n v="457"/>
    <n v="10"/>
    <n v="1233.9000000000001"/>
    <n v="971.49"/>
    <n v="262.41000000000003"/>
    <x v="6"/>
    <x v="0"/>
    <n v="0.21266715292973498"/>
  </r>
  <r>
    <n v="2018"/>
    <d v="2024-04-30T00:00:00"/>
    <x v="2"/>
    <x v="0"/>
    <x v="13"/>
    <x v="0"/>
    <n v="6"/>
    <n v="610"/>
    <n v="15"/>
    <n v="3111"/>
    <n v="2464"/>
    <n v="647"/>
    <x v="10"/>
    <x v="0"/>
    <n v="0.20797171327547412"/>
  </r>
  <r>
    <n v="2019"/>
    <d v="2024-11-04T00:00:00"/>
    <x v="1"/>
    <x v="1"/>
    <x v="16"/>
    <x v="5"/>
    <n v="9"/>
    <n v="717"/>
    <n v="0"/>
    <n v="6453"/>
    <n v="3330.49"/>
    <n v="3122.51"/>
    <x v="3"/>
    <x v="0"/>
    <n v="0.48388501472183482"/>
  </r>
  <r>
    <n v="2020"/>
    <d v="2024-03-28T00:00:00"/>
    <x v="0"/>
    <x v="3"/>
    <x v="11"/>
    <x v="4"/>
    <n v="6"/>
    <n v="853"/>
    <n v="0"/>
    <n v="5118"/>
    <n v="3751.35"/>
    <n v="1366.65"/>
    <x v="8"/>
    <x v="0"/>
    <n v="0.26702813599062136"/>
  </r>
  <r>
    <n v="2021"/>
    <d v="2023-12-28T00:00:00"/>
    <x v="3"/>
    <x v="4"/>
    <x v="14"/>
    <x v="2"/>
    <n v="6"/>
    <n v="689"/>
    <n v="5"/>
    <n v="3927.3"/>
    <n v="2205.62"/>
    <n v="1721.68"/>
    <x v="6"/>
    <x v="1"/>
    <n v="0.43838769638173808"/>
  </r>
  <r>
    <n v="2022"/>
    <d v="2024-11-16T00:00:00"/>
    <x v="3"/>
    <x v="2"/>
    <x v="17"/>
    <x v="0"/>
    <n v="9"/>
    <n v="377"/>
    <n v="5"/>
    <n v="3223.35"/>
    <n v="2005.2"/>
    <n v="1218.1500000000001"/>
    <x v="3"/>
    <x v="0"/>
    <n v="0.37791428172553404"/>
  </r>
  <r>
    <n v="2023"/>
    <d v="2024-07-11T00:00:00"/>
    <x v="1"/>
    <x v="2"/>
    <x v="10"/>
    <x v="3"/>
    <n v="1"/>
    <n v="726"/>
    <n v="20"/>
    <n v="580.79999999999995"/>
    <n v="427.7"/>
    <n v="153.1"/>
    <x v="5"/>
    <x v="0"/>
    <n v="0.26360192837465568"/>
  </r>
  <r>
    <n v="2024"/>
    <d v="2023-02-07T00:00:00"/>
    <x v="3"/>
    <x v="3"/>
    <x v="11"/>
    <x v="2"/>
    <n v="4"/>
    <n v="222"/>
    <n v="5"/>
    <n v="843.6"/>
    <n v="636.96"/>
    <n v="206.64"/>
    <x v="9"/>
    <x v="1"/>
    <n v="0.24495021337126599"/>
  </r>
  <r>
    <n v="2025"/>
    <d v="2023-02-06T00:00:00"/>
    <x v="2"/>
    <x v="1"/>
    <x v="7"/>
    <x v="5"/>
    <n v="3"/>
    <n v="581"/>
    <n v="0"/>
    <n v="1743"/>
    <n v="1173.71"/>
    <n v="569.29"/>
    <x v="9"/>
    <x v="1"/>
    <n v="0.32661503155479055"/>
  </r>
  <r>
    <n v="2026"/>
    <d v="2023-05-18T00:00:00"/>
    <x v="0"/>
    <x v="2"/>
    <x v="3"/>
    <x v="0"/>
    <n v="5"/>
    <n v="660"/>
    <n v="10"/>
    <n v="2970"/>
    <n v="1606.33"/>
    <n v="1363.67"/>
    <x v="7"/>
    <x v="1"/>
    <n v="0.45914814814814819"/>
  </r>
  <r>
    <n v="2027"/>
    <d v="2024-12-11T00:00:00"/>
    <x v="1"/>
    <x v="0"/>
    <x v="12"/>
    <x v="1"/>
    <n v="4"/>
    <n v="446"/>
    <n v="0"/>
    <n v="1784"/>
    <n v="1408.57"/>
    <n v="375.43"/>
    <x v="6"/>
    <x v="0"/>
    <n v="0.21044282511210763"/>
  </r>
  <r>
    <n v="2028"/>
    <d v="2024-04-25T00:00:00"/>
    <x v="1"/>
    <x v="3"/>
    <x v="15"/>
    <x v="4"/>
    <n v="7"/>
    <n v="253"/>
    <n v="5"/>
    <n v="1682.45"/>
    <n v="890.18"/>
    <n v="792.27"/>
    <x v="10"/>
    <x v="0"/>
    <n v="0.47090255282474958"/>
  </r>
  <r>
    <n v="2029"/>
    <d v="2024-10-31T00:00:00"/>
    <x v="2"/>
    <x v="1"/>
    <x v="5"/>
    <x v="4"/>
    <n v="4"/>
    <n v="798"/>
    <n v="20"/>
    <n v="2553.6"/>
    <n v="1455.95"/>
    <n v="1097.6500000000001"/>
    <x v="1"/>
    <x v="0"/>
    <n v="0.42984414160401008"/>
  </r>
  <r>
    <n v="2030"/>
    <d v="2023-01-24T00:00:00"/>
    <x v="3"/>
    <x v="2"/>
    <x v="3"/>
    <x v="5"/>
    <n v="5"/>
    <n v="360"/>
    <n v="5"/>
    <n v="1710"/>
    <n v="1323.35"/>
    <n v="386.65"/>
    <x v="11"/>
    <x v="1"/>
    <n v="0.2261111111111111"/>
  </r>
  <r>
    <n v="2031"/>
    <d v="2024-12-07T00:00:00"/>
    <x v="1"/>
    <x v="3"/>
    <x v="19"/>
    <x v="2"/>
    <n v="2"/>
    <n v="960"/>
    <n v="15"/>
    <n v="1632"/>
    <n v="1067.3900000000001"/>
    <n v="564.61"/>
    <x v="6"/>
    <x v="0"/>
    <n v="0.34596200980392156"/>
  </r>
  <r>
    <n v="2032"/>
    <d v="2023-08-07T00:00:00"/>
    <x v="2"/>
    <x v="0"/>
    <x v="1"/>
    <x v="2"/>
    <n v="5"/>
    <n v="905"/>
    <n v="20"/>
    <n v="3620"/>
    <n v="2800.94"/>
    <n v="819.06"/>
    <x v="2"/>
    <x v="1"/>
    <n v="0.22625966850828727"/>
  </r>
  <r>
    <n v="2033"/>
    <d v="2024-12-07T00:00:00"/>
    <x v="1"/>
    <x v="4"/>
    <x v="9"/>
    <x v="1"/>
    <n v="3"/>
    <n v="307"/>
    <n v="10"/>
    <n v="828.9"/>
    <n v="422.95"/>
    <n v="405.95"/>
    <x v="6"/>
    <x v="0"/>
    <n v="0.48974544577150442"/>
  </r>
  <r>
    <n v="2034"/>
    <d v="2024-04-04T00:00:00"/>
    <x v="3"/>
    <x v="3"/>
    <x v="19"/>
    <x v="1"/>
    <n v="2"/>
    <n v="82"/>
    <n v="15"/>
    <n v="139.4"/>
    <n v="82.32"/>
    <n v="57.08"/>
    <x v="10"/>
    <x v="0"/>
    <n v="0.40946915351506452"/>
  </r>
  <r>
    <n v="2035"/>
    <d v="2024-10-25T00:00:00"/>
    <x v="1"/>
    <x v="0"/>
    <x v="13"/>
    <x v="0"/>
    <n v="2"/>
    <n v="747"/>
    <n v="20"/>
    <n v="1195.2"/>
    <n v="607.88"/>
    <n v="587.32000000000005"/>
    <x v="1"/>
    <x v="0"/>
    <n v="0.49139892904953147"/>
  </r>
  <r>
    <n v="2036"/>
    <d v="2024-10-20T00:00:00"/>
    <x v="1"/>
    <x v="0"/>
    <x v="12"/>
    <x v="0"/>
    <n v="9"/>
    <n v="401"/>
    <n v="20"/>
    <n v="2887.2"/>
    <n v="2088.4"/>
    <n v="798.8"/>
    <x v="1"/>
    <x v="0"/>
    <n v="0.27666943751731782"/>
  </r>
  <r>
    <n v="2037"/>
    <d v="2023-01-27T00:00:00"/>
    <x v="2"/>
    <x v="4"/>
    <x v="14"/>
    <x v="0"/>
    <n v="9"/>
    <n v="289"/>
    <n v="5"/>
    <n v="2470.9499999999998"/>
    <n v="1966.98"/>
    <n v="503.97"/>
    <x v="11"/>
    <x v="1"/>
    <n v="0.20395799186547686"/>
  </r>
  <r>
    <n v="2038"/>
    <d v="2023-05-15T00:00:00"/>
    <x v="0"/>
    <x v="2"/>
    <x v="3"/>
    <x v="4"/>
    <n v="2"/>
    <n v="957"/>
    <n v="15"/>
    <n v="1626.9"/>
    <n v="915.71"/>
    <n v="711.19"/>
    <x v="7"/>
    <x v="1"/>
    <n v="0.43714426209355217"/>
  </r>
  <r>
    <n v="2039"/>
    <d v="2024-10-05T00:00:00"/>
    <x v="1"/>
    <x v="0"/>
    <x v="0"/>
    <x v="5"/>
    <n v="4"/>
    <n v="602"/>
    <n v="10"/>
    <n v="2167.1999999999998"/>
    <n v="1498.85"/>
    <n v="668.35"/>
    <x v="1"/>
    <x v="0"/>
    <n v="0.30839331856773722"/>
  </r>
  <r>
    <n v="2040"/>
    <d v="2024-04-03T00:00:00"/>
    <x v="3"/>
    <x v="3"/>
    <x v="19"/>
    <x v="2"/>
    <n v="7"/>
    <n v="727"/>
    <n v="20"/>
    <n v="4071.2"/>
    <n v="2055.44"/>
    <n v="2015.76"/>
    <x v="10"/>
    <x v="0"/>
    <n v="0.49512674395755552"/>
  </r>
  <r>
    <n v="2041"/>
    <d v="2023-04-03T00:00:00"/>
    <x v="1"/>
    <x v="2"/>
    <x v="17"/>
    <x v="2"/>
    <n v="7"/>
    <n v="986"/>
    <n v="20"/>
    <n v="5521.6"/>
    <n v="3497.32"/>
    <n v="2024.28"/>
    <x v="10"/>
    <x v="1"/>
    <n v="0.36661112720950445"/>
  </r>
  <r>
    <n v="2042"/>
    <d v="2023-10-23T00:00:00"/>
    <x v="0"/>
    <x v="3"/>
    <x v="19"/>
    <x v="3"/>
    <n v="3"/>
    <n v="871"/>
    <n v="15"/>
    <n v="2221.0500000000002"/>
    <n v="1721.29"/>
    <n v="499.76"/>
    <x v="1"/>
    <x v="1"/>
    <n v="0.22501069314063166"/>
  </r>
  <r>
    <n v="2043"/>
    <d v="2023-03-27T00:00:00"/>
    <x v="3"/>
    <x v="1"/>
    <x v="5"/>
    <x v="4"/>
    <n v="8"/>
    <n v="698"/>
    <n v="5"/>
    <n v="5304.8"/>
    <n v="3211.47"/>
    <n v="2093.33"/>
    <x v="8"/>
    <x v="1"/>
    <n v="0.39461054139647112"/>
  </r>
  <r>
    <n v="2044"/>
    <d v="2023-04-19T00:00:00"/>
    <x v="1"/>
    <x v="0"/>
    <x v="12"/>
    <x v="1"/>
    <n v="1"/>
    <n v="242"/>
    <n v="0"/>
    <n v="242"/>
    <n v="123.56"/>
    <n v="118.44"/>
    <x v="10"/>
    <x v="1"/>
    <n v="0.48942148760330578"/>
  </r>
  <r>
    <n v="2045"/>
    <d v="2024-07-05T00:00:00"/>
    <x v="0"/>
    <x v="1"/>
    <x v="5"/>
    <x v="0"/>
    <n v="8"/>
    <n v="154"/>
    <n v="10"/>
    <n v="1108.8"/>
    <n v="634.41"/>
    <n v="474.39"/>
    <x v="5"/>
    <x v="0"/>
    <n v="0.42784090909090911"/>
  </r>
  <r>
    <n v="2046"/>
    <d v="2024-11-16T00:00:00"/>
    <x v="3"/>
    <x v="0"/>
    <x v="12"/>
    <x v="3"/>
    <n v="3"/>
    <n v="748"/>
    <n v="10"/>
    <n v="2019.6"/>
    <n v="1490.05"/>
    <n v="529.54999999999995"/>
    <x v="3"/>
    <x v="0"/>
    <n v="0.26220538720538722"/>
  </r>
  <r>
    <n v="2047"/>
    <d v="2023-09-26T00:00:00"/>
    <x v="3"/>
    <x v="3"/>
    <x v="15"/>
    <x v="0"/>
    <n v="7"/>
    <n v="307"/>
    <n v="20"/>
    <n v="1719.2"/>
    <n v="1030.1300000000001"/>
    <n v="689.07"/>
    <x v="0"/>
    <x v="1"/>
    <n v="0.40080851558864589"/>
  </r>
  <r>
    <n v="2048"/>
    <d v="2023-10-26T00:00:00"/>
    <x v="0"/>
    <x v="4"/>
    <x v="9"/>
    <x v="4"/>
    <n v="4"/>
    <n v="958"/>
    <n v="15"/>
    <n v="3257.2"/>
    <n v="2535.12"/>
    <n v="722.08"/>
    <x v="1"/>
    <x v="1"/>
    <n v="0.22168733881861724"/>
  </r>
  <r>
    <n v="2049"/>
    <d v="2024-06-20T00:00:00"/>
    <x v="3"/>
    <x v="3"/>
    <x v="4"/>
    <x v="3"/>
    <n v="7"/>
    <n v="43"/>
    <n v="10"/>
    <n v="270.89999999999998"/>
    <n v="149.80000000000001"/>
    <n v="121.1"/>
    <x v="4"/>
    <x v="0"/>
    <n v="0.44702842377260982"/>
  </r>
  <r>
    <n v="2050"/>
    <d v="2024-11-21T00:00:00"/>
    <x v="1"/>
    <x v="4"/>
    <x v="18"/>
    <x v="5"/>
    <n v="9"/>
    <n v="125"/>
    <n v="15"/>
    <n v="956.25"/>
    <n v="591.19000000000005"/>
    <n v="365.06"/>
    <x v="3"/>
    <x v="0"/>
    <n v="0.38176209150326795"/>
  </r>
  <r>
    <n v="2051"/>
    <d v="2024-11-13T00:00:00"/>
    <x v="1"/>
    <x v="0"/>
    <x v="0"/>
    <x v="3"/>
    <n v="5"/>
    <n v="69"/>
    <n v="0"/>
    <n v="345"/>
    <n v="227.65"/>
    <n v="117.35"/>
    <x v="3"/>
    <x v="0"/>
    <n v="0.34014492753623188"/>
  </r>
  <r>
    <n v="2052"/>
    <d v="2024-05-08T00:00:00"/>
    <x v="3"/>
    <x v="2"/>
    <x v="10"/>
    <x v="3"/>
    <n v="4"/>
    <n v="479"/>
    <n v="15"/>
    <n v="1628.6"/>
    <n v="816.38"/>
    <n v="812.22"/>
    <x v="7"/>
    <x v="0"/>
    <n v="0.49872282942404522"/>
  </r>
  <r>
    <n v="2053"/>
    <d v="2023-04-10T00:00:00"/>
    <x v="3"/>
    <x v="4"/>
    <x v="14"/>
    <x v="0"/>
    <n v="9"/>
    <n v="793"/>
    <n v="10"/>
    <n v="6423.3"/>
    <n v="4093.14"/>
    <n v="2330.16"/>
    <x v="10"/>
    <x v="1"/>
    <n v="0.36276680211106438"/>
  </r>
  <r>
    <n v="2054"/>
    <d v="2023-05-27T00:00:00"/>
    <x v="1"/>
    <x v="4"/>
    <x v="14"/>
    <x v="1"/>
    <n v="2"/>
    <n v="884"/>
    <n v="20"/>
    <n v="1414.4"/>
    <n v="850.79"/>
    <n v="563.61"/>
    <x v="7"/>
    <x v="1"/>
    <n v="0.39847992081447964"/>
  </r>
  <r>
    <n v="2055"/>
    <d v="2024-01-17T00:00:00"/>
    <x v="1"/>
    <x v="1"/>
    <x v="5"/>
    <x v="0"/>
    <n v="8"/>
    <n v="295"/>
    <n v="5"/>
    <n v="2242"/>
    <n v="1170.6099999999999"/>
    <n v="1071.3900000000001"/>
    <x v="11"/>
    <x v="0"/>
    <n v="0.4778724353256022"/>
  </r>
  <r>
    <n v="2056"/>
    <d v="2024-02-19T00:00:00"/>
    <x v="2"/>
    <x v="3"/>
    <x v="4"/>
    <x v="2"/>
    <n v="1"/>
    <n v="149"/>
    <n v="10"/>
    <n v="134.1"/>
    <n v="70.790000000000006"/>
    <n v="63.31"/>
    <x v="9"/>
    <x v="0"/>
    <n v="0.47211036539895607"/>
  </r>
  <r>
    <n v="2057"/>
    <d v="2024-07-23T00:00:00"/>
    <x v="0"/>
    <x v="4"/>
    <x v="14"/>
    <x v="2"/>
    <n v="8"/>
    <n v="406"/>
    <n v="20"/>
    <n v="2598.4"/>
    <n v="1855.86"/>
    <n v="742.54"/>
    <x v="5"/>
    <x v="0"/>
    <n v="0.28576816502463054"/>
  </r>
  <r>
    <n v="2058"/>
    <d v="2024-03-08T00:00:00"/>
    <x v="1"/>
    <x v="1"/>
    <x v="5"/>
    <x v="5"/>
    <n v="1"/>
    <n v="702"/>
    <n v="15"/>
    <n v="596.70000000000005"/>
    <n v="363.66"/>
    <n v="233.04"/>
    <x v="8"/>
    <x v="0"/>
    <n v="0.39054801407742579"/>
  </r>
  <r>
    <n v="2059"/>
    <d v="2024-06-15T00:00:00"/>
    <x v="2"/>
    <x v="0"/>
    <x v="1"/>
    <x v="5"/>
    <n v="3"/>
    <n v="486"/>
    <n v="5"/>
    <n v="1385.1"/>
    <n v="954.49"/>
    <n v="430.61"/>
    <x v="4"/>
    <x v="0"/>
    <n v="0.31088730055591657"/>
  </r>
  <r>
    <n v="2060"/>
    <d v="2024-07-08T00:00:00"/>
    <x v="0"/>
    <x v="0"/>
    <x v="12"/>
    <x v="3"/>
    <n v="4"/>
    <n v="541"/>
    <n v="10"/>
    <n v="1947.6"/>
    <n v="1219.6400000000001"/>
    <n v="727.96"/>
    <x v="5"/>
    <x v="0"/>
    <n v="0.3737728486342165"/>
  </r>
  <r>
    <n v="2061"/>
    <d v="2023-03-18T00:00:00"/>
    <x v="0"/>
    <x v="2"/>
    <x v="3"/>
    <x v="0"/>
    <n v="1"/>
    <n v="160"/>
    <n v="15"/>
    <n v="136"/>
    <n v="99.67"/>
    <n v="36.33"/>
    <x v="8"/>
    <x v="1"/>
    <n v="0.26713235294117643"/>
  </r>
  <r>
    <n v="2062"/>
    <d v="2023-12-26T00:00:00"/>
    <x v="1"/>
    <x v="1"/>
    <x v="2"/>
    <x v="0"/>
    <n v="2"/>
    <n v="980"/>
    <n v="0"/>
    <n v="1960"/>
    <n v="1137.1199999999999"/>
    <n v="822.88"/>
    <x v="6"/>
    <x v="1"/>
    <n v="0.41983673469387756"/>
  </r>
  <r>
    <n v="2063"/>
    <d v="2023-06-17T00:00:00"/>
    <x v="1"/>
    <x v="2"/>
    <x v="17"/>
    <x v="2"/>
    <n v="2"/>
    <n v="932"/>
    <n v="15"/>
    <n v="1584.4"/>
    <n v="1142.33"/>
    <n v="442.07"/>
    <x v="4"/>
    <x v="1"/>
    <n v="0.27901413784397877"/>
  </r>
  <r>
    <n v="2064"/>
    <d v="2024-06-28T00:00:00"/>
    <x v="1"/>
    <x v="4"/>
    <x v="14"/>
    <x v="3"/>
    <n v="7"/>
    <n v="671"/>
    <n v="10"/>
    <n v="4227.3"/>
    <n v="2848.46"/>
    <n v="1378.84"/>
    <x v="4"/>
    <x v="0"/>
    <n v="0.32617509994559174"/>
  </r>
  <r>
    <n v="2065"/>
    <d v="2023-02-09T00:00:00"/>
    <x v="1"/>
    <x v="1"/>
    <x v="16"/>
    <x v="5"/>
    <n v="3"/>
    <n v="98"/>
    <n v="10"/>
    <n v="264.60000000000002"/>
    <n v="149.81"/>
    <n v="114.79"/>
    <x v="9"/>
    <x v="1"/>
    <n v="0.43382464096749812"/>
  </r>
  <r>
    <n v="2066"/>
    <d v="2024-02-13T00:00:00"/>
    <x v="0"/>
    <x v="2"/>
    <x v="17"/>
    <x v="5"/>
    <n v="4"/>
    <n v="83"/>
    <n v="0"/>
    <n v="332"/>
    <n v="229.74"/>
    <n v="102.26"/>
    <x v="9"/>
    <x v="0"/>
    <n v="0.30801204819277112"/>
  </r>
  <r>
    <n v="2067"/>
    <d v="2024-05-21T00:00:00"/>
    <x v="0"/>
    <x v="2"/>
    <x v="10"/>
    <x v="1"/>
    <n v="6"/>
    <n v="299"/>
    <n v="15"/>
    <n v="1524.9"/>
    <n v="1059.2"/>
    <n v="465.7"/>
    <x v="7"/>
    <x v="0"/>
    <n v="0.30539707521804704"/>
  </r>
  <r>
    <n v="2068"/>
    <d v="2024-04-15T00:00:00"/>
    <x v="0"/>
    <x v="4"/>
    <x v="8"/>
    <x v="1"/>
    <n v="8"/>
    <n v="394"/>
    <n v="0"/>
    <n v="3152"/>
    <n v="2230.41"/>
    <n v="921.59"/>
    <x v="10"/>
    <x v="0"/>
    <n v="0.292382614213198"/>
  </r>
  <r>
    <n v="2069"/>
    <d v="2024-04-02T00:00:00"/>
    <x v="1"/>
    <x v="0"/>
    <x v="12"/>
    <x v="4"/>
    <n v="4"/>
    <n v="407"/>
    <n v="20"/>
    <n v="1302.4000000000001"/>
    <n v="823.28"/>
    <n v="479.12"/>
    <x v="10"/>
    <x v="0"/>
    <n v="0.36787469287469288"/>
  </r>
  <r>
    <n v="2070"/>
    <d v="2024-10-13T00:00:00"/>
    <x v="1"/>
    <x v="4"/>
    <x v="9"/>
    <x v="1"/>
    <n v="2"/>
    <n v="82"/>
    <n v="20"/>
    <n v="131.19999999999999"/>
    <n v="93.95"/>
    <n v="37.25"/>
    <x v="1"/>
    <x v="0"/>
    <n v="0.28391768292682928"/>
  </r>
  <r>
    <n v="2071"/>
    <d v="2024-07-28T00:00:00"/>
    <x v="0"/>
    <x v="1"/>
    <x v="5"/>
    <x v="5"/>
    <n v="1"/>
    <n v="902"/>
    <n v="20"/>
    <n v="721.6"/>
    <n v="539.05999999999995"/>
    <n v="182.54"/>
    <x v="5"/>
    <x v="0"/>
    <n v="0.25296563192904653"/>
  </r>
  <r>
    <n v="2072"/>
    <d v="2023-12-29T00:00:00"/>
    <x v="0"/>
    <x v="1"/>
    <x v="7"/>
    <x v="2"/>
    <n v="4"/>
    <n v="638"/>
    <n v="5"/>
    <n v="2424.4"/>
    <n v="1486.83"/>
    <n v="937.57"/>
    <x v="6"/>
    <x v="1"/>
    <n v="0.38672248803827752"/>
  </r>
  <r>
    <n v="2073"/>
    <d v="2024-05-25T00:00:00"/>
    <x v="3"/>
    <x v="2"/>
    <x v="10"/>
    <x v="3"/>
    <n v="4"/>
    <n v="762"/>
    <n v="15"/>
    <n v="2590.8000000000002"/>
    <n v="1554.16"/>
    <n v="1036.6400000000001"/>
    <x v="7"/>
    <x v="0"/>
    <n v="0.40012351397251816"/>
  </r>
  <r>
    <n v="2074"/>
    <d v="2024-04-04T00:00:00"/>
    <x v="0"/>
    <x v="1"/>
    <x v="2"/>
    <x v="1"/>
    <n v="8"/>
    <n v="843"/>
    <n v="20"/>
    <n v="5395.2"/>
    <n v="2700.46"/>
    <n v="2694.74"/>
    <x v="10"/>
    <x v="0"/>
    <n v="0.49946989916963225"/>
  </r>
  <r>
    <n v="2075"/>
    <d v="2023-11-29T00:00:00"/>
    <x v="1"/>
    <x v="1"/>
    <x v="16"/>
    <x v="3"/>
    <n v="3"/>
    <n v="982"/>
    <n v="15"/>
    <n v="2504.1"/>
    <n v="1701.93"/>
    <n v="802.17"/>
    <x v="3"/>
    <x v="1"/>
    <n v="0.32034263807355934"/>
  </r>
  <r>
    <n v="2076"/>
    <d v="2023-12-10T00:00:00"/>
    <x v="1"/>
    <x v="3"/>
    <x v="11"/>
    <x v="0"/>
    <n v="6"/>
    <n v="140"/>
    <n v="20"/>
    <n v="672"/>
    <n v="381.85"/>
    <n v="290.14999999999998"/>
    <x v="6"/>
    <x v="1"/>
    <n v="0.43177083333333333"/>
  </r>
  <r>
    <n v="2077"/>
    <d v="2023-08-03T00:00:00"/>
    <x v="3"/>
    <x v="3"/>
    <x v="4"/>
    <x v="3"/>
    <n v="6"/>
    <n v="420"/>
    <n v="20"/>
    <n v="2016"/>
    <n v="1171.6400000000001"/>
    <n v="844.36"/>
    <x v="2"/>
    <x v="1"/>
    <n v="0.41882936507936508"/>
  </r>
  <r>
    <n v="2078"/>
    <d v="2024-04-28T00:00:00"/>
    <x v="1"/>
    <x v="4"/>
    <x v="18"/>
    <x v="4"/>
    <n v="8"/>
    <n v="277"/>
    <n v="15"/>
    <n v="1883.6"/>
    <n v="1007.94"/>
    <n v="875.66"/>
    <x v="10"/>
    <x v="0"/>
    <n v="0.46488638776810365"/>
  </r>
  <r>
    <n v="2079"/>
    <d v="2024-01-16T00:00:00"/>
    <x v="0"/>
    <x v="3"/>
    <x v="11"/>
    <x v="1"/>
    <n v="1"/>
    <n v="47"/>
    <n v="0"/>
    <n v="47"/>
    <n v="29.46"/>
    <n v="17.54"/>
    <x v="11"/>
    <x v="0"/>
    <n v="0.3731914893617021"/>
  </r>
  <r>
    <n v="2080"/>
    <d v="2023-02-14T00:00:00"/>
    <x v="0"/>
    <x v="3"/>
    <x v="11"/>
    <x v="3"/>
    <n v="7"/>
    <n v="633"/>
    <n v="20"/>
    <n v="3544.8"/>
    <n v="2699.05"/>
    <n v="845.75"/>
    <x v="9"/>
    <x v="1"/>
    <n v="0.23858891897991422"/>
  </r>
  <r>
    <n v="2081"/>
    <d v="2024-11-10T00:00:00"/>
    <x v="1"/>
    <x v="3"/>
    <x v="4"/>
    <x v="2"/>
    <n v="1"/>
    <n v="622"/>
    <n v="10"/>
    <n v="559.79999999999995"/>
    <n v="304.8"/>
    <n v="255"/>
    <x v="3"/>
    <x v="0"/>
    <n v="0.45551982851018225"/>
  </r>
  <r>
    <n v="2082"/>
    <d v="2023-05-22T00:00:00"/>
    <x v="3"/>
    <x v="2"/>
    <x v="6"/>
    <x v="5"/>
    <n v="4"/>
    <n v="113"/>
    <n v="0"/>
    <n v="452"/>
    <n v="325.35000000000002"/>
    <n v="126.65"/>
    <x v="7"/>
    <x v="1"/>
    <n v="0.28019911504424783"/>
  </r>
  <r>
    <n v="2083"/>
    <d v="2024-03-27T00:00:00"/>
    <x v="1"/>
    <x v="3"/>
    <x v="19"/>
    <x v="3"/>
    <n v="6"/>
    <n v="981"/>
    <n v="10"/>
    <n v="5297.4"/>
    <n v="3642.18"/>
    <n v="1655.22"/>
    <x v="8"/>
    <x v="0"/>
    <n v="0.31245894212255071"/>
  </r>
  <r>
    <n v="2084"/>
    <d v="2024-06-09T00:00:00"/>
    <x v="3"/>
    <x v="2"/>
    <x v="17"/>
    <x v="5"/>
    <n v="3"/>
    <n v="344"/>
    <n v="0"/>
    <n v="1032"/>
    <n v="552.66"/>
    <n v="479.34"/>
    <x v="4"/>
    <x v="0"/>
    <n v="0.46447674418604651"/>
  </r>
  <r>
    <n v="2085"/>
    <d v="2024-10-30T00:00:00"/>
    <x v="2"/>
    <x v="1"/>
    <x v="5"/>
    <x v="4"/>
    <n v="4"/>
    <n v="758"/>
    <n v="20"/>
    <n v="2425.6"/>
    <n v="1483.74"/>
    <n v="941.86"/>
    <x v="1"/>
    <x v="0"/>
    <n v="0.38829980211081794"/>
  </r>
  <r>
    <n v="2086"/>
    <d v="2023-03-18T00:00:00"/>
    <x v="1"/>
    <x v="2"/>
    <x v="6"/>
    <x v="2"/>
    <n v="6"/>
    <n v="57"/>
    <n v="5"/>
    <n v="324.89999999999998"/>
    <n v="210.45"/>
    <n v="114.45"/>
    <x v="8"/>
    <x v="1"/>
    <n v="0.3522622345337027"/>
  </r>
  <r>
    <n v="2087"/>
    <d v="2023-12-04T00:00:00"/>
    <x v="3"/>
    <x v="0"/>
    <x v="1"/>
    <x v="0"/>
    <n v="8"/>
    <n v="629"/>
    <n v="5"/>
    <n v="4780.3999999999996"/>
    <n v="2832.14"/>
    <n v="1948.26"/>
    <x v="6"/>
    <x v="1"/>
    <n v="0.40755166931637521"/>
  </r>
  <r>
    <n v="2088"/>
    <d v="2023-08-10T00:00:00"/>
    <x v="0"/>
    <x v="2"/>
    <x v="3"/>
    <x v="4"/>
    <n v="4"/>
    <n v="908"/>
    <n v="15"/>
    <n v="3087.2"/>
    <n v="1618.57"/>
    <n v="1468.63"/>
    <x v="2"/>
    <x v="1"/>
    <n v="0.47571585903083707"/>
  </r>
  <r>
    <n v="2089"/>
    <d v="2024-06-30T00:00:00"/>
    <x v="1"/>
    <x v="1"/>
    <x v="2"/>
    <x v="1"/>
    <n v="8"/>
    <n v="467"/>
    <n v="10"/>
    <n v="3362.4"/>
    <n v="1859.82"/>
    <n v="1502.58"/>
    <x v="4"/>
    <x v="0"/>
    <n v="0.44687723054960737"/>
  </r>
  <r>
    <n v="2090"/>
    <d v="2024-06-17T00:00:00"/>
    <x v="1"/>
    <x v="3"/>
    <x v="11"/>
    <x v="4"/>
    <n v="2"/>
    <n v="484"/>
    <n v="0"/>
    <n v="968"/>
    <n v="593.24"/>
    <n v="374.76"/>
    <x v="4"/>
    <x v="0"/>
    <n v="0.38714876033057849"/>
  </r>
  <r>
    <n v="2091"/>
    <d v="2023-06-26T00:00:00"/>
    <x v="1"/>
    <x v="2"/>
    <x v="3"/>
    <x v="3"/>
    <n v="3"/>
    <n v="69"/>
    <n v="0"/>
    <n v="207"/>
    <n v="149.04"/>
    <n v="57.96"/>
    <x v="4"/>
    <x v="1"/>
    <n v="0.28000000000000003"/>
  </r>
  <r>
    <n v="2092"/>
    <d v="2023-02-15T00:00:00"/>
    <x v="3"/>
    <x v="4"/>
    <x v="14"/>
    <x v="3"/>
    <n v="3"/>
    <n v="15"/>
    <n v="5"/>
    <n v="42.75"/>
    <n v="32.159999999999997"/>
    <n v="10.59"/>
    <x v="9"/>
    <x v="1"/>
    <n v="0.24771929824561403"/>
  </r>
  <r>
    <n v="2093"/>
    <d v="2023-07-12T00:00:00"/>
    <x v="1"/>
    <x v="3"/>
    <x v="15"/>
    <x v="5"/>
    <n v="10"/>
    <n v="70"/>
    <n v="0"/>
    <n v="700"/>
    <n v="510.19"/>
    <n v="189.81"/>
    <x v="5"/>
    <x v="1"/>
    <n v="0.27115714285714287"/>
  </r>
  <r>
    <n v="2094"/>
    <d v="2023-11-20T00:00:00"/>
    <x v="3"/>
    <x v="0"/>
    <x v="1"/>
    <x v="3"/>
    <n v="2"/>
    <n v="226"/>
    <n v="0"/>
    <n v="452"/>
    <n v="344.85"/>
    <n v="107.15"/>
    <x v="3"/>
    <x v="1"/>
    <n v="0.2370575221238938"/>
  </r>
  <r>
    <n v="2095"/>
    <d v="2024-01-23T00:00:00"/>
    <x v="0"/>
    <x v="0"/>
    <x v="12"/>
    <x v="0"/>
    <n v="4"/>
    <n v="927"/>
    <n v="15"/>
    <n v="3151.8"/>
    <n v="1964.4"/>
    <n v="1187.4000000000001"/>
    <x v="11"/>
    <x v="0"/>
    <n v="0.3767371026080335"/>
  </r>
  <r>
    <n v="2096"/>
    <d v="2024-01-24T00:00:00"/>
    <x v="0"/>
    <x v="3"/>
    <x v="15"/>
    <x v="5"/>
    <n v="7"/>
    <n v="890"/>
    <n v="20"/>
    <n v="4984"/>
    <n v="3533.55"/>
    <n v="1450.45"/>
    <x v="11"/>
    <x v="0"/>
    <n v="0.29102126805778494"/>
  </r>
  <r>
    <n v="2097"/>
    <d v="2023-12-03T00:00:00"/>
    <x v="1"/>
    <x v="0"/>
    <x v="0"/>
    <x v="2"/>
    <n v="8"/>
    <n v="89"/>
    <n v="20"/>
    <n v="569.6"/>
    <n v="320.81"/>
    <n v="248.79"/>
    <x v="6"/>
    <x v="1"/>
    <n v="0.43678019662921347"/>
  </r>
  <r>
    <n v="2098"/>
    <d v="2023-09-25T00:00:00"/>
    <x v="0"/>
    <x v="1"/>
    <x v="5"/>
    <x v="0"/>
    <n v="4"/>
    <n v="885"/>
    <n v="20"/>
    <n v="2832"/>
    <n v="2121.64"/>
    <n v="710.36"/>
    <x v="0"/>
    <x v="1"/>
    <n v="0.25083333333333335"/>
  </r>
  <r>
    <n v="2099"/>
    <d v="2024-02-17T00:00:00"/>
    <x v="1"/>
    <x v="4"/>
    <x v="9"/>
    <x v="2"/>
    <n v="6"/>
    <n v="155"/>
    <n v="10"/>
    <n v="837"/>
    <n v="547.66999999999996"/>
    <n v="289.33"/>
    <x v="9"/>
    <x v="0"/>
    <n v="0.34567502986857823"/>
  </r>
  <r>
    <n v="2100"/>
    <d v="2023-01-20T00:00:00"/>
    <x v="1"/>
    <x v="4"/>
    <x v="9"/>
    <x v="0"/>
    <n v="10"/>
    <n v="499"/>
    <n v="15"/>
    <n v="4241.5"/>
    <n v="2456.3000000000002"/>
    <n v="1785.2"/>
    <x v="11"/>
    <x v="1"/>
    <n v="0.42088883649652248"/>
  </r>
  <r>
    <n v="2101"/>
    <d v="2024-05-30T00:00:00"/>
    <x v="3"/>
    <x v="0"/>
    <x v="12"/>
    <x v="4"/>
    <n v="6"/>
    <n v="47"/>
    <n v="10"/>
    <n v="253.8"/>
    <n v="174.67"/>
    <n v="79.13"/>
    <x v="7"/>
    <x v="0"/>
    <n v="0.31178092986603623"/>
  </r>
  <r>
    <n v="2102"/>
    <d v="2024-02-27T00:00:00"/>
    <x v="3"/>
    <x v="2"/>
    <x v="3"/>
    <x v="4"/>
    <n v="10"/>
    <n v="506"/>
    <n v="20"/>
    <n v="4048"/>
    <n v="3038.54"/>
    <n v="1009.46"/>
    <x v="9"/>
    <x v="0"/>
    <n v="0.24937252964426879"/>
  </r>
  <r>
    <n v="2103"/>
    <d v="2024-02-27T00:00:00"/>
    <x v="3"/>
    <x v="1"/>
    <x v="2"/>
    <x v="1"/>
    <n v="1"/>
    <n v="774"/>
    <n v="20"/>
    <n v="619.20000000000005"/>
    <n v="479.37"/>
    <n v="139.83000000000001"/>
    <x v="9"/>
    <x v="0"/>
    <n v="0.2258236434108527"/>
  </r>
  <r>
    <n v="2104"/>
    <d v="2023-07-02T00:00:00"/>
    <x v="3"/>
    <x v="4"/>
    <x v="9"/>
    <x v="5"/>
    <n v="5"/>
    <n v="964"/>
    <n v="0"/>
    <n v="4820"/>
    <n v="3099.32"/>
    <n v="1720.68"/>
    <x v="5"/>
    <x v="1"/>
    <n v="0.35698755186721992"/>
  </r>
  <r>
    <n v="2105"/>
    <d v="2023-08-12T00:00:00"/>
    <x v="3"/>
    <x v="1"/>
    <x v="5"/>
    <x v="4"/>
    <n v="10"/>
    <n v="187"/>
    <n v="5"/>
    <n v="1776.5"/>
    <n v="1267.03"/>
    <n v="509.47"/>
    <x v="2"/>
    <x v="1"/>
    <n v="0.28678300028145232"/>
  </r>
  <r>
    <n v="2106"/>
    <d v="2024-09-27T00:00:00"/>
    <x v="3"/>
    <x v="1"/>
    <x v="7"/>
    <x v="3"/>
    <n v="7"/>
    <n v="115"/>
    <n v="20"/>
    <n v="644"/>
    <n v="490.84"/>
    <n v="153.16"/>
    <x v="0"/>
    <x v="0"/>
    <n v="0.23782608695652174"/>
  </r>
  <r>
    <n v="2107"/>
    <d v="2024-10-05T00:00:00"/>
    <x v="1"/>
    <x v="0"/>
    <x v="0"/>
    <x v="0"/>
    <n v="2"/>
    <n v="38"/>
    <n v="10"/>
    <n v="68.400000000000006"/>
    <n v="43.96"/>
    <n v="24.44"/>
    <x v="1"/>
    <x v="0"/>
    <n v="0.3573099415204678"/>
  </r>
  <r>
    <n v="2108"/>
    <d v="2024-06-18T00:00:00"/>
    <x v="3"/>
    <x v="3"/>
    <x v="15"/>
    <x v="4"/>
    <n v="5"/>
    <n v="630"/>
    <n v="0"/>
    <n v="3150"/>
    <n v="2095.23"/>
    <n v="1054.77"/>
    <x v="4"/>
    <x v="0"/>
    <n v="0.33484761904761906"/>
  </r>
  <r>
    <n v="2109"/>
    <d v="2023-07-21T00:00:00"/>
    <x v="0"/>
    <x v="4"/>
    <x v="14"/>
    <x v="3"/>
    <n v="10"/>
    <n v="314"/>
    <n v="20"/>
    <n v="2512"/>
    <n v="1568.87"/>
    <n v="943.13"/>
    <x v="5"/>
    <x v="1"/>
    <n v="0.37544984076433119"/>
  </r>
  <r>
    <n v="2110"/>
    <d v="2023-04-04T00:00:00"/>
    <x v="3"/>
    <x v="4"/>
    <x v="9"/>
    <x v="3"/>
    <n v="1"/>
    <n v="789"/>
    <n v="5"/>
    <n v="749.55"/>
    <n v="487.34"/>
    <n v="262.20999999999998"/>
    <x v="10"/>
    <x v="1"/>
    <n v="0.34982322726969517"/>
  </r>
  <r>
    <n v="2111"/>
    <d v="2023-10-29T00:00:00"/>
    <x v="1"/>
    <x v="4"/>
    <x v="9"/>
    <x v="3"/>
    <n v="4"/>
    <n v="652"/>
    <n v="0"/>
    <n v="2608"/>
    <n v="1525.62"/>
    <n v="1082.3800000000001"/>
    <x v="1"/>
    <x v="1"/>
    <n v="0.41502300613496934"/>
  </r>
  <r>
    <n v="2112"/>
    <d v="2024-04-18T00:00:00"/>
    <x v="1"/>
    <x v="4"/>
    <x v="18"/>
    <x v="5"/>
    <n v="5"/>
    <n v="335"/>
    <n v="10"/>
    <n v="1507.5"/>
    <n v="1080.6500000000001"/>
    <n v="426.85"/>
    <x v="10"/>
    <x v="0"/>
    <n v="0.28315091210613602"/>
  </r>
  <r>
    <n v="2113"/>
    <d v="2024-06-28T00:00:00"/>
    <x v="3"/>
    <x v="3"/>
    <x v="4"/>
    <x v="4"/>
    <n v="6"/>
    <n v="357"/>
    <n v="5"/>
    <n v="2034.9"/>
    <n v="1361.14"/>
    <n v="673.76"/>
    <x v="4"/>
    <x v="0"/>
    <n v="0.33110226546759053"/>
  </r>
  <r>
    <n v="2114"/>
    <d v="2023-09-12T00:00:00"/>
    <x v="1"/>
    <x v="4"/>
    <x v="8"/>
    <x v="5"/>
    <n v="8"/>
    <n v="135"/>
    <n v="5"/>
    <n v="1026"/>
    <n v="556.59"/>
    <n v="469.41"/>
    <x v="0"/>
    <x v="1"/>
    <n v="0.45751461988304098"/>
  </r>
  <r>
    <n v="2115"/>
    <d v="2024-08-03T00:00:00"/>
    <x v="0"/>
    <x v="2"/>
    <x v="3"/>
    <x v="5"/>
    <n v="1"/>
    <n v="80"/>
    <n v="0"/>
    <n v="80"/>
    <n v="55.3"/>
    <n v="24.7"/>
    <x v="2"/>
    <x v="0"/>
    <n v="0.30874999999999997"/>
  </r>
  <r>
    <n v="2116"/>
    <d v="2023-06-20T00:00:00"/>
    <x v="1"/>
    <x v="1"/>
    <x v="5"/>
    <x v="2"/>
    <n v="9"/>
    <n v="266"/>
    <n v="15"/>
    <n v="2034.9"/>
    <n v="1624.43"/>
    <n v="410.47"/>
    <x v="4"/>
    <x v="1"/>
    <n v="0.20171507199370978"/>
  </r>
  <r>
    <n v="2117"/>
    <d v="2024-05-07T00:00:00"/>
    <x v="3"/>
    <x v="4"/>
    <x v="8"/>
    <x v="0"/>
    <n v="1"/>
    <n v="901"/>
    <n v="0"/>
    <n v="901"/>
    <n v="473.12"/>
    <n v="427.88"/>
    <x v="7"/>
    <x v="0"/>
    <n v="0.47489456159822419"/>
  </r>
  <r>
    <n v="2118"/>
    <d v="2023-01-03T00:00:00"/>
    <x v="2"/>
    <x v="0"/>
    <x v="12"/>
    <x v="5"/>
    <n v="2"/>
    <n v="790"/>
    <n v="5"/>
    <n v="1501"/>
    <n v="892.68"/>
    <n v="608.32000000000005"/>
    <x v="11"/>
    <x v="1"/>
    <n v="0.40527648234510327"/>
  </r>
  <r>
    <n v="2119"/>
    <d v="2023-02-04T00:00:00"/>
    <x v="3"/>
    <x v="2"/>
    <x v="17"/>
    <x v="1"/>
    <n v="6"/>
    <n v="562"/>
    <n v="0"/>
    <n v="3372"/>
    <n v="2483.5700000000002"/>
    <n v="888.43"/>
    <x v="9"/>
    <x v="1"/>
    <n v="0.26347271648873072"/>
  </r>
  <r>
    <n v="2120"/>
    <d v="2023-09-10T00:00:00"/>
    <x v="3"/>
    <x v="3"/>
    <x v="19"/>
    <x v="4"/>
    <n v="1"/>
    <n v="886"/>
    <n v="5"/>
    <n v="841.7"/>
    <n v="461.75"/>
    <n v="379.95"/>
    <x v="0"/>
    <x v="1"/>
    <n v="0.45140786503504809"/>
  </r>
  <r>
    <n v="2121"/>
    <d v="2024-08-17T00:00:00"/>
    <x v="1"/>
    <x v="3"/>
    <x v="11"/>
    <x v="1"/>
    <n v="5"/>
    <n v="272"/>
    <n v="0"/>
    <n v="1360"/>
    <n v="901.99"/>
    <n v="458.01"/>
    <x v="2"/>
    <x v="0"/>
    <n v="0.3367720588235294"/>
  </r>
  <r>
    <n v="2122"/>
    <d v="2024-11-30T00:00:00"/>
    <x v="3"/>
    <x v="1"/>
    <x v="7"/>
    <x v="0"/>
    <n v="5"/>
    <n v="628"/>
    <n v="20"/>
    <n v="2512"/>
    <n v="1523.86"/>
    <n v="988.14"/>
    <x v="3"/>
    <x v="0"/>
    <n v="0.39336783439490447"/>
  </r>
  <r>
    <n v="2123"/>
    <d v="2024-03-18T00:00:00"/>
    <x v="2"/>
    <x v="1"/>
    <x v="2"/>
    <x v="0"/>
    <n v="2"/>
    <n v="973"/>
    <n v="15"/>
    <n v="1654.1"/>
    <n v="1009.18"/>
    <n v="644.91999999999996"/>
    <x v="8"/>
    <x v="0"/>
    <n v="0.38989178405175018"/>
  </r>
  <r>
    <n v="2124"/>
    <d v="2023-03-02T00:00:00"/>
    <x v="3"/>
    <x v="1"/>
    <x v="16"/>
    <x v="5"/>
    <n v="2"/>
    <n v="292"/>
    <n v="5"/>
    <n v="554.79999999999995"/>
    <n v="329.01"/>
    <n v="225.79"/>
    <x v="8"/>
    <x v="1"/>
    <n v="0.40697548666186018"/>
  </r>
  <r>
    <n v="2125"/>
    <d v="2024-07-27T00:00:00"/>
    <x v="0"/>
    <x v="1"/>
    <x v="16"/>
    <x v="0"/>
    <n v="7"/>
    <n v="305"/>
    <n v="5"/>
    <n v="2028.25"/>
    <n v="1571.22"/>
    <n v="457.03"/>
    <x v="5"/>
    <x v="0"/>
    <n v="0.22533218291630716"/>
  </r>
  <r>
    <n v="2126"/>
    <d v="2024-03-18T00:00:00"/>
    <x v="2"/>
    <x v="1"/>
    <x v="7"/>
    <x v="3"/>
    <n v="7"/>
    <n v="650"/>
    <n v="20"/>
    <n v="3640"/>
    <n v="2565.4699999999998"/>
    <n v="1074.53"/>
    <x v="8"/>
    <x v="0"/>
    <n v="0.29520054945054947"/>
  </r>
  <r>
    <n v="2127"/>
    <d v="2024-10-14T00:00:00"/>
    <x v="2"/>
    <x v="3"/>
    <x v="15"/>
    <x v="5"/>
    <n v="9"/>
    <n v="887"/>
    <n v="0"/>
    <n v="7983"/>
    <n v="4124.74"/>
    <n v="3858.26"/>
    <x v="1"/>
    <x v="0"/>
    <n v="0.48330953275710886"/>
  </r>
  <r>
    <n v="2128"/>
    <d v="2024-08-18T00:00:00"/>
    <x v="0"/>
    <x v="0"/>
    <x v="1"/>
    <x v="2"/>
    <n v="5"/>
    <n v="849"/>
    <n v="10"/>
    <n v="3820.5"/>
    <n v="2344.48"/>
    <n v="1476.02"/>
    <x v="2"/>
    <x v="0"/>
    <n v="0.38634210181913364"/>
  </r>
  <r>
    <n v="2129"/>
    <d v="2023-12-08T00:00:00"/>
    <x v="2"/>
    <x v="3"/>
    <x v="15"/>
    <x v="5"/>
    <n v="1"/>
    <n v="657"/>
    <n v="20"/>
    <n v="525.6"/>
    <n v="389.9"/>
    <n v="135.69999999999999"/>
    <x v="6"/>
    <x v="1"/>
    <n v="0.25818112633181123"/>
  </r>
  <r>
    <n v="2130"/>
    <d v="2024-09-27T00:00:00"/>
    <x v="1"/>
    <x v="2"/>
    <x v="17"/>
    <x v="0"/>
    <n v="1"/>
    <n v="239"/>
    <n v="20"/>
    <n v="191.2"/>
    <n v="136.55000000000001"/>
    <n v="54.65"/>
    <x v="0"/>
    <x v="0"/>
    <n v="0.28582635983263599"/>
  </r>
  <r>
    <n v="2131"/>
    <d v="2024-08-02T00:00:00"/>
    <x v="2"/>
    <x v="2"/>
    <x v="3"/>
    <x v="5"/>
    <n v="2"/>
    <n v="82"/>
    <n v="15"/>
    <n v="139.4"/>
    <n v="96.41"/>
    <n v="42.99"/>
    <x v="2"/>
    <x v="0"/>
    <n v="0.30839311334289815"/>
  </r>
  <r>
    <n v="2132"/>
    <d v="2024-09-06T00:00:00"/>
    <x v="2"/>
    <x v="1"/>
    <x v="5"/>
    <x v="5"/>
    <n v="5"/>
    <n v="706"/>
    <n v="5"/>
    <n v="3353.5"/>
    <n v="2597.12"/>
    <n v="756.38"/>
    <x v="0"/>
    <x v="0"/>
    <n v="0.22554942597286418"/>
  </r>
  <r>
    <n v="2133"/>
    <d v="2023-02-11T00:00:00"/>
    <x v="0"/>
    <x v="1"/>
    <x v="16"/>
    <x v="1"/>
    <n v="10"/>
    <n v="129"/>
    <n v="20"/>
    <n v="1032"/>
    <n v="702.19"/>
    <n v="329.81"/>
    <x v="9"/>
    <x v="1"/>
    <n v="0.31958333333333333"/>
  </r>
  <r>
    <n v="2134"/>
    <d v="2023-10-05T00:00:00"/>
    <x v="3"/>
    <x v="0"/>
    <x v="0"/>
    <x v="1"/>
    <n v="6"/>
    <n v="347"/>
    <n v="15"/>
    <n v="1769.7"/>
    <n v="1356.83"/>
    <n v="412.87"/>
    <x v="1"/>
    <x v="1"/>
    <n v="0.23329942928179917"/>
  </r>
  <r>
    <n v="2135"/>
    <d v="2023-12-21T00:00:00"/>
    <x v="2"/>
    <x v="4"/>
    <x v="14"/>
    <x v="3"/>
    <n v="2"/>
    <n v="458"/>
    <n v="15"/>
    <n v="778.6"/>
    <n v="501.23"/>
    <n v="277.37"/>
    <x v="6"/>
    <x v="1"/>
    <n v="0.35624197277164138"/>
  </r>
  <r>
    <n v="2136"/>
    <d v="2023-09-12T00:00:00"/>
    <x v="0"/>
    <x v="1"/>
    <x v="5"/>
    <x v="3"/>
    <n v="4"/>
    <n v="78"/>
    <n v="10"/>
    <n v="280.8"/>
    <n v="193.21"/>
    <n v="87.59"/>
    <x v="0"/>
    <x v="1"/>
    <n v="0.31193019943019945"/>
  </r>
  <r>
    <n v="2137"/>
    <d v="2024-07-18T00:00:00"/>
    <x v="2"/>
    <x v="2"/>
    <x v="6"/>
    <x v="5"/>
    <n v="1"/>
    <n v="765"/>
    <n v="15"/>
    <n v="650.25"/>
    <n v="382.83"/>
    <n v="267.42"/>
    <x v="5"/>
    <x v="0"/>
    <n v="0.41125720876585931"/>
  </r>
  <r>
    <n v="2138"/>
    <d v="2024-05-16T00:00:00"/>
    <x v="1"/>
    <x v="4"/>
    <x v="8"/>
    <x v="2"/>
    <n v="9"/>
    <n v="365"/>
    <n v="0"/>
    <n v="3285"/>
    <n v="2475.39"/>
    <n v="809.61"/>
    <x v="7"/>
    <x v="0"/>
    <n v="0.24645662100456622"/>
  </r>
  <r>
    <n v="2139"/>
    <d v="2023-08-31T00:00:00"/>
    <x v="0"/>
    <x v="1"/>
    <x v="16"/>
    <x v="5"/>
    <n v="4"/>
    <n v="20"/>
    <n v="15"/>
    <n v="68"/>
    <n v="36.200000000000003"/>
    <n v="31.8"/>
    <x v="2"/>
    <x v="1"/>
    <n v="0.46764705882352942"/>
  </r>
  <r>
    <n v="2140"/>
    <d v="2024-07-04T00:00:00"/>
    <x v="2"/>
    <x v="4"/>
    <x v="8"/>
    <x v="1"/>
    <n v="7"/>
    <n v="145"/>
    <n v="10"/>
    <n v="913.5"/>
    <n v="537.04999999999995"/>
    <n v="376.45"/>
    <x v="5"/>
    <x v="0"/>
    <n v="0.41209633278598795"/>
  </r>
  <r>
    <n v="2141"/>
    <d v="2024-09-13T00:00:00"/>
    <x v="1"/>
    <x v="1"/>
    <x v="7"/>
    <x v="1"/>
    <n v="2"/>
    <n v="533"/>
    <n v="0"/>
    <n v="1066"/>
    <n v="755.51"/>
    <n v="310.49"/>
    <x v="0"/>
    <x v="0"/>
    <n v="0.29126641651031898"/>
  </r>
  <r>
    <n v="2142"/>
    <d v="2023-04-08T00:00:00"/>
    <x v="0"/>
    <x v="4"/>
    <x v="18"/>
    <x v="5"/>
    <n v="7"/>
    <n v="90"/>
    <n v="5"/>
    <n v="598.5"/>
    <n v="339.42"/>
    <n v="259.08"/>
    <x v="10"/>
    <x v="1"/>
    <n v="0.43288220551378442"/>
  </r>
  <r>
    <n v="2143"/>
    <d v="2024-06-01T00:00:00"/>
    <x v="2"/>
    <x v="2"/>
    <x v="3"/>
    <x v="3"/>
    <n v="1"/>
    <n v="444"/>
    <n v="10"/>
    <n v="399.6"/>
    <n v="302.08999999999997"/>
    <n v="97.51"/>
    <x v="4"/>
    <x v="0"/>
    <n v="0.24401901901901901"/>
  </r>
  <r>
    <n v="2144"/>
    <d v="2024-05-25T00:00:00"/>
    <x v="3"/>
    <x v="4"/>
    <x v="9"/>
    <x v="3"/>
    <n v="1"/>
    <n v="796"/>
    <n v="10"/>
    <n v="716.4"/>
    <n v="501.96"/>
    <n v="214.44"/>
    <x v="7"/>
    <x v="0"/>
    <n v="0.29932998324958127"/>
  </r>
  <r>
    <n v="2145"/>
    <d v="2024-04-13T00:00:00"/>
    <x v="0"/>
    <x v="3"/>
    <x v="15"/>
    <x v="4"/>
    <n v="6"/>
    <n v="569"/>
    <n v="10"/>
    <n v="3072.6"/>
    <n v="2377.91"/>
    <n v="694.69"/>
    <x v="10"/>
    <x v="0"/>
    <n v="0.22609190913233096"/>
  </r>
  <r>
    <n v="2146"/>
    <d v="2023-10-31T00:00:00"/>
    <x v="2"/>
    <x v="4"/>
    <x v="8"/>
    <x v="0"/>
    <n v="1"/>
    <n v="393"/>
    <n v="0"/>
    <n v="393"/>
    <n v="268.22000000000003"/>
    <n v="124.78"/>
    <x v="1"/>
    <x v="1"/>
    <n v="0.31750636132315524"/>
  </r>
  <r>
    <n v="2147"/>
    <d v="2024-12-21T00:00:00"/>
    <x v="3"/>
    <x v="0"/>
    <x v="1"/>
    <x v="3"/>
    <n v="4"/>
    <n v="479"/>
    <n v="0"/>
    <n v="1916"/>
    <n v="1419"/>
    <n v="497"/>
    <x v="6"/>
    <x v="0"/>
    <n v="0.25939457202505217"/>
  </r>
  <r>
    <n v="2148"/>
    <d v="2023-04-11T00:00:00"/>
    <x v="2"/>
    <x v="1"/>
    <x v="7"/>
    <x v="1"/>
    <n v="10"/>
    <n v="842"/>
    <n v="10"/>
    <n v="7578"/>
    <n v="4666.2"/>
    <n v="2911.8"/>
    <x v="10"/>
    <x v="1"/>
    <n v="0.38424386381631037"/>
  </r>
  <r>
    <n v="2149"/>
    <d v="2024-06-07T00:00:00"/>
    <x v="0"/>
    <x v="3"/>
    <x v="4"/>
    <x v="1"/>
    <n v="8"/>
    <n v="765"/>
    <n v="0"/>
    <n v="6120"/>
    <n v="3067.04"/>
    <n v="3052.96"/>
    <x v="4"/>
    <x v="0"/>
    <n v="0.49884967320261436"/>
  </r>
  <r>
    <n v="2150"/>
    <d v="2023-08-18T00:00:00"/>
    <x v="0"/>
    <x v="0"/>
    <x v="0"/>
    <x v="1"/>
    <n v="10"/>
    <n v="385"/>
    <n v="10"/>
    <n v="3465"/>
    <n v="1831.71"/>
    <n v="1633.29"/>
    <x v="2"/>
    <x v="1"/>
    <n v="0.47136796536796538"/>
  </r>
  <r>
    <n v="2151"/>
    <d v="2023-08-30T00:00:00"/>
    <x v="0"/>
    <x v="1"/>
    <x v="16"/>
    <x v="2"/>
    <n v="10"/>
    <n v="908"/>
    <n v="5"/>
    <n v="8626"/>
    <n v="6444.5"/>
    <n v="2181.5"/>
    <x v="2"/>
    <x v="1"/>
    <n v="0.25289821469974494"/>
  </r>
  <r>
    <n v="2152"/>
    <d v="2023-09-17T00:00:00"/>
    <x v="1"/>
    <x v="4"/>
    <x v="8"/>
    <x v="0"/>
    <n v="4"/>
    <n v="285"/>
    <n v="0"/>
    <n v="1140"/>
    <n v="677.45"/>
    <n v="462.55"/>
    <x v="0"/>
    <x v="1"/>
    <n v="0.40574561403508774"/>
  </r>
  <r>
    <n v="2153"/>
    <d v="2024-01-11T00:00:00"/>
    <x v="1"/>
    <x v="4"/>
    <x v="14"/>
    <x v="1"/>
    <n v="10"/>
    <n v="481"/>
    <n v="0"/>
    <n v="4810"/>
    <n v="3238.51"/>
    <n v="1571.49"/>
    <x v="11"/>
    <x v="0"/>
    <n v="0.3267130977130977"/>
  </r>
  <r>
    <n v="2154"/>
    <d v="2023-07-02T00:00:00"/>
    <x v="0"/>
    <x v="3"/>
    <x v="15"/>
    <x v="1"/>
    <n v="6"/>
    <n v="769"/>
    <n v="5"/>
    <n v="4383.3"/>
    <n v="2959.61"/>
    <n v="1423.69"/>
    <x v="5"/>
    <x v="1"/>
    <n v="0.3247986676704766"/>
  </r>
  <r>
    <n v="2155"/>
    <d v="2023-03-24T00:00:00"/>
    <x v="0"/>
    <x v="4"/>
    <x v="18"/>
    <x v="4"/>
    <n v="10"/>
    <n v="792"/>
    <n v="20"/>
    <n v="6336"/>
    <n v="4540.88"/>
    <n v="1795.12"/>
    <x v="8"/>
    <x v="1"/>
    <n v="0.28332070707070706"/>
  </r>
  <r>
    <n v="2156"/>
    <d v="2024-03-21T00:00:00"/>
    <x v="2"/>
    <x v="2"/>
    <x v="3"/>
    <x v="0"/>
    <n v="8"/>
    <n v="379"/>
    <n v="5"/>
    <n v="2880.4"/>
    <n v="1724.33"/>
    <n v="1156.07"/>
    <x v="8"/>
    <x v="0"/>
    <n v="0.40135745035411746"/>
  </r>
  <r>
    <n v="2157"/>
    <d v="2023-12-08T00:00:00"/>
    <x v="1"/>
    <x v="0"/>
    <x v="12"/>
    <x v="5"/>
    <n v="6"/>
    <n v="661"/>
    <n v="10"/>
    <n v="3569.4"/>
    <n v="2158.8000000000002"/>
    <n v="1410.6"/>
    <x v="6"/>
    <x v="1"/>
    <n v="0.39519246932257518"/>
  </r>
  <r>
    <n v="2158"/>
    <d v="2023-07-18T00:00:00"/>
    <x v="2"/>
    <x v="1"/>
    <x v="2"/>
    <x v="0"/>
    <n v="5"/>
    <n v="949"/>
    <n v="5"/>
    <n v="4507.75"/>
    <n v="3316.88"/>
    <n v="1190.8699999999999"/>
    <x v="5"/>
    <x v="1"/>
    <n v="0.26418279629526925"/>
  </r>
  <r>
    <n v="2159"/>
    <d v="2024-04-04T00:00:00"/>
    <x v="0"/>
    <x v="4"/>
    <x v="18"/>
    <x v="3"/>
    <n v="4"/>
    <n v="368"/>
    <n v="10"/>
    <n v="1324.8"/>
    <n v="825.72"/>
    <n v="499.08"/>
    <x v="10"/>
    <x v="0"/>
    <n v="0.37672101449275364"/>
  </r>
  <r>
    <n v="2160"/>
    <d v="2023-06-06T00:00:00"/>
    <x v="2"/>
    <x v="4"/>
    <x v="9"/>
    <x v="1"/>
    <n v="1"/>
    <n v="851"/>
    <n v="10"/>
    <n v="765.9"/>
    <n v="553.63"/>
    <n v="212.27"/>
    <x v="4"/>
    <x v="1"/>
    <n v="0.27715106410758589"/>
  </r>
  <r>
    <n v="2161"/>
    <d v="2023-07-22T00:00:00"/>
    <x v="1"/>
    <x v="3"/>
    <x v="15"/>
    <x v="0"/>
    <n v="9"/>
    <n v="611"/>
    <n v="20"/>
    <n v="4399.2"/>
    <n v="3051.93"/>
    <n v="1347.27"/>
    <x v="5"/>
    <x v="1"/>
    <n v="0.30625340971085652"/>
  </r>
  <r>
    <n v="2162"/>
    <d v="2023-09-18T00:00:00"/>
    <x v="2"/>
    <x v="4"/>
    <x v="8"/>
    <x v="0"/>
    <n v="3"/>
    <n v="954"/>
    <n v="15"/>
    <n v="2432.6999999999998"/>
    <n v="1303.1500000000001"/>
    <n v="1129.55"/>
    <x v="0"/>
    <x v="1"/>
    <n v="0.46431948041271015"/>
  </r>
  <r>
    <n v="2163"/>
    <d v="2024-05-17T00:00:00"/>
    <x v="3"/>
    <x v="0"/>
    <x v="0"/>
    <x v="1"/>
    <n v="6"/>
    <n v="294"/>
    <n v="15"/>
    <n v="1499.4"/>
    <n v="1124.6099999999999"/>
    <n v="374.79"/>
    <x v="7"/>
    <x v="0"/>
    <n v="0.24995998399359745"/>
  </r>
  <r>
    <n v="2164"/>
    <d v="2023-09-26T00:00:00"/>
    <x v="1"/>
    <x v="0"/>
    <x v="12"/>
    <x v="3"/>
    <n v="5"/>
    <n v="226"/>
    <n v="0"/>
    <n v="1130"/>
    <n v="678.07"/>
    <n v="451.93"/>
    <x v="0"/>
    <x v="1"/>
    <n v="0.39993805309734515"/>
  </r>
  <r>
    <n v="2165"/>
    <d v="2024-10-12T00:00:00"/>
    <x v="3"/>
    <x v="1"/>
    <x v="7"/>
    <x v="0"/>
    <n v="10"/>
    <n v="847"/>
    <n v="10"/>
    <n v="7623"/>
    <n v="6087.24"/>
    <n v="1535.76"/>
    <x v="1"/>
    <x v="0"/>
    <n v="0.20146399055489964"/>
  </r>
  <r>
    <n v="2166"/>
    <d v="2024-10-04T00:00:00"/>
    <x v="2"/>
    <x v="2"/>
    <x v="3"/>
    <x v="5"/>
    <n v="3"/>
    <n v="150"/>
    <n v="0"/>
    <n v="450"/>
    <n v="239.49"/>
    <n v="210.51"/>
    <x v="1"/>
    <x v="0"/>
    <n v="0.46779999999999999"/>
  </r>
  <r>
    <n v="2167"/>
    <d v="2024-03-19T00:00:00"/>
    <x v="2"/>
    <x v="2"/>
    <x v="10"/>
    <x v="4"/>
    <n v="3"/>
    <n v="355"/>
    <n v="15"/>
    <n v="905.25"/>
    <n v="480.13"/>
    <n v="425.12"/>
    <x v="8"/>
    <x v="0"/>
    <n v="0.46961612814139742"/>
  </r>
  <r>
    <n v="2168"/>
    <d v="2024-05-14T00:00:00"/>
    <x v="2"/>
    <x v="0"/>
    <x v="12"/>
    <x v="2"/>
    <n v="8"/>
    <n v="478"/>
    <n v="15"/>
    <n v="3250.4"/>
    <n v="2073.4699999999998"/>
    <n v="1176.93"/>
    <x v="7"/>
    <x v="0"/>
    <n v="0.36208774304700964"/>
  </r>
  <r>
    <n v="2169"/>
    <d v="2024-08-04T00:00:00"/>
    <x v="3"/>
    <x v="1"/>
    <x v="5"/>
    <x v="3"/>
    <n v="1"/>
    <n v="868"/>
    <n v="0"/>
    <n v="868"/>
    <n v="671.49"/>
    <n v="196.51"/>
    <x v="2"/>
    <x v="0"/>
    <n v="0.22639400921658986"/>
  </r>
  <r>
    <n v="2170"/>
    <d v="2024-10-02T00:00:00"/>
    <x v="0"/>
    <x v="3"/>
    <x v="15"/>
    <x v="3"/>
    <n v="5"/>
    <n v="487"/>
    <n v="0"/>
    <n v="2435"/>
    <n v="1865.32"/>
    <n v="569.67999999999995"/>
    <x v="1"/>
    <x v="0"/>
    <n v="0.23395482546201229"/>
  </r>
  <r>
    <n v="2171"/>
    <d v="2023-03-02T00:00:00"/>
    <x v="1"/>
    <x v="0"/>
    <x v="13"/>
    <x v="1"/>
    <n v="6"/>
    <n v="462"/>
    <n v="15"/>
    <n v="2356.1999999999998"/>
    <n v="1719.41"/>
    <n v="636.79"/>
    <x v="8"/>
    <x v="1"/>
    <n v="0.27026143790849672"/>
  </r>
  <r>
    <n v="2172"/>
    <d v="2023-10-21T00:00:00"/>
    <x v="2"/>
    <x v="4"/>
    <x v="9"/>
    <x v="5"/>
    <n v="6"/>
    <n v="289"/>
    <n v="5"/>
    <n v="1647.3"/>
    <n v="866.51"/>
    <n v="780.79"/>
    <x v="1"/>
    <x v="1"/>
    <n v="0.47398166697019362"/>
  </r>
  <r>
    <n v="2173"/>
    <d v="2024-08-30T00:00:00"/>
    <x v="0"/>
    <x v="4"/>
    <x v="14"/>
    <x v="4"/>
    <n v="9"/>
    <n v="807"/>
    <n v="20"/>
    <n v="5810.4"/>
    <n v="2943.52"/>
    <n v="2866.88"/>
    <x v="2"/>
    <x v="0"/>
    <n v="0.49340492909266148"/>
  </r>
  <r>
    <n v="2174"/>
    <d v="2023-05-26T00:00:00"/>
    <x v="3"/>
    <x v="3"/>
    <x v="4"/>
    <x v="1"/>
    <n v="3"/>
    <n v="88"/>
    <n v="0"/>
    <n v="264"/>
    <n v="180.09"/>
    <n v="83.91"/>
    <x v="7"/>
    <x v="1"/>
    <n v="0.31784090909090906"/>
  </r>
  <r>
    <n v="2175"/>
    <d v="2024-07-03T00:00:00"/>
    <x v="3"/>
    <x v="2"/>
    <x v="10"/>
    <x v="3"/>
    <n v="9"/>
    <n v="848"/>
    <n v="5"/>
    <n v="7250.4"/>
    <n v="5381.73"/>
    <n v="1868.67"/>
    <x v="5"/>
    <x v="0"/>
    <n v="0.25773336643495531"/>
  </r>
  <r>
    <n v="2176"/>
    <d v="2024-10-23T00:00:00"/>
    <x v="2"/>
    <x v="0"/>
    <x v="0"/>
    <x v="4"/>
    <n v="2"/>
    <n v="547"/>
    <n v="20"/>
    <n v="875.2"/>
    <n v="441.5"/>
    <n v="433.7"/>
    <x v="1"/>
    <x v="0"/>
    <n v="0.49554387568555752"/>
  </r>
  <r>
    <n v="2177"/>
    <d v="2024-04-09T00:00:00"/>
    <x v="3"/>
    <x v="4"/>
    <x v="9"/>
    <x v="2"/>
    <n v="2"/>
    <n v="455"/>
    <n v="20"/>
    <n v="728"/>
    <n v="531.84"/>
    <n v="196.16"/>
    <x v="10"/>
    <x v="0"/>
    <n v="0.26945054945054947"/>
  </r>
  <r>
    <n v="2178"/>
    <d v="2023-06-22T00:00:00"/>
    <x v="3"/>
    <x v="1"/>
    <x v="5"/>
    <x v="1"/>
    <n v="3"/>
    <n v="837"/>
    <n v="10"/>
    <n v="2259.9"/>
    <n v="1445.63"/>
    <n v="814.27"/>
    <x v="4"/>
    <x v="1"/>
    <n v="0.36031240320368157"/>
  </r>
  <r>
    <n v="2179"/>
    <d v="2024-02-11T00:00:00"/>
    <x v="0"/>
    <x v="0"/>
    <x v="0"/>
    <x v="0"/>
    <n v="3"/>
    <n v="884"/>
    <n v="10"/>
    <n v="2386.8000000000002"/>
    <n v="1886.2"/>
    <n v="500.6"/>
    <x v="9"/>
    <x v="0"/>
    <n v="0.20973688620747444"/>
  </r>
  <r>
    <n v="2180"/>
    <d v="2023-08-13T00:00:00"/>
    <x v="1"/>
    <x v="0"/>
    <x v="13"/>
    <x v="4"/>
    <n v="8"/>
    <n v="578"/>
    <n v="10"/>
    <n v="4161.6000000000004"/>
    <n v="3251.99"/>
    <n v="909.61"/>
    <x v="2"/>
    <x v="1"/>
    <n v="0.21857218377547097"/>
  </r>
  <r>
    <n v="2181"/>
    <d v="2024-09-18T00:00:00"/>
    <x v="2"/>
    <x v="1"/>
    <x v="5"/>
    <x v="2"/>
    <n v="9"/>
    <n v="974"/>
    <n v="0"/>
    <n v="8766"/>
    <n v="4816.2"/>
    <n v="3949.8"/>
    <x v="0"/>
    <x v="0"/>
    <n v="0.45058179329226561"/>
  </r>
  <r>
    <n v="2182"/>
    <d v="2024-07-05T00:00:00"/>
    <x v="3"/>
    <x v="4"/>
    <x v="14"/>
    <x v="4"/>
    <n v="3"/>
    <n v="753"/>
    <n v="5"/>
    <n v="2146.0500000000002"/>
    <n v="1443.87"/>
    <n v="702.18"/>
    <x v="5"/>
    <x v="0"/>
    <n v="0.32719647724889911"/>
  </r>
  <r>
    <n v="2183"/>
    <d v="2023-07-13T00:00:00"/>
    <x v="2"/>
    <x v="2"/>
    <x v="10"/>
    <x v="5"/>
    <n v="8"/>
    <n v="260"/>
    <n v="15"/>
    <n v="1768"/>
    <n v="1073.2"/>
    <n v="694.8"/>
    <x v="5"/>
    <x v="1"/>
    <n v="0.39298642533936651"/>
  </r>
  <r>
    <n v="2184"/>
    <d v="2023-03-20T00:00:00"/>
    <x v="1"/>
    <x v="1"/>
    <x v="16"/>
    <x v="4"/>
    <n v="5"/>
    <n v="191"/>
    <n v="0"/>
    <n v="955"/>
    <n v="483.83"/>
    <n v="471.17"/>
    <x v="8"/>
    <x v="1"/>
    <n v="0.49337172774869109"/>
  </r>
  <r>
    <n v="2185"/>
    <d v="2023-10-09T00:00:00"/>
    <x v="2"/>
    <x v="2"/>
    <x v="10"/>
    <x v="1"/>
    <n v="3"/>
    <n v="131"/>
    <n v="15"/>
    <n v="334.05"/>
    <n v="176.78"/>
    <n v="157.27000000000001"/>
    <x v="1"/>
    <x v="1"/>
    <n v="0.47079778476276007"/>
  </r>
  <r>
    <n v="2186"/>
    <d v="2023-04-27T00:00:00"/>
    <x v="0"/>
    <x v="2"/>
    <x v="3"/>
    <x v="3"/>
    <n v="2"/>
    <n v="97"/>
    <n v="5"/>
    <n v="184.3"/>
    <n v="96.79"/>
    <n v="87.51"/>
    <x v="10"/>
    <x v="1"/>
    <n v="0.47482365708084645"/>
  </r>
  <r>
    <n v="2187"/>
    <d v="2023-11-22T00:00:00"/>
    <x v="0"/>
    <x v="3"/>
    <x v="19"/>
    <x v="3"/>
    <n v="7"/>
    <n v="908"/>
    <n v="15"/>
    <n v="5402.6"/>
    <n v="3357.21"/>
    <n v="2045.39"/>
    <x v="3"/>
    <x v="1"/>
    <n v="0.37859364009921148"/>
  </r>
  <r>
    <n v="2188"/>
    <d v="2023-08-28T00:00:00"/>
    <x v="3"/>
    <x v="1"/>
    <x v="7"/>
    <x v="1"/>
    <n v="3"/>
    <n v="254"/>
    <n v="15"/>
    <n v="647.70000000000005"/>
    <n v="451.06"/>
    <n v="196.64"/>
    <x v="2"/>
    <x v="1"/>
    <n v="0.3035973444495908"/>
  </r>
  <r>
    <n v="2189"/>
    <d v="2023-03-31T00:00:00"/>
    <x v="1"/>
    <x v="0"/>
    <x v="12"/>
    <x v="5"/>
    <n v="8"/>
    <n v="724"/>
    <n v="0"/>
    <n v="5792"/>
    <n v="4107.88"/>
    <n v="1684.12"/>
    <x v="8"/>
    <x v="1"/>
    <n v="0.29076657458563532"/>
  </r>
  <r>
    <n v="2190"/>
    <d v="2023-01-20T00:00:00"/>
    <x v="2"/>
    <x v="3"/>
    <x v="4"/>
    <x v="4"/>
    <n v="3"/>
    <n v="865"/>
    <n v="10"/>
    <n v="2335.5"/>
    <n v="1225.22"/>
    <n v="1110.28"/>
    <x v="11"/>
    <x v="1"/>
    <n v="0.47539284949689575"/>
  </r>
  <r>
    <n v="2191"/>
    <d v="2023-08-08T00:00:00"/>
    <x v="1"/>
    <x v="2"/>
    <x v="6"/>
    <x v="5"/>
    <n v="8"/>
    <n v="912"/>
    <n v="10"/>
    <n v="6566.4"/>
    <n v="3352.08"/>
    <n v="3214.32"/>
    <x v="2"/>
    <x v="1"/>
    <n v="0.4895102339181287"/>
  </r>
  <r>
    <n v="2192"/>
    <d v="2024-12-18T00:00:00"/>
    <x v="3"/>
    <x v="3"/>
    <x v="4"/>
    <x v="0"/>
    <n v="8"/>
    <n v="795"/>
    <n v="20"/>
    <n v="5088"/>
    <n v="3684.71"/>
    <n v="1403.29"/>
    <x v="6"/>
    <x v="0"/>
    <n v="0.27580385220125786"/>
  </r>
  <r>
    <n v="2193"/>
    <d v="2023-08-31T00:00:00"/>
    <x v="0"/>
    <x v="2"/>
    <x v="17"/>
    <x v="3"/>
    <n v="2"/>
    <n v="478"/>
    <n v="0"/>
    <n v="956"/>
    <n v="690.37"/>
    <n v="265.63"/>
    <x v="2"/>
    <x v="1"/>
    <n v="0.27785564853556483"/>
  </r>
  <r>
    <n v="2194"/>
    <d v="2023-04-15T00:00:00"/>
    <x v="3"/>
    <x v="2"/>
    <x v="10"/>
    <x v="1"/>
    <n v="10"/>
    <n v="52"/>
    <n v="20"/>
    <n v="416"/>
    <n v="320.43"/>
    <n v="95.57"/>
    <x v="10"/>
    <x v="1"/>
    <n v="0.22973557692307692"/>
  </r>
  <r>
    <n v="2195"/>
    <d v="2024-10-05T00:00:00"/>
    <x v="2"/>
    <x v="3"/>
    <x v="19"/>
    <x v="2"/>
    <n v="9"/>
    <n v="386"/>
    <n v="20"/>
    <n v="2779.2"/>
    <n v="1434.09"/>
    <n v="1345.11"/>
    <x v="1"/>
    <x v="0"/>
    <n v="0.48399179620034544"/>
  </r>
  <r>
    <n v="2196"/>
    <d v="2023-03-06T00:00:00"/>
    <x v="0"/>
    <x v="0"/>
    <x v="0"/>
    <x v="0"/>
    <n v="4"/>
    <n v="296"/>
    <n v="0"/>
    <n v="1184"/>
    <n v="734.27"/>
    <n v="449.73"/>
    <x v="8"/>
    <x v="1"/>
    <n v="0.37983952702702706"/>
  </r>
  <r>
    <n v="2197"/>
    <d v="2024-07-03T00:00:00"/>
    <x v="2"/>
    <x v="4"/>
    <x v="18"/>
    <x v="3"/>
    <n v="10"/>
    <n v="977"/>
    <n v="20"/>
    <n v="7816"/>
    <n v="6098.12"/>
    <n v="1717.88"/>
    <x v="5"/>
    <x v="0"/>
    <n v="0.21979017400204709"/>
  </r>
  <r>
    <n v="2198"/>
    <d v="2023-08-10T00:00:00"/>
    <x v="1"/>
    <x v="1"/>
    <x v="2"/>
    <x v="2"/>
    <n v="3"/>
    <n v="951"/>
    <n v="5"/>
    <n v="2710.35"/>
    <n v="1628.21"/>
    <n v="1082.1400000000001"/>
    <x v="2"/>
    <x v="1"/>
    <n v="0.39926208792222412"/>
  </r>
  <r>
    <n v="2199"/>
    <d v="2023-07-13T00:00:00"/>
    <x v="3"/>
    <x v="3"/>
    <x v="11"/>
    <x v="1"/>
    <n v="6"/>
    <n v="449"/>
    <n v="0"/>
    <n v="2694"/>
    <n v="1544.89"/>
    <n v="1149.1099999999999"/>
    <x v="5"/>
    <x v="1"/>
    <n v="0.42654417223459534"/>
  </r>
  <r>
    <n v="2200"/>
    <d v="2024-03-09T00:00:00"/>
    <x v="3"/>
    <x v="1"/>
    <x v="16"/>
    <x v="0"/>
    <n v="7"/>
    <n v="483"/>
    <n v="5"/>
    <n v="3211.95"/>
    <n v="2540.2600000000002"/>
    <n v="671.69"/>
    <x v="8"/>
    <x v="0"/>
    <n v="0.20912218434284471"/>
  </r>
  <r>
    <n v="2201"/>
    <d v="2023-05-04T00:00:00"/>
    <x v="0"/>
    <x v="2"/>
    <x v="3"/>
    <x v="4"/>
    <n v="4"/>
    <n v="975"/>
    <n v="10"/>
    <n v="3510"/>
    <n v="1940.38"/>
    <n v="1569.62"/>
    <x v="7"/>
    <x v="1"/>
    <n v="0.44718518518518513"/>
  </r>
  <r>
    <n v="2202"/>
    <d v="2024-07-12T00:00:00"/>
    <x v="3"/>
    <x v="3"/>
    <x v="11"/>
    <x v="4"/>
    <n v="6"/>
    <n v="731"/>
    <n v="5"/>
    <n v="4166.7"/>
    <n v="3015.3"/>
    <n v="1151.4000000000001"/>
    <x v="5"/>
    <x v="0"/>
    <n v="0.27633378932968539"/>
  </r>
  <r>
    <n v="2203"/>
    <d v="2024-09-14T00:00:00"/>
    <x v="0"/>
    <x v="3"/>
    <x v="11"/>
    <x v="4"/>
    <n v="3"/>
    <n v="103"/>
    <n v="0"/>
    <n v="309"/>
    <n v="208.37"/>
    <n v="100.63"/>
    <x v="0"/>
    <x v="0"/>
    <n v="0.32566343042071194"/>
  </r>
  <r>
    <n v="2204"/>
    <d v="2024-06-12T00:00:00"/>
    <x v="1"/>
    <x v="0"/>
    <x v="1"/>
    <x v="1"/>
    <n v="2"/>
    <n v="207"/>
    <n v="5"/>
    <n v="393.3"/>
    <n v="248.37"/>
    <n v="144.93"/>
    <x v="4"/>
    <x v="0"/>
    <n v="0.36849733028222731"/>
  </r>
  <r>
    <n v="2205"/>
    <d v="2023-10-26T00:00:00"/>
    <x v="2"/>
    <x v="1"/>
    <x v="5"/>
    <x v="2"/>
    <n v="7"/>
    <n v="757"/>
    <n v="20"/>
    <n v="4239.2"/>
    <n v="3110.48"/>
    <n v="1128.72"/>
    <x v="1"/>
    <x v="1"/>
    <n v="0.2662577844876392"/>
  </r>
  <r>
    <n v="2206"/>
    <d v="2023-07-08T00:00:00"/>
    <x v="0"/>
    <x v="4"/>
    <x v="9"/>
    <x v="1"/>
    <n v="10"/>
    <n v="767"/>
    <n v="5"/>
    <n v="7286.5"/>
    <n v="3719.97"/>
    <n v="3566.53"/>
    <x v="5"/>
    <x v="1"/>
    <n v="0.48947093940849518"/>
  </r>
  <r>
    <n v="2207"/>
    <d v="2024-09-22T00:00:00"/>
    <x v="2"/>
    <x v="0"/>
    <x v="1"/>
    <x v="5"/>
    <n v="3"/>
    <n v="861"/>
    <n v="10"/>
    <n v="2324.6999999999998"/>
    <n v="1476.06"/>
    <n v="848.64"/>
    <x v="0"/>
    <x v="0"/>
    <n v="0.36505355529745775"/>
  </r>
  <r>
    <n v="2208"/>
    <d v="2023-01-23T00:00:00"/>
    <x v="0"/>
    <x v="0"/>
    <x v="12"/>
    <x v="2"/>
    <n v="7"/>
    <n v="272"/>
    <n v="20"/>
    <n v="1523.2"/>
    <n v="977.12"/>
    <n v="546.08000000000004"/>
    <x v="11"/>
    <x v="1"/>
    <n v="0.35850840336134454"/>
  </r>
  <r>
    <n v="2209"/>
    <d v="2023-10-27T00:00:00"/>
    <x v="3"/>
    <x v="4"/>
    <x v="14"/>
    <x v="3"/>
    <n v="4"/>
    <n v="405"/>
    <n v="20"/>
    <n v="1296"/>
    <n v="911.39"/>
    <n v="384.61"/>
    <x v="1"/>
    <x v="1"/>
    <n v="0.29676697530864199"/>
  </r>
  <r>
    <n v="2210"/>
    <d v="2023-09-19T00:00:00"/>
    <x v="0"/>
    <x v="2"/>
    <x v="10"/>
    <x v="4"/>
    <n v="9"/>
    <n v="931"/>
    <n v="5"/>
    <n v="7960.05"/>
    <n v="4843.16"/>
    <n v="3116.89"/>
    <x v="0"/>
    <x v="1"/>
    <n v="0.39156663588796548"/>
  </r>
  <r>
    <n v="2211"/>
    <d v="2024-04-06T00:00:00"/>
    <x v="0"/>
    <x v="3"/>
    <x v="11"/>
    <x v="4"/>
    <n v="2"/>
    <n v="407"/>
    <n v="10"/>
    <n v="732.6"/>
    <n v="367"/>
    <n v="365.6"/>
    <x v="10"/>
    <x v="0"/>
    <n v="0.49904449904449905"/>
  </r>
  <r>
    <n v="2212"/>
    <d v="2024-03-02T00:00:00"/>
    <x v="0"/>
    <x v="1"/>
    <x v="16"/>
    <x v="0"/>
    <n v="5"/>
    <n v="459"/>
    <n v="0"/>
    <n v="2295"/>
    <n v="1200.8599999999999"/>
    <n v="1094.1400000000001"/>
    <x v="8"/>
    <x v="0"/>
    <n v="0.4767494553376907"/>
  </r>
  <r>
    <n v="2213"/>
    <d v="2023-08-30T00:00:00"/>
    <x v="0"/>
    <x v="3"/>
    <x v="11"/>
    <x v="2"/>
    <n v="7"/>
    <n v="751"/>
    <n v="15"/>
    <n v="4468.45"/>
    <n v="2551.11"/>
    <n v="1917.34"/>
    <x v="2"/>
    <x v="1"/>
    <n v="0.42908391052825923"/>
  </r>
  <r>
    <n v="2214"/>
    <d v="2024-08-05T00:00:00"/>
    <x v="1"/>
    <x v="0"/>
    <x v="13"/>
    <x v="1"/>
    <n v="6"/>
    <n v="741"/>
    <n v="5"/>
    <n v="4223.7"/>
    <n v="3193.69"/>
    <n v="1030.01"/>
    <x v="2"/>
    <x v="0"/>
    <n v="0.2438643843075976"/>
  </r>
  <r>
    <n v="2215"/>
    <d v="2024-09-29T00:00:00"/>
    <x v="2"/>
    <x v="2"/>
    <x v="17"/>
    <x v="3"/>
    <n v="8"/>
    <n v="332"/>
    <n v="20"/>
    <n v="2124.8000000000002"/>
    <n v="1338.22"/>
    <n v="786.58"/>
    <x v="0"/>
    <x v="0"/>
    <n v="0.37019013554216867"/>
  </r>
  <r>
    <n v="2216"/>
    <d v="2023-08-23T00:00:00"/>
    <x v="3"/>
    <x v="4"/>
    <x v="8"/>
    <x v="3"/>
    <n v="10"/>
    <n v="568"/>
    <n v="5"/>
    <n v="5396"/>
    <n v="4197.4399999999996"/>
    <n v="1198.56"/>
    <x v="2"/>
    <x v="1"/>
    <n v="0.2221200889547813"/>
  </r>
  <r>
    <n v="2217"/>
    <d v="2023-09-24T00:00:00"/>
    <x v="0"/>
    <x v="3"/>
    <x v="4"/>
    <x v="0"/>
    <n v="10"/>
    <n v="205"/>
    <n v="10"/>
    <n v="1845"/>
    <n v="1051.79"/>
    <n v="793.21"/>
    <x v="0"/>
    <x v="1"/>
    <n v="0.42992411924119245"/>
  </r>
  <r>
    <n v="2218"/>
    <d v="2023-03-06T00:00:00"/>
    <x v="3"/>
    <x v="2"/>
    <x v="10"/>
    <x v="5"/>
    <n v="7"/>
    <n v="285"/>
    <n v="0"/>
    <n v="1995"/>
    <n v="1516.64"/>
    <n v="478.36"/>
    <x v="8"/>
    <x v="1"/>
    <n v="0.2397794486215539"/>
  </r>
  <r>
    <n v="2219"/>
    <d v="2023-12-22T00:00:00"/>
    <x v="0"/>
    <x v="0"/>
    <x v="12"/>
    <x v="3"/>
    <n v="7"/>
    <n v="491"/>
    <n v="15"/>
    <n v="2921.45"/>
    <n v="1877.47"/>
    <n v="1043.98"/>
    <x v="6"/>
    <x v="1"/>
    <n v="0.35734994608841503"/>
  </r>
  <r>
    <n v="2220"/>
    <d v="2023-08-09T00:00:00"/>
    <x v="3"/>
    <x v="3"/>
    <x v="11"/>
    <x v="4"/>
    <n v="2"/>
    <n v="581"/>
    <n v="0"/>
    <n v="1162"/>
    <n v="908.18"/>
    <n v="253.82"/>
    <x v="2"/>
    <x v="1"/>
    <n v="0.21843373493975904"/>
  </r>
  <r>
    <n v="2221"/>
    <d v="2024-05-14T00:00:00"/>
    <x v="1"/>
    <x v="1"/>
    <x v="16"/>
    <x v="5"/>
    <n v="6"/>
    <n v="874"/>
    <n v="20"/>
    <n v="4195.2"/>
    <n v="3168.51"/>
    <n v="1026.69"/>
    <x v="7"/>
    <x v="0"/>
    <n v="0.2447296910755149"/>
  </r>
  <r>
    <n v="2222"/>
    <d v="2023-08-13T00:00:00"/>
    <x v="3"/>
    <x v="2"/>
    <x v="10"/>
    <x v="5"/>
    <n v="8"/>
    <n v="80"/>
    <n v="0"/>
    <n v="640"/>
    <n v="469.26"/>
    <n v="170.74"/>
    <x v="2"/>
    <x v="1"/>
    <n v="0.26678125000000003"/>
  </r>
  <r>
    <n v="2223"/>
    <d v="2024-06-30T00:00:00"/>
    <x v="0"/>
    <x v="3"/>
    <x v="19"/>
    <x v="1"/>
    <n v="10"/>
    <n v="477"/>
    <n v="0"/>
    <n v="4770"/>
    <n v="3603.96"/>
    <n v="1166.04"/>
    <x v="4"/>
    <x v="0"/>
    <n v="0.24445283018867925"/>
  </r>
  <r>
    <n v="2224"/>
    <d v="2023-10-04T00:00:00"/>
    <x v="3"/>
    <x v="2"/>
    <x v="3"/>
    <x v="4"/>
    <n v="5"/>
    <n v="251"/>
    <n v="10"/>
    <n v="1129.5"/>
    <n v="747.2"/>
    <n v="382.3"/>
    <x v="1"/>
    <x v="1"/>
    <n v="0.33846834882691457"/>
  </r>
  <r>
    <n v="2225"/>
    <d v="2023-02-07T00:00:00"/>
    <x v="3"/>
    <x v="1"/>
    <x v="16"/>
    <x v="2"/>
    <n v="10"/>
    <n v="709"/>
    <n v="10"/>
    <n v="6381"/>
    <n v="3780.55"/>
    <n v="2600.4499999999998"/>
    <x v="9"/>
    <x v="1"/>
    <n v="0.40753016768531575"/>
  </r>
  <r>
    <n v="2226"/>
    <d v="2023-10-19T00:00:00"/>
    <x v="3"/>
    <x v="2"/>
    <x v="6"/>
    <x v="0"/>
    <n v="7"/>
    <n v="450"/>
    <n v="0"/>
    <n v="3150"/>
    <n v="1888.66"/>
    <n v="1261.3399999999999"/>
    <x v="1"/>
    <x v="1"/>
    <n v="0.4004253968253968"/>
  </r>
  <r>
    <n v="2227"/>
    <d v="2023-08-23T00:00:00"/>
    <x v="1"/>
    <x v="4"/>
    <x v="9"/>
    <x v="0"/>
    <n v="6"/>
    <n v="55"/>
    <n v="0"/>
    <n v="330"/>
    <n v="246.08"/>
    <n v="83.92"/>
    <x v="2"/>
    <x v="1"/>
    <n v="0.25430303030303031"/>
  </r>
  <r>
    <n v="2228"/>
    <d v="2023-12-04T00:00:00"/>
    <x v="3"/>
    <x v="3"/>
    <x v="4"/>
    <x v="2"/>
    <n v="1"/>
    <n v="789"/>
    <n v="5"/>
    <n v="749.55"/>
    <n v="533.27"/>
    <n v="216.28"/>
    <x v="6"/>
    <x v="1"/>
    <n v="0.28854646121005939"/>
  </r>
  <r>
    <n v="2229"/>
    <d v="2024-02-26T00:00:00"/>
    <x v="3"/>
    <x v="3"/>
    <x v="19"/>
    <x v="3"/>
    <n v="1"/>
    <n v="976"/>
    <n v="15"/>
    <n v="829.6"/>
    <n v="471"/>
    <n v="358.6"/>
    <x v="9"/>
    <x v="0"/>
    <n v="0.43225650916104147"/>
  </r>
  <r>
    <n v="2230"/>
    <d v="2023-02-17T00:00:00"/>
    <x v="2"/>
    <x v="0"/>
    <x v="1"/>
    <x v="1"/>
    <n v="8"/>
    <n v="524"/>
    <n v="20"/>
    <n v="3353.6"/>
    <n v="1719.35"/>
    <n v="1634.25"/>
    <x v="9"/>
    <x v="1"/>
    <n v="0.4873121421755725"/>
  </r>
  <r>
    <n v="2231"/>
    <d v="2024-06-14T00:00:00"/>
    <x v="1"/>
    <x v="2"/>
    <x v="3"/>
    <x v="0"/>
    <n v="7"/>
    <n v="203"/>
    <n v="5"/>
    <n v="1349.95"/>
    <n v="938.5"/>
    <n v="411.45"/>
    <x v="4"/>
    <x v="0"/>
    <n v="0.30478906626171337"/>
  </r>
  <r>
    <n v="2232"/>
    <d v="2023-01-12T00:00:00"/>
    <x v="2"/>
    <x v="2"/>
    <x v="10"/>
    <x v="3"/>
    <n v="9"/>
    <n v="621"/>
    <n v="15"/>
    <n v="4750.6499999999996"/>
    <n v="2844.39"/>
    <n v="1906.26"/>
    <x v="11"/>
    <x v="1"/>
    <n v="0.40126298506520164"/>
  </r>
  <r>
    <n v="2233"/>
    <d v="2023-10-08T00:00:00"/>
    <x v="3"/>
    <x v="0"/>
    <x v="1"/>
    <x v="0"/>
    <n v="8"/>
    <n v="420"/>
    <n v="10"/>
    <n v="3024"/>
    <n v="1829.64"/>
    <n v="1194.3599999999999"/>
    <x v="1"/>
    <x v="1"/>
    <n v="0.3949603174603174"/>
  </r>
  <r>
    <n v="2234"/>
    <d v="2024-04-08T00:00:00"/>
    <x v="0"/>
    <x v="2"/>
    <x v="17"/>
    <x v="5"/>
    <n v="2"/>
    <n v="661"/>
    <n v="5"/>
    <n v="1255.9000000000001"/>
    <n v="797.15"/>
    <n v="458.75"/>
    <x v="10"/>
    <x v="0"/>
    <n v="0.3652758977625607"/>
  </r>
  <r>
    <n v="2235"/>
    <d v="2024-11-26T00:00:00"/>
    <x v="3"/>
    <x v="4"/>
    <x v="9"/>
    <x v="4"/>
    <n v="8"/>
    <n v="924"/>
    <n v="5"/>
    <n v="7022.4"/>
    <n v="5418.81"/>
    <n v="1603.59"/>
    <x v="3"/>
    <x v="0"/>
    <n v="0.22835355434039645"/>
  </r>
  <r>
    <n v="2236"/>
    <d v="2023-02-20T00:00:00"/>
    <x v="3"/>
    <x v="0"/>
    <x v="12"/>
    <x v="3"/>
    <n v="5"/>
    <n v="970"/>
    <n v="15"/>
    <n v="4122.5"/>
    <n v="2780.74"/>
    <n v="1341.76"/>
    <x v="9"/>
    <x v="1"/>
    <n v="0.32547240751970891"/>
  </r>
  <r>
    <n v="2237"/>
    <d v="2024-12-02T00:00:00"/>
    <x v="0"/>
    <x v="4"/>
    <x v="14"/>
    <x v="5"/>
    <n v="7"/>
    <n v="892"/>
    <n v="15"/>
    <n v="5307.4"/>
    <n v="3375.36"/>
    <n v="1932.04"/>
    <x v="6"/>
    <x v="0"/>
    <n v="0.36402758412782155"/>
  </r>
  <r>
    <n v="2238"/>
    <d v="2024-01-25T00:00:00"/>
    <x v="1"/>
    <x v="3"/>
    <x v="19"/>
    <x v="5"/>
    <n v="10"/>
    <n v="107"/>
    <n v="0"/>
    <n v="1070"/>
    <n v="645.5"/>
    <n v="424.5"/>
    <x v="11"/>
    <x v="0"/>
    <n v="0.39672897196261681"/>
  </r>
  <r>
    <n v="2239"/>
    <d v="2023-02-13T00:00:00"/>
    <x v="3"/>
    <x v="0"/>
    <x v="12"/>
    <x v="2"/>
    <n v="2"/>
    <n v="140"/>
    <n v="5"/>
    <n v="266"/>
    <n v="144.66999999999999"/>
    <n v="121.33"/>
    <x v="9"/>
    <x v="1"/>
    <n v="0.45612781954887216"/>
  </r>
  <r>
    <n v="2240"/>
    <d v="2023-09-11T00:00:00"/>
    <x v="3"/>
    <x v="2"/>
    <x v="3"/>
    <x v="1"/>
    <n v="9"/>
    <n v="656"/>
    <n v="10"/>
    <n v="5313.6"/>
    <n v="3422.24"/>
    <n v="1891.36"/>
    <x v="0"/>
    <x v="1"/>
    <n v="0.35594700391448353"/>
  </r>
  <r>
    <n v="2241"/>
    <d v="2024-01-30T00:00:00"/>
    <x v="2"/>
    <x v="0"/>
    <x v="13"/>
    <x v="5"/>
    <n v="1"/>
    <n v="764"/>
    <n v="10"/>
    <n v="687.6"/>
    <n v="515.70000000000005"/>
    <n v="171.9"/>
    <x v="11"/>
    <x v="0"/>
    <n v="0.25"/>
  </r>
  <r>
    <n v="2242"/>
    <d v="2024-03-06T00:00:00"/>
    <x v="3"/>
    <x v="4"/>
    <x v="14"/>
    <x v="3"/>
    <n v="4"/>
    <n v="869"/>
    <n v="0"/>
    <n v="3476"/>
    <n v="2515.98"/>
    <n v="960.02"/>
    <x v="8"/>
    <x v="0"/>
    <n v="0.27618527042577673"/>
  </r>
  <r>
    <n v="2243"/>
    <d v="2024-06-02T00:00:00"/>
    <x v="2"/>
    <x v="0"/>
    <x v="12"/>
    <x v="1"/>
    <n v="4"/>
    <n v="618"/>
    <n v="15"/>
    <n v="2101.1999999999998"/>
    <n v="1672.54"/>
    <n v="428.66"/>
    <x v="4"/>
    <x v="0"/>
    <n v="0.20400723396154583"/>
  </r>
  <r>
    <n v="2244"/>
    <d v="2023-10-28T00:00:00"/>
    <x v="3"/>
    <x v="4"/>
    <x v="14"/>
    <x v="0"/>
    <n v="3"/>
    <n v="282"/>
    <n v="10"/>
    <n v="761.4"/>
    <n v="585.87"/>
    <n v="175.53"/>
    <x v="1"/>
    <x v="1"/>
    <n v="0.23053585500394011"/>
  </r>
  <r>
    <n v="2245"/>
    <d v="2023-07-06T00:00:00"/>
    <x v="3"/>
    <x v="3"/>
    <x v="15"/>
    <x v="5"/>
    <n v="4"/>
    <n v="518"/>
    <n v="10"/>
    <n v="1864.8"/>
    <n v="1198.9100000000001"/>
    <n v="665.89"/>
    <x v="5"/>
    <x v="1"/>
    <n v="0.35708386958386956"/>
  </r>
  <r>
    <n v="2246"/>
    <d v="2023-01-01T00:00:00"/>
    <x v="0"/>
    <x v="0"/>
    <x v="12"/>
    <x v="0"/>
    <n v="10"/>
    <n v="515"/>
    <n v="20"/>
    <n v="4120"/>
    <n v="2142.1799999999998"/>
    <n v="1977.82"/>
    <x v="11"/>
    <x v="1"/>
    <n v="0.48005339805825242"/>
  </r>
  <r>
    <n v="2247"/>
    <d v="2024-02-29T00:00:00"/>
    <x v="0"/>
    <x v="2"/>
    <x v="3"/>
    <x v="5"/>
    <n v="2"/>
    <n v="960"/>
    <n v="0"/>
    <n v="1920"/>
    <n v="1098.19"/>
    <n v="821.81"/>
    <x v="9"/>
    <x v="0"/>
    <n v="0.42802604166666663"/>
  </r>
  <r>
    <n v="2248"/>
    <d v="2024-08-20T00:00:00"/>
    <x v="1"/>
    <x v="0"/>
    <x v="1"/>
    <x v="5"/>
    <n v="7"/>
    <n v="54"/>
    <n v="20"/>
    <n v="302.39999999999998"/>
    <n v="201.79"/>
    <n v="100.61"/>
    <x v="2"/>
    <x v="0"/>
    <n v="0.33270502645502648"/>
  </r>
  <r>
    <n v="2249"/>
    <d v="2023-12-25T00:00:00"/>
    <x v="0"/>
    <x v="1"/>
    <x v="7"/>
    <x v="0"/>
    <n v="4"/>
    <n v="427"/>
    <n v="20"/>
    <n v="1366.4"/>
    <n v="949"/>
    <n v="417.4"/>
    <x v="6"/>
    <x v="1"/>
    <n v="0.30547423887587816"/>
  </r>
  <r>
    <n v="2250"/>
    <d v="2023-05-06T00:00:00"/>
    <x v="3"/>
    <x v="2"/>
    <x v="6"/>
    <x v="3"/>
    <n v="5"/>
    <n v="534"/>
    <n v="0"/>
    <n v="2670"/>
    <n v="2088.7600000000002"/>
    <n v="581.24"/>
    <x v="7"/>
    <x v="1"/>
    <n v="0.21769288389513108"/>
  </r>
  <r>
    <n v="2251"/>
    <d v="2024-07-03T00:00:00"/>
    <x v="2"/>
    <x v="2"/>
    <x v="6"/>
    <x v="4"/>
    <n v="5"/>
    <n v="692"/>
    <n v="0"/>
    <n v="3460"/>
    <n v="2740.4"/>
    <n v="719.6"/>
    <x v="5"/>
    <x v="0"/>
    <n v="0.20797687861271677"/>
  </r>
  <r>
    <n v="2252"/>
    <d v="2024-06-04T00:00:00"/>
    <x v="0"/>
    <x v="2"/>
    <x v="10"/>
    <x v="5"/>
    <n v="9"/>
    <n v="800"/>
    <n v="10"/>
    <n v="6480"/>
    <n v="4566.38"/>
    <n v="1913.62"/>
    <x v="4"/>
    <x v="0"/>
    <n v="0.2953117283950617"/>
  </r>
  <r>
    <n v="2253"/>
    <d v="2023-12-26T00:00:00"/>
    <x v="3"/>
    <x v="4"/>
    <x v="9"/>
    <x v="1"/>
    <n v="1"/>
    <n v="935"/>
    <n v="10"/>
    <n v="841.5"/>
    <n v="630.5"/>
    <n v="211"/>
    <x v="6"/>
    <x v="1"/>
    <n v="0.25074272133095665"/>
  </r>
  <r>
    <n v="2254"/>
    <d v="2023-01-05T00:00:00"/>
    <x v="3"/>
    <x v="4"/>
    <x v="14"/>
    <x v="5"/>
    <n v="4"/>
    <n v="848"/>
    <n v="20"/>
    <n v="2713.6"/>
    <n v="1531.15"/>
    <n v="1182.45"/>
    <x v="11"/>
    <x v="1"/>
    <n v="0.43574955778301888"/>
  </r>
  <r>
    <n v="2255"/>
    <d v="2023-07-19T00:00:00"/>
    <x v="1"/>
    <x v="0"/>
    <x v="0"/>
    <x v="1"/>
    <n v="4"/>
    <n v="443"/>
    <n v="0"/>
    <n v="1772"/>
    <n v="1310.97"/>
    <n v="461.03"/>
    <x v="5"/>
    <x v="1"/>
    <n v="0.26017494356659143"/>
  </r>
  <r>
    <n v="2256"/>
    <d v="2023-03-14T00:00:00"/>
    <x v="1"/>
    <x v="2"/>
    <x v="10"/>
    <x v="4"/>
    <n v="3"/>
    <n v="336"/>
    <n v="0"/>
    <n v="1008"/>
    <n v="658.26"/>
    <n v="349.74"/>
    <x v="8"/>
    <x v="1"/>
    <n v="0.34696428571428573"/>
  </r>
  <r>
    <n v="2257"/>
    <d v="2024-09-17T00:00:00"/>
    <x v="0"/>
    <x v="0"/>
    <x v="1"/>
    <x v="1"/>
    <n v="7"/>
    <n v="667"/>
    <n v="10"/>
    <n v="4202.1000000000004"/>
    <n v="2570.9299999999998"/>
    <n v="1631.17"/>
    <x v="0"/>
    <x v="0"/>
    <n v="0.38817971966397752"/>
  </r>
  <r>
    <n v="2258"/>
    <d v="2023-10-18T00:00:00"/>
    <x v="0"/>
    <x v="1"/>
    <x v="5"/>
    <x v="5"/>
    <n v="1"/>
    <n v="350"/>
    <n v="0"/>
    <n v="350"/>
    <n v="189.86"/>
    <n v="160.13999999999999"/>
    <x v="1"/>
    <x v="1"/>
    <n v="0.45754285714285708"/>
  </r>
  <r>
    <n v="2259"/>
    <d v="2024-06-07T00:00:00"/>
    <x v="3"/>
    <x v="4"/>
    <x v="18"/>
    <x v="2"/>
    <n v="3"/>
    <n v="852"/>
    <n v="5"/>
    <n v="2428.1999999999998"/>
    <n v="1377.94"/>
    <n v="1050.26"/>
    <x v="4"/>
    <x v="0"/>
    <n v="0.4325261510583972"/>
  </r>
  <r>
    <n v="2260"/>
    <d v="2024-03-10T00:00:00"/>
    <x v="0"/>
    <x v="0"/>
    <x v="13"/>
    <x v="5"/>
    <n v="1"/>
    <n v="966"/>
    <n v="5"/>
    <n v="917.7"/>
    <n v="701.86"/>
    <n v="215.84"/>
    <x v="8"/>
    <x v="0"/>
    <n v="0.2351966873706004"/>
  </r>
  <r>
    <n v="2261"/>
    <d v="2023-03-29T00:00:00"/>
    <x v="2"/>
    <x v="0"/>
    <x v="12"/>
    <x v="2"/>
    <n v="1"/>
    <n v="810"/>
    <n v="10"/>
    <n v="729"/>
    <n v="582.98"/>
    <n v="146.02000000000001"/>
    <x v="8"/>
    <x v="1"/>
    <n v="0.20030178326474624"/>
  </r>
  <r>
    <n v="2262"/>
    <d v="2023-10-08T00:00:00"/>
    <x v="3"/>
    <x v="2"/>
    <x v="17"/>
    <x v="5"/>
    <n v="9"/>
    <n v="992"/>
    <n v="20"/>
    <n v="7142.4"/>
    <n v="4463.21"/>
    <n v="2679.19"/>
    <x v="1"/>
    <x v="1"/>
    <n v="0.37511060707885308"/>
  </r>
  <r>
    <n v="2263"/>
    <d v="2023-04-24T00:00:00"/>
    <x v="0"/>
    <x v="2"/>
    <x v="10"/>
    <x v="4"/>
    <n v="10"/>
    <n v="373"/>
    <n v="5"/>
    <n v="3543.5"/>
    <n v="2217.66"/>
    <n v="1325.84"/>
    <x v="10"/>
    <x v="1"/>
    <n v="0.37416114011570478"/>
  </r>
  <r>
    <n v="2264"/>
    <d v="2024-01-09T00:00:00"/>
    <x v="1"/>
    <x v="3"/>
    <x v="11"/>
    <x v="1"/>
    <n v="2"/>
    <n v="902"/>
    <n v="5"/>
    <n v="1713.8"/>
    <n v="994.79"/>
    <n v="719.01"/>
    <x v="11"/>
    <x v="0"/>
    <n v="0.41954137005484887"/>
  </r>
  <r>
    <n v="2265"/>
    <d v="2023-06-29T00:00:00"/>
    <x v="0"/>
    <x v="4"/>
    <x v="18"/>
    <x v="2"/>
    <n v="5"/>
    <n v="203"/>
    <n v="20"/>
    <n v="812"/>
    <n v="490.87"/>
    <n v="321.13"/>
    <x v="4"/>
    <x v="1"/>
    <n v="0.39548029556650244"/>
  </r>
  <r>
    <n v="2266"/>
    <d v="2024-03-02T00:00:00"/>
    <x v="2"/>
    <x v="4"/>
    <x v="8"/>
    <x v="3"/>
    <n v="4"/>
    <n v="589"/>
    <n v="0"/>
    <n v="2356"/>
    <n v="1564.07"/>
    <n v="791.93"/>
    <x v="8"/>
    <x v="0"/>
    <n v="0.33613327674023769"/>
  </r>
  <r>
    <n v="2267"/>
    <d v="2024-03-14T00:00:00"/>
    <x v="0"/>
    <x v="0"/>
    <x v="0"/>
    <x v="1"/>
    <n v="4"/>
    <n v="927"/>
    <n v="0"/>
    <n v="3708"/>
    <n v="2665.15"/>
    <n v="1042.8499999999999"/>
    <x v="8"/>
    <x v="0"/>
    <n v="0.28124325782092768"/>
  </r>
  <r>
    <n v="2268"/>
    <d v="2023-12-31T00:00:00"/>
    <x v="2"/>
    <x v="2"/>
    <x v="6"/>
    <x v="3"/>
    <n v="4"/>
    <n v="110"/>
    <n v="15"/>
    <n v="374"/>
    <n v="187.08"/>
    <n v="186.92"/>
    <x v="6"/>
    <x v="1"/>
    <n v="0.49978609625668446"/>
  </r>
  <r>
    <n v="2269"/>
    <d v="2023-05-02T00:00:00"/>
    <x v="0"/>
    <x v="2"/>
    <x v="10"/>
    <x v="5"/>
    <n v="8"/>
    <n v="133"/>
    <n v="15"/>
    <n v="904.4"/>
    <n v="637.30999999999995"/>
    <n v="267.08999999999997"/>
    <x v="7"/>
    <x v="1"/>
    <n v="0.29532286598850066"/>
  </r>
  <r>
    <n v="2270"/>
    <d v="2024-05-09T00:00:00"/>
    <x v="1"/>
    <x v="2"/>
    <x v="6"/>
    <x v="1"/>
    <n v="5"/>
    <n v="899"/>
    <n v="20"/>
    <n v="3596"/>
    <n v="1978.71"/>
    <n v="1617.29"/>
    <x v="7"/>
    <x v="0"/>
    <n v="0.4497469410456062"/>
  </r>
  <r>
    <n v="2271"/>
    <d v="2023-08-28T00:00:00"/>
    <x v="1"/>
    <x v="2"/>
    <x v="10"/>
    <x v="0"/>
    <n v="1"/>
    <n v="803"/>
    <n v="10"/>
    <n v="722.7"/>
    <n v="445.04"/>
    <n v="277.66000000000003"/>
    <x v="2"/>
    <x v="1"/>
    <n v="0.38419814584198148"/>
  </r>
  <r>
    <n v="2272"/>
    <d v="2024-02-27T00:00:00"/>
    <x v="1"/>
    <x v="4"/>
    <x v="14"/>
    <x v="5"/>
    <n v="7"/>
    <n v="953"/>
    <n v="15"/>
    <n v="5670.35"/>
    <n v="2891.95"/>
    <n v="2778.4"/>
    <x v="9"/>
    <x v="0"/>
    <n v="0.48998739054908425"/>
  </r>
  <r>
    <n v="2273"/>
    <d v="2024-02-15T00:00:00"/>
    <x v="3"/>
    <x v="0"/>
    <x v="12"/>
    <x v="4"/>
    <n v="10"/>
    <n v="96"/>
    <n v="15"/>
    <n v="816"/>
    <n v="414.69"/>
    <n v="401.31"/>
    <x v="9"/>
    <x v="0"/>
    <n v="0.49180147058823531"/>
  </r>
  <r>
    <n v="2274"/>
    <d v="2024-06-08T00:00:00"/>
    <x v="3"/>
    <x v="0"/>
    <x v="0"/>
    <x v="5"/>
    <n v="5"/>
    <n v="372"/>
    <n v="5"/>
    <n v="1767"/>
    <n v="1204.95"/>
    <n v="562.04999999999995"/>
    <x v="4"/>
    <x v="0"/>
    <n v="0.31808149405772496"/>
  </r>
  <r>
    <n v="2275"/>
    <d v="2023-05-11T00:00:00"/>
    <x v="2"/>
    <x v="2"/>
    <x v="6"/>
    <x v="5"/>
    <n v="6"/>
    <n v="700"/>
    <n v="0"/>
    <n v="4200"/>
    <n v="2570.09"/>
    <n v="1629.91"/>
    <x v="7"/>
    <x v="1"/>
    <n v="0.38807380952380954"/>
  </r>
  <r>
    <n v="2276"/>
    <d v="2023-06-08T00:00:00"/>
    <x v="1"/>
    <x v="4"/>
    <x v="9"/>
    <x v="4"/>
    <n v="2"/>
    <n v="176"/>
    <n v="0"/>
    <n v="352"/>
    <n v="255.95"/>
    <n v="96.05"/>
    <x v="4"/>
    <x v="1"/>
    <n v="0.2728693181818182"/>
  </r>
  <r>
    <n v="2277"/>
    <d v="2024-12-17T00:00:00"/>
    <x v="1"/>
    <x v="2"/>
    <x v="17"/>
    <x v="4"/>
    <n v="4"/>
    <n v="402"/>
    <n v="15"/>
    <n v="1366.8"/>
    <n v="953.4"/>
    <n v="413.4"/>
    <x v="6"/>
    <x v="0"/>
    <n v="0.3024582967515364"/>
  </r>
  <r>
    <n v="2278"/>
    <d v="2024-09-20T00:00:00"/>
    <x v="3"/>
    <x v="1"/>
    <x v="2"/>
    <x v="4"/>
    <n v="9"/>
    <n v="213"/>
    <n v="10"/>
    <n v="1725.3"/>
    <n v="970.91"/>
    <n v="754.39"/>
    <x v="0"/>
    <x v="0"/>
    <n v="0.43725149249405904"/>
  </r>
  <r>
    <n v="2279"/>
    <d v="2024-05-11T00:00:00"/>
    <x v="1"/>
    <x v="0"/>
    <x v="1"/>
    <x v="5"/>
    <n v="7"/>
    <n v="870"/>
    <n v="0"/>
    <n v="6090"/>
    <n v="4314.32"/>
    <n v="1775.68"/>
    <x v="7"/>
    <x v="0"/>
    <n v="0.29157307060755339"/>
  </r>
  <r>
    <n v="2280"/>
    <d v="2024-01-17T00:00:00"/>
    <x v="1"/>
    <x v="2"/>
    <x v="6"/>
    <x v="2"/>
    <n v="1"/>
    <n v="667"/>
    <n v="0"/>
    <n v="667"/>
    <n v="347.19"/>
    <n v="319.81"/>
    <x v="11"/>
    <x v="0"/>
    <n v="0.4794752623688156"/>
  </r>
  <r>
    <n v="2281"/>
    <d v="2023-11-10T00:00:00"/>
    <x v="1"/>
    <x v="1"/>
    <x v="16"/>
    <x v="2"/>
    <n v="7"/>
    <n v="722"/>
    <n v="15"/>
    <n v="4295.8999999999996"/>
    <n v="2962.73"/>
    <n v="1333.17"/>
    <x v="3"/>
    <x v="1"/>
    <n v="0.31033543611350362"/>
  </r>
  <r>
    <n v="2282"/>
    <d v="2023-01-09T00:00:00"/>
    <x v="1"/>
    <x v="3"/>
    <x v="4"/>
    <x v="1"/>
    <n v="6"/>
    <n v="560"/>
    <n v="10"/>
    <n v="3024"/>
    <n v="1708.36"/>
    <n v="1315.64"/>
    <x v="11"/>
    <x v="1"/>
    <n v="0.4350661375661376"/>
  </r>
  <r>
    <n v="2283"/>
    <d v="2024-02-14T00:00:00"/>
    <x v="3"/>
    <x v="2"/>
    <x v="10"/>
    <x v="2"/>
    <n v="10"/>
    <n v="934"/>
    <n v="0"/>
    <n v="9340"/>
    <n v="5245"/>
    <n v="4095"/>
    <x v="9"/>
    <x v="0"/>
    <n v="0.43843683083511775"/>
  </r>
  <r>
    <n v="2284"/>
    <d v="2024-04-28T00:00:00"/>
    <x v="3"/>
    <x v="0"/>
    <x v="12"/>
    <x v="2"/>
    <n v="8"/>
    <n v="627"/>
    <n v="20"/>
    <n v="4012.8"/>
    <n v="2476.42"/>
    <n v="1536.38"/>
    <x v="10"/>
    <x v="0"/>
    <n v="0.38286981658692187"/>
  </r>
  <r>
    <n v="2285"/>
    <d v="2023-04-28T00:00:00"/>
    <x v="2"/>
    <x v="4"/>
    <x v="9"/>
    <x v="3"/>
    <n v="8"/>
    <n v="312"/>
    <n v="15"/>
    <n v="2121.6"/>
    <n v="1222.3399999999999"/>
    <n v="899.26"/>
    <x v="10"/>
    <x v="1"/>
    <n v="0.42385935143288084"/>
  </r>
  <r>
    <n v="2286"/>
    <d v="2024-08-26T00:00:00"/>
    <x v="3"/>
    <x v="0"/>
    <x v="13"/>
    <x v="2"/>
    <n v="2"/>
    <n v="721"/>
    <n v="0"/>
    <n v="1442"/>
    <n v="1116.5"/>
    <n v="325.5"/>
    <x v="2"/>
    <x v="0"/>
    <n v="0.22572815533980584"/>
  </r>
  <r>
    <n v="2287"/>
    <d v="2023-01-07T00:00:00"/>
    <x v="2"/>
    <x v="1"/>
    <x v="5"/>
    <x v="0"/>
    <n v="2"/>
    <n v="710"/>
    <n v="5"/>
    <n v="1349"/>
    <n v="773.53"/>
    <n v="575.47"/>
    <x v="11"/>
    <x v="1"/>
    <n v="0.42659006671608601"/>
  </r>
  <r>
    <n v="2288"/>
    <d v="2024-12-10T00:00:00"/>
    <x v="1"/>
    <x v="3"/>
    <x v="11"/>
    <x v="4"/>
    <n v="4"/>
    <n v="422"/>
    <n v="20"/>
    <n v="1350.4"/>
    <n v="1045.33"/>
    <n v="305.07"/>
    <x v="6"/>
    <x v="0"/>
    <n v="0.22591084123222746"/>
  </r>
  <r>
    <n v="2289"/>
    <d v="2023-11-01T00:00:00"/>
    <x v="0"/>
    <x v="3"/>
    <x v="4"/>
    <x v="3"/>
    <n v="6"/>
    <n v="733"/>
    <n v="5"/>
    <n v="4178.1000000000004"/>
    <n v="2548.54"/>
    <n v="1629.56"/>
    <x v="3"/>
    <x v="1"/>
    <n v="0.39002417366745645"/>
  </r>
  <r>
    <n v="2290"/>
    <d v="2023-09-21T00:00:00"/>
    <x v="2"/>
    <x v="1"/>
    <x v="2"/>
    <x v="2"/>
    <n v="6"/>
    <n v="332"/>
    <n v="10"/>
    <n v="1792.8"/>
    <n v="992.75"/>
    <n v="800.05"/>
    <x v="0"/>
    <x v="1"/>
    <n v="0.44625725122713072"/>
  </r>
  <r>
    <n v="2291"/>
    <d v="2024-05-24T00:00:00"/>
    <x v="2"/>
    <x v="3"/>
    <x v="19"/>
    <x v="3"/>
    <n v="7"/>
    <n v="929"/>
    <n v="0"/>
    <n v="6503"/>
    <n v="4320.12"/>
    <n v="2182.88"/>
    <x v="7"/>
    <x v="0"/>
    <n v="0.33567276641550053"/>
  </r>
  <r>
    <n v="2292"/>
    <d v="2023-06-08T00:00:00"/>
    <x v="0"/>
    <x v="0"/>
    <x v="13"/>
    <x v="4"/>
    <n v="5"/>
    <n v="707"/>
    <n v="0"/>
    <n v="3535"/>
    <n v="2360.7199999999998"/>
    <n v="1174.28"/>
    <x v="4"/>
    <x v="1"/>
    <n v="0.3321867043847242"/>
  </r>
  <r>
    <n v="2293"/>
    <d v="2024-10-02T00:00:00"/>
    <x v="2"/>
    <x v="2"/>
    <x v="3"/>
    <x v="5"/>
    <n v="2"/>
    <n v="31"/>
    <n v="10"/>
    <n v="55.8"/>
    <n v="32.86"/>
    <n v="22.94"/>
    <x v="1"/>
    <x v="0"/>
    <n v="0.41111111111111115"/>
  </r>
  <r>
    <n v="2294"/>
    <d v="2023-07-31T00:00:00"/>
    <x v="3"/>
    <x v="4"/>
    <x v="8"/>
    <x v="3"/>
    <n v="10"/>
    <n v="341"/>
    <n v="0"/>
    <n v="3410"/>
    <n v="2324.8000000000002"/>
    <n v="1085.2"/>
    <x v="5"/>
    <x v="1"/>
    <n v="0.31824046920821114"/>
  </r>
  <r>
    <n v="2295"/>
    <d v="2023-03-16T00:00:00"/>
    <x v="3"/>
    <x v="2"/>
    <x v="3"/>
    <x v="2"/>
    <n v="5"/>
    <n v="30"/>
    <n v="20"/>
    <n v="120"/>
    <n v="95.32"/>
    <n v="24.68"/>
    <x v="8"/>
    <x v="1"/>
    <n v="0.20566666666666666"/>
  </r>
  <r>
    <n v="2296"/>
    <d v="2023-01-31T00:00:00"/>
    <x v="0"/>
    <x v="0"/>
    <x v="0"/>
    <x v="1"/>
    <n v="7"/>
    <n v="21"/>
    <n v="20"/>
    <n v="117.6"/>
    <n v="85.97"/>
    <n v="31.63"/>
    <x v="11"/>
    <x v="1"/>
    <n v="0.2689625850340136"/>
  </r>
  <r>
    <n v="2297"/>
    <d v="2024-03-08T00:00:00"/>
    <x v="0"/>
    <x v="3"/>
    <x v="11"/>
    <x v="1"/>
    <n v="6"/>
    <n v="583"/>
    <n v="15"/>
    <n v="2973.3"/>
    <n v="2091.08"/>
    <n v="882.22"/>
    <x v="8"/>
    <x v="0"/>
    <n v="0.29671408872296773"/>
  </r>
  <r>
    <n v="2298"/>
    <d v="2024-08-17T00:00:00"/>
    <x v="3"/>
    <x v="2"/>
    <x v="3"/>
    <x v="4"/>
    <n v="10"/>
    <n v="769"/>
    <n v="0"/>
    <n v="7690"/>
    <n v="5458.2"/>
    <n v="2231.8000000000002"/>
    <x v="2"/>
    <x v="0"/>
    <n v="0.29022106631989597"/>
  </r>
  <r>
    <n v="2299"/>
    <d v="2024-04-27T00:00:00"/>
    <x v="1"/>
    <x v="4"/>
    <x v="14"/>
    <x v="4"/>
    <n v="4"/>
    <n v="299"/>
    <n v="0"/>
    <n v="1196"/>
    <n v="663.21"/>
    <n v="532.79"/>
    <x v="10"/>
    <x v="0"/>
    <n v="0.44547658862876249"/>
  </r>
  <r>
    <n v="2300"/>
    <d v="2023-02-24T00:00:00"/>
    <x v="3"/>
    <x v="1"/>
    <x v="16"/>
    <x v="0"/>
    <n v="6"/>
    <n v="45"/>
    <n v="0"/>
    <n v="270"/>
    <n v="183.44"/>
    <n v="86.56"/>
    <x v="9"/>
    <x v="1"/>
    <n v="0.3205925925925926"/>
  </r>
  <r>
    <n v="2301"/>
    <d v="2024-05-30T00:00:00"/>
    <x v="1"/>
    <x v="3"/>
    <x v="4"/>
    <x v="0"/>
    <n v="1"/>
    <n v="335"/>
    <n v="15"/>
    <n v="284.75"/>
    <n v="183.84"/>
    <n v="100.91"/>
    <x v="7"/>
    <x v="0"/>
    <n v="0.35438103599648813"/>
  </r>
  <r>
    <n v="2302"/>
    <d v="2024-12-08T00:00:00"/>
    <x v="0"/>
    <x v="3"/>
    <x v="19"/>
    <x v="3"/>
    <n v="3"/>
    <n v="533"/>
    <n v="10"/>
    <n v="1439.1"/>
    <n v="932.35"/>
    <n v="506.75"/>
    <x v="6"/>
    <x v="0"/>
    <n v="0.35212980334931554"/>
  </r>
  <r>
    <n v="2303"/>
    <d v="2023-12-08T00:00:00"/>
    <x v="2"/>
    <x v="2"/>
    <x v="6"/>
    <x v="5"/>
    <n v="5"/>
    <n v="362"/>
    <n v="15"/>
    <n v="1538.5"/>
    <n v="877.63"/>
    <n v="660.87"/>
    <x v="6"/>
    <x v="1"/>
    <n v="0.42955476113097174"/>
  </r>
  <r>
    <n v="2304"/>
    <d v="2024-09-24T00:00:00"/>
    <x v="3"/>
    <x v="3"/>
    <x v="19"/>
    <x v="2"/>
    <n v="3"/>
    <n v="418"/>
    <n v="0"/>
    <n v="1254"/>
    <n v="652.76"/>
    <n v="601.24"/>
    <x v="0"/>
    <x v="0"/>
    <n v="0.47945773524720892"/>
  </r>
  <r>
    <n v="2305"/>
    <d v="2024-01-18T00:00:00"/>
    <x v="1"/>
    <x v="2"/>
    <x v="17"/>
    <x v="0"/>
    <n v="2"/>
    <n v="830"/>
    <n v="0"/>
    <n v="1660"/>
    <n v="871.19"/>
    <n v="788.81"/>
    <x v="11"/>
    <x v="0"/>
    <n v="0.47518674698795177"/>
  </r>
  <r>
    <n v="2306"/>
    <d v="2024-11-27T00:00:00"/>
    <x v="0"/>
    <x v="4"/>
    <x v="8"/>
    <x v="4"/>
    <n v="5"/>
    <n v="407"/>
    <n v="10"/>
    <n v="1831.5"/>
    <n v="1226.93"/>
    <n v="604.57000000000005"/>
    <x v="3"/>
    <x v="0"/>
    <n v="0.33009555009555014"/>
  </r>
  <r>
    <n v="2307"/>
    <d v="2023-09-12T00:00:00"/>
    <x v="2"/>
    <x v="2"/>
    <x v="3"/>
    <x v="5"/>
    <n v="6"/>
    <n v="792"/>
    <n v="20"/>
    <n v="3801.6"/>
    <n v="2705.76"/>
    <n v="1095.8399999999999"/>
    <x v="0"/>
    <x v="1"/>
    <n v="0.28825757575757577"/>
  </r>
  <r>
    <n v="2308"/>
    <d v="2023-07-30T00:00:00"/>
    <x v="3"/>
    <x v="1"/>
    <x v="2"/>
    <x v="1"/>
    <n v="6"/>
    <n v="162"/>
    <n v="5"/>
    <n v="923.4"/>
    <n v="621.57000000000005"/>
    <n v="301.83"/>
    <x v="5"/>
    <x v="1"/>
    <n v="0.32686809616634177"/>
  </r>
  <r>
    <n v="2309"/>
    <d v="2023-03-19T00:00:00"/>
    <x v="3"/>
    <x v="3"/>
    <x v="15"/>
    <x v="1"/>
    <n v="8"/>
    <n v="150"/>
    <n v="15"/>
    <n v="1020"/>
    <n v="527.42999999999995"/>
    <n v="492.57"/>
    <x v="8"/>
    <x v="1"/>
    <n v="0.48291176470588237"/>
  </r>
  <r>
    <n v="2310"/>
    <d v="2024-12-29T00:00:00"/>
    <x v="0"/>
    <x v="3"/>
    <x v="19"/>
    <x v="2"/>
    <n v="3"/>
    <n v="876"/>
    <n v="10"/>
    <n v="2365.1999999999998"/>
    <n v="1248.07"/>
    <n v="1117.1300000000001"/>
    <x v="6"/>
    <x v="0"/>
    <n v="0.47231946558430588"/>
  </r>
  <r>
    <n v="2311"/>
    <d v="2023-08-11T00:00:00"/>
    <x v="3"/>
    <x v="0"/>
    <x v="0"/>
    <x v="5"/>
    <n v="3"/>
    <n v="687"/>
    <n v="20"/>
    <n v="1648.8"/>
    <n v="1140.8"/>
    <n v="508"/>
    <x v="2"/>
    <x v="1"/>
    <n v="0.30810286268801551"/>
  </r>
  <r>
    <n v="2312"/>
    <d v="2023-05-14T00:00:00"/>
    <x v="2"/>
    <x v="0"/>
    <x v="12"/>
    <x v="5"/>
    <n v="4"/>
    <n v="738"/>
    <n v="0"/>
    <n v="2952"/>
    <n v="2036.55"/>
    <n v="915.45"/>
    <x v="7"/>
    <x v="1"/>
    <n v="0.31011178861788619"/>
  </r>
  <r>
    <n v="2313"/>
    <d v="2023-04-06T00:00:00"/>
    <x v="0"/>
    <x v="2"/>
    <x v="17"/>
    <x v="4"/>
    <n v="8"/>
    <n v="362"/>
    <n v="20"/>
    <n v="2316.8000000000002"/>
    <n v="1610.06"/>
    <n v="706.74"/>
    <x v="10"/>
    <x v="1"/>
    <n v="0.30505006906077348"/>
  </r>
  <r>
    <n v="2314"/>
    <d v="2023-01-22T00:00:00"/>
    <x v="0"/>
    <x v="4"/>
    <x v="8"/>
    <x v="4"/>
    <n v="10"/>
    <n v="586"/>
    <n v="0"/>
    <n v="5860"/>
    <n v="2940.24"/>
    <n v="2919.76"/>
    <x v="11"/>
    <x v="1"/>
    <n v="0.49825255972696247"/>
  </r>
  <r>
    <n v="2315"/>
    <d v="2024-11-15T00:00:00"/>
    <x v="0"/>
    <x v="3"/>
    <x v="11"/>
    <x v="1"/>
    <n v="5"/>
    <n v="282"/>
    <n v="20"/>
    <n v="1128"/>
    <n v="633.09"/>
    <n v="494.91"/>
    <x v="3"/>
    <x v="0"/>
    <n v="0.43875000000000003"/>
  </r>
  <r>
    <n v="2316"/>
    <d v="2023-03-09T00:00:00"/>
    <x v="3"/>
    <x v="4"/>
    <x v="14"/>
    <x v="0"/>
    <n v="7"/>
    <n v="689"/>
    <n v="20"/>
    <n v="3858.4"/>
    <n v="2492.5"/>
    <n v="1365.9"/>
    <x v="8"/>
    <x v="1"/>
    <n v="0.35400684221438938"/>
  </r>
  <r>
    <n v="2317"/>
    <d v="2023-11-20T00:00:00"/>
    <x v="3"/>
    <x v="4"/>
    <x v="8"/>
    <x v="0"/>
    <n v="4"/>
    <n v="403"/>
    <n v="20"/>
    <n v="1289.5999999999999"/>
    <n v="779.04"/>
    <n v="510.56"/>
    <x v="3"/>
    <x v="1"/>
    <n v="0.3959057071960298"/>
  </r>
  <r>
    <n v="2318"/>
    <d v="2023-03-22T00:00:00"/>
    <x v="2"/>
    <x v="2"/>
    <x v="6"/>
    <x v="0"/>
    <n v="3"/>
    <n v="207"/>
    <n v="0"/>
    <n v="621"/>
    <n v="442.82"/>
    <n v="178.18"/>
    <x v="8"/>
    <x v="1"/>
    <n v="0.28692431561996778"/>
  </r>
  <r>
    <n v="2319"/>
    <d v="2024-07-12T00:00:00"/>
    <x v="1"/>
    <x v="3"/>
    <x v="11"/>
    <x v="0"/>
    <n v="1"/>
    <n v="264"/>
    <n v="5"/>
    <n v="250.8"/>
    <n v="176.76"/>
    <n v="74.040000000000006"/>
    <x v="5"/>
    <x v="0"/>
    <n v="0.29521531100478471"/>
  </r>
  <r>
    <n v="2320"/>
    <d v="2024-02-26T00:00:00"/>
    <x v="3"/>
    <x v="1"/>
    <x v="16"/>
    <x v="5"/>
    <n v="4"/>
    <n v="456"/>
    <n v="0"/>
    <n v="1824"/>
    <n v="1380.07"/>
    <n v="443.93"/>
    <x v="9"/>
    <x v="0"/>
    <n v="0.24338267543859649"/>
  </r>
  <r>
    <n v="2321"/>
    <d v="2023-09-26T00:00:00"/>
    <x v="2"/>
    <x v="1"/>
    <x v="5"/>
    <x v="2"/>
    <n v="8"/>
    <n v="165"/>
    <n v="15"/>
    <n v="1122"/>
    <n v="878.16"/>
    <n v="243.84"/>
    <x v="0"/>
    <x v="1"/>
    <n v="0.21732620320855614"/>
  </r>
  <r>
    <n v="2322"/>
    <d v="2023-04-03T00:00:00"/>
    <x v="2"/>
    <x v="0"/>
    <x v="13"/>
    <x v="4"/>
    <n v="5"/>
    <n v="208"/>
    <n v="0"/>
    <n v="1040"/>
    <n v="603.58000000000004"/>
    <n v="436.42"/>
    <x v="10"/>
    <x v="1"/>
    <n v="0.41963461538461538"/>
  </r>
  <r>
    <n v="2323"/>
    <d v="2023-07-24T00:00:00"/>
    <x v="0"/>
    <x v="0"/>
    <x v="12"/>
    <x v="5"/>
    <n v="10"/>
    <n v="809"/>
    <n v="5"/>
    <n v="7685.5"/>
    <n v="4133.74"/>
    <n v="3551.76"/>
    <x v="5"/>
    <x v="1"/>
    <n v="0.46213779194587212"/>
  </r>
  <r>
    <n v="2324"/>
    <d v="2024-03-15T00:00:00"/>
    <x v="3"/>
    <x v="3"/>
    <x v="19"/>
    <x v="4"/>
    <n v="9"/>
    <n v="900"/>
    <n v="0"/>
    <n v="8100"/>
    <n v="5705.03"/>
    <n v="2394.9699999999998"/>
    <x v="8"/>
    <x v="0"/>
    <n v="0.29567530864197528"/>
  </r>
  <r>
    <n v="2325"/>
    <d v="2024-08-13T00:00:00"/>
    <x v="2"/>
    <x v="2"/>
    <x v="3"/>
    <x v="4"/>
    <n v="9"/>
    <n v="697"/>
    <n v="15"/>
    <n v="5332.05"/>
    <n v="3946.25"/>
    <n v="1385.8"/>
    <x v="2"/>
    <x v="0"/>
    <n v="0.25990003844675125"/>
  </r>
  <r>
    <n v="2326"/>
    <d v="2023-11-23T00:00:00"/>
    <x v="3"/>
    <x v="0"/>
    <x v="1"/>
    <x v="5"/>
    <n v="10"/>
    <n v="867"/>
    <n v="0"/>
    <n v="8670"/>
    <n v="6371.61"/>
    <n v="2298.39"/>
    <x v="3"/>
    <x v="1"/>
    <n v="0.26509688581314877"/>
  </r>
  <r>
    <n v="2327"/>
    <d v="2023-09-23T00:00:00"/>
    <x v="0"/>
    <x v="4"/>
    <x v="8"/>
    <x v="3"/>
    <n v="5"/>
    <n v="752"/>
    <n v="5"/>
    <n v="3572"/>
    <n v="1957.41"/>
    <n v="1614.59"/>
    <x v="0"/>
    <x v="1"/>
    <n v="0.45201287793952966"/>
  </r>
  <r>
    <n v="2328"/>
    <d v="2023-09-18T00:00:00"/>
    <x v="0"/>
    <x v="3"/>
    <x v="15"/>
    <x v="3"/>
    <n v="10"/>
    <n v="436"/>
    <n v="0"/>
    <n v="4360"/>
    <n v="2952.46"/>
    <n v="1407.54"/>
    <x v="0"/>
    <x v="1"/>
    <n v="0.32283027522935781"/>
  </r>
  <r>
    <n v="2329"/>
    <d v="2024-05-07T00:00:00"/>
    <x v="3"/>
    <x v="1"/>
    <x v="7"/>
    <x v="1"/>
    <n v="7"/>
    <n v="135"/>
    <n v="10"/>
    <n v="850.5"/>
    <n v="440.97"/>
    <n v="409.53"/>
    <x v="7"/>
    <x v="0"/>
    <n v="0.48151675485008816"/>
  </r>
  <r>
    <n v="2330"/>
    <d v="2023-03-11T00:00:00"/>
    <x v="1"/>
    <x v="1"/>
    <x v="2"/>
    <x v="2"/>
    <n v="5"/>
    <n v="33"/>
    <n v="20"/>
    <n v="132"/>
    <n v="67.62"/>
    <n v="64.38"/>
    <x v="8"/>
    <x v="1"/>
    <n v="0.48772727272727268"/>
  </r>
  <r>
    <n v="2331"/>
    <d v="2023-11-07T00:00:00"/>
    <x v="1"/>
    <x v="3"/>
    <x v="15"/>
    <x v="4"/>
    <n v="5"/>
    <n v="119"/>
    <n v="10"/>
    <n v="535.5"/>
    <n v="396.17"/>
    <n v="139.33000000000001"/>
    <x v="3"/>
    <x v="1"/>
    <n v="0.26018674136321196"/>
  </r>
  <r>
    <n v="2332"/>
    <d v="2024-04-24T00:00:00"/>
    <x v="3"/>
    <x v="4"/>
    <x v="18"/>
    <x v="3"/>
    <n v="3"/>
    <n v="95"/>
    <n v="20"/>
    <n v="228"/>
    <n v="141.47"/>
    <n v="86.53"/>
    <x v="10"/>
    <x v="0"/>
    <n v="0.37951754385964914"/>
  </r>
  <r>
    <n v="2333"/>
    <d v="2024-11-29T00:00:00"/>
    <x v="1"/>
    <x v="1"/>
    <x v="5"/>
    <x v="5"/>
    <n v="5"/>
    <n v="408"/>
    <n v="15"/>
    <n v="1734"/>
    <n v="1060.08"/>
    <n v="673.92"/>
    <x v="3"/>
    <x v="0"/>
    <n v="0.38865051903114184"/>
  </r>
  <r>
    <n v="2334"/>
    <d v="2023-12-13T00:00:00"/>
    <x v="3"/>
    <x v="0"/>
    <x v="13"/>
    <x v="3"/>
    <n v="7"/>
    <n v="169"/>
    <n v="5"/>
    <n v="1123.8499999999999"/>
    <n v="690.44"/>
    <n v="433.41"/>
    <x v="6"/>
    <x v="1"/>
    <n v="0.38564755082973712"/>
  </r>
  <r>
    <n v="2335"/>
    <d v="2023-06-15T00:00:00"/>
    <x v="1"/>
    <x v="0"/>
    <x v="0"/>
    <x v="0"/>
    <n v="3"/>
    <n v="596"/>
    <n v="20"/>
    <n v="1430.4"/>
    <n v="770.81"/>
    <n v="659.59"/>
    <x v="4"/>
    <x v="1"/>
    <n v="0.46112276286353465"/>
  </r>
  <r>
    <n v="2336"/>
    <d v="2024-06-02T00:00:00"/>
    <x v="1"/>
    <x v="3"/>
    <x v="4"/>
    <x v="1"/>
    <n v="2"/>
    <n v="468"/>
    <n v="20"/>
    <n v="748.8"/>
    <n v="505.46"/>
    <n v="243.34"/>
    <x v="4"/>
    <x v="0"/>
    <n v="0.32497329059829061"/>
  </r>
  <r>
    <n v="2337"/>
    <d v="2023-01-04T00:00:00"/>
    <x v="3"/>
    <x v="0"/>
    <x v="0"/>
    <x v="4"/>
    <n v="2"/>
    <n v="367"/>
    <n v="5"/>
    <n v="697.3"/>
    <n v="411.39"/>
    <n v="285.91000000000003"/>
    <x v="11"/>
    <x v="1"/>
    <n v="0.41002437975046613"/>
  </r>
  <r>
    <n v="2338"/>
    <d v="2023-10-29T00:00:00"/>
    <x v="2"/>
    <x v="2"/>
    <x v="3"/>
    <x v="1"/>
    <n v="6"/>
    <n v="56"/>
    <n v="20"/>
    <n v="268.8"/>
    <n v="211.23"/>
    <n v="57.57"/>
    <x v="1"/>
    <x v="1"/>
    <n v="0.21417410714285715"/>
  </r>
  <r>
    <n v="2339"/>
    <d v="2024-05-14T00:00:00"/>
    <x v="3"/>
    <x v="0"/>
    <x v="13"/>
    <x v="4"/>
    <n v="5"/>
    <n v="304"/>
    <n v="5"/>
    <n v="1444"/>
    <n v="1144.96"/>
    <n v="299.04000000000002"/>
    <x v="7"/>
    <x v="0"/>
    <n v="0.2070914127423823"/>
  </r>
  <r>
    <n v="2340"/>
    <d v="2024-05-03T00:00:00"/>
    <x v="1"/>
    <x v="0"/>
    <x v="12"/>
    <x v="1"/>
    <n v="1"/>
    <n v="694"/>
    <n v="5"/>
    <n v="659.3"/>
    <n v="415.38"/>
    <n v="243.92"/>
    <x v="7"/>
    <x v="0"/>
    <n v="0.36996814803579553"/>
  </r>
  <r>
    <n v="2341"/>
    <d v="2024-05-23T00:00:00"/>
    <x v="0"/>
    <x v="1"/>
    <x v="16"/>
    <x v="1"/>
    <n v="8"/>
    <n v="905"/>
    <n v="15"/>
    <n v="6154"/>
    <n v="4787.6099999999997"/>
    <n v="1366.39"/>
    <x v="7"/>
    <x v="0"/>
    <n v="0.22203282417939554"/>
  </r>
  <r>
    <n v="2342"/>
    <d v="2023-07-15T00:00:00"/>
    <x v="3"/>
    <x v="1"/>
    <x v="7"/>
    <x v="5"/>
    <n v="4"/>
    <n v="640"/>
    <n v="0"/>
    <n v="2560"/>
    <n v="1974.47"/>
    <n v="585.53"/>
    <x v="5"/>
    <x v="1"/>
    <n v="0.22872265624999999"/>
  </r>
  <r>
    <n v="2343"/>
    <d v="2024-12-22T00:00:00"/>
    <x v="3"/>
    <x v="2"/>
    <x v="10"/>
    <x v="4"/>
    <n v="10"/>
    <n v="17"/>
    <n v="5"/>
    <n v="161.5"/>
    <n v="103.51"/>
    <n v="57.99"/>
    <x v="6"/>
    <x v="0"/>
    <n v="0.35907120743034054"/>
  </r>
  <r>
    <n v="2344"/>
    <d v="2023-07-15T00:00:00"/>
    <x v="1"/>
    <x v="3"/>
    <x v="15"/>
    <x v="2"/>
    <n v="6"/>
    <n v="117"/>
    <n v="5"/>
    <n v="666.9"/>
    <n v="395.28"/>
    <n v="271.62"/>
    <x v="5"/>
    <x v="1"/>
    <n v="0.40728744939271255"/>
  </r>
  <r>
    <n v="2345"/>
    <d v="2024-08-23T00:00:00"/>
    <x v="0"/>
    <x v="4"/>
    <x v="9"/>
    <x v="1"/>
    <n v="7"/>
    <n v="817"/>
    <n v="15"/>
    <n v="4861.1499999999996"/>
    <n v="3389.69"/>
    <n v="1471.46"/>
    <x v="2"/>
    <x v="0"/>
    <n v="0.30269792127377271"/>
  </r>
  <r>
    <n v="2346"/>
    <d v="2024-07-27T00:00:00"/>
    <x v="0"/>
    <x v="4"/>
    <x v="9"/>
    <x v="4"/>
    <n v="10"/>
    <n v="610"/>
    <n v="0"/>
    <n v="6100"/>
    <n v="4084.23"/>
    <n v="2015.77"/>
    <x v="5"/>
    <x v="0"/>
    <n v="0.33045409836065576"/>
  </r>
  <r>
    <n v="2347"/>
    <d v="2024-07-06T00:00:00"/>
    <x v="3"/>
    <x v="3"/>
    <x v="4"/>
    <x v="3"/>
    <n v="5"/>
    <n v="484"/>
    <n v="10"/>
    <n v="2178"/>
    <n v="1239.6500000000001"/>
    <n v="938.35"/>
    <x v="5"/>
    <x v="0"/>
    <n v="0.43083103764921948"/>
  </r>
  <r>
    <n v="2348"/>
    <d v="2023-02-11T00:00:00"/>
    <x v="3"/>
    <x v="0"/>
    <x v="12"/>
    <x v="0"/>
    <n v="2"/>
    <n v="385"/>
    <n v="5"/>
    <n v="731.5"/>
    <n v="367.52"/>
    <n v="363.98"/>
    <x v="9"/>
    <x v="1"/>
    <n v="0.49758031442241973"/>
  </r>
  <r>
    <n v="2349"/>
    <d v="2023-10-09T00:00:00"/>
    <x v="2"/>
    <x v="2"/>
    <x v="3"/>
    <x v="3"/>
    <n v="1"/>
    <n v="341"/>
    <n v="15"/>
    <n v="289.85000000000002"/>
    <n v="178.89"/>
    <n v="110.96"/>
    <x v="1"/>
    <x v="1"/>
    <n v="0.38281869932723817"/>
  </r>
  <r>
    <n v="2350"/>
    <d v="2023-01-14T00:00:00"/>
    <x v="2"/>
    <x v="4"/>
    <x v="8"/>
    <x v="0"/>
    <n v="1"/>
    <n v="976"/>
    <n v="10"/>
    <n v="878.4"/>
    <n v="461.39"/>
    <n v="417.01"/>
    <x v="11"/>
    <x v="1"/>
    <n v="0.474738160291439"/>
  </r>
  <r>
    <n v="2351"/>
    <d v="2024-05-18T00:00:00"/>
    <x v="2"/>
    <x v="4"/>
    <x v="9"/>
    <x v="5"/>
    <n v="10"/>
    <n v="871"/>
    <n v="0"/>
    <n v="8710"/>
    <n v="5574.05"/>
    <n v="3135.95"/>
    <x v="7"/>
    <x v="0"/>
    <n v="0.36004018369690011"/>
  </r>
  <r>
    <n v="2352"/>
    <d v="2024-10-16T00:00:00"/>
    <x v="2"/>
    <x v="1"/>
    <x v="2"/>
    <x v="3"/>
    <n v="2"/>
    <n v="953"/>
    <n v="15"/>
    <n v="1620.1"/>
    <n v="983.37"/>
    <n v="636.73"/>
    <x v="1"/>
    <x v="0"/>
    <n v="0.39301894944756499"/>
  </r>
  <r>
    <n v="2353"/>
    <d v="2023-02-28T00:00:00"/>
    <x v="2"/>
    <x v="4"/>
    <x v="8"/>
    <x v="4"/>
    <n v="7"/>
    <n v="83"/>
    <n v="0"/>
    <n v="581"/>
    <n v="413.19"/>
    <n v="167.81"/>
    <x v="9"/>
    <x v="1"/>
    <n v="0.28882960413080894"/>
  </r>
  <r>
    <n v="2354"/>
    <d v="2024-11-13T00:00:00"/>
    <x v="2"/>
    <x v="0"/>
    <x v="1"/>
    <x v="4"/>
    <n v="2"/>
    <n v="813"/>
    <n v="10"/>
    <n v="1463.4"/>
    <n v="920.27"/>
    <n v="543.13"/>
    <x v="3"/>
    <x v="0"/>
    <n v="0.37114254475878089"/>
  </r>
  <r>
    <n v="2355"/>
    <d v="2023-05-11T00:00:00"/>
    <x v="2"/>
    <x v="0"/>
    <x v="13"/>
    <x v="1"/>
    <n v="3"/>
    <n v="479"/>
    <n v="0"/>
    <n v="1437"/>
    <n v="779.92"/>
    <n v="657.08"/>
    <x v="7"/>
    <x v="1"/>
    <n v="0.45725817675713293"/>
  </r>
  <r>
    <n v="2356"/>
    <d v="2024-01-27T00:00:00"/>
    <x v="0"/>
    <x v="2"/>
    <x v="6"/>
    <x v="0"/>
    <n v="3"/>
    <n v="296"/>
    <n v="15"/>
    <n v="754.8"/>
    <n v="539.80999999999995"/>
    <n v="214.99"/>
    <x v="11"/>
    <x v="0"/>
    <n v="0.28483041865394809"/>
  </r>
  <r>
    <n v="2357"/>
    <d v="2023-11-11T00:00:00"/>
    <x v="3"/>
    <x v="4"/>
    <x v="8"/>
    <x v="1"/>
    <n v="10"/>
    <n v="823"/>
    <n v="15"/>
    <n v="6995.5"/>
    <n v="4590.51"/>
    <n v="2404.9899999999998"/>
    <x v="3"/>
    <x v="1"/>
    <n v="0.34379100850546779"/>
  </r>
  <r>
    <n v="2358"/>
    <d v="2024-11-12T00:00:00"/>
    <x v="1"/>
    <x v="4"/>
    <x v="8"/>
    <x v="5"/>
    <n v="9"/>
    <n v="610"/>
    <n v="5"/>
    <n v="5215.5"/>
    <n v="3022.4"/>
    <n v="2193.1"/>
    <x v="3"/>
    <x v="0"/>
    <n v="0.42049659668296424"/>
  </r>
  <r>
    <n v="2359"/>
    <d v="2023-09-29T00:00:00"/>
    <x v="3"/>
    <x v="4"/>
    <x v="8"/>
    <x v="4"/>
    <n v="10"/>
    <n v="714"/>
    <n v="15"/>
    <n v="6069"/>
    <n v="4089.85"/>
    <n v="1979.15"/>
    <x v="0"/>
    <x v="1"/>
    <n v="0.32610809029494153"/>
  </r>
  <r>
    <n v="2360"/>
    <d v="2024-01-29T00:00:00"/>
    <x v="1"/>
    <x v="4"/>
    <x v="18"/>
    <x v="0"/>
    <n v="8"/>
    <n v="372"/>
    <n v="15"/>
    <n v="2529.6"/>
    <n v="1692.05"/>
    <n v="837.55"/>
    <x v="11"/>
    <x v="0"/>
    <n v="0.33109977862112588"/>
  </r>
  <r>
    <n v="2361"/>
    <d v="2024-07-03T00:00:00"/>
    <x v="0"/>
    <x v="3"/>
    <x v="4"/>
    <x v="3"/>
    <n v="7"/>
    <n v="283"/>
    <n v="20"/>
    <n v="1584.8"/>
    <n v="1089.68"/>
    <n v="495.12"/>
    <x v="5"/>
    <x v="0"/>
    <n v="0.31241797072185767"/>
  </r>
  <r>
    <n v="2362"/>
    <d v="2023-08-06T00:00:00"/>
    <x v="0"/>
    <x v="2"/>
    <x v="3"/>
    <x v="5"/>
    <n v="1"/>
    <n v="750"/>
    <n v="0"/>
    <n v="750"/>
    <n v="384.92"/>
    <n v="365.08"/>
    <x v="2"/>
    <x v="1"/>
    <n v="0.48677333333333334"/>
  </r>
  <r>
    <n v="2363"/>
    <d v="2023-06-18T00:00:00"/>
    <x v="2"/>
    <x v="1"/>
    <x v="7"/>
    <x v="2"/>
    <n v="3"/>
    <n v="746"/>
    <n v="0"/>
    <n v="2238"/>
    <n v="1254.78"/>
    <n v="983.22"/>
    <x v="4"/>
    <x v="1"/>
    <n v="0.43932975871313673"/>
  </r>
  <r>
    <n v="2364"/>
    <d v="2024-01-11T00:00:00"/>
    <x v="0"/>
    <x v="3"/>
    <x v="4"/>
    <x v="5"/>
    <n v="1"/>
    <n v="373"/>
    <n v="15"/>
    <n v="317.05"/>
    <n v="229.73"/>
    <n v="87.32"/>
    <x v="11"/>
    <x v="0"/>
    <n v="0.27541397255953315"/>
  </r>
  <r>
    <n v="2365"/>
    <d v="2024-09-03T00:00:00"/>
    <x v="1"/>
    <x v="2"/>
    <x v="17"/>
    <x v="0"/>
    <n v="1"/>
    <n v="243"/>
    <n v="10"/>
    <n v="218.7"/>
    <n v="134.66"/>
    <n v="84.04"/>
    <x v="0"/>
    <x v="0"/>
    <n v="0.38427069044353002"/>
  </r>
  <r>
    <n v="2366"/>
    <d v="2023-11-05T00:00:00"/>
    <x v="0"/>
    <x v="0"/>
    <x v="1"/>
    <x v="3"/>
    <n v="1"/>
    <n v="18"/>
    <n v="0"/>
    <n v="18"/>
    <n v="12.38"/>
    <n v="5.62"/>
    <x v="3"/>
    <x v="1"/>
    <n v="0.31222222222222223"/>
  </r>
  <r>
    <n v="2367"/>
    <d v="2023-05-02T00:00:00"/>
    <x v="2"/>
    <x v="2"/>
    <x v="17"/>
    <x v="3"/>
    <n v="7"/>
    <n v="467"/>
    <n v="0"/>
    <n v="3269"/>
    <n v="2527.9"/>
    <n v="741.1"/>
    <x v="7"/>
    <x v="1"/>
    <n v="0.22670541449984705"/>
  </r>
  <r>
    <n v="2368"/>
    <d v="2024-07-14T00:00:00"/>
    <x v="1"/>
    <x v="4"/>
    <x v="9"/>
    <x v="3"/>
    <n v="3"/>
    <n v="33"/>
    <n v="0"/>
    <n v="99"/>
    <n v="64.239999999999995"/>
    <n v="34.76"/>
    <x v="5"/>
    <x v="0"/>
    <n v="0.3511111111111111"/>
  </r>
  <r>
    <n v="2369"/>
    <d v="2023-04-04T00:00:00"/>
    <x v="1"/>
    <x v="3"/>
    <x v="19"/>
    <x v="1"/>
    <n v="8"/>
    <n v="56"/>
    <n v="5"/>
    <n v="425.6"/>
    <n v="236.14"/>
    <n v="189.46"/>
    <x v="10"/>
    <x v="1"/>
    <n v="0.44515977443609023"/>
  </r>
  <r>
    <n v="2370"/>
    <d v="2024-10-25T00:00:00"/>
    <x v="0"/>
    <x v="3"/>
    <x v="19"/>
    <x v="3"/>
    <n v="3"/>
    <n v="561"/>
    <n v="5"/>
    <n v="1598.85"/>
    <n v="1037.9000000000001"/>
    <n v="560.95000000000005"/>
    <x v="1"/>
    <x v="0"/>
    <n v="0.35084592050536328"/>
  </r>
  <r>
    <n v="2371"/>
    <d v="2023-09-09T00:00:00"/>
    <x v="2"/>
    <x v="1"/>
    <x v="2"/>
    <x v="1"/>
    <n v="10"/>
    <n v="165"/>
    <n v="5"/>
    <n v="1567.5"/>
    <n v="825.6"/>
    <n v="741.9"/>
    <x v="0"/>
    <x v="1"/>
    <n v="0.47330143540669856"/>
  </r>
  <r>
    <n v="2372"/>
    <d v="2024-09-17T00:00:00"/>
    <x v="2"/>
    <x v="0"/>
    <x v="1"/>
    <x v="5"/>
    <n v="1"/>
    <n v="708"/>
    <n v="15"/>
    <n v="601.79999999999995"/>
    <n v="354.49"/>
    <n v="247.31"/>
    <x v="0"/>
    <x v="0"/>
    <n v="0.41095048188767036"/>
  </r>
  <r>
    <n v="2373"/>
    <d v="2024-08-19T00:00:00"/>
    <x v="2"/>
    <x v="1"/>
    <x v="16"/>
    <x v="4"/>
    <n v="3"/>
    <n v="518"/>
    <n v="10"/>
    <n v="1398.6"/>
    <n v="986.67"/>
    <n v="411.93"/>
    <x v="2"/>
    <x v="0"/>
    <n v="0.29453024453024457"/>
  </r>
  <r>
    <n v="2374"/>
    <d v="2023-01-02T00:00:00"/>
    <x v="0"/>
    <x v="3"/>
    <x v="4"/>
    <x v="2"/>
    <n v="10"/>
    <n v="23"/>
    <n v="20"/>
    <n v="184"/>
    <n v="120.68"/>
    <n v="63.32"/>
    <x v="11"/>
    <x v="1"/>
    <n v="0.34413043478260869"/>
  </r>
  <r>
    <n v="2375"/>
    <d v="2023-05-01T00:00:00"/>
    <x v="1"/>
    <x v="3"/>
    <x v="4"/>
    <x v="5"/>
    <n v="6"/>
    <n v="978"/>
    <n v="0"/>
    <n v="5868"/>
    <n v="4059.53"/>
    <n v="1808.47"/>
    <x v="7"/>
    <x v="1"/>
    <n v="0.30819188820722565"/>
  </r>
  <r>
    <n v="2376"/>
    <d v="2024-01-14T00:00:00"/>
    <x v="0"/>
    <x v="1"/>
    <x v="2"/>
    <x v="2"/>
    <n v="5"/>
    <n v="24"/>
    <n v="5"/>
    <n v="114"/>
    <n v="67.08"/>
    <n v="46.92"/>
    <x v="11"/>
    <x v="0"/>
    <n v="0.41157894736842104"/>
  </r>
  <r>
    <n v="2377"/>
    <d v="2023-06-02T00:00:00"/>
    <x v="0"/>
    <x v="4"/>
    <x v="9"/>
    <x v="3"/>
    <n v="5"/>
    <n v="256"/>
    <n v="10"/>
    <n v="1152"/>
    <n v="598.95000000000005"/>
    <n v="553.04999999999995"/>
    <x v="4"/>
    <x v="1"/>
    <n v="0.48007812499999997"/>
  </r>
  <r>
    <n v="2378"/>
    <d v="2023-04-04T00:00:00"/>
    <x v="3"/>
    <x v="2"/>
    <x v="17"/>
    <x v="2"/>
    <n v="8"/>
    <n v="460"/>
    <n v="10"/>
    <n v="3312"/>
    <n v="1758.76"/>
    <n v="1553.24"/>
    <x v="10"/>
    <x v="1"/>
    <n v="0.46897342995169083"/>
  </r>
  <r>
    <n v="2379"/>
    <d v="2023-12-11T00:00:00"/>
    <x v="2"/>
    <x v="2"/>
    <x v="3"/>
    <x v="1"/>
    <n v="5"/>
    <n v="977"/>
    <n v="10"/>
    <n v="4396.5"/>
    <n v="2824.02"/>
    <n v="1572.48"/>
    <x v="6"/>
    <x v="1"/>
    <n v="0.35766632548618221"/>
  </r>
  <r>
    <n v="2380"/>
    <d v="2023-04-03T00:00:00"/>
    <x v="3"/>
    <x v="0"/>
    <x v="13"/>
    <x v="2"/>
    <n v="8"/>
    <n v="248"/>
    <n v="5"/>
    <n v="1884.8"/>
    <n v="1203.1199999999999"/>
    <n v="681.68"/>
    <x v="10"/>
    <x v="1"/>
    <n v="0.36167232597623089"/>
  </r>
  <r>
    <n v="2381"/>
    <d v="2024-05-26T00:00:00"/>
    <x v="3"/>
    <x v="0"/>
    <x v="1"/>
    <x v="0"/>
    <n v="2"/>
    <n v="381"/>
    <n v="15"/>
    <n v="647.70000000000005"/>
    <n v="470.35"/>
    <n v="177.35"/>
    <x v="7"/>
    <x v="0"/>
    <n v="0.27381503782615407"/>
  </r>
  <r>
    <n v="2382"/>
    <d v="2024-08-21T00:00:00"/>
    <x v="2"/>
    <x v="4"/>
    <x v="14"/>
    <x v="0"/>
    <n v="2"/>
    <n v="180"/>
    <n v="20"/>
    <n v="288"/>
    <n v="155.85"/>
    <n v="132.15"/>
    <x v="2"/>
    <x v="0"/>
    <n v="0.45885416666666667"/>
  </r>
  <r>
    <n v="2383"/>
    <d v="2024-05-25T00:00:00"/>
    <x v="3"/>
    <x v="0"/>
    <x v="12"/>
    <x v="1"/>
    <n v="1"/>
    <n v="679"/>
    <n v="0"/>
    <n v="679"/>
    <n v="393.64"/>
    <n v="285.36"/>
    <x v="7"/>
    <x v="0"/>
    <n v="0.42026509572901327"/>
  </r>
  <r>
    <n v="2384"/>
    <d v="2024-05-29T00:00:00"/>
    <x v="1"/>
    <x v="1"/>
    <x v="7"/>
    <x v="2"/>
    <n v="1"/>
    <n v="801"/>
    <n v="10"/>
    <n v="720.9"/>
    <n v="431.27"/>
    <n v="289.63"/>
    <x v="7"/>
    <x v="0"/>
    <n v="0.40176168678041335"/>
  </r>
  <r>
    <n v="2385"/>
    <d v="2024-03-09T00:00:00"/>
    <x v="1"/>
    <x v="1"/>
    <x v="5"/>
    <x v="0"/>
    <n v="10"/>
    <n v="694"/>
    <n v="15"/>
    <n v="5899"/>
    <n v="3639.1"/>
    <n v="2259.9"/>
    <x v="8"/>
    <x v="0"/>
    <n v="0.38309883031022207"/>
  </r>
  <r>
    <n v="2386"/>
    <d v="2023-04-15T00:00:00"/>
    <x v="0"/>
    <x v="0"/>
    <x v="0"/>
    <x v="0"/>
    <n v="7"/>
    <n v="328"/>
    <n v="0"/>
    <n v="2296"/>
    <n v="1306.77"/>
    <n v="989.23"/>
    <x v="10"/>
    <x v="1"/>
    <n v="0.43084930313588848"/>
  </r>
  <r>
    <n v="2387"/>
    <d v="2024-11-14T00:00:00"/>
    <x v="1"/>
    <x v="2"/>
    <x v="17"/>
    <x v="3"/>
    <n v="8"/>
    <n v="641"/>
    <n v="15"/>
    <n v="4358.8"/>
    <n v="3079.84"/>
    <n v="1278.96"/>
    <x v="3"/>
    <x v="0"/>
    <n v="0.29342020739653113"/>
  </r>
  <r>
    <n v="2388"/>
    <d v="2023-06-30T00:00:00"/>
    <x v="0"/>
    <x v="3"/>
    <x v="19"/>
    <x v="0"/>
    <n v="10"/>
    <n v="953"/>
    <n v="0"/>
    <n v="9530"/>
    <n v="5914.79"/>
    <n v="3615.21"/>
    <x v="4"/>
    <x v="1"/>
    <n v="0.37935047219307449"/>
  </r>
  <r>
    <n v="2389"/>
    <d v="2023-12-29T00:00:00"/>
    <x v="1"/>
    <x v="1"/>
    <x v="5"/>
    <x v="4"/>
    <n v="4"/>
    <n v="644"/>
    <n v="20"/>
    <n v="2060.8000000000002"/>
    <n v="1262.3599999999999"/>
    <n v="798.44"/>
    <x v="6"/>
    <x v="1"/>
    <n v="0.38744177018633541"/>
  </r>
  <r>
    <n v="2390"/>
    <d v="2023-05-03T00:00:00"/>
    <x v="3"/>
    <x v="1"/>
    <x v="2"/>
    <x v="3"/>
    <n v="2"/>
    <n v="555"/>
    <n v="5"/>
    <n v="1054.5"/>
    <n v="841.56"/>
    <n v="212.94"/>
    <x v="7"/>
    <x v="1"/>
    <n v="0.20193456614509245"/>
  </r>
  <r>
    <n v="2391"/>
    <d v="2023-02-09T00:00:00"/>
    <x v="0"/>
    <x v="3"/>
    <x v="15"/>
    <x v="5"/>
    <n v="8"/>
    <n v="347"/>
    <n v="10"/>
    <n v="2498.4"/>
    <n v="1845.54"/>
    <n v="652.86"/>
    <x v="9"/>
    <x v="1"/>
    <n v="0.26131123919308358"/>
  </r>
  <r>
    <n v="2392"/>
    <d v="2023-05-12T00:00:00"/>
    <x v="3"/>
    <x v="4"/>
    <x v="18"/>
    <x v="0"/>
    <n v="5"/>
    <n v="487"/>
    <n v="15"/>
    <n v="2069.75"/>
    <n v="1429.62"/>
    <n v="640.13"/>
    <x v="7"/>
    <x v="1"/>
    <n v="0.3092788984176833"/>
  </r>
  <r>
    <n v="2393"/>
    <d v="2024-09-24T00:00:00"/>
    <x v="3"/>
    <x v="2"/>
    <x v="3"/>
    <x v="4"/>
    <n v="7"/>
    <n v="462"/>
    <n v="15"/>
    <n v="2748.9"/>
    <n v="1690.53"/>
    <n v="1058.3699999999999"/>
    <x v="0"/>
    <x v="0"/>
    <n v="0.38501582451162281"/>
  </r>
  <r>
    <n v="2394"/>
    <d v="2023-05-21T00:00:00"/>
    <x v="2"/>
    <x v="2"/>
    <x v="3"/>
    <x v="1"/>
    <n v="8"/>
    <n v="935"/>
    <n v="10"/>
    <n v="6732"/>
    <n v="3519.08"/>
    <n v="3212.92"/>
    <x v="7"/>
    <x v="1"/>
    <n v="0.47726084373143196"/>
  </r>
  <r>
    <n v="2395"/>
    <d v="2023-04-10T00:00:00"/>
    <x v="3"/>
    <x v="4"/>
    <x v="9"/>
    <x v="3"/>
    <n v="10"/>
    <n v="821"/>
    <n v="5"/>
    <n v="7799.5"/>
    <n v="5738.12"/>
    <n v="2061.38"/>
    <x v="10"/>
    <x v="1"/>
    <n v="0.26429642925828578"/>
  </r>
  <r>
    <n v="2396"/>
    <d v="2023-05-08T00:00:00"/>
    <x v="2"/>
    <x v="4"/>
    <x v="14"/>
    <x v="3"/>
    <n v="3"/>
    <n v="10"/>
    <n v="20"/>
    <n v="24"/>
    <n v="18.920000000000002"/>
    <n v="5.08"/>
    <x v="7"/>
    <x v="1"/>
    <n v="0.21166666666666667"/>
  </r>
  <r>
    <n v="2397"/>
    <d v="2024-03-18T00:00:00"/>
    <x v="3"/>
    <x v="4"/>
    <x v="8"/>
    <x v="2"/>
    <n v="2"/>
    <n v="603"/>
    <n v="5"/>
    <n v="1145.7"/>
    <n v="846.28"/>
    <n v="299.42"/>
    <x v="8"/>
    <x v="0"/>
    <n v="0.26134241075325126"/>
  </r>
  <r>
    <n v="2398"/>
    <d v="2024-01-28T00:00:00"/>
    <x v="1"/>
    <x v="1"/>
    <x v="2"/>
    <x v="3"/>
    <n v="5"/>
    <n v="778"/>
    <n v="15"/>
    <n v="3306.5"/>
    <n v="2195.79"/>
    <n v="1110.71"/>
    <x v="11"/>
    <x v="0"/>
    <n v="0.33591713292000608"/>
  </r>
  <r>
    <n v="2399"/>
    <d v="2023-01-18T00:00:00"/>
    <x v="2"/>
    <x v="0"/>
    <x v="0"/>
    <x v="1"/>
    <n v="9"/>
    <n v="927"/>
    <n v="20"/>
    <n v="6674.4"/>
    <n v="5072.91"/>
    <n v="1601.49"/>
    <x v="11"/>
    <x v="1"/>
    <n v="0.23994516361021218"/>
  </r>
  <r>
    <n v="2400"/>
    <d v="2024-03-10T00:00:00"/>
    <x v="1"/>
    <x v="1"/>
    <x v="16"/>
    <x v="2"/>
    <n v="4"/>
    <n v="459"/>
    <n v="15"/>
    <n v="1560.6"/>
    <n v="1147.07"/>
    <n v="413.53"/>
    <x v="8"/>
    <x v="0"/>
    <n v="0.26498141740356274"/>
  </r>
  <r>
    <n v="2401"/>
    <d v="2024-04-07T00:00:00"/>
    <x v="1"/>
    <x v="3"/>
    <x v="15"/>
    <x v="3"/>
    <n v="4"/>
    <n v="620"/>
    <n v="20"/>
    <n v="1984"/>
    <n v="1376.27"/>
    <n v="607.73"/>
    <x v="10"/>
    <x v="0"/>
    <n v="0.30631552419354841"/>
  </r>
  <r>
    <n v="2402"/>
    <d v="2024-05-15T00:00:00"/>
    <x v="1"/>
    <x v="0"/>
    <x v="12"/>
    <x v="2"/>
    <n v="3"/>
    <n v="94"/>
    <n v="0"/>
    <n v="282"/>
    <n v="202.8"/>
    <n v="79.2"/>
    <x v="7"/>
    <x v="0"/>
    <n v="0.28085106382978725"/>
  </r>
  <r>
    <n v="2403"/>
    <d v="2024-02-05T00:00:00"/>
    <x v="2"/>
    <x v="3"/>
    <x v="4"/>
    <x v="1"/>
    <n v="9"/>
    <n v="411"/>
    <n v="10"/>
    <n v="3329.1"/>
    <n v="2560.52"/>
    <n v="768.58"/>
    <x v="9"/>
    <x v="0"/>
    <n v="0.23086720134570907"/>
  </r>
  <r>
    <n v="2404"/>
    <d v="2023-03-25T00:00:00"/>
    <x v="3"/>
    <x v="3"/>
    <x v="19"/>
    <x v="4"/>
    <n v="8"/>
    <n v="723"/>
    <n v="15"/>
    <n v="4916.3999999999996"/>
    <n v="2609.1"/>
    <n v="2307.3000000000002"/>
    <x v="8"/>
    <x v="1"/>
    <n v="0.46930680986087386"/>
  </r>
  <r>
    <n v="2405"/>
    <d v="2024-02-03T00:00:00"/>
    <x v="0"/>
    <x v="0"/>
    <x v="12"/>
    <x v="3"/>
    <n v="1"/>
    <n v="608"/>
    <n v="15"/>
    <n v="516.79999999999995"/>
    <n v="360.59"/>
    <n v="156.21"/>
    <x v="9"/>
    <x v="0"/>
    <n v="0.30226393188854495"/>
  </r>
  <r>
    <n v="2406"/>
    <d v="2024-06-11T00:00:00"/>
    <x v="1"/>
    <x v="4"/>
    <x v="8"/>
    <x v="2"/>
    <n v="6"/>
    <n v="559"/>
    <n v="15"/>
    <n v="2850.9"/>
    <n v="2093.98"/>
    <n v="756.92"/>
    <x v="4"/>
    <x v="0"/>
    <n v="0.26550212213686902"/>
  </r>
  <r>
    <n v="2407"/>
    <d v="2023-09-27T00:00:00"/>
    <x v="1"/>
    <x v="1"/>
    <x v="5"/>
    <x v="3"/>
    <n v="7"/>
    <n v="968"/>
    <n v="10"/>
    <n v="6098.4"/>
    <n v="4549.21"/>
    <n v="1549.19"/>
    <x v="0"/>
    <x v="1"/>
    <n v="0.25403220516856884"/>
  </r>
  <r>
    <n v="2408"/>
    <d v="2023-03-28T00:00:00"/>
    <x v="1"/>
    <x v="2"/>
    <x v="3"/>
    <x v="1"/>
    <n v="5"/>
    <n v="52"/>
    <n v="0"/>
    <n v="260"/>
    <n v="140.57"/>
    <n v="119.43"/>
    <x v="8"/>
    <x v="1"/>
    <n v="0.45934615384615385"/>
  </r>
  <r>
    <n v="2409"/>
    <d v="2024-01-19T00:00:00"/>
    <x v="3"/>
    <x v="3"/>
    <x v="4"/>
    <x v="2"/>
    <n v="3"/>
    <n v="641"/>
    <n v="5"/>
    <n v="1826.85"/>
    <n v="1335.83"/>
    <n v="491.02"/>
    <x v="11"/>
    <x v="0"/>
    <n v="0.2687795932889947"/>
  </r>
  <r>
    <n v="2410"/>
    <d v="2024-05-25T00:00:00"/>
    <x v="1"/>
    <x v="1"/>
    <x v="16"/>
    <x v="1"/>
    <n v="8"/>
    <n v="952"/>
    <n v="0"/>
    <n v="7616"/>
    <n v="6003.71"/>
    <n v="1612.29"/>
    <x v="7"/>
    <x v="0"/>
    <n v="0.21169774159663865"/>
  </r>
  <r>
    <n v="2411"/>
    <d v="2023-02-27T00:00:00"/>
    <x v="1"/>
    <x v="4"/>
    <x v="18"/>
    <x v="0"/>
    <n v="3"/>
    <n v="242"/>
    <n v="5"/>
    <n v="689.7"/>
    <n v="501.65"/>
    <n v="188.05"/>
    <x v="9"/>
    <x v="1"/>
    <n v="0.27265477743946642"/>
  </r>
  <r>
    <n v="2412"/>
    <d v="2023-02-22T00:00:00"/>
    <x v="1"/>
    <x v="2"/>
    <x v="17"/>
    <x v="4"/>
    <n v="1"/>
    <n v="709"/>
    <n v="10"/>
    <n v="638.1"/>
    <n v="456.69"/>
    <n v="181.41"/>
    <x v="9"/>
    <x v="1"/>
    <n v="0.28429713211095436"/>
  </r>
  <r>
    <n v="2413"/>
    <d v="2023-06-03T00:00:00"/>
    <x v="1"/>
    <x v="3"/>
    <x v="15"/>
    <x v="1"/>
    <n v="9"/>
    <n v="364"/>
    <n v="10"/>
    <n v="2948.4"/>
    <n v="1623.6"/>
    <n v="1324.8"/>
    <x v="4"/>
    <x v="1"/>
    <n v="0.44932844932844929"/>
  </r>
  <r>
    <n v="2414"/>
    <d v="2023-01-15T00:00:00"/>
    <x v="3"/>
    <x v="2"/>
    <x v="6"/>
    <x v="2"/>
    <n v="1"/>
    <n v="107"/>
    <n v="10"/>
    <n v="96.3"/>
    <n v="57.4"/>
    <n v="38.9"/>
    <x v="11"/>
    <x v="1"/>
    <n v="0.40394600207684317"/>
  </r>
  <r>
    <n v="2415"/>
    <d v="2024-10-24T00:00:00"/>
    <x v="0"/>
    <x v="4"/>
    <x v="18"/>
    <x v="4"/>
    <n v="3"/>
    <n v="371"/>
    <n v="20"/>
    <n v="890.4"/>
    <n v="711.9"/>
    <n v="178.5"/>
    <x v="1"/>
    <x v="0"/>
    <n v="0.20047169811320756"/>
  </r>
  <r>
    <n v="2416"/>
    <d v="2024-06-19T00:00:00"/>
    <x v="3"/>
    <x v="0"/>
    <x v="0"/>
    <x v="2"/>
    <n v="1"/>
    <n v="520"/>
    <n v="5"/>
    <n v="494"/>
    <n v="310.61"/>
    <n v="183.39"/>
    <x v="4"/>
    <x v="0"/>
    <n v="0.37123481781376516"/>
  </r>
  <r>
    <n v="2417"/>
    <d v="2023-06-11T00:00:00"/>
    <x v="1"/>
    <x v="1"/>
    <x v="2"/>
    <x v="3"/>
    <n v="7"/>
    <n v="920"/>
    <n v="0"/>
    <n v="6440"/>
    <n v="4002.01"/>
    <n v="2437.9899999999998"/>
    <x v="4"/>
    <x v="1"/>
    <n v="0.3785698757763975"/>
  </r>
  <r>
    <n v="2418"/>
    <d v="2023-08-19T00:00:00"/>
    <x v="1"/>
    <x v="1"/>
    <x v="2"/>
    <x v="1"/>
    <n v="2"/>
    <n v="364"/>
    <n v="20"/>
    <n v="582.4"/>
    <n v="380.18"/>
    <n v="202.22"/>
    <x v="2"/>
    <x v="1"/>
    <n v="0.34721840659340658"/>
  </r>
  <r>
    <n v="2419"/>
    <d v="2024-05-17T00:00:00"/>
    <x v="0"/>
    <x v="4"/>
    <x v="8"/>
    <x v="0"/>
    <n v="6"/>
    <n v="809"/>
    <n v="10"/>
    <n v="4368.6000000000004"/>
    <n v="2499.48"/>
    <n v="1869.12"/>
    <x v="7"/>
    <x v="0"/>
    <n v="0.42785331685208072"/>
  </r>
  <r>
    <n v="2420"/>
    <d v="2023-11-02T00:00:00"/>
    <x v="0"/>
    <x v="2"/>
    <x v="3"/>
    <x v="3"/>
    <n v="7"/>
    <n v="140"/>
    <n v="0"/>
    <n v="980"/>
    <n v="638.19000000000005"/>
    <n v="341.81"/>
    <x v="3"/>
    <x v="1"/>
    <n v="0.34878571428571431"/>
  </r>
  <r>
    <n v="2421"/>
    <d v="2024-04-18T00:00:00"/>
    <x v="0"/>
    <x v="4"/>
    <x v="9"/>
    <x v="0"/>
    <n v="9"/>
    <n v="838"/>
    <n v="5"/>
    <n v="7164.9"/>
    <n v="4680.4399999999996"/>
    <n v="2484.46"/>
    <x v="10"/>
    <x v="0"/>
    <n v="0.3467543161802677"/>
  </r>
  <r>
    <n v="2422"/>
    <d v="2024-10-17T00:00:00"/>
    <x v="0"/>
    <x v="2"/>
    <x v="6"/>
    <x v="0"/>
    <n v="7"/>
    <n v="224"/>
    <n v="5"/>
    <n v="1489.6"/>
    <n v="875.39"/>
    <n v="614.21"/>
    <x v="1"/>
    <x v="0"/>
    <n v="0.41233216970998932"/>
  </r>
  <r>
    <n v="2423"/>
    <d v="2023-08-13T00:00:00"/>
    <x v="1"/>
    <x v="4"/>
    <x v="18"/>
    <x v="5"/>
    <n v="9"/>
    <n v="363"/>
    <n v="0"/>
    <n v="3267"/>
    <n v="1846.28"/>
    <n v="1420.72"/>
    <x v="2"/>
    <x v="1"/>
    <n v="0.43486991123354762"/>
  </r>
  <r>
    <n v="2424"/>
    <d v="2024-12-10T00:00:00"/>
    <x v="0"/>
    <x v="0"/>
    <x v="1"/>
    <x v="4"/>
    <n v="1"/>
    <n v="333"/>
    <n v="20"/>
    <n v="266.39999999999998"/>
    <n v="157.71"/>
    <n v="108.69"/>
    <x v="6"/>
    <x v="0"/>
    <n v="0.40799549549549552"/>
  </r>
  <r>
    <n v="2425"/>
    <d v="2023-02-22T00:00:00"/>
    <x v="1"/>
    <x v="2"/>
    <x v="3"/>
    <x v="3"/>
    <n v="2"/>
    <n v="401"/>
    <n v="10"/>
    <n v="721.8"/>
    <n v="408.73"/>
    <n v="313.07"/>
    <x v="9"/>
    <x v="1"/>
    <n v="0.43373510667775006"/>
  </r>
  <r>
    <n v="2426"/>
    <d v="2024-04-04T00:00:00"/>
    <x v="1"/>
    <x v="2"/>
    <x v="3"/>
    <x v="2"/>
    <n v="2"/>
    <n v="224"/>
    <n v="0"/>
    <n v="448"/>
    <n v="283.5"/>
    <n v="164.5"/>
    <x v="10"/>
    <x v="0"/>
    <n v="0.3671875"/>
  </r>
  <r>
    <n v="2427"/>
    <d v="2024-09-28T00:00:00"/>
    <x v="0"/>
    <x v="3"/>
    <x v="15"/>
    <x v="2"/>
    <n v="5"/>
    <n v="248"/>
    <n v="20"/>
    <n v="992"/>
    <n v="774.21"/>
    <n v="217.79"/>
    <x v="0"/>
    <x v="0"/>
    <n v="0.21954637096774193"/>
  </r>
  <r>
    <n v="2428"/>
    <d v="2023-11-30T00:00:00"/>
    <x v="2"/>
    <x v="3"/>
    <x v="15"/>
    <x v="2"/>
    <n v="3"/>
    <n v="164"/>
    <n v="5"/>
    <n v="467.4"/>
    <n v="360.52"/>
    <n v="106.88"/>
    <x v="3"/>
    <x v="1"/>
    <n v="0.22866923406076167"/>
  </r>
  <r>
    <n v="2429"/>
    <d v="2024-08-20T00:00:00"/>
    <x v="3"/>
    <x v="3"/>
    <x v="15"/>
    <x v="3"/>
    <n v="5"/>
    <n v="339"/>
    <n v="5"/>
    <n v="1610.25"/>
    <n v="975.79"/>
    <n v="634.46"/>
    <x v="2"/>
    <x v="0"/>
    <n v="0.3940133519639808"/>
  </r>
  <r>
    <n v="2430"/>
    <d v="2023-12-05T00:00:00"/>
    <x v="1"/>
    <x v="4"/>
    <x v="14"/>
    <x v="2"/>
    <n v="10"/>
    <n v="817"/>
    <n v="15"/>
    <n v="6944.5"/>
    <n v="4664.08"/>
    <n v="2280.42"/>
    <x v="6"/>
    <x v="1"/>
    <n v="0.3283778529771762"/>
  </r>
  <r>
    <n v="2431"/>
    <d v="2023-09-20T00:00:00"/>
    <x v="1"/>
    <x v="1"/>
    <x v="16"/>
    <x v="1"/>
    <n v="10"/>
    <n v="14"/>
    <n v="0"/>
    <n v="140"/>
    <n v="91.98"/>
    <n v="48.02"/>
    <x v="0"/>
    <x v="1"/>
    <n v="0.34300000000000003"/>
  </r>
  <r>
    <n v="2432"/>
    <d v="2023-09-23T00:00:00"/>
    <x v="0"/>
    <x v="1"/>
    <x v="16"/>
    <x v="1"/>
    <n v="2"/>
    <n v="851"/>
    <n v="10"/>
    <n v="1531.8"/>
    <n v="967.13"/>
    <n v="564.66999999999996"/>
    <x v="0"/>
    <x v="1"/>
    <n v="0.36863167515341427"/>
  </r>
  <r>
    <n v="2433"/>
    <d v="2023-10-05T00:00:00"/>
    <x v="2"/>
    <x v="1"/>
    <x v="2"/>
    <x v="2"/>
    <n v="3"/>
    <n v="263"/>
    <n v="10"/>
    <n v="710.1"/>
    <n v="441.87"/>
    <n v="268.23"/>
    <x v="1"/>
    <x v="1"/>
    <n v="0.37773553020701311"/>
  </r>
  <r>
    <n v="2434"/>
    <d v="2024-09-01T00:00:00"/>
    <x v="0"/>
    <x v="2"/>
    <x v="3"/>
    <x v="4"/>
    <n v="3"/>
    <n v="498"/>
    <n v="20"/>
    <n v="1195.2"/>
    <n v="795.73"/>
    <n v="399.47"/>
    <x v="0"/>
    <x v="0"/>
    <n v="0.33422858099062919"/>
  </r>
  <r>
    <n v="2435"/>
    <d v="2023-05-25T00:00:00"/>
    <x v="3"/>
    <x v="2"/>
    <x v="17"/>
    <x v="1"/>
    <n v="2"/>
    <n v="404"/>
    <n v="15"/>
    <n v="686.8"/>
    <n v="474.32"/>
    <n v="212.48"/>
    <x v="7"/>
    <x v="1"/>
    <n v="0.30937682003494466"/>
  </r>
  <r>
    <n v="2436"/>
    <d v="2023-12-04T00:00:00"/>
    <x v="2"/>
    <x v="2"/>
    <x v="6"/>
    <x v="0"/>
    <n v="2"/>
    <n v="742"/>
    <n v="5"/>
    <n v="1409.8"/>
    <n v="799.96"/>
    <n v="609.84"/>
    <x v="6"/>
    <x v="1"/>
    <n v="0.43257199602780538"/>
  </r>
  <r>
    <n v="2437"/>
    <d v="2024-03-20T00:00:00"/>
    <x v="2"/>
    <x v="0"/>
    <x v="0"/>
    <x v="5"/>
    <n v="10"/>
    <n v="156"/>
    <n v="15"/>
    <n v="1326"/>
    <n v="765.32"/>
    <n v="560.67999999999995"/>
    <x v="8"/>
    <x v="0"/>
    <n v="0.42283559577677221"/>
  </r>
  <r>
    <n v="2438"/>
    <d v="2023-12-10T00:00:00"/>
    <x v="2"/>
    <x v="0"/>
    <x v="13"/>
    <x v="5"/>
    <n v="8"/>
    <n v="939"/>
    <n v="20"/>
    <n v="6009.6"/>
    <n v="3581.47"/>
    <n v="2428.13"/>
    <x v="6"/>
    <x v="1"/>
    <n v="0.40404186634717787"/>
  </r>
  <r>
    <n v="2439"/>
    <d v="2023-06-05T00:00:00"/>
    <x v="1"/>
    <x v="1"/>
    <x v="2"/>
    <x v="2"/>
    <n v="7"/>
    <n v="737"/>
    <n v="20"/>
    <n v="4127.2"/>
    <n v="2812.41"/>
    <n v="1314.79"/>
    <x v="4"/>
    <x v="1"/>
    <n v="0.31856706726109713"/>
  </r>
  <r>
    <n v="2440"/>
    <d v="2023-05-04T00:00:00"/>
    <x v="0"/>
    <x v="3"/>
    <x v="15"/>
    <x v="2"/>
    <n v="8"/>
    <n v="969"/>
    <n v="10"/>
    <n v="6976.8"/>
    <n v="5132.1099999999997"/>
    <n v="1844.69"/>
    <x v="7"/>
    <x v="1"/>
    <n v="0.26440345143905514"/>
  </r>
  <r>
    <n v="2441"/>
    <d v="2024-12-02T00:00:00"/>
    <x v="3"/>
    <x v="0"/>
    <x v="13"/>
    <x v="2"/>
    <n v="4"/>
    <n v="775"/>
    <n v="5"/>
    <n v="2945"/>
    <n v="1819.38"/>
    <n v="1125.6199999999999"/>
    <x v="6"/>
    <x v="0"/>
    <n v="0.38221392190152798"/>
  </r>
  <r>
    <n v="2442"/>
    <d v="2023-05-07T00:00:00"/>
    <x v="2"/>
    <x v="4"/>
    <x v="9"/>
    <x v="4"/>
    <n v="5"/>
    <n v="435"/>
    <n v="15"/>
    <n v="1848.75"/>
    <n v="1048.44"/>
    <n v="800.31"/>
    <x v="7"/>
    <x v="1"/>
    <n v="0.43289249492900606"/>
  </r>
  <r>
    <n v="2443"/>
    <d v="2023-10-13T00:00:00"/>
    <x v="1"/>
    <x v="0"/>
    <x v="12"/>
    <x v="2"/>
    <n v="2"/>
    <n v="386"/>
    <n v="15"/>
    <n v="656.2"/>
    <n v="490.6"/>
    <n v="165.6"/>
    <x v="1"/>
    <x v="1"/>
    <n v="0.25236208473026511"/>
  </r>
  <r>
    <n v="2444"/>
    <d v="2024-12-17T00:00:00"/>
    <x v="0"/>
    <x v="1"/>
    <x v="5"/>
    <x v="3"/>
    <n v="4"/>
    <n v="123"/>
    <n v="0"/>
    <n v="492"/>
    <n v="393"/>
    <n v="99"/>
    <x v="6"/>
    <x v="0"/>
    <n v="0.20121951219512196"/>
  </r>
  <r>
    <n v="2445"/>
    <d v="2023-02-03T00:00:00"/>
    <x v="0"/>
    <x v="0"/>
    <x v="12"/>
    <x v="2"/>
    <n v="2"/>
    <n v="524"/>
    <n v="20"/>
    <n v="838.4"/>
    <n v="557.41"/>
    <n v="280.99"/>
    <x v="9"/>
    <x v="1"/>
    <n v="0.33515028625954202"/>
  </r>
  <r>
    <n v="2446"/>
    <d v="2023-09-18T00:00:00"/>
    <x v="1"/>
    <x v="4"/>
    <x v="18"/>
    <x v="4"/>
    <n v="2"/>
    <n v="948"/>
    <n v="15"/>
    <n v="1611.6"/>
    <n v="1049.51"/>
    <n v="562.09"/>
    <x v="0"/>
    <x v="1"/>
    <n v="0.34877761231074711"/>
  </r>
  <r>
    <n v="2447"/>
    <d v="2023-11-30T00:00:00"/>
    <x v="2"/>
    <x v="0"/>
    <x v="13"/>
    <x v="3"/>
    <n v="6"/>
    <n v="584"/>
    <n v="0"/>
    <n v="3504"/>
    <n v="2080.2199999999998"/>
    <n v="1423.78"/>
    <x v="3"/>
    <x v="1"/>
    <n v="0.4063299086757991"/>
  </r>
  <r>
    <n v="2448"/>
    <d v="2024-01-24T00:00:00"/>
    <x v="1"/>
    <x v="4"/>
    <x v="8"/>
    <x v="0"/>
    <n v="5"/>
    <n v="960"/>
    <n v="0"/>
    <n v="4800"/>
    <n v="3010.53"/>
    <n v="1789.47"/>
    <x v="11"/>
    <x v="0"/>
    <n v="0.37280625000000001"/>
  </r>
  <r>
    <n v="2449"/>
    <d v="2024-01-09T00:00:00"/>
    <x v="0"/>
    <x v="0"/>
    <x v="0"/>
    <x v="5"/>
    <n v="4"/>
    <n v="928"/>
    <n v="20"/>
    <n v="2969.6"/>
    <n v="2115.39"/>
    <n v="854.21"/>
    <x v="11"/>
    <x v="0"/>
    <n v="0.28765153556034484"/>
  </r>
  <r>
    <n v="2450"/>
    <d v="2023-12-23T00:00:00"/>
    <x v="0"/>
    <x v="1"/>
    <x v="7"/>
    <x v="1"/>
    <n v="2"/>
    <n v="791"/>
    <n v="5"/>
    <n v="1502.9"/>
    <n v="1000.2"/>
    <n v="502.7"/>
    <x v="6"/>
    <x v="1"/>
    <n v="0.33448665912569031"/>
  </r>
  <r>
    <n v="2451"/>
    <d v="2023-10-31T00:00:00"/>
    <x v="3"/>
    <x v="1"/>
    <x v="5"/>
    <x v="4"/>
    <n v="4"/>
    <n v="696"/>
    <n v="20"/>
    <n v="2227.1999999999998"/>
    <n v="1314.83"/>
    <n v="912.37"/>
    <x v="1"/>
    <x v="1"/>
    <n v="0.40964888649425291"/>
  </r>
  <r>
    <n v="2452"/>
    <d v="2023-01-03T00:00:00"/>
    <x v="2"/>
    <x v="1"/>
    <x v="7"/>
    <x v="1"/>
    <n v="9"/>
    <n v="124"/>
    <n v="20"/>
    <n v="892.8"/>
    <n v="451.95"/>
    <n v="440.85"/>
    <x v="11"/>
    <x v="1"/>
    <n v="0.49378360215053768"/>
  </r>
  <r>
    <n v="2453"/>
    <d v="2024-11-25T00:00:00"/>
    <x v="1"/>
    <x v="1"/>
    <x v="7"/>
    <x v="1"/>
    <n v="2"/>
    <n v="728"/>
    <n v="20"/>
    <n v="1164.8"/>
    <n v="847.42"/>
    <n v="317.38"/>
    <x v="3"/>
    <x v="0"/>
    <n v="0.27247596153846154"/>
  </r>
  <r>
    <n v="2454"/>
    <d v="2024-11-19T00:00:00"/>
    <x v="0"/>
    <x v="3"/>
    <x v="15"/>
    <x v="2"/>
    <n v="10"/>
    <n v="57"/>
    <n v="10"/>
    <n v="513"/>
    <n v="352.21"/>
    <n v="160.79"/>
    <x v="3"/>
    <x v="0"/>
    <n v="0.31343079922027289"/>
  </r>
  <r>
    <n v="2455"/>
    <d v="2024-11-10T00:00:00"/>
    <x v="1"/>
    <x v="3"/>
    <x v="19"/>
    <x v="5"/>
    <n v="1"/>
    <n v="793"/>
    <n v="20"/>
    <n v="634.4"/>
    <n v="336.01"/>
    <n v="298.39"/>
    <x v="3"/>
    <x v="0"/>
    <n v="0.47034993694829758"/>
  </r>
  <r>
    <n v="2456"/>
    <d v="2024-04-16T00:00:00"/>
    <x v="1"/>
    <x v="0"/>
    <x v="12"/>
    <x v="1"/>
    <n v="5"/>
    <n v="377"/>
    <n v="20"/>
    <n v="1508"/>
    <n v="1146.68"/>
    <n v="361.32"/>
    <x v="10"/>
    <x v="0"/>
    <n v="0.2396021220159151"/>
  </r>
  <r>
    <n v="2457"/>
    <d v="2023-05-01T00:00:00"/>
    <x v="3"/>
    <x v="2"/>
    <x v="10"/>
    <x v="3"/>
    <n v="8"/>
    <n v="778"/>
    <n v="5"/>
    <n v="5912.8"/>
    <n v="4664.9799999999996"/>
    <n v="1247.82"/>
    <x v="7"/>
    <x v="1"/>
    <n v="0.21103707211473413"/>
  </r>
  <r>
    <n v="2458"/>
    <d v="2023-10-04T00:00:00"/>
    <x v="0"/>
    <x v="4"/>
    <x v="18"/>
    <x v="4"/>
    <n v="9"/>
    <n v="828"/>
    <n v="10"/>
    <n v="6706.8"/>
    <n v="3868.57"/>
    <n v="2838.23"/>
    <x v="1"/>
    <x v="1"/>
    <n v="0.42318691477306614"/>
  </r>
  <r>
    <n v="2459"/>
    <d v="2024-10-25T00:00:00"/>
    <x v="3"/>
    <x v="2"/>
    <x v="6"/>
    <x v="4"/>
    <n v="2"/>
    <n v="576"/>
    <n v="5"/>
    <n v="1094.4000000000001"/>
    <n v="613.65"/>
    <n v="480.75"/>
    <x v="1"/>
    <x v="0"/>
    <n v="0.43928179824561397"/>
  </r>
  <r>
    <n v="2460"/>
    <d v="2024-12-06T00:00:00"/>
    <x v="0"/>
    <x v="1"/>
    <x v="5"/>
    <x v="4"/>
    <n v="6"/>
    <n v="392"/>
    <n v="10"/>
    <n v="2116.8000000000002"/>
    <n v="1339.01"/>
    <n v="777.79"/>
    <x v="6"/>
    <x v="0"/>
    <n v="0.36743669690098257"/>
  </r>
  <r>
    <n v="2461"/>
    <d v="2024-07-17T00:00:00"/>
    <x v="3"/>
    <x v="2"/>
    <x v="3"/>
    <x v="3"/>
    <n v="8"/>
    <n v="426"/>
    <n v="5"/>
    <n v="3237.6"/>
    <n v="2359.04"/>
    <n v="878.56"/>
    <x v="5"/>
    <x v="0"/>
    <n v="0.27136150234741785"/>
  </r>
  <r>
    <n v="2462"/>
    <d v="2024-09-05T00:00:00"/>
    <x v="0"/>
    <x v="0"/>
    <x v="13"/>
    <x v="3"/>
    <n v="7"/>
    <n v="649"/>
    <n v="0"/>
    <n v="4543"/>
    <n v="2966.21"/>
    <n v="1576.79"/>
    <x v="0"/>
    <x v="0"/>
    <n v="0.34708122386088486"/>
  </r>
  <r>
    <n v="2463"/>
    <d v="2023-12-30T00:00:00"/>
    <x v="3"/>
    <x v="1"/>
    <x v="16"/>
    <x v="1"/>
    <n v="7"/>
    <n v="443"/>
    <n v="20"/>
    <n v="2480.8000000000002"/>
    <n v="1665.7"/>
    <n v="815.1"/>
    <x v="6"/>
    <x v="1"/>
    <n v="0.32856336665591745"/>
  </r>
  <r>
    <n v="2464"/>
    <d v="2024-02-10T00:00:00"/>
    <x v="2"/>
    <x v="3"/>
    <x v="15"/>
    <x v="4"/>
    <n v="5"/>
    <n v="960"/>
    <n v="15"/>
    <n v="4080"/>
    <n v="3053.61"/>
    <n v="1026.3900000000001"/>
    <x v="9"/>
    <x v="0"/>
    <n v="0.25156617647058827"/>
  </r>
  <r>
    <n v="2465"/>
    <d v="2024-12-17T00:00:00"/>
    <x v="2"/>
    <x v="0"/>
    <x v="0"/>
    <x v="5"/>
    <n v="9"/>
    <n v="640"/>
    <n v="20"/>
    <n v="4608"/>
    <n v="2645.09"/>
    <n v="1962.91"/>
    <x v="6"/>
    <x v="0"/>
    <n v="0.42597873263888891"/>
  </r>
  <r>
    <n v="2466"/>
    <d v="2023-02-17T00:00:00"/>
    <x v="3"/>
    <x v="4"/>
    <x v="18"/>
    <x v="5"/>
    <n v="10"/>
    <n v="317"/>
    <n v="10"/>
    <n v="2853"/>
    <n v="2005.73"/>
    <n v="847.27"/>
    <x v="9"/>
    <x v="1"/>
    <n v="0.296975113915177"/>
  </r>
  <r>
    <n v="2467"/>
    <d v="2024-06-06T00:00:00"/>
    <x v="2"/>
    <x v="1"/>
    <x v="7"/>
    <x v="2"/>
    <n v="3"/>
    <n v="852"/>
    <n v="20"/>
    <n v="2044.8"/>
    <n v="1139.03"/>
    <n v="905.77"/>
    <x v="4"/>
    <x v="0"/>
    <n v="0.44296263693270738"/>
  </r>
  <r>
    <n v="2468"/>
    <d v="2023-04-01T00:00:00"/>
    <x v="0"/>
    <x v="0"/>
    <x v="13"/>
    <x v="4"/>
    <n v="9"/>
    <n v="611"/>
    <n v="20"/>
    <n v="4399.2"/>
    <n v="3425.84"/>
    <n v="973.36"/>
    <x v="10"/>
    <x v="1"/>
    <n v="0.22125841062011276"/>
  </r>
  <r>
    <n v="2469"/>
    <d v="2023-05-08T00:00:00"/>
    <x v="3"/>
    <x v="0"/>
    <x v="12"/>
    <x v="2"/>
    <n v="1"/>
    <n v="577"/>
    <n v="15"/>
    <n v="490.45"/>
    <n v="383.6"/>
    <n v="106.85"/>
    <x v="7"/>
    <x v="1"/>
    <n v="0.21786114792537464"/>
  </r>
  <r>
    <n v="2470"/>
    <d v="2023-03-02T00:00:00"/>
    <x v="3"/>
    <x v="1"/>
    <x v="7"/>
    <x v="4"/>
    <n v="8"/>
    <n v="20"/>
    <n v="10"/>
    <n v="144"/>
    <n v="86.96"/>
    <n v="57.04"/>
    <x v="8"/>
    <x v="1"/>
    <n v="0.39611111111111108"/>
  </r>
  <r>
    <n v="2471"/>
    <d v="2023-08-21T00:00:00"/>
    <x v="1"/>
    <x v="2"/>
    <x v="6"/>
    <x v="4"/>
    <n v="5"/>
    <n v="219"/>
    <n v="15"/>
    <n v="930.75"/>
    <n v="592.92999999999995"/>
    <n v="337.82"/>
    <x v="2"/>
    <x v="1"/>
    <n v="0.36295460650013428"/>
  </r>
  <r>
    <n v="2472"/>
    <d v="2024-05-22T00:00:00"/>
    <x v="0"/>
    <x v="3"/>
    <x v="4"/>
    <x v="1"/>
    <n v="1"/>
    <n v="480"/>
    <n v="5"/>
    <n v="456"/>
    <n v="314.5"/>
    <n v="141.5"/>
    <x v="7"/>
    <x v="0"/>
    <n v="0.31030701754385964"/>
  </r>
  <r>
    <n v="2473"/>
    <d v="2023-11-17T00:00:00"/>
    <x v="2"/>
    <x v="1"/>
    <x v="2"/>
    <x v="4"/>
    <n v="7"/>
    <n v="692"/>
    <n v="20"/>
    <n v="3875.2"/>
    <n v="2220.36"/>
    <n v="1654.84"/>
    <x v="3"/>
    <x v="1"/>
    <n v="0.42703344343517752"/>
  </r>
  <r>
    <n v="2474"/>
    <d v="2024-08-05T00:00:00"/>
    <x v="0"/>
    <x v="4"/>
    <x v="8"/>
    <x v="3"/>
    <n v="1"/>
    <n v="424"/>
    <n v="20"/>
    <n v="339.2"/>
    <n v="256.67"/>
    <n v="82.53"/>
    <x v="2"/>
    <x v="0"/>
    <n v="0.24330778301886793"/>
  </r>
  <r>
    <n v="2475"/>
    <d v="2024-10-31T00:00:00"/>
    <x v="2"/>
    <x v="4"/>
    <x v="14"/>
    <x v="3"/>
    <n v="5"/>
    <n v="705"/>
    <n v="5"/>
    <n v="3348.75"/>
    <n v="2065.12"/>
    <n v="1283.6300000000001"/>
    <x v="1"/>
    <x v="0"/>
    <n v="0.3833161627472938"/>
  </r>
  <r>
    <n v="2476"/>
    <d v="2024-12-01T00:00:00"/>
    <x v="0"/>
    <x v="3"/>
    <x v="4"/>
    <x v="1"/>
    <n v="6"/>
    <n v="590"/>
    <n v="10"/>
    <n v="3186"/>
    <n v="1593.16"/>
    <n v="1592.84"/>
    <x v="6"/>
    <x v="0"/>
    <n v="0.4999497802887633"/>
  </r>
  <r>
    <n v="2477"/>
    <d v="2023-04-15T00:00:00"/>
    <x v="0"/>
    <x v="0"/>
    <x v="12"/>
    <x v="2"/>
    <n v="8"/>
    <n v="250"/>
    <n v="10"/>
    <n v="1800"/>
    <n v="1313.87"/>
    <n v="486.13"/>
    <x v="10"/>
    <x v="1"/>
    <n v="0.27007222222222221"/>
  </r>
  <r>
    <n v="2478"/>
    <d v="2024-02-28T00:00:00"/>
    <x v="1"/>
    <x v="3"/>
    <x v="19"/>
    <x v="1"/>
    <n v="1"/>
    <n v="328"/>
    <n v="20"/>
    <n v="262.39999999999998"/>
    <n v="204.87"/>
    <n v="57.53"/>
    <x v="9"/>
    <x v="0"/>
    <n v="0.21924542682926831"/>
  </r>
  <r>
    <n v="2479"/>
    <d v="2023-09-28T00:00:00"/>
    <x v="3"/>
    <x v="0"/>
    <x v="12"/>
    <x v="3"/>
    <n v="4"/>
    <n v="991"/>
    <n v="15"/>
    <n v="3369.4"/>
    <n v="1745.12"/>
    <n v="1624.28"/>
    <x v="0"/>
    <x v="1"/>
    <n v="0.48206802398053061"/>
  </r>
  <r>
    <n v="2480"/>
    <d v="2024-08-12T00:00:00"/>
    <x v="1"/>
    <x v="0"/>
    <x v="13"/>
    <x v="2"/>
    <n v="1"/>
    <n v="389"/>
    <n v="15"/>
    <n v="330.65"/>
    <n v="214.62"/>
    <n v="116.03"/>
    <x v="2"/>
    <x v="0"/>
    <n v="0.35091486466051719"/>
  </r>
  <r>
    <n v="2481"/>
    <d v="2024-12-27T00:00:00"/>
    <x v="2"/>
    <x v="0"/>
    <x v="13"/>
    <x v="5"/>
    <n v="8"/>
    <n v="277"/>
    <n v="10"/>
    <n v="1994.4"/>
    <n v="1330.92"/>
    <n v="663.48"/>
    <x v="6"/>
    <x v="0"/>
    <n v="0.33267148014440434"/>
  </r>
  <r>
    <n v="2482"/>
    <d v="2024-12-09T00:00:00"/>
    <x v="1"/>
    <x v="0"/>
    <x v="12"/>
    <x v="4"/>
    <n v="10"/>
    <n v="694"/>
    <n v="15"/>
    <n v="5899"/>
    <n v="3697.1"/>
    <n v="2201.9"/>
    <x v="6"/>
    <x v="0"/>
    <n v="0.37326665536531617"/>
  </r>
  <r>
    <n v="2483"/>
    <d v="2024-06-22T00:00:00"/>
    <x v="2"/>
    <x v="4"/>
    <x v="8"/>
    <x v="4"/>
    <n v="2"/>
    <n v="941"/>
    <n v="5"/>
    <n v="1787.9"/>
    <n v="1075.6099999999999"/>
    <n v="712.29"/>
    <x v="4"/>
    <x v="0"/>
    <n v="0.39839476480787511"/>
  </r>
  <r>
    <n v="2484"/>
    <d v="2024-01-10T00:00:00"/>
    <x v="2"/>
    <x v="0"/>
    <x v="12"/>
    <x v="3"/>
    <n v="9"/>
    <n v="960"/>
    <n v="5"/>
    <n v="8208"/>
    <n v="6391.07"/>
    <n v="1816.93"/>
    <x v="11"/>
    <x v="0"/>
    <n v="0.22136086744639377"/>
  </r>
  <r>
    <n v="2485"/>
    <d v="2024-08-16T00:00:00"/>
    <x v="1"/>
    <x v="3"/>
    <x v="19"/>
    <x v="3"/>
    <n v="1"/>
    <n v="324"/>
    <n v="10"/>
    <n v="291.60000000000002"/>
    <n v="231.36"/>
    <n v="60.24"/>
    <x v="2"/>
    <x v="0"/>
    <n v="0.20658436213991768"/>
  </r>
  <r>
    <n v="2486"/>
    <d v="2023-10-30T00:00:00"/>
    <x v="2"/>
    <x v="2"/>
    <x v="3"/>
    <x v="2"/>
    <n v="7"/>
    <n v="783"/>
    <n v="5"/>
    <n v="5206.95"/>
    <n v="4019.03"/>
    <n v="1187.92"/>
    <x v="1"/>
    <x v="1"/>
    <n v="0.22814123431183325"/>
  </r>
  <r>
    <n v="2487"/>
    <d v="2023-06-09T00:00:00"/>
    <x v="2"/>
    <x v="3"/>
    <x v="15"/>
    <x v="3"/>
    <n v="4"/>
    <n v="239"/>
    <n v="15"/>
    <n v="812.6"/>
    <n v="605.28"/>
    <n v="207.32"/>
    <x v="4"/>
    <x v="1"/>
    <n v="0.25513167610140292"/>
  </r>
  <r>
    <n v="2488"/>
    <d v="2024-08-27T00:00:00"/>
    <x v="0"/>
    <x v="0"/>
    <x v="1"/>
    <x v="4"/>
    <n v="1"/>
    <n v="621"/>
    <n v="10"/>
    <n v="558.9"/>
    <n v="316.48"/>
    <n v="242.42"/>
    <x v="2"/>
    <x v="0"/>
    <n v="0.43374485596707818"/>
  </r>
  <r>
    <n v="2489"/>
    <d v="2024-06-22T00:00:00"/>
    <x v="2"/>
    <x v="2"/>
    <x v="3"/>
    <x v="5"/>
    <n v="2"/>
    <n v="271"/>
    <n v="5"/>
    <n v="514.9"/>
    <n v="328.9"/>
    <n v="186"/>
    <x v="4"/>
    <x v="0"/>
    <n v="0.36123519129928144"/>
  </r>
  <r>
    <n v="2490"/>
    <d v="2023-08-11T00:00:00"/>
    <x v="3"/>
    <x v="4"/>
    <x v="14"/>
    <x v="4"/>
    <n v="8"/>
    <n v="749"/>
    <n v="15"/>
    <n v="5093.2"/>
    <n v="3006.01"/>
    <n v="2087.19"/>
    <x v="2"/>
    <x v="1"/>
    <n v="0.40979934029686643"/>
  </r>
  <r>
    <n v="2491"/>
    <d v="2023-01-31T00:00:00"/>
    <x v="1"/>
    <x v="1"/>
    <x v="7"/>
    <x v="4"/>
    <n v="5"/>
    <n v="566"/>
    <n v="20"/>
    <n v="2264"/>
    <n v="1482.92"/>
    <n v="781.08"/>
    <x v="11"/>
    <x v="1"/>
    <n v="0.34500000000000003"/>
  </r>
  <r>
    <n v="2492"/>
    <d v="2023-04-30T00:00:00"/>
    <x v="3"/>
    <x v="4"/>
    <x v="18"/>
    <x v="0"/>
    <n v="3"/>
    <n v="817"/>
    <n v="0"/>
    <n v="2451"/>
    <n v="1350.56"/>
    <n v="1100.44"/>
    <x v="10"/>
    <x v="1"/>
    <n v="0.44897592819257448"/>
  </r>
  <r>
    <n v="2493"/>
    <d v="2024-11-12T00:00:00"/>
    <x v="0"/>
    <x v="1"/>
    <x v="16"/>
    <x v="5"/>
    <n v="1"/>
    <n v="410"/>
    <n v="10"/>
    <n v="369"/>
    <n v="225.94"/>
    <n v="143.06"/>
    <x v="3"/>
    <x v="0"/>
    <n v="0.38769647696476967"/>
  </r>
  <r>
    <n v="2494"/>
    <d v="2024-06-28T00:00:00"/>
    <x v="1"/>
    <x v="3"/>
    <x v="19"/>
    <x v="1"/>
    <n v="2"/>
    <n v="53"/>
    <n v="0"/>
    <n v="106"/>
    <n v="58.89"/>
    <n v="47.11"/>
    <x v="4"/>
    <x v="0"/>
    <n v="0.44443396226415094"/>
  </r>
  <r>
    <n v="2495"/>
    <d v="2024-01-20T00:00:00"/>
    <x v="0"/>
    <x v="1"/>
    <x v="5"/>
    <x v="2"/>
    <n v="7"/>
    <n v="420"/>
    <n v="20"/>
    <n v="2352"/>
    <n v="1809.44"/>
    <n v="542.55999999999995"/>
    <x v="11"/>
    <x v="0"/>
    <n v="0.23068027210884351"/>
  </r>
  <r>
    <n v="2496"/>
    <d v="2024-09-07T00:00:00"/>
    <x v="2"/>
    <x v="2"/>
    <x v="17"/>
    <x v="2"/>
    <n v="3"/>
    <n v="235"/>
    <n v="0"/>
    <n v="705"/>
    <n v="488.84"/>
    <n v="216.16"/>
    <x v="0"/>
    <x v="0"/>
    <n v="0.30660992907801415"/>
  </r>
  <r>
    <n v="2497"/>
    <d v="2024-04-03T00:00:00"/>
    <x v="2"/>
    <x v="3"/>
    <x v="4"/>
    <x v="1"/>
    <n v="3"/>
    <n v="356"/>
    <n v="10"/>
    <n v="961.2"/>
    <n v="696.65"/>
    <n v="264.55"/>
    <x v="10"/>
    <x v="0"/>
    <n v="0.27522888056595923"/>
  </r>
  <r>
    <n v="2498"/>
    <d v="2024-06-15T00:00:00"/>
    <x v="1"/>
    <x v="0"/>
    <x v="13"/>
    <x v="5"/>
    <n v="8"/>
    <n v="422"/>
    <n v="5"/>
    <n v="3207.2"/>
    <n v="1773.26"/>
    <n v="1433.94"/>
    <x v="4"/>
    <x v="0"/>
    <n v="0.44710027438263911"/>
  </r>
  <r>
    <n v="2499"/>
    <d v="2023-12-03T00:00:00"/>
    <x v="0"/>
    <x v="2"/>
    <x v="6"/>
    <x v="2"/>
    <n v="9"/>
    <n v="12"/>
    <n v="20"/>
    <n v="86.4"/>
    <n v="54.22"/>
    <n v="32.18"/>
    <x v="6"/>
    <x v="1"/>
    <n v="0.37245370370370368"/>
  </r>
  <r>
    <n v="2500"/>
    <d v="2023-10-29T00:00:00"/>
    <x v="3"/>
    <x v="1"/>
    <x v="5"/>
    <x v="0"/>
    <n v="7"/>
    <n v="844"/>
    <n v="0"/>
    <n v="5908"/>
    <n v="3866.17"/>
    <n v="2041.83"/>
    <x v="1"/>
    <x v="1"/>
    <n v="0.34560426540284361"/>
  </r>
  <r>
    <n v="2501"/>
    <d v="2023-04-01T00:00:00"/>
    <x v="1"/>
    <x v="0"/>
    <x v="1"/>
    <x v="1"/>
    <n v="2"/>
    <n v="253"/>
    <n v="0"/>
    <n v="506"/>
    <n v="322.93"/>
    <n v="183.07"/>
    <x v="10"/>
    <x v="1"/>
    <n v="0.361798418972332"/>
  </r>
  <r>
    <n v="2502"/>
    <d v="2024-11-13T00:00:00"/>
    <x v="0"/>
    <x v="4"/>
    <x v="8"/>
    <x v="1"/>
    <n v="9"/>
    <n v="551"/>
    <n v="0"/>
    <n v="4959"/>
    <n v="3582.98"/>
    <n v="1376.02"/>
    <x v="3"/>
    <x v="0"/>
    <n v="0.27747933051018348"/>
  </r>
  <r>
    <n v="2503"/>
    <d v="2024-09-14T00:00:00"/>
    <x v="1"/>
    <x v="1"/>
    <x v="2"/>
    <x v="5"/>
    <n v="5"/>
    <n v="993"/>
    <n v="10"/>
    <n v="4468.5"/>
    <n v="3462"/>
    <n v="1006.5"/>
    <x v="0"/>
    <x v="0"/>
    <n v="0.22524337025847599"/>
  </r>
  <r>
    <n v="2504"/>
    <d v="2023-09-08T00:00:00"/>
    <x v="3"/>
    <x v="3"/>
    <x v="11"/>
    <x v="4"/>
    <n v="1"/>
    <n v="434"/>
    <n v="5"/>
    <n v="412.3"/>
    <n v="286.92"/>
    <n v="125.38"/>
    <x v="0"/>
    <x v="1"/>
    <n v="0.30409895707009454"/>
  </r>
  <r>
    <n v="2505"/>
    <d v="2024-12-25T00:00:00"/>
    <x v="1"/>
    <x v="1"/>
    <x v="7"/>
    <x v="2"/>
    <n v="7"/>
    <n v="550"/>
    <n v="5"/>
    <n v="3657.5"/>
    <n v="2793.03"/>
    <n v="864.47"/>
    <x v="6"/>
    <x v="0"/>
    <n v="0.23635543403964457"/>
  </r>
  <r>
    <n v="2506"/>
    <d v="2023-12-02T00:00:00"/>
    <x v="2"/>
    <x v="0"/>
    <x v="12"/>
    <x v="4"/>
    <n v="8"/>
    <n v="214"/>
    <n v="15"/>
    <n v="1455.2"/>
    <n v="1126.6500000000001"/>
    <n v="328.55"/>
    <x v="6"/>
    <x v="1"/>
    <n v="0.22577652556349642"/>
  </r>
  <r>
    <n v="2507"/>
    <d v="2023-01-04T00:00:00"/>
    <x v="2"/>
    <x v="2"/>
    <x v="10"/>
    <x v="0"/>
    <n v="5"/>
    <n v="276"/>
    <n v="20"/>
    <n v="1104"/>
    <n v="633.91"/>
    <n v="470.09"/>
    <x v="11"/>
    <x v="1"/>
    <n v="0.42580615942028982"/>
  </r>
  <r>
    <n v="2508"/>
    <d v="2024-03-22T00:00:00"/>
    <x v="2"/>
    <x v="4"/>
    <x v="8"/>
    <x v="2"/>
    <n v="8"/>
    <n v="862"/>
    <n v="15"/>
    <n v="5861.6"/>
    <n v="4652.3900000000003"/>
    <n v="1209.21"/>
    <x v="8"/>
    <x v="0"/>
    <n v="0.20629350348027842"/>
  </r>
  <r>
    <n v="2509"/>
    <d v="2023-12-15T00:00:00"/>
    <x v="1"/>
    <x v="4"/>
    <x v="9"/>
    <x v="3"/>
    <n v="8"/>
    <n v="631"/>
    <n v="5"/>
    <n v="4795.6000000000004"/>
    <n v="2983.07"/>
    <n v="1812.53"/>
    <x v="6"/>
    <x v="1"/>
    <n v="0.37795687713737591"/>
  </r>
  <r>
    <n v="2510"/>
    <d v="2024-11-08T00:00:00"/>
    <x v="1"/>
    <x v="3"/>
    <x v="4"/>
    <x v="3"/>
    <n v="5"/>
    <n v="716"/>
    <n v="20"/>
    <n v="2864"/>
    <n v="2020.18"/>
    <n v="843.82"/>
    <x v="3"/>
    <x v="0"/>
    <n v="0.29462988826815645"/>
  </r>
  <r>
    <n v="2511"/>
    <d v="2024-02-16T00:00:00"/>
    <x v="2"/>
    <x v="4"/>
    <x v="9"/>
    <x v="5"/>
    <n v="9"/>
    <n v="580"/>
    <n v="5"/>
    <n v="4959"/>
    <n v="3158.6"/>
    <n v="1800.4"/>
    <x v="9"/>
    <x v="0"/>
    <n v="0.36305706795724946"/>
  </r>
  <r>
    <n v="2512"/>
    <d v="2023-03-09T00:00:00"/>
    <x v="3"/>
    <x v="1"/>
    <x v="2"/>
    <x v="3"/>
    <n v="6"/>
    <n v="894"/>
    <n v="20"/>
    <n v="4291.2"/>
    <n v="2149.9499999999998"/>
    <n v="2141.25"/>
    <x v="8"/>
    <x v="1"/>
    <n v="0.49898629753914991"/>
  </r>
  <r>
    <n v="2513"/>
    <d v="2023-03-13T00:00:00"/>
    <x v="3"/>
    <x v="0"/>
    <x v="12"/>
    <x v="5"/>
    <n v="6"/>
    <n v="538"/>
    <n v="5"/>
    <n v="3066.6"/>
    <n v="2140.31"/>
    <n v="926.29"/>
    <x v="8"/>
    <x v="1"/>
    <n v="0.30205765342724844"/>
  </r>
  <r>
    <n v="2514"/>
    <d v="2024-11-08T00:00:00"/>
    <x v="2"/>
    <x v="3"/>
    <x v="11"/>
    <x v="5"/>
    <n v="1"/>
    <n v="330"/>
    <n v="5"/>
    <n v="313.5"/>
    <n v="235.94"/>
    <n v="77.56"/>
    <x v="3"/>
    <x v="0"/>
    <n v="0.24740031897926634"/>
  </r>
  <r>
    <n v="2515"/>
    <d v="2024-11-13T00:00:00"/>
    <x v="1"/>
    <x v="4"/>
    <x v="14"/>
    <x v="3"/>
    <n v="6"/>
    <n v="674"/>
    <n v="10"/>
    <n v="3639.6"/>
    <n v="2409.52"/>
    <n v="1230.08"/>
    <x v="3"/>
    <x v="0"/>
    <n v="0.33797120562699196"/>
  </r>
  <r>
    <n v="2516"/>
    <d v="2023-10-12T00:00:00"/>
    <x v="0"/>
    <x v="3"/>
    <x v="11"/>
    <x v="5"/>
    <n v="3"/>
    <n v="390"/>
    <n v="20"/>
    <n v="936"/>
    <n v="509.45"/>
    <n v="426.55"/>
    <x v="1"/>
    <x v="1"/>
    <n v="0.45571581196581196"/>
  </r>
  <r>
    <n v="2517"/>
    <d v="2024-07-22T00:00:00"/>
    <x v="1"/>
    <x v="4"/>
    <x v="18"/>
    <x v="3"/>
    <n v="8"/>
    <n v="129"/>
    <n v="0"/>
    <n v="1032"/>
    <n v="660.78"/>
    <n v="371.22"/>
    <x v="5"/>
    <x v="0"/>
    <n v="0.3597093023255814"/>
  </r>
  <r>
    <n v="2518"/>
    <d v="2024-09-26T00:00:00"/>
    <x v="1"/>
    <x v="2"/>
    <x v="17"/>
    <x v="2"/>
    <n v="4"/>
    <n v="653"/>
    <n v="0"/>
    <n v="2612"/>
    <n v="1602.67"/>
    <n v="1009.33"/>
    <x v="0"/>
    <x v="0"/>
    <n v="0.38642036753445635"/>
  </r>
  <r>
    <n v="2519"/>
    <d v="2024-10-16T00:00:00"/>
    <x v="3"/>
    <x v="2"/>
    <x v="6"/>
    <x v="4"/>
    <n v="1"/>
    <n v="365"/>
    <n v="0"/>
    <n v="365"/>
    <n v="210.33"/>
    <n v="154.66999999999999"/>
    <x v="1"/>
    <x v="0"/>
    <n v="0.42375342465753424"/>
  </r>
  <r>
    <n v="2520"/>
    <d v="2024-12-04T00:00:00"/>
    <x v="0"/>
    <x v="2"/>
    <x v="6"/>
    <x v="4"/>
    <n v="8"/>
    <n v="860"/>
    <n v="15"/>
    <n v="5848"/>
    <n v="3636.37"/>
    <n v="2211.63"/>
    <x v="6"/>
    <x v="0"/>
    <n v="0.3781857045143639"/>
  </r>
  <r>
    <n v="2521"/>
    <d v="2023-04-14T00:00:00"/>
    <x v="3"/>
    <x v="3"/>
    <x v="11"/>
    <x v="2"/>
    <n v="6"/>
    <n v="273"/>
    <n v="5"/>
    <n v="1556.1"/>
    <n v="928.78"/>
    <n v="627.32000000000005"/>
    <x v="10"/>
    <x v="1"/>
    <n v="0.40313604524130847"/>
  </r>
  <r>
    <n v="2522"/>
    <d v="2024-09-24T00:00:00"/>
    <x v="1"/>
    <x v="4"/>
    <x v="8"/>
    <x v="2"/>
    <n v="9"/>
    <n v="771"/>
    <n v="10"/>
    <n v="6245.1"/>
    <n v="4917.6899999999996"/>
    <n v="1327.41"/>
    <x v="0"/>
    <x v="0"/>
    <n v="0.21255224095691022"/>
  </r>
  <r>
    <n v="2523"/>
    <d v="2023-07-02T00:00:00"/>
    <x v="1"/>
    <x v="3"/>
    <x v="15"/>
    <x v="2"/>
    <n v="7"/>
    <n v="704"/>
    <n v="15"/>
    <n v="4188.8"/>
    <n v="2225.63"/>
    <n v="1963.17"/>
    <x v="5"/>
    <x v="1"/>
    <n v="0.46867121848739496"/>
  </r>
  <r>
    <n v="2524"/>
    <d v="2023-07-11T00:00:00"/>
    <x v="2"/>
    <x v="1"/>
    <x v="7"/>
    <x v="3"/>
    <n v="9"/>
    <n v="455"/>
    <n v="15"/>
    <n v="3480.75"/>
    <n v="2707.12"/>
    <n v="773.63"/>
    <x v="5"/>
    <x v="1"/>
    <n v="0.22225957049486461"/>
  </r>
  <r>
    <n v="2525"/>
    <d v="2024-12-01T00:00:00"/>
    <x v="1"/>
    <x v="4"/>
    <x v="14"/>
    <x v="3"/>
    <n v="5"/>
    <n v="66"/>
    <n v="15"/>
    <n v="280.5"/>
    <n v="151.58000000000001"/>
    <n v="128.91999999999999"/>
    <x v="6"/>
    <x v="0"/>
    <n v="0.45960784313725483"/>
  </r>
  <r>
    <n v="2526"/>
    <d v="2024-04-11T00:00:00"/>
    <x v="0"/>
    <x v="0"/>
    <x v="12"/>
    <x v="0"/>
    <n v="1"/>
    <n v="336"/>
    <n v="0"/>
    <n v="336"/>
    <n v="211.4"/>
    <n v="124.6"/>
    <x v="10"/>
    <x v="0"/>
    <n v="0.37083333333333329"/>
  </r>
  <r>
    <n v="2527"/>
    <d v="2023-03-05T00:00:00"/>
    <x v="3"/>
    <x v="2"/>
    <x v="3"/>
    <x v="4"/>
    <n v="4"/>
    <n v="259"/>
    <n v="0"/>
    <n v="1036"/>
    <n v="728.44"/>
    <n v="307.56"/>
    <x v="8"/>
    <x v="1"/>
    <n v="0.29687258687258689"/>
  </r>
  <r>
    <n v="2528"/>
    <d v="2024-01-22T00:00:00"/>
    <x v="0"/>
    <x v="2"/>
    <x v="10"/>
    <x v="0"/>
    <n v="10"/>
    <n v="493"/>
    <n v="10"/>
    <n v="4437"/>
    <n v="3363.63"/>
    <n v="1073.3699999999999"/>
    <x v="11"/>
    <x v="0"/>
    <n v="0.24191345503718725"/>
  </r>
  <r>
    <n v="2529"/>
    <d v="2023-08-19T00:00:00"/>
    <x v="0"/>
    <x v="2"/>
    <x v="10"/>
    <x v="5"/>
    <n v="5"/>
    <n v="948"/>
    <n v="0"/>
    <n v="4740"/>
    <n v="2814.51"/>
    <n v="1925.49"/>
    <x v="2"/>
    <x v="1"/>
    <n v="0.40622151898734177"/>
  </r>
  <r>
    <n v="2530"/>
    <d v="2024-05-18T00:00:00"/>
    <x v="3"/>
    <x v="4"/>
    <x v="9"/>
    <x v="0"/>
    <n v="2"/>
    <n v="78"/>
    <n v="20"/>
    <n v="124.8"/>
    <n v="78.08"/>
    <n v="46.72"/>
    <x v="7"/>
    <x v="0"/>
    <n v="0.37435897435897436"/>
  </r>
  <r>
    <n v="2531"/>
    <d v="2023-03-22T00:00:00"/>
    <x v="2"/>
    <x v="3"/>
    <x v="15"/>
    <x v="5"/>
    <n v="10"/>
    <n v="809"/>
    <n v="10"/>
    <n v="7281"/>
    <n v="4692.66"/>
    <n v="2588.34"/>
    <x v="8"/>
    <x v="1"/>
    <n v="0.35549237742068401"/>
  </r>
  <r>
    <n v="2532"/>
    <d v="2023-10-03T00:00:00"/>
    <x v="0"/>
    <x v="3"/>
    <x v="19"/>
    <x v="5"/>
    <n v="3"/>
    <n v="683"/>
    <n v="5"/>
    <n v="1946.55"/>
    <n v="1320.8"/>
    <n v="625.75"/>
    <x v="1"/>
    <x v="1"/>
    <n v="0.3214661837610131"/>
  </r>
  <r>
    <n v="2533"/>
    <d v="2024-11-25T00:00:00"/>
    <x v="0"/>
    <x v="1"/>
    <x v="2"/>
    <x v="2"/>
    <n v="7"/>
    <n v="796"/>
    <n v="20"/>
    <n v="4457.6000000000004"/>
    <n v="3451.69"/>
    <n v="1005.91"/>
    <x v="3"/>
    <x v="0"/>
    <n v="0.22566179109834886"/>
  </r>
  <r>
    <n v="2534"/>
    <d v="2024-08-03T00:00:00"/>
    <x v="0"/>
    <x v="0"/>
    <x v="13"/>
    <x v="1"/>
    <n v="10"/>
    <n v="483"/>
    <n v="15"/>
    <n v="4105.5"/>
    <n v="2852.88"/>
    <n v="1252.6199999999999"/>
    <x v="2"/>
    <x v="0"/>
    <n v="0.30510778224333207"/>
  </r>
  <r>
    <n v="2535"/>
    <d v="2024-06-24T00:00:00"/>
    <x v="0"/>
    <x v="2"/>
    <x v="17"/>
    <x v="5"/>
    <n v="4"/>
    <n v="785"/>
    <n v="15"/>
    <n v="2669"/>
    <n v="1721.69"/>
    <n v="947.31"/>
    <x v="4"/>
    <x v="0"/>
    <n v="0.3549306856500562"/>
  </r>
  <r>
    <n v="2536"/>
    <d v="2024-06-16T00:00:00"/>
    <x v="2"/>
    <x v="4"/>
    <x v="8"/>
    <x v="0"/>
    <n v="10"/>
    <n v="902"/>
    <n v="15"/>
    <n v="7667"/>
    <n v="4099.03"/>
    <n v="3567.97"/>
    <x v="4"/>
    <x v="0"/>
    <n v="0.46536715794965433"/>
  </r>
  <r>
    <n v="2537"/>
    <d v="2023-02-08T00:00:00"/>
    <x v="0"/>
    <x v="0"/>
    <x v="0"/>
    <x v="5"/>
    <n v="9"/>
    <n v="472"/>
    <n v="5"/>
    <n v="4035.6"/>
    <n v="3022.93"/>
    <n v="1012.67"/>
    <x v="9"/>
    <x v="1"/>
    <n v="0.250934185746853"/>
  </r>
  <r>
    <n v="2538"/>
    <d v="2023-09-08T00:00:00"/>
    <x v="3"/>
    <x v="0"/>
    <x v="12"/>
    <x v="4"/>
    <n v="9"/>
    <n v="929"/>
    <n v="0"/>
    <n v="8361"/>
    <n v="5792.62"/>
    <n v="2568.38"/>
    <x v="0"/>
    <x v="1"/>
    <n v="0.30718574333213733"/>
  </r>
  <r>
    <n v="2539"/>
    <d v="2023-05-06T00:00:00"/>
    <x v="2"/>
    <x v="3"/>
    <x v="15"/>
    <x v="2"/>
    <n v="9"/>
    <n v="540"/>
    <n v="0"/>
    <n v="4860"/>
    <n v="2901.56"/>
    <n v="1958.44"/>
    <x v="7"/>
    <x v="1"/>
    <n v="0.40297119341563786"/>
  </r>
  <r>
    <n v="2540"/>
    <d v="2023-03-27T00:00:00"/>
    <x v="3"/>
    <x v="1"/>
    <x v="2"/>
    <x v="2"/>
    <n v="2"/>
    <n v="939"/>
    <n v="10"/>
    <n v="1690.2"/>
    <n v="1224.05"/>
    <n v="466.15"/>
    <x v="8"/>
    <x v="1"/>
    <n v="0.27579576381493315"/>
  </r>
  <r>
    <n v="2541"/>
    <d v="2023-05-30T00:00:00"/>
    <x v="3"/>
    <x v="4"/>
    <x v="8"/>
    <x v="2"/>
    <n v="3"/>
    <n v="524"/>
    <n v="5"/>
    <n v="1493.4"/>
    <n v="825.39"/>
    <n v="668.01"/>
    <x v="7"/>
    <x v="1"/>
    <n v="0.4473081558858979"/>
  </r>
  <r>
    <n v="2542"/>
    <d v="2023-08-09T00:00:00"/>
    <x v="0"/>
    <x v="3"/>
    <x v="4"/>
    <x v="1"/>
    <n v="6"/>
    <n v="404"/>
    <n v="20"/>
    <n v="1939.2"/>
    <n v="1083.7"/>
    <n v="855.5"/>
    <x v="2"/>
    <x v="1"/>
    <n v="0.44116130363036304"/>
  </r>
  <r>
    <n v="2543"/>
    <d v="2023-07-31T00:00:00"/>
    <x v="1"/>
    <x v="0"/>
    <x v="13"/>
    <x v="3"/>
    <n v="6"/>
    <n v="745"/>
    <n v="20"/>
    <n v="3576"/>
    <n v="2819.65"/>
    <n v="756.35"/>
    <x v="5"/>
    <x v="1"/>
    <n v="0.2115072706935123"/>
  </r>
  <r>
    <n v="2544"/>
    <d v="2023-10-26T00:00:00"/>
    <x v="2"/>
    <x v="0"/>
    <x v="12"/>
    <x v="4"/>
    <n v="9"/>
    <n v="61"/>
    <n v="20"/>
    <n v="439.2"/>
    <n v="231.6"/>
    <n v="207.6"/>
    <x v="1"/>
    <x v="1"/>
    <n v="0.47267759562841533"/>
  </r>
  <r>
    <n v="2545"/>
    <d v="2023-11-13T00:00:00"/>
    <x v="1"/>
    <x v="3"/>
    <x v="15"/>
    <x v="2"/>
    <n v="8"/>
    <n v="384"/>
    <n v="15"/>
    <n v="2611.1999999999998"/>
    <n v="1687.13"/>
    <n v="924.07"/>
    <x v="3"/>
    <x v="1"/>
    <n v="0.35388710171568633"/>
  </r>
  <r>
    <n v="2546"/>
    <d v="2024-12-25T00:00:00"/>
    <x v="0"/>
    <x v="0"/>
    <x v="1"/>
    <x v="2"/>
    <n v="6"/>
    <n v="701"/>
    <n v="0"/>
    <n v="4206"/>
    <n v="2787.91"/>
    <n v="1418.09"/>
    <x v="6"/>
    <x v="0"/>
    <n v="0.3371588207322872"/>
  </r>
  <r>
    <n v="2547"/>
    <d v="2023-08-07T00:00:00"/>
    <x v="1"/>
    <x v="3"/>
    <x v="11"/>
    <x v="1"/>
    <n v="7"/>
    <n v="669"/>
    <n v="5"/>
    <n v="4448.8500000000004"/>
    <n v="2985.98"/>
    <n v="1462.87"/>
    <x v="2"/>
    <x v="1"/>
    <n v="0.32881980736594846"/>
  </r>
  <r>
    <n v="2548"/>
    <d v="2024-01-29T00:00:00"/>
    <x v="1"/>
    <x v="3"/>
    <x v="19"/>
    <x v="0"/>
    <n v="7"/>
    <n v="595"/>
    <n v="5"/>
    <n v="3956.75"/>
    <n v="3036.33"/>
    <n v="920.42"/>
    <x v="11"/>
    <x v="0"/>
    <n v="0.23262020597712768"/>
  </r>
  <r>
    <n v="2549"/>
    <d v="2023-02-05T00:00:00"/>
    <x v="2"/>
    <x v="1"/>
    <x v="2"/>
    <x v="2"/>
    <n v="6"/>
    <n v="514"/>
    <n v="10"/>
    <n v="2775.6"/>
    <n v="2083.58"/>
    <n v="692.02"/>
    <x v="9"/>
    <x v="1"/>
    <n v="0.24932266897247443"/>
  </r>
  <r>
    <n v="2550"/>
    <d v="2023-08-10T00:00:00"/>
    <x v="3"/>
    <x v="1"/>
    <x v="2"/>
    <x v="4"/>
    <n v="3"/>
    <n v="390"/>
    <n v="15"/>
    <n v="994.5"/>
    <n v="607.25"/>
    <n v="387.25"/>
    <x v="2"/>
    <x v="1"/>
    <n v="0.38939165409753645"/>
  </r>
  <r>
    <n v="2551"/>
    <d v="2024-02-05T00:00:00"/>
    <x v="0"/>
    <x v="2"/>
    <x v="6"/>
    <x v="4"/>
    <n v="7"/>
    <n v="980"/>
    <n v="10"/>
    <n v="6174"/>
    <n v="3437.64"/>
    <n v="2736.36"/>
    <x v="9"/>
    <x v="0"/>
    <n v="0.44320699708454814"/>
  </r>
  <r>
    <n v="2552"/>
    <d v="2024-05-21T00:00:00"/>
    <x v="0"/>
    <x v="2"/>
    <x v="6"/>
    <x v="1"/>
    <n v="8"/>
    <n v="914"/>
    <n v="5"/>
    <n v="6946.4"/>
    <n v="5339.24"/>
    <n v="1607.16"/>
    <x v="7"/>
    <x v="0"/>
    <n v="0.23136588736611771"/>
  </r>
  <r>
    <n v="2553"/>
    <d v="2023-10-30T00:00:00"/>
    <x v="2"/>
    <x v="3"/>
    <x v="15"/>
    <x v="5"/>
    <n v="4"/>
    <n v="470"/>
    <n v="15"/>
    <n v="1598"/>
    <n v="846.5"/>
    <n v="751.5"/>
    <x v="1"/>
    <x v="1"/>
    <n v="0.47027534418022526"/>
  </r>
  <r>
    <n v="2554"/>
    <d v="2023-03-02T00:00:00"/>
    <x v="2"/>
    <x v="3"/>
    <x v="19"/>
    <x v="4"/>
    <n v="5"/>
    <n v="496"/>
    <n v="15"/>
    <n v="2108"/>
    <n v="1600.99"/>
    <n v="507.01"/>
    <x v="8"/>
    <x v="1"/>
    <n v="0.24051707779886147"/>
  </r>
  <r>
    <n v="2555"/>
    <d v="2023-05-06T00:00:00"/>
    <x v="1"/>
    <x v="4"/>
    <x v="18"/>
    <x v="1"/>
    <n v="2"/>
    <n v="698"/>
    <n v="20"/>
    <n v="1116.8"/>
    <n v="849.11"/>
    <n v="267.69"/>
    <x v="7"/>
    <x v="1"/>
    <n v="0.23969376790830946"/>
  </r>
  <r>
    <n v="2556"/>
    <d v="2024-06-12T00:00:00"/>
    <x v="1"/>
    <x v="1"/>
    <x v="7"/>
    <x v="3"/>
    <n v="5"/>
    <n v="476"/>
    <n v="20"/>
    <n v="1904"/>
    <n v="1493.46"/>
    <n v="410.54"/>
    <x v="4"/>
    <x v="0"/>
    <n v="0.21561974789915966"/>
  </r>
  <r>
    <n v="2557"/>
    <d v="2023-08-30T00:00:00"/>
    <x v="3"/>
    <x v="3"/>
    <x v="4"/>
    <x v="1"/>
    <n v="3"/>
    <n v="193"/>
    <n v="0"/>
    <n v="579"/>
    <n v="365"/>
    <n v="214"/>
    <x v="2"/>
    <x v="1"/>
    <n v="0.3696027633851468"/>
  </r>
  <r>
    <n v="2558"/>
    <d v="2024-10-02T00:00:00"/>
    <x v="3"/>
    <x v="3"/>
    <x v="11"/>
    <x v="5"/>
    <n v="7"/>
    <n v="880"/>
    <n v="15"/>
    <n v="5236"/>
    <n v="2688.19"/>
    <n v="2547.81"/>
    <x v="1"/>
    <x v="0"/>
    <n v="0.48659472880061116"/>
  </r>
  <r>
    <n v="2559"/>
    <d v="2023-07-16T00:00:00"/>
    <x v="1"/>
    <x v="4"/>
    <x v="18"/>
    <x v="5"/>
    <n v="6"/>
    <n v="823"/>
    <n v="0"/>
    <n v="4938"/>
    <n v="3691.04"/>
    <n v="1246.96"/>
    <x v="5"/>
    <x v="1"/>
    <n v="0.25252328878088298"/>
  </r>
  <r>
    <n v="2560"/>
    <d v="2024-08-13T00:00:00"/>
    <x v="2"/>
    <x v="0"/>
    <x v="12"/>
    <x v="2"/>
    <n v="4"/>
    <n v="550"/>
    <n v="0"/>
    <n v="2200"/>
    <n v="1606.32"/>
    <n v="593.67999999999995"/>
    <x v="2"/>
    <x v="0"/>
    <n v="0.26985454545454546"/>
  </r>
  <r>
    <n v="2561"/>
    <d v="2024-01-27T00:00:00"/>
    <x v="2"/>
    <x v="1"/>
    <x v="16"/>
    <x v="0"/>
    <n v="7"/>
    <n v="137"/>
    <n v="15"/>
    <n v="815.15"/>
    <n v="500.49"/>
    <n v="314.66000000000003"/>
    <x v="11"/>
    <x v="0"/>
    <n v="0.38601484389376195"/>
  </r>
  <r>
    <n v="2562"/>
    <d v="2024-11-30T00:00:00"/>
    <x v="2"/>
    <x v="2"/>
    <x v="6"/>
    <x v="5"/>
    <n v="2"/>
    <n v="335"/>
    <n v="15"/>
    <n v="569.5"/>
    <n v="388.15"/>
    <n v="181.35"/>
    <x v="3"/>
    <x v="0"/>
    <n v="0.31843722563652327"/>
  </r>
  <r>
    <n v="2563"/>
    <d v="2024-07-12T00:00:00"/>
    <x v="2"/>
    <x v="4"/>
    <x v="9"/>
    <x v="2"/>
    <n v="2"/>
    <n v="390"/>
    <n v="5"/>
    <n v="741"/>
    <n v="418.77"/>
    <n v="322.23"/>
    <x v="5"/>
    <x v="0"/>
    <n v="0.43485829959514172"/>
  </r>
  <r>
    <n v="2564"/>
    <d v="2023-03-21T00:00:00"/>
    <x v="0"/>
    <x v="1"/>
    <x v="7"/>
    <x v="3"/>
    <n v="6"/>
    <n v="690"/>
    <n v="10"/>
    <n v="3726"/>
    <n v="2729.84"/>
    <n v="996.16"/>
    <x v="8"/>
    <x v="1"/>
    <n v="0.26735373054213635"/>
  </r>
  <r>
    <n v="2565"/>
    <d v="2024-01-14T00:00:00"/>
    <x v="1"/>
    <x v="0"/>
    <x v="12"/>
    <x v="3"/>
    <n v="8"/>
    <n v="462"/>
    <n v="15"/>
    <n v="3141.6"/>
    <n v="2199.15"/>
    <n v="942.45"/>
    <x v="11"/>
    <x v="0"/>
    <n v="0.29999045072574487"/>
  </r>
  <r>
    <n v="2566"/>
    <d v="2024-10-05T00:00:00"/>
    <x v="3"/>
    <x v="4"/>
    <x v="9"/>
    <x v="5"/>
    <n v="9"/>
    <n v="378"/>
    <n v="15"/>
    <n v="2891.7"/>
    <n v="2268.35"/>
    <n v="623.35"/>
    <x v="1"/>
    <x v="0"/>
    <n v="0.21556523844105546"/>
  </r>
  <r>
    <n v="2567"/>
    <d v="2024-11-18T00:00:00"/>
    <x v="1"/>
    <x v="0"/>
    <x v="13"/>
    <x v="5"/>
    <n v="5"/>
    <n v="135"/>
    <n v="15"/>
    <n v="573.75"/>
    <n v="363.86"/>
    <n v="209.89"/>
    <x v="3"/>
    <x v="0"/>
    <n v="0.3658213507625272"/>
  </r>
  <r>
    <n v="2568"/>
    <d v="2023-06-11T00:00:00"/>
    <x v="0"/>
    <x v="0"/>
    <x v="13"/>
    <x v="5"/>
    <n v="9"/>
    <n v="411"/>
    <n v="0"/>
    <n v="3699"/>
    <n v="2742.92"/>
    <n v="956.08"/>
    <x v="4"/>
    <x v="1"/>
    <n v="0.25846985671803191"/>
  </r>
  <r>
    <n v="2569"/>
    <d v="2023-03-30T00:00:00"/>
    <x v="3"/>
    <x v="0"/>
    <x v="12"/>
    <x v="1"/>
    <n v="8"/>
    <n v="359"/>
    <n v="5"/>
    <n v="2728.4"/>
    <n v="1585.7"/>
    <n v="1142.7"/>
    <x v="8"/>
    <x v="1"/>
    <n v="0.41881688901920539"/>
  </r>
  <r>
    <n v="2570"/>
    <d v="2024-04-24T00:00:00"/>
    <x v="2"/>
    <x v="1"/>
    <x v="7"/>
    <x v="1"/>
    <n v="4"/>
    <n v="618"/>
    <n v="5"/>
    <n v="2348.4"/>
    <n v="1260.6500000000001"/>
    <n v="1087.75"/>
    <x v="10"/>
    <x v="0"/>
    <n v="0.46318770226537215"/>
  </r>
  <r>
    <n v="2571"/>
    <d v="2024-11-22T00:00:00"/>
    <x v="2"/>
    <x v="0"/>
    <x v="13"/>
    <x v="3"/>
    <n v="3"/>
    <n v="27"/>
    <n v="0"/>
    <n v="81"/>
    <n v="47.67"/>
    <n v="33.33"/>
    <x v="3"/>
    <x v="0"/>
    <n v="0.41148148148148145"/>
  </r>
  <r>
    <n v="2572"/>
    <d v="2024-03-04T00:00:00"/>
    <x v="2"/>
    <x v="0"/>
    <x v="12"/>
    <x v="0"/>
    <n v="4"/>
    <n v="266"/>
    <n v="10"/>
    <n v="957.6"/>
    <n v="719.71"/>
    <n v="237.89"/>
    <x v="8"/>
    <x v="0"/>
    <n v="0.24842314118629907"/>
  </r>
  <r>
    <n v="2573"/>
    <d v="2023-03-11T00:00:00"/>
    <x v="3"/>
    <x v="1"/>
    <x v="2"/>
    <x v="5"/>
    <n v="3"/>
    <n v="344"/>
    <n v="10"/>
    <n v="928.8"/>
    <n v="687.4"/>
    <n v="241.4"/>
    <x v="8"/>
    <x v="1"/>
    <n v="0.25990525409130061"/>
  </r>
  <r>
    <n v="2574"/>
    <d v="2023-11-19T00:00:00"/>
    <x v="2"/>
    <x v="0"/>
    <x v="1"/>
    <x v="3"/>
    <n v="5"/>
    <n v="443"/>
    <n v="20"/>
    <n v="1772"/>
    <n v="1135.75"/>
    <n v="636.25"/>
    <x v="3"/>
    <x v="1"/>
    <n v="0.35905756207674944"/>
  </r>
  <r>
    <n v="2575"/>
    <d v="2024-07-21T00:00:00"/>
    <x v="3"/>
    <x v="1"/>
    <x v="5"/>
    <x v="3"/>
    <n v="1"/>
    <n v="593"/>
    <n v="15"/>
    <n v="504.05"/>
    <n v="362.46"/>
    <n v="141.59"/>
    <x v="5"/>
    <x v="0"/>
    <n v="0.2809046721555401"/>
  </r>
  <r>
    <n v="2576"/>
    <d v="2024-01-14T00:00:00"/>
    <x v="2"/>
    <x v="1"/>
    <x v="2"/>
    <x v="1"/>
    <n v="1"/>
    <n v="644"/>
    <n v="15"/>
    <n v="547.4"/>
    <n v="426.24"/>
    <n v="121.16"/>
    <x v="11"/>
    <x v="0"/>
    <n v="0.22133723054439167"/>
  </r>
  <r>
    <n v="2577"/>
    <d v="2024-01-17T00:00:00"/>
    <x v="0"/>
    <x v="3"/>
    <x v="11"/>
    <x v="3"/>
    <n v="9"/>
    <n v="124"/>
    <n v="10"/>
    <n v="1004.4"/>
    <n v="725.24"/>
    <n v="279.16000000000003"/>
    <x v="11"/>
    <x v="0"/>
    <n v="0.27793707686180807"/>
  </r>
  <r>
    <n v="2578"/>
    <d v="2023-07-21T00:00:00"/>
    <x v="1"/>
    <x v="3"/>
    <x v="4"/>
    <x v="4"/>
    <n v="2"/>
    <n v="206"/>
    <n v="20"/>
    <n v="329.6"/>
    <n v="255.94"/>
    <n v="73.66"/>
    <x v="5"/>
    <x v="1"/>
    <n v="0.22348300970873783"/>
  </r>
  <r>
    <n v="2579"/>
    <d v="2023-09-11T00:00:00"/>
    <x v="1"/>
    <x v="4"/>
    <x v="18"/>
    <x v="3"/>
    <n v="2"/>
    <n v="272"/>
    <n v="5"/>
    <n v="516.79999999999995"/>
    <n v="318.07"/>
    <n v="198.73"/>
    <x v="0"/>
    <x v="1"/>
    <n v="0.38453947368421054"/>
  </r>
  <r>
    <n v="2580"/>
    <d v="2023-09-29T00:00:00"/>
    <x v="1"/>
    <x v="1"/>
    <x v="16"/>
    <x v="0"/>
    <n v="10"/>
    <n v="857"/>
    <n v="0"/>
    <n v="8570"/>
    <n v="5305.83"/>
    <n v="3264.17"/>
    <x v="0"/>
    <x v="1"/>
    <n v="0.38088331388564761"/>
  </r>
  <r>
    <n v="2581"/>
    <d v="2023-09-04T00:00:00"/>
    <x v="0"/>
    <x v="0"/>
    <x v="13"/>
    <x v="1"/>
    <n v="9"/>
    <n v="937"/>
    <n v="5"/>
    <n v="8011.35"/>
    <n v="4538.45"/>
    <n v="3472.9"/>
    <x v="0"/>
    <x v="1"/>
    <n v="0.43349747545669581"/>
  </r>
  <r>
    <n v="2582"/>
    <d v="2023-01-24T00:00:00"/>
    <x v="1"/>
    <x v="0"/>
    <x v="12"/>
    <x v="5"/>
    <n v="8"/>
    <n v="778"/>
    <n v="15"/>
    <n v="5290.4"/>
    <n v="3220.41"/>
    <n v="2069.9899999999998"/>
    <x v="11"/>
    <x v="1"/>
    <n v="0.39127287161651292"/>
  </r>
  <r>
    <n v="2583"/>
    <d v="2024-08-21T00:00:00"/>
    <x v="2"/>
    <x v="1"/>
    <x v="5"/>
    <x v="4"/>
    <n v="4"/>
    <n v="773"/>
    <n v="20"/>
    <n v="2473.6"/>
    <n v="1778.25"/>
    <n v="695.35"/>
    <x v="2"/>
    <x v="0"/>
    <n v="0.28110850582147479"/>
  </r>
  <r>
    <n v="2584"/>
    <d v="2023-03-15T00:00:00"/>
    <x v="3"/>
    <x v="0"/>
    <x v="1"/>
    <x v="5"/>
    <n v="3"/>
    <n v="824"/>
    <n v="0"/>
    <n v="2472"/>
    <n v="1651.21"/>
    <n v="820.79"/>
    <x v="8"/>
    <x v="1"/>
    <n v="0.33203478964401295"/>
  </r>
  <r>
    <n v="2585"/>
    <d v="2024-12-08T00:00:00"/>
    <x v="3"/>
    <x v="0"/>
    <x v="13"/>
    <x v="4"/>
    <n v="9"/>
    <n v="372"/>
    <n v="10"/>
    <n v="3013.2"/>
    <n v="2403.23"/>
    <n v="609.97"/>
    <x v="6"/>
    <x v="0"/>
    <n v="0.20243262976237889"/>
  </r>
  <r>
    <n v="2586"/>
    <d v="2023-12-07T00:00:00"/>
    <x v="0"/>
    <x v="2"/>
    <x v="6"/>
    <x v="1"/>
    <n v="1"/>
    <n v="128"/>
    <n v="20"/>
    <n v="102.4"/>
    <n v="75.849999999999994"/>
    <n v="26.55"/>
    <x v="6"/>
    <x v="1"/>
    <n v="0.25927734375"/>
  </r>
  <r>
    <n v="2587"/>
    <d v="2023-08-06T00:00:00"/>
    <x v="2"/>
    <x v="3"/>
    <x v="4"/>
    <x v="5"/>
    <n v="5"/>
    <n v="654"/>
    <n v="10"/>
    <n v="2943"/>
    <n v="2291.0100000000002"/>
    <n v="651.99"/>
    <x v="2"/>
    <x v="1"/>
    <n v="0.22153924566768604"/>
  </r>
  <r>
    <n v="2588"/>
    <d v="2024-10-24T00:00:00"/>
    <x v="2"/>
    <x v="2"/>
    <x v="17"/>
    <x v="3"/>
    <n v="9"/>
    <n v="646"/>
    <n v="5"/>
    <n v="5523.3"/>
    <n v="4407.3"/>
    <n v="1116"/>
    <x v="1"/>
    <x v="0"/>
    <n v="0.20205312041714191"/>
  </r>
  <r>
    <n v="2589"/>
    <d v="2024-09-07T00:00:00"/>
    <x v="3"/>
    <x v="2"/>
    <x v="3"/>
    <x v="3"/>
    <n v="6"/>
    <n v="339"/>
    <n v="15"/>
    <n v="1728.9"/>
    <n v="1226.3699999999999"/>
    <n v="502.53"/>
    <x v="0"/>
    <x v="0"/>
    <n v="0.29066458441783788"/>
  </r>
  <r>
    <n v="2590"/>
    <d v="2023-01-25T00:00:00"/>
    <x v="0"/>
    <x v="0"/>
    <x v="1"/>
    <x v="2"/>
    <n v="5"/>
    <n v="948"/>
    <n v="5"/>
    <n v="4503"/>
    <n v="2943.42"/>
    <n v="1559.58"/>
    <x v="11"/>
    <x v="1"/>
    <n v="0.34634243837441703"/>
  </r>
  <r>
    <n v="2591"/>
    <d v="2024-08-11T00:00:00"/>
    <x v="2"/>
    <x v="2"/>
    <x v="3"/>
    <x v="1"/>
    <n v="1"/>
    <n v="501"/>
    <n v="20"/>
    <n v="400.8"/>
    <n v="261.23"/>
    <n v="139.57"/>
    <x v="2"/>
    <x v="0"/>
    <n v="0.34822854291417166"/>
  </r>
  <r>
    <n v="2592"/>
    <d v="2024-01-12T00:00:00"/>
    <x v="0"/>
    <x v="1"/>
    <x v="16"/>
    <x v="5"/>
    <n v="3"/>
    <n v="984"/>
    <n v="15"/>
    <n v="2509.1999999999998"/>
    <n v="1808.42"/>
    <n v="700.78"/>
    <x v="11"/>
    <x v="0"/>
    <n v="0.27928423401881081"/>
  </r>
  <r>
    <n v="2593"/>
    <d v="2023-08-30T00:00:00"/>
    <x v="3"/>
    <x v="3"/>
    <x v="15"/>
    <x v="5"/>
    <n v="1"/>
    <n v="598"/>
    <n v="10"/>
    <n v="538.20000000000005"/>
    <n v="346.02"/>
    <n v="192.18"/>
    <x v="2"/>
    <x v="1"/>
    <n v="0.35707915273132662"/>
  </r>
  <r>
    <n v="2594"/>
    <d v="2024-07-28T00:00:00"/>
    <x v="3"/>
    <x v="0"/>
    <x v="13"/>
    <x v="0"/>
    <n v="3"/>
    <n v="894"/>
    <n v="0"/>
    <n v="2682"/>
    <n v="1451.57"/>
    <n v="1230.43"/>
    <x v="5"/>
    <x v="0"/>
    <n v="0.45877330350484713"/>
  </r>
  <r>
    <n v="2595"/>
    <d v="2024-03-22T00:00:00"/>
    <x v="3"/>
    <x v="1"/>
    <x v="7"/>
    <x v="0"/>
    <n v="1"/>
    <n v="479"/>
    <n v="15"/>
    <n v="407.15"/>
    <n v="212.65"/>
    <n v="194.5"/>
    <x v="8"/>
    <x v="0"/>
    <n v="0.47771091735232718"/>
  </r>
  <r>
    <n v="2596"/>
    <d v="2024-10-08T00:00:00"/>
    <x v="1"/>
    <x v="4"/>
    <x v="8"/>
    <x v="3"/>
    <n v="4"/>
    <n v="213"/>
    <n v="20"/>
    <n v="681.6"/>
    <n v="343.33"/>
    <n v="338.27"/>
    <x v="1"/>
    <x v="0"/>
    <n v="0.49628814553990608"/>
  </r>
  <r>
    <n v="2597"/>
    <d v="2023-10-13T00:00:00"/>
    <x v="0"/>
    <x v="3"/>
    <x v="4"/>
    <x v="3"/>
    <n v="2"/>
    <n v="791"/>
    <n v="0"/>
    <n v="1582"/>
    <n v="872.78"/>
    <n v="709.22"/>
    <x v="1"/>
    <x v="1"/>
    <n v="0.44830594184576489"/>
  </r>
  <r>
    <n v="2598"/>
    <d v="2024-06-27T00:00:00"/>
    <x v="3"/>
    <x v="1"/>
    <x v="2"/>
    <x v="5"/>
    <n v="5"/>
    <n v="920"/>
    <n v="5"/>
    <n v="4370"/>
    <n v="2939.3"/>
    <n v="1430.7"/>
    <x v="4"/>
    <x v="0"/>
    <n v="0.3273913043478261"/>
  </r>
  <r>
    <n v="2599"/>
    <d v="2023-06-18T00:00:00"/>
    <x v="0"/>
    <x v="1"/>
    <x v="2"/>
    <x v="4"/>
    <n v="10"/>
    <n v="148"/>
    <n v="10"/>
    <n v="1332"/>
    <n v="944.71"/>
    <n v="387.29"/>
    <x v="4"/>
    <x v="1"/>
    <n v="0.2907582582582583"/>
  </r>
  <r>
    <n v="2600"/>
    <d v="2023-12-22T00:00:00"/>
    <x v="1"/>
    <x v="0"/>
    <x v="0"/>
    <x v="4"/>
    <n v="3"/>
    <n v="142"/>
    <n v="15"/>
    <n v="362.1"/>
    <n v="213.27"/>
    <n v="148.83000000000001"/>
    <x v="6"/>
    <x v="1"/>
    <n v="0.41101905550952778"/>
  </r>
  <r>
    <n v="2601"/>
    <d v="2024-04-17T00:00:00"/>
    <x v="0"/>
    <x v="3"/>
    <x v="4"/>
    <x v="2"/>
    <n v="10"/>
    <n v="200"/>
    <n v="15"/>
    <n v="1700"/>
    <n v="1054.81"/>
    <n v="645.19000000000005"/>
    <x v="10"/>
    <x v="0"/>
    <n v="0.37952352941176476"/>
  </r>
  <r>
    <n v="2602"/>
    <d v="2023-09-24T00:00:00"/>
    <x v="1"/>
    <x v="4"/>
    <x v="14"/>
    <x v="5"/>
    <n v="5"/>
    <n v="139"/>
    <n v="5"/>
    <n v="660.25"/>
    <n v="507.2"/>
    <n v="153.05000000000001"/>
    <x v="0"/>
    <x v="1"/>
    <n v="0.23180613404013634"/>
  </r>
  <r>
    <n v="2603"/>
    <d v="2023-10-21T00:00:00"/>
    <x v="2"/>
    <x v="2"/>
    <x v="17"/>
    <x v="3"/>
    <n v="2"/>
    <n v="555"/>
    <n v="15"/>
    <n v="943.5"/>
    <n v="677.6"/>
    <n v="265.89999999999998"/>
    <x v="1"/>
    <x v="1"/>
    <n v="0.28182299947005829"/>
  </r>
  <r>
    <n v="2604"/>
    <d v="2023-08-15T00:00:00"/>
    <x v="0"/>
    <x v="1"/>
    <x v="16"/>
    <x v="5"/>
    <n v="8"/>
    <n v="727"/>
    <n v="15"/>
    <n v="4943.6000000000004"/>
    <n v="3391.3"/>
    <n v="1552.3"/>
    <x v="2"/>
    <x v="1"/>
    <n v="0.31400194190468483"/>
  </r>
  <r>
    <n v="2605"/>
    <d v="2024-11-17T00:00:00"/>
    <x v="3"/>
    <x v="0"/>
    <x v="1"/>
    <x v="4"/>
    <n v="8"/>
    <n v="256"/>
    <n v="5"/>
    <n v="1945.6"/>
    <n v="1338.74"/>
    <n v="606.86"/>
    <x v="3"/>
    <x v="0"/>
    <n v="0.31191406250000003"/>
  </r>
  <r>
    <n v="2606"/>
    <d v="2023-03-04T00:00:00"/>
    <x v="1"/>
    <x v="4"/>
    <x v="8"/>
    <x v="5"/>
    <n v="7"/>
    <n v="243"/>
    <n v="10"/>
    <n v="1530.9"/>
    <n v="1219.1500000000001"/>
    <n v="311.75"/>
    <x v="8"/>
    <x v="1"/>
    <n v="0.20363838265072831"/>
  </r>
  <r>
    <n v="2607"/>
    <d v="2024-04-06T00:00:00"/>
    <x v="1"/>
    <x v="0"/>
    <x v="1"/>
    <x v="2"/>
    <n v="9"/>
    <n v="660"/>
    <n v="10"/>
    <n v="5346"/>
    <n v="3873.43"/>
    <n v="1472.57"/>
    <x v="10"/>
    <x v="0"/>
    <n v="0.27545267489711933"/>
  </r>
  <r>
    <n v="2608"/>
    <d v="2024-05-16T00:00:00"/>
    <x v="3"/>
    <x v="1"/>
    <x v="7"/>
    <x v="1"/>
    <n v="5"/>
    <n v="801"/>
    <n v="5"/>
    <n v="3804.75"/>
    <n v="2741.83"/>
    <n v="1062.92"/>
    <x v="7"/>
    <x v="0"/>
    <n v="0.27936658124712532"/>
  </r>
  <r>
    <n v="2609"/>
    <d v="2023-12-25T00:00:00"/>
    <x v="0"/>
    <x v="0"/>
    <x v="1"/>
    <x v="3"/>
    <n v="4"/>
    <n v="426"/>
    <n v="20"/>
    <n v="1363.2"/>
    <n v="1008.34"/>
    <n v="354.86"/>
    <x v="6"/>
    <x v="1"/>
    <n v="0.26031396713615024"/>
  </r>
  <r>
    <n v="2610"/>
    <d v="2023-04-29T00:00:00"/>
    <x v="3"/>
    <x v="0"/>
    <x v="1"/>
    <x v="1"/>
    <n v="6"/>
    <n v="408"/>
    <n v="20"/>
    <n v="1958.4"/>
    <n v="1267.95"/>
    <n v="690.45"/>
    <x v="10"/>
    <x v="1"/>
    <n v="0.35255821078431371"/>
  </r>
  <r>
    <n v="2611"/>
    <d v="2023-08-03T00:00:00"/>
    <x v="2"/>
    <x v="0"/>
    <x v="0"/>
    <x v="5"/>
    <n v="3"/>
    <n v="288"/>
    <n v="10"/>
    <n v="777.6"/>
    <n v="402.97"/>
    <n v="374.63"/>
    <x v="2"/>
    <x v="1"/>
    <n v="0.48177726337448556"/>
  </r>
  <r>
    <n v="2612"/>
    <d v="2023-03-31T00:00:00"/>
    <x v="1"/>
    <x v="2"/>
    <x v="10"/>
    <x v="2"/>
    <n v="6"/>
    <n v="966"/>
    <n v="20"/>
    <n v="4636.8"/>
    <n v="2630.86"/>
    <n v="2005.94"/>
    <x v="8"/>
    <x v="1"/>
    <n v="0.43261300897170463"/>
  </r>
  <r>
    <n v="2613"/>
    <d v="2023-08-27T00:00:00"/>
    <x v="0"/>
    <x v="1"/>
    <x v="2"/>
    <x v="4"/>
    <n v="7"/>
    <n v="77"/>
    <n v="10"/>
    <n v="485.1"/>
    <n v="348.86"/>
    <n v="136.24"/>
    <x v="2"/>
    <x v="1"/>
    <n v="0.28084930942073799"/>
  </r>
  <r>
    <n v="2614"/>
    <d v="2024-10-22T00:00:00"/>
    <x v="0"/>
    <x v="4"/>
    <x v="8"/>
    <x v="4"/>
    <n v="4"/>
    <n v="518"/>
    <n v="5"/>
    <n v="1968.4"/>
    <n v="1144.03"/>
    <n v="824.37"/>
    <x v="1"/>
    <x v="0"/>
    <n v="0.41880207274944115"/>
  </r>
  <r>
    <n v="2615"/>
    <d v="2024-08-28T00:00:00"/>
    <x v="2"/>
    <x v="2"/>
    <x v="10"/>
    <x v="0"/>
    <n v="9"/>
    <n v="781"/>
    <n v="15"/>
    <n v="5974.65"/>
    <n v="4485.7"/>
    <n v="1488.95"/>
    <x v="2"/>
    <x v="0"/>
    <n v="0.24921125086825172"/>
  </r>
  <r>
    <n v="2616"/>
    <d v="2024-07-06T00:00:00"/>
    <x v="2"/>
    <x v="0"/>
    <x v="0"/>
    <x v="3"/>
    <n v="10"/>
    <n v="288"/>
    <n v="20"/>
    <n v="2304"/>
    <n v="1221.6300000000001"/>
    <n v="1082.3699999999999"/>
    <x v="5"/>
    <x v="0"/>
    <n v="0.46977864583333329"/>
  </r>
  <r>
    <n v="2617"/>
    <d v="2024-02-26T00:00:00"/>
    <x v="0"/>
    <x v="1"/>
    <x v="16"/>
    <x v="3"/>
    <n v="6"/>
    <n v="675"/>
    <n v="15"/>
    <n v="3442.5"/>
    <n v="2550.37"/>
    <n v="892.13"/>
    <x v="9"/>
    <x v="0"/>
    <n v="0.2591517792302106"/>
  </r>
  <r>
    <n v="2618"/>
    <d v="2024-01-24T00:00:00"/>
    <x v="1"/>
    <x v="4"/>
    <x v="8"/>
    <x v="0"/>
    <n v="7"/>
    <n v="977"/>
    <n v="15"/>
    <n v="5813.15"/>
    <n v="3182.01"/>
    <n v="2631.14"/>
    <x v="11"/>
    <x v="0"/>
    <n v="0.4526186318949279"/>
  </r>
  <r>
    <n v="2619"/>
    <d v="2024-02-23T00:00:00"/>
    <x v="0"/>
    <x v="2"/>
    <x v="10"/>
    <x v="3"/>
    <n v="9"/>
    <n v="596"/>
    <n v="5"/>
    <n v="5095.8"/>
    <n v="4018.88"/>
    <n v="1076.92"/>
    <x v="9"/>
    <x v="0"/>
    <n v="0.21133482475764356"/>
  </r>
  <r>
    <n v="2620"/>
    <d v="2023-11-23T00:00:00"/>
    <x v="1"/>
    <x v="2"/>
    <x v="6"/>
    <x v="5"/>
    <n v="10"/>
    <n v="736"/>
    <n v="5"/>
    <n v="6992"/>
    <n v="4223.5600000000004"/>
    <n v="2768.44"/>
    <x v="3"/>
    <x v="1"/>
    <n v="0.39594393592677346"/>
  </r>
  <r>
    <n v="2621"/>
    <d v="2023-01-21T00:00:00"/>
    <x v="0"/>
    <x v="3"/>
    <x v="15"/>
    <x v="4"/>
    <n v="8"/>
    <n v="776"/>
    <n v="0"/>
    <n v="6208"/>
    <n v="4770.66"/>
    <n v="1437.34"/>
    <x v="11"/>
    <x v="1"/>
    <n v="0.23153028350515462"/>
  </r>
  <r>
    <n v="2622"/>
    <d v="2024-07-22T00:00:00"/>
    <x v="1"/>
    <x v="0"/>
    <x v="12"/>
    <x v="4"/>
    <n v="4"/>
    <n v="444"/>
    <n v="5"/>
    <n v="1687.2"/>
    <n v="1096.53"/>
    <n v="590.66999999999996"/>
    <x v="5"/>
    <x v="0"/>
    <n v="0.35008890469416781"/>
  </r>
  <r>
    <n v="2623"/>
    <d v="2023-04-29T00:00:00"/>
    <x v="2"/>
    <x v="1"/>
    <x v="2"/>
    <x v="4"/>
    <n v="9"/>
    <n v="282"/>
    <n v="20"/>
    <n v="2030.4"/>
    <n v="1026.3800000000001"/>
    <n v="1004.02"/>
    <x v="10"/>
    <x v="1"/>
    <n v="0.49449369582348301"/>
  </r>
  <r>
    <n v="2624"/>
    <d v="2023-09-30T00:00:00"/>
    <x v="0"/>
    <x v="0"/>
    <x v="1"/>
    <x v="5"/>
    <n v="1"/>
    <n v="143"/>
    <n v="20"/>
    <n v="114.4"/>
    <n v="77.37"/>
    <n v="37.03"/>
    <x v="0"/>
    <x v="1"/>
    <n v="0.32368881118881121"/>
  </r>
  <r>
    <n v="2625"/>
    <d v="2024-01-10T00:00:00"/>
    <x v="2"/>
    <x v="3"/>
    <x v="11"/>
    <x v="1"/>
    <n v="6"/>
    <n v="93"/>
    <n v="5"/>
    <n v="530.1"/>
    <n v="312.89999999999998"/>
    <n v="217.2"/>
    <x v="11"/>
    <x v="0"/>
    <n v="0.40973401245048102"/>
  </r>
  <r>
    <n v="2626"/>
    <d v="2023-07-25T00:00:00"/>
    <x v="2"/>
    <x v="3"/>
    <x v="11"/>
    <x v="2"/>
    <n v="5"/>
    <n v="986"/>
    <n v="15"/>
    <n v="4190.5"/>
    <n v="3041.13"/>
    <n v="1149.3699999999999"/>
    <x v="5"/>
    <x v="1"/>
    <n v="0.27427991886409736"/>
  </r>
  <r>
    <n v="2627"/>
    <d v="2024-07-26T00:00:00"/>
    <x v="3"/>
    <x v="4"/>
    <x v="14"/>
    <x v="2"/>
    <n v="5"/>
    <n v="704"/>
    <n v="20"/>
    <n v="2816"/>
    <n v="2203.9899999999998"/>
    <n v="612.01"/>
    <x v="5"/>
    <x v="0"/>
    <n v="0.21733309659090908"/>
  </r>
  <r>
    <n v="2628"/>
    <d v="2024-05-24T00:00:00"/>
    <x v="3"/>
    <x v="1"/>
    <x v="5"/>
    <x v="2"/>
    <n v="3"/>
    <n v="774"/>
    <n v="0"/>
    <n v="2322"/>
    <n v="1683.21"/>
    <n v="638.79"/>
    <x v="7"/>
    <x v="0"/>
    <n v="0.27510335917312662"/>
  </r>
  <r>
    <n v="2629"/>
    <d v="2023-06-27T00:00:00"/>
    <x v="0"/>
    <x v="1"/>
    <x v="16"/>
    <x v="0"/>
    <n v="9"/>
    <n v="13"/>
    <n v="10"/>
    <n v="105.3"/>
    <n v="82.06"/>
    <n v="23.24"/>
    <x v="4"/>
    <x v="1"/>
    <n v="0.22070275403608736"/>
  </r>
  <r>
    <n v="2630"/>
    <d v="2023-10-17T00:00:00"/>
    <x v="2"/>
    <x v="1"/>
    <x v="7"/>
    <x v="1"/>
    <n v="8"/>
    <n v="445"/>
    <n v="0"/>
    <n v="3560"/>
    <n v="2012.42"/>
    <n v="1547.58"/>
    <x v="1"/>
    <x v="1"/>
    <n v="0.43471348314606739"/>
  </r>
  <r>
    <n v="2631"/>
    <d v="2024-03-15T00:00:00"/>
    <x v="2"/>
    <x v="1"/>
    <x v="2"/>
    <x v="0"/>
    <n v="9"/>
    <n v="248"/>
    <n v="10"/>
    <n v="2008.8"/>
    <n v="1109.78"/>
    <n v="899.02"/>
    <x v="8"/>
    <x v="0"/>
    <n v="0.44754082039028276"/>
  </r>
  <r>
    <n v="2632"/>
    <d v="2023-02-28T00:00:00"/>
    <x v="0"/>
    <x v="0"/>
    <x v="1"/>
    <x v="1"/>
    <n v="10"/>
    <n v="65"/>
    <n v="20"/>
    <n v="520"/>
    <n v="320.91000000000003"/>
    <n v="199.09"/>
    <x v="9"/>
    <x v="1"/>
    <n v="0.38286538461538461"/>
  </r>
  <r>
    <n v="2633"/>
    <d v="2023-04-01T00:00:00"/>
    <x v="3"/>
    <x v="4"/>
    <x v="14"/>
    <x v="1"/>
    <n v="10"/>
    <n v="908"/>
    <n v="15"/>
    <n v="7718"/>
    <n v="5638.71"/>
    <n v="2079.29"/>
    <x v="10"/>
    <x v="1"/>
    <n v="0.26940787768852031"/>
  </r>
  <r>
    <n v="2634"/>
    <d v="2024-08-30T00:00:00"/>
    <x v="2"/>
    <x v="3"/>
    <x v="15"/>
    <x v="2"/>
    <n v="6"/>
    <n v="463"/>
    <n v="20"/>
    <n v="2222.4"/>
    <n v="1418.16"/>
    <n v="804.24"/>
    <x v="2"/>
    <x v="0"/>
    <n v="0.36187904967602591"/>
  </r>
  <r>
    <n v="2635"/>
    <d v="2024-07-13T00:00:00"/>
    <x v="1"/>
    <x v="4"/>
    <x v="8"/>
    <x v="4"/>
    <n v="10"/>
    <n v="665"/>
    <n v="0"/>
    <n v="6650"/>
    <n v="4268.22"/>
    <n v="2381.7800000000002"/>
    <x v="5"/>
    <x v="0"/>
    <n v="0.35816240601503763"/>
  </r>
  <r>
    <n v="2636"/>
    <d v="2024-04-09T00:00:00"/>
    <x v="1"/>
    <x v="0"/>
    <x v="1"/>
    <x v="0"/>
    <n v="1"/>
    <n v="947"/>
    <n v="10"/>
    <n v="852.3"/>
    <n v="568.01"/>
    <n v="284.29000000000002"/>
    <x v="10"/>
    <x v="0"/>
    <n v="0.33355625953302831"/>
  </r>
  <r>
    <n v="2637"/>
    <d v="2023-06-08T00:00:00"/>
    <x v="1"/>
    <x v="4"/>
    <x v="8"/>
    <x v="0"/>
    <n v="7"/>
    <n v="329"/>
    <n v="5"/>
    <n v="2187.85"/>
    <n v="1292.28"/>
    <n v="895.57"/>
    <x v="4"/>
    <x v="1"/>
    <n v="0.40933793450190831"/>
  </r>
  <r>
    <n v="2638"/>
    <d v="2024-06-26T00:00:00"/>
    <x v="2"/>
    <x v="4"/>
    <x v="18"/>
    <x v="2"/>
    <n v="3"/>
    <n v="308"/>
    <n v="0"/>
    <n v="924"/>
    <n v="683.86"/>
    <n v="240.14"/>
    <x v="4"/>
    <x v="0"/>
    <n v="0.2598917748917749"/>
  </r>
  <r>
    <n v="2639"/>
    <d v="2023-01-06T00:00:00"/>
    <x v="3"/>
    <x v="0"/>
    <x v="13"/>
    <x v="2"/>
    <n v="3"/>
    <n v="752"/>
    <n v="0"/>
    <n v="2256"/>
    <n v="1557.53"/>
    <n v="698.47"/>
    <x v="11"/>
    <x v="1"/>
    <n v="0.30960549645390073"/>
  </r>
  <r>
    <n v="2640"/>
    <d v="2023-08-17T00:00:00"/>
    <x v="2"/>
    <x v="3"/>
    <x v="11"/>
    <x v="1"/>
    <n v="4"/>
    <n v="173"/>
    <n v="10"/>
    <n v="622.79999999999995"/>
    <n v="419.86"/>
    <n v="202.94"/>
    <x v="2"/>
    <x v="1"/>
    <n v="0.32585099550417473"/>
  </r>
  <r>
    <n v="2641"/>
    <d v="2023-04-06T00:00:00"/>
    <x v="1"/>
    <x v="1"/>
    <x v="7"/>
    <x v="1"/>
    <n v="1"/>
    <n v="589"/>
    <n v="10"/>
    <n v="530.1"/>
    <n v="269.27999999999997"/>
    <n v="260.82"/>
    <x v="10"/>
    <x v="1"/>
    <n v="0.49202037351443123"/>
  </r>
  <r>
    <n v="2642"/>
    <d v="2024-10-04T00:00:00"/>
    <x v="1"/>
    <x v="3"/>
    <x v="15"/>
    <x v="5"/>
    <n v="10"/>
    <n v="902"/>
    <n v="5"/>
    <n v="8569"/>
    <n v="6363.01"/>
    <n v="2205.9899999999998"/>
    <x v="1"/>
    <x v="0"/>
    <n v="0.25743844089158591"/>
  </r>
  <r>
    <n v="2643"/>
    <d v="2024-03-17T00:00:00"/>
    <x v="1"/>
    <x v="4"/>
    <x v="18"/>
    <x v="2"/>
    <n v="2"/>
    <n v="965"/>
    <n v="20"/>
    <n v="1544"/>
    <n v="1063.82"/>
    <n v="480.18"/>
    <x v="8"/>
    <x v="0"/>
    <n v="0.31099740932642489"/>
  </r>
  <r>
    <n v="2644"/>
    <d v="2023-06-21T00:00:00"/>
    <x v="2"/>
    <x v="4"/>
    <x v="14"/>
    <x v="2"/>
    <n v="6"/>
    <n v="656"/>
    <n v="10"/>
    <n v="3542.4"/>
    <n v="2228.85"/>
    <n v="1313.55"/>
    <x v="4"/>
    <x v="1"/>
    <n v="0.37080792682926828"/>
  </r>
  <r>
    <n v="2645"/>
    <d v="2023-03-14T00:00:00"/>
    <x v="1"/>
    <x v="0"/>
    <x v="13"/>
    <x v="2"/>
    <n v="2"/>
    <n v="722"/>
    <n v="20"/>
    <n v="1155.2"/>
    <n v="695.94"/>
    <n v="459.26"/>
    <x v="8"/>
    <x v="1"/>
    <n v="0.39755886426592796"/>
  </r>
  <r>
    <n v="2646"/>
    <d v="2024-01-24T00:00:00"/>
    <x v="0"/>
    <x v="3"/>
    <x v="19"/>
    <x v="2"/>
    <n v="8"/>
    <n v="183"/>
    <n v="0"/>
    <n v="1464"/>
    <n v="1153.6600000000001"/>
    <n v="310.33999999999997"/>
    <x v="11"/>
    <x v="0"/>
    <n v="0.21198087431693988"/>
  </r>
  <r>
    <n v="2647"/>
    <d v="2023-10-10T00:00:00"/>
    <x v="3"/>
    <x v="2"/>
    <x v="6"/>
    <x v="3"/>
    <n v="3"/>
    <n v="365"/>
    <n v="5"/>
    <n v="1040.25"/>
    <n v="709.65"/>
    <n v="330.6"/>
    <x v="1"/>
    <x v="1"/>
    <n v="0.31780821917808222"/>
  </r>
  <r>
    <n v="2648"/>
    <d v="2024-11-13T00:00:00"/>
    <x v="2"/>
    <x v="1"/>
    <x v="7"/>
    <x v="0"/>
    <n v="10"/>
    <n v="328"/>
    <n v="10"/>
    <n v="2952"/>
    <n v="1483.36"/>
    <n v="1468.64"/>
    <x v="3"/>
    <x v="0"/>
    <n v="0.49750677506775071"/>
  </r>
  <r>
    <n v="2649"/>
    <d v="2023-11-27T00:00:00"/>
    <x v="0"/>
    <x v="2"/>
    <x v="10"/>
    <x v="5"/>
    <n v="5"/>
    <n v="10"/>
    <n v="0"/>
    <n v="50"/>
    <n v="25.6"/>
    <n v="24.4"/>
    <x v="3"/>
    <x v="1"/>
    <n v="0.48799999999999999"/>
  </r>
  <r>
    <n v="2650"/>
    <d v="2024-04-09T00:00:00"/>
    <x v="2"/>
    <x v="3"/>
    <x v="15"/>
    <x v="1"/>
    <n v="8"/>
    <n v="762"/>
    <n v="0"/>
    <n v="6096"/>
    <n v="3357.36"/>
    <n v="2738.64"/>
    <x v="10"/>
    <x v="0"/>
    <n v="0.449251968503937"/>
  </r>
  <r>
    <n v="2651"/>
    <d v="2023-09-04T00:00:00"/>
    <x v="2"/>
    <x v="2"/>
    <x v="17"/>
    <x v="4"/>
    <n v="8"/>
    <n v="367"/>
    <n v="20"/>
    <n v="2348.8000000000002"/>
    <n v="1600.45"/>
    <n v="748.35"/>
    <x v="0"/>
    <x v="1"/>
    <n v="0.3186095027247956"/>
  </r>
  <r>
    <n v="2652"/>
    <d v="2024-01-14T00:00:00"/>
    <x v="1"/>
    <x v="0"/>
    <x v="13"/>
    <x v="3"/>
    <n v="7"/>
    <n v="337"/>
    <n v="20"/>
    <n v="1887.2"/>
    <n v="1293.07"/>
    <n v="594.13"/>
    <x v="11"/>
    <x v="0"/>
    <n v="0.31482089868588387"/>
  </r>
  <r>
    <n v="2653"/>
    <d v="2023-06-04T00:00:00"/>
    <x v="2"/>
    <x v="0"/>
    <x v="12"/>
    <x v="5"/>
    <n v="1"/>
    <n v="628"/>
    <n v="10"/>
    <n v="565.20000000000005"/>
    <n v="444.06"/>
    <n v="121.14"/>
    <x v="4"/>
    <x v="1"/>
    <n v="0.21433121019108278"/>
  </r>
  <r>
    <n v="2654"/>
    <d v="2024-02-29T00:00:00"/>
    <x v="2"/>
    <x v="4"/>
    <x v="8"/>
    <x v="3"/>
    <n v="6"/>
    <n v="38"/>
    <n v="5"/>
    <n v="216.6"/>
    <n v="149.16999999999999"/>
    <n v="67.430000000000007"/>
    <x v="9"/>
    <x v="0"/>
    <n v="0.31131117266851344"/>
  </r>
  <r>
    <n v="2655"/>
    <d v="2024-03-11T00:00:00"/>
    <x v="2"/>
    <x v="1"/>
    <x v="5"/>
    <x v="4"/>
    <n v="8"/>
    <n v="927"/>
    <n v="5"/>
    <n v="7045.2"/>
    <n v="4397.1099999999997"/>
    <n v="2648.09"/>
    <x v="8"/>
    <x v="0"/>
    <n v="0.37587151535797425"/>
  </r>
  <r>
    <n v="2656"/>
    <d v="2023-12-29T00:00:00"/>
    <x v="0"/>
    <x v="3"/>
    <x v="11"/>
    <x v="1"/>
    <n v="5"/>
    <n v="534"/>
    <n v="20"/>
    <n v="2136"/>
    <n v="1705.42"/>
    <n v="430.58"/>
    <x v="6"/>
    <x v="1"/>
    <n v="0.20158239700374531"/>
  </r>
  <r>
    <n v="2657"/>
    <d v="2023-06-02T00:00:00"/>
    <x v="3"/>
    <x v="0"/>
    <x v="12"/>
    <x v="3"/>
    <n v="7"/>
    <n v="167"/>
    <n v="15"/>
    <n v="993.65"/>
    <n v="690.1"/>
    <n v="303.55"/>
    <x v="4"/>
    <x v="1"/>
    <n v="0.30548986061490468"/>
  </r>
  <r>
    <n v="2658"/>
    <d v="2024-06-01T00:00:00"/>
    <x v="0"/>
    <x v="3"/>
    <x v="4"/>
    <x v="1"/>
    <n v="7"/>
    <n v="509"/>
    <n v="0"/>
    <n v="3563"/>
    <n v="2239.08"/>
    <n v="1323.92"/>
    <x v="4"/>
    <x v="0"/>
    <n v="0.37157451585742352"/>
  </r>
  <r>
    <n v="2659"/>
    <d v="2024-07-17T00:00:00"/>
    <x v="0"/>
    <x v="3"/>
    <x v="19"/>
    <x v="2"/>
    <n v="8"/>
    <n v="996"/>
    <n v="10"/>
    <n v="7171.2"/>
    <n v="5065.7700000000004"/>
    <n v="2105.4299999999998"/>
    <x v="5"/>
    <x v="0"/>
    <n v="0.29359521419009371"/>
  </r>
  <r>
    <n v="2660"/>
    <d v="2024-01-13T00:00:00"/>
    <x v="2"/>
    <x v="1"/>
    <x v="5"/>
    <x v="0"/>
    <n v="10"/>
    <n v="413"/>
    <n v="15"/>
    <n v="3510.5"/>
    <n v="2355.11"/>
    <n v="1155.3900000000001"/>
    <x v="11"/>
    <x v="0"/>
    <n v="0.32912405640222192"/>
  </r>
  <r>
    <n v="2661"/>
    <d v="2024-11-25T00:00:00"/>
    <x v="0"/>
    <x v="0"/>
    <x v="1"/>
    <x v="1"/>
    <n v="5"/>
    <n v="419"/>
    <n v="20"/>
    <n v="1676"/>
    <n v="1094.81"/>
    <n v="581.19000000000005"/>
    <x v="3"/>
    <x v="0"/>
    <n v="0.34677207637231505"/>
  </r>
  <r>
    <n v="2662"/>
    <d v="2024-04-10T00:00:00"/>
    <x v="1"/>
    <x v="1"/>
    <x v="16"/>
    <x v="3"/>
    <n v="7"/>
    <n v="823"/>
    <n v="0"/>
    <n v="5761"/>
    <n v="3944.79"/>
    <n v="1816.21"/>
    <x v="10"/>
    <x v="0"/>
    <n v="0.31525950355840998"/>
  </r>
  <r>
    <n v="2663"/>
    <d v="2024-05-29T00:00:00"/>
    <x v="2"/>
    <x v="0"/>
    <x v="12"/>
    <x v="3"/>
    <n v="10"/>
    <n v="84"/>
    <n v="0"/>
    <n v="840"/>
    <n v="513.04"/>
    <n v="326.95999999999998"/>
    <x v="7"/>
    <x v="0"/>
    <n v="0.38923809523809522"/>
  </r>
  <r>
    <n v="2664"/>
    <d v="2023-10-11T00:00:00"/>
    <x v="3"/>
    <x v="1"/>
    <x v="16"/>
    <x v="2"/>
    <n v="3"/>
    <n v="580"/>
    <n v="0"/>
    <n v="1740"/>
    <n v="1277.44"/>
    <n v="462.56"/>
    <x v="1"/>
    <x v="1"/>
    <n v="0.26583908045977012"/>
  </r>
  <r>
    <n v="2665"/>
    <d v="2023-05-08T00:00:00"/>
    <x v="3"/>
    <x v="4"/>
    <x v="14"/>
    <x v="4"/>
    <n v="7"/>
    <n v="646"/>
    <n v="5"/>
    <n v="4295.8999999999996"/>
    <n v="2272.8200000000002"/>
    <n v="2023.08"/>
    <x v="7"/>
    <x v="1"/>
    <n v="0.47093274983123445"/>
  </r>
  <r>
    <n v="2666"/>
    <d v="2023-08-02T00:00:00"/>
    <x v="3"/>
    <x v="4"/>
    <x v="18"/>
    <x v="3"/>
    <n v="2"/>
    <n v="790"/>
    <n v="15"/>
    <n v="1343"/>
    <n v="901.34"/>
    <n v="441.66"/>
    <x v="2"/>
    <x v="1"/>
    <n v="0.32886075949367088"/>
  </r>
  <r>
    <n v="2667"/>
    <d v="2023-05-12T00:00:00"/>
    <x v="1"/>
    <x v="2"/>
    <x v="6"/>
    <x v="4"/>
    <n v="8"/>
    <n v="995"/>
    <n v="5"/>
    <n v="7562"/>
    <n v="4968.18"/>
    <n v="2593.8200000000002"/>
    <x v="7"/>
    <x v="1"/>
    <n v="0.34300714096799789"/>
  </r>
  <r>
    <n v="2668"/>
    <d v="2024-07-18T00:00:00"/>
    <x v="3"/>
    <x v="3"/>
    <x v="15"/>
    <x v="0"/>
    <n v="4"/>
    <n v="731"/>
    <n v="0"/>
    <n v="2924"/>
    <n v="1529.64"/>
    <n v="1394.36"/>
    <x v="5"/>
    <x v="0"/>
    <n v="0.4768673050615595"/>
  </r>
  <r>
    <n v="2669"/>
    <d v="2023-04-01T00:00:00"/>
    <x v="0"/>
    <x v="3"/>
    <x v="19"/>
    <x v="3"/>
    <n v="1"/>
    <n v="901"/>
    <n v="0"/>
    <n v="901"/>
    <n v="562.21"/>
    <n v="338.79"/>
    <x v="10"/>
    <x v="1"/>
    <n v="0.37601553829078804"/>
  </r>
  <r>
    <n v="2670"/>
    <d v="2024-06-12T00:00:00"/>
    <x v="2"/>
    <x v="2"/>
    <x v="10"/>
    <x v="3"/>
    <n v="1"/>
    <n v="856"/>
    <n v="15"/>
    <n v="727.6"/>
    <n v="495.46"/>
    <n v="232.14"/>
    <x v="4"/>
    <x v="0"/>
    <n v="0.31904892798240791"/>
  </r>
  <r>
    <n v="2671"/>
    <d v="2023-07-16T00:00:00"/>
    <x v="3"/>
    <x v="1"/>
    <x v="16"/>
    <x v="5"/>
    <n v="9"/>
    <n v="453"/>
    <n v="0"/>
    <n v="4077"/>
    <n v="2268.64"/>
    <n v="1808.36"/>
    <x v="5"/>
    <x v="1"/>
    <n v="0.44355163110129997"/>
  </r>
  <r>
    <n v="2672"/>
    <d v="2024-04-01T00:00:00"/>
    <x v="1"/>
    <x v="4"/>
    <x v="9"/>
    <x v="3"/>
    <n v="8"/>
    <n v="40"/>
    <n v="20"/>
    <n v="256"/>
    <n v="191.9"/>
    <n v="64.099999999999994"/>
    <x v="10"/>
    <x v="0"/>
    <n v="0.25039062499999998"/>
  </r>
  <r>
    <n v="2673"/>
    <d v="2024-08-05T00:00:00"/>
    <x v="2"/>
    <x v="0"/>
    <x v="13"/>
    <x v="1"/>
    <n v="2"/>
    <n v="645"/>
    <n v="10"/>
    <n v="1161"/>
    <n v="712.71"/>
    <n v="448.29"/>
    <x v="2"/>
    <x v="0"/>
    <n v="0.38612403100775194"/>
  </r>
  <r>
    <n v="2674"/>
    <d v="2024-05-02T00:00:00"/>
    <x v="1"/>
    <x v="2"/>
    <x v="17"/>
    <x v="3"/>
    <n v="6"/>
    <n v="884"/>
    <n v="10"/>
    <n v="4773.6000000000004"/>
    <n v="3595.47"/>
    <n v="1178.1300000000001"/>
    <x v="7"/>
    <x v="0"/>
    <n v="0.2468011563599799"/>
  </r>
  <r>
    <n v="2675"/>
    <d v="2023-02-05T00:00:00"/>
    <x v="1"/>
    <x v="2"/>
    <x v="17"/>
    <x v="5"/>
    <n v="7"/>
    <n v="746"/>
    <n v="20"/>
    <n v="4177.6000000000004"/>
    <n v="2758.4"/>
    <n v="1419.2"/>
    <x v="9"/>
    <x v="1"/>
    <n v="0.3397165836844121"/>
  </r>
  <r>
    <n v="2676"/>
    <d v="2023-02-03T00:00:00"/>
    <x v="0"/>
    <x v="3"/>
    <x v="11"/>
    <x v="1"/>
    <n v="10"/>
    <n v="51"/>
    <n v="20"/>
    <n v="408"/>
    <n v="233.15"/>
    <n v="174.85"/>
    <x v="9"/>
    <x v="1"/>
    <n v="0.42855392156862743"/>
  </r>
  <r>
    <n v="2677"/>
    <d v="2023-11-09T00:00:00"/>
    <x v="0"/>
    <x v="4"/>
    <x v="14"/>
    <x v="4"/>
    <n v="3"/>
    <n v="629"/>
    <n v="15"/>
    <n v="1603.95"/>
    <n v="1227.73"/>
    <n v="376.22"/>
    <x v="3"/>
    <x v="1"/>
    <n v="0.23455843386639236"/>
  </r>
  <r>
    <n v="2678"/>
    <d v="2024-05-25T00:00:00"/>
    <x v="1"/>
    <x v="1"/>
    <x v="7"/>
    <x v="5"/>
    <n v="8"/>
    <n v="123"/>
    <n v="0"/>
    <n v="984"/>
    <n v="660.2"/>
    <n v="323.8"/>
    <x v="7"/>
    <x v="0"/>
    <n v="0.32906504065040654"/>
  </r>
  <r>
    <n v="2679"/>
    <d v="2023-01-17T00:00:00"/>
    <x v="2"/>
    <x v="3"/>
    <x v="15"/>
    <x v="5"/>
    <n v="1"/>
    <n v="414"/>
    <n v="15"/>
    <n v="351.9"/>
    <n v="281.05"/>
    <n v="70.849999999999994"/>
    <x v="11"/>
    <x v="1"/>
    <n v="0.2013356067064507"/>
  </r>
  <r>
    <n v="2680"/>
    <d v="2023-10-19T00:00:00"/>
    <x v="1"/>
    <x v="3"/>
    <x v="11"/>
    <x v="3"/>
    <n v="9"/>
    <n v="293"/>
    <n v="5"/>
    <n v="2505.15"/>
    <n v="1884.68"/>
    <n v="620.47"/>
    <x v="1"/>
    <x v="1"/>
    <n v="0.24767778376544319"/>
  </r>
  <r>
    <n v="2681"/>
    <d v="2024-08-30T00:00:00"/>
    <x v="0"/>
    <x v="4"/>
    <x v="14"/>
    <x v="5"/>
    <n v="9"/>
    <n v="915"/>
    <n v="10"/>
    <n v="7411.5"/>
    <n v="4363.45"/>
    <n v="3048.05"/>
    <x v="2"/>
    <x v="0"/>
    <n v="0.41125952911016667"/>
  </r>
  <r>
    <n v="2682"/>
    <d v="2024-12-17T00:00:00"/>
    <x v="3"/>
    <x v="2"/>
    <x v="3"/>
    <x v="1"/>
    <n v="10"/>
    <n v="77"/>
    <n v="5"/>
    <n v="731.5"/>
    <n v="434.62"/>
    <n v="296.88"/>
    <x v="6"/>
    <x v="0"/>
    <n v="0.40585099111414902"/>
  </r>
  <r>
    <n v="2683"/>
    <d v="2023-08-11T00:00:00"/>
    <x v="2"/>
    <x v="1"/>
    <x v="7"/>
    <x v="2"/>
    <n v="6"/>
    <n v="124"/>
    <n v="0"/>
    <n v="744"/>
    <n v="582.78"/>
    <n v="161.22"/>
    <x v="2"/>
    <x v="1"/>
    <n v="0.21669354838709678"/>
  </r>
  <r>
    <n v="2684"/>
    <d v="2024-03-17T00:00:00"/>
    <x v="2"/>
    <x v="1"/>
    <x v="16"/>
    <x v="2"/>
    <n v="6"/>
    <n v="747"/>
    <n v="15"/>
    <n v="3809.7"/>
    <n v="2617.3200000000002"/>
    <n v="1192.3800000000001"/>
    <x v="8"/>
    <x v="0"/>
    <n v="0.31298527443105761"/>
  </r>
  <r>
    <n v="2685"/>
    <d v="2023-01-31T00:00:00"/>
    <x v="2"/>
    <x v="2"/>
    <x v="3"/>
    <x v="4"/>
    <n v="6"/>
    <n v="912"/>
    <n v="5"/>
    <n v="5198.3999999999996"/>
    <n v="4101.33"/>
    <n v="1097.07"/>
    <x v="11"/>
    <x v="1"/>
    <n v="0.21103993536472762"/>
  </r>
  <r>
    <n v="2686"/>
    <d v="2023-12-05T00:00:00"/>
    <x v="0"/>
    <x v="1"/>
    <x v="5"/>
    <x v="0"/>
    <n v="6"/>
    <n v="592"/>
    <n v="20"/>
    <n v="2841.6"/>
    <n v="1469.97"/>
    <n v="1371.63"/>
    <x v="6"/>
    <x v="1"/>
    <n v="0.4826963682432433"/>
  </r>
  <r>
    <n v="2687"/>
    <d v="2024-05-26T00:00:00"/>
    <x v="1"/>
    <x v="0"/>
    <x v="12"/>
    <x v="0"/>
    <n v="8"/>
    <n v="421"/>
    <n v="10"/>
    <n v="3031.2"/>
    <n v="1766.51"/>
    <n v="1264.69"/>
    <x v="7"/>
    <x v="0"/>
    <n v="0.41722420163631568"/>
  </r>
  <r>
    <n v="2688"/>
    <d v="2024-03-16T00:00:00"/>
    <x v="3"/>
    <x v="0"/>
    <x v="0"/>
    <x v="3"/>
    <n v="6"/>
    <n v="924"/>
    <n v="5"/>
    <n v="5266.8"/>
    <n v="4008.21"/>
    <n v="1258.5899999999999"/>
    <x v="8"/>
    <x v="0"/>
    <n v="0.23896673501936658"/>
  </r>
  <r>
    <n v="2689"/>
    <d v="2023-12-06T00:00:00"/>
    <x v="1"/>
    <x v="0"/>
    <x v="13"/>
    <x v="1"/>
    <n v="9"/>
    <n v="333"/>
    <n v="10"/>
    <n v="2697.3"/>
    <n v="1829.38"/>
    <n v="867.92"/>
    <x v="6"/>
    <x v="1"/>
    <n v="0.32177362547732913"/>
  </r>
  <r>
    <n v="2690"/>
    <d v="2024-10-04T00:00:00"/>
    <x v="0"/>
    <x v="4"/>
    <x v="18"/>
    <x v="4"/>
    <n v="6"/>
    <n v="862"/>
    <n v="15"/>
    <n v="4396.2"/>
    <n v="3407.57"/>
    <n v="988.63"/>
    <x v="1"/>
    <x v="0"/>
    <n v="0.22488285337336791"/>
  </r>
  <r>
    <n v="2691"/>
    <d v="2024-02-02T00:00:00"/>
    <x v="3"/>
    <x v="1"/>
    <x v="16"/>
    <x v="3"/>
    <n v="8"/>
    <n v="209"/>
    <n v="15"/>
    <n v="1421.2"/>
    <n v="793.02"/>
    <n v="628.17999999999995"/>
    <x v="9"/>
    <x v="0"/>
    <n v="0.44200675485505203"/>
  </r>
  <r>
    <n v="2692"/>
    <d v="2024-03-11T00:00:00"/>
    <x v="1"/>
    <x v="0"/>
    <x v="12"/>
    <x v="1"/>
    <n v="9"/>
    <n v="427"/>
    <n v="15"/>
    <n v="3266.55"/>
    <n v="2083.4"/>
    <n v="1183.1500000000001"/>
    <x v="8"/>
    <x v="0"/>
    <n v="0.36220171128560713"/>
  </r>
  <r>
    <n v="2693"/>
    <d v="2024-03-11T00:00:00"/>
    <x v="1"/>
    <x v="2"/>
    <x v="10"/>
    <x v="5"/>
    <n v="10"/>
    <n v="496"/>
    <n v="0"/>
    <n v="4960"/>
    <n v="3024.76"/>
    <n v="1935.24"/>
    <x v="8"/>
    <x v="0"/>
    <n v="0.39016935483870968"/>
  </r>
  <r>
    <n v="2694"/>
    <d v="2024-01-01T00:00:00"/>
    <x v="1"/>
    <x v="4"/>
    <x v="18"/>
    <x v="4"/>
    <n v="1"/>
    <n v="102"/>
    <n v="15"/>
    <n v="86.7"/>
    <n v="50.77"/>
    <n v="35.93"/>
    <x v="11"/>
    <x v="0"/>
    <n v="0.41441753171856976"/>
  </r>
  <r>
    <n v="2695"/>
    <d v="2023-08-07T00:00:00"/>
    <x v="0"/>
    <x v="1"/>
    <x v="16"/>
    <x v="0"/>
    <n v="8"/>
    <n v="989"/>
    <n v="5"/>
    <n v="7516.4"/>
    <n v="5884.77"/>
    <n v="1631.63"/>
    <x v="2"/>
    <x v="1"/>
    <n v="0.21707599382683201"/>
  </r>
  <r>
    <n v="2696"/>
    <d v="2023-07-20T00:00:00"/>
    <x v="2"/>
    <x v="2"/>
    <x v="6"/>
    <x v="1"/>
    <n v="2"/>
    <n v="111"/>
    <n v="10"/>
    <n v="199.8"/>
    <n v="157.61000000000001"/>
    <n v="42.19"/>
    <x v="5"/>
    <x v="1"/>
    <n v="0.21116116116116113"/>
  </r>
  <r>
    <n v="2697"/>
    <d v="2023-11-10T00:00:00"/>
    <x v="1"/>
    <x v="4"/>
    <x v="18"/>
    <x v="1"/>
    <n v="3"/>
    <n v="552"/>
    <n v="0"/>
    <n v="1656"/>
    <n v="1240.82"/>
    <n v="415.18"/>
    <x v="3"/>
    <x v="1"/>
    <n v="0.25071256038647344"/>
  </r>
  <r>
    <n v="2698"/>
    <d v="2023-07-14T00:00:00"/>
    <x v="1"/>
    <x v="0"/>
    <x v="0"/>
    <x v="1"/>
    <n v="9"/>
    <n v="346"/>
    <n v="0"/>
    <n v="3114"/>
    <n v="2243.2600000000002"/>
    <n v="870.74"/>
    <x v="5"/>
    <x v="1"/>
    <n v="0.27962106615285809"/>
  </r>
  <r>
    <n v="2699"/>
    <d v="2024-02-28T00:00:00"/>
    <x v="3"/>
    <x v="3"/>
    <x v="15"/>
    <x v="3"/>
    <n v="6"/>
    <n v="762"/>
    <n v="0"/>
    <n v="4572"/>
    <n v="2319.56"/>
    <n v="2252.44"/>
    <x v="9"/>
    <x v="0"/>
    <n v="0.49265966754155732"/>
  </r>
  <r>
    <n v="2700"/>
    <d v="2024-10-04T00:00:00"/>
    <x v="2"/>
    <x v="1"/>
    <x v="5"/>
    <x v="5"/>
    <n v="1"/>
    <n v="33"/>
    <n v="20"/>
    <n v="26.4"/>
    <n v="19.3"/>
    <n v="7.1"/>
    <x v="1"/>
    <x v="0"/>
    <n v="0.26893939393939392"/>
  </r>
  <r>
    <n v="2701"/>
    <d v="2023-09-24T00:00:00"/>
    <x v="3"/>
    <x v="4"/>
    <x v="14"/>
    <x v="1"/>
    <n v="4"/>
    <n v="149"/>
    <n v="0"/>
    <n v="596"/>
    <n v="359.4"/>
    <n v="236.6"/>
    <x v="0"/>
    <x v="1"/>
    <n v="0.39697986577181205"/>
  </r>
  <r>
    <n v="2702"/>
    <d v="2024-12-30T00:00:00"/>
    <x v="3"/>
    <x v="3"/>
    <x v="15"/>
    <x v="0"/>
    <n v="9"/>
    <n v="587"/>
    <n v="0"/>
    <n v="5283"/>
    <n v="2825.3"/>
    <n v="2457.6999999999998"/>
    <x v="6"/>
    <x v="0"/>
    <n v="0.46520916146129088"/>
  </r>
  <r>
    <n v="2703"/>
    <d v="2024-05-10T00:00:00"/>
    <x v="3"/>
    <x v="1"/>
    <x v="5"/>
    <x v="4"/>
    <n v="6"/>
    <n v="465"/>
    <n v="20"/>
    <n v="2232"/>
    <n v="1426.26"/>
    <n v="805.74"/>
    <x v="7"/>
    <x v="0"/>
    <n v="0.360994623655914"/>
  </r>
  <r>
    <n v="2704"/>
    <d v="2023-12-27T00:00:00"/>
    <x v="2"/>
    <x v="2"/>
    <x v="17"/>
    <x v="1"/>
    <n v="3"/>
    <n v="445"/>
    <n v="0"/>
    <n v="1335"/>
    <n v="974.42"/>
    <n v="360.58"/>
    <x v="6"/>
    <x v="1"/>
    <n v="0.27009737827715352"/>
  </r>
  <r>
    <n v="2705"/>
    <d v="2024-06-11T00:00:00"/>
    <x v="0"/>
    <x v="1"/>
    <x v="7"/>
    <x v="2"/>
    <n v="1"/>
    <n v="804"/>
    <n v="15"/>
    <n v="683.4"/>
    <n v="504.44"/>
    <n v="178.96"/>
    <x v="4"/>
    <x v="0"/>
    <n v="0.26186713491366698"/>
  </r>
  <r>
    <n v="2706"/>
    <d v="2024-05-02T00:00:00"/>
    <x v="3"/>
    <x v="2"/>
    <x v="3"/>
    <x v="1"/>
    <n v="4"/>
    <n v="169"/>
    <n v="15"/>
    <n v="574.6"/>
    <n v="433.54"/>
    <n v="141.06"/>
    <x v="7"/>
    <x v="0"/>
    <n v="0.2454925165332405"/>
  </r>
  <r>
    <n v="2707"/>
    <d v="2023-10-21T00:00:00"/>
    <x v="3"/>
    <x v="2"/>
    <x v="17"/>
    <x v="4"/>
    <n v="1"/>
    <n v="408"/>
    <n v="5"/>
    <n v="387.6"/>
    <n v="238.36"/>
    <n v="149.24"/>
    <x v="1"/>
    <x v="1"/>
    <n v="0.38503611971104229"/>
  </r>
  <r>
    <n v="2708"/>
    <d v="2024-11-04T00:00:00"/>
    <x v="3"/>
    <x v="0"/>
    <x v="1"/>
    <x v="0"/>
    <n v="6"/>
    <n v="433"/>
    <n v="0"/>
    <n v="2598"/>
    <n v="1466.85"/>
    <n v="1131.1500000000001"/>
    <x v="3"/>
    <x v="0"/>
    <n v="0.43539260969976906"/>
  </r>
  <r>
    <n v="2709"/>
    <d v="2024-01-16T00:00:00"/>
    <x v="0"/>
    <x v="3"/>
    <x v="11"/>
    <x v="3"/>
    <n v="7"/>
    <n v="204"/>
    <n v="5"/>
    <n v="1356.6"/>
    <n v="862.9"/>
    <n v="493.7"/>
    <x v="11"/>
    <x v="0"/>
    <n v="0.36392451717529117"/>
  </r>
  <r>
    <n v="2710"/>
    <d v="2024-10-12T00:00:00"/>
    <x v="3"/>
    <x v="1"/>
    <x v="7"/>
    <x v="4"/>
    <n v="1"/>
    <n v="640"/>
    <n v="5"/>
    <n v="608"/>
    <n v="368.75"/>
    <n v="239.25"/>
    <x v="1"/>
    <x v="0"/>
    <n v="0.39350328947368424"/>
  </r>
  <r>
    <n v="2711"/>
    <d v="2024-01-25T00:00:00"/>
    <x v="3"/>
    <x v="4"/>
    <x v="9"/>
    <x v="1"/>
    <n v="2"/>
    <n v="643"/>
    <n v="10"/>
    <n v="1157.4000000000001"/>
    <n v="671.16"/>
    <n v="486.24"/>
    <x v="11"/>
    <x v="0"/>
    <n v="0.42011404872991187"/>
  </r>
  <r>
    <n v="2712"/>
    <d v="2024-08-15T00:00:00"/>
    <x v="0"/>
    <x v="2"/>
    <x v="3"/>
    <x v="4"/>
    <n v="8"/>
    <n v="396"/>
    <n v="10"/>
    <n v="2851.2"/>
    <n v="2038.72"/>
    <n v="812.48"/>
    <x v="2"/>
    <x v="0"/>
    <n v="0.28496071829405167"/>
  </r>
  <r>
    <n v="2713"/>
    <d v="2023-02-11T00:00:00"/>
    <x v="3"/>
    <x v="0"/>
    <x v="0"/>
    <x v="4"/>
    <n v="7"/>
    <n v="402"/>
    <n v="0"/>
    <n v="2814"/>
    <n v="2189.1"/>
    <n v="624.9"/>
    <x v="9"/>
    <x v="1"/>
    <n v="0.2220682302771855"/>
  </r>
  <r>
    <n v="2714"/>
    <d v="2024-12-03T00:00:00"/>
    <x v="1"/>
    <x v="3"/>
    <x v="15"/>
    <x v="4"/>
    <n v="6"/>
    <n v="295"/>
    <n v="20"/>
    <n v="1416"/>
    <n v="734.7"/>
    <n v="681.3"/>
    <x v="6"/>
    <x v="0"/>
    <n v="0.48114406779661012"/>
  </r>
  <r>
    <n v="2715"/>
    <d v="2024-10-29T00:00:00"/>
    <x v="0"/>
    <x v="4"/>
    <x v="8"/>
    <x v="5"/>
    <n v="1"/>
    <n v="453"/>
    <n v="5"/>
    <n v="430.35"/>
    <n v="314.18"/>
    <n v="116.17"/>
    <x v="1"/>
    <x v="0"/>
    <n v="0.26994306959451608"/>
  </r>
  <r>
    <n v="2716"/>
    <d v="2024-05-22T00:00:00"/>
    <x v="0"/>
    <x v="2"/>
    <x v="6"/>
    <x v="5"/>
    <n v="9"/>
    <n v="493"/>
    <n v="5"/>
    <n v="4215.1499999999996"/>
    <n v="3119.83"/>
    <n v="1095.32"/>
    <x v="7"/>
    <x v="0"/>
    <n v="0.25985314876101684"/>
  </r>
  <r>
    <n v="2717"/>
    <d v="2024-02-19T00:00:00"/>
    <x v="2"/>
    <x v="0"/>
    <x v="12"/>
    <x v="5"/>
    <n v="7"/>
    <n v="526"/>
    <n v="5"/>
    <n v="3497.9"/>
    <n v="2289.4299999999998"/>
    <n v="1208.47"/>
    <x v="9"/>
    <x v="0"/>
    <n v="0.34548443351725322"/>
  </r>
  <r>
    <n v="2718"/>
    <d v="2023-04-28T00:00:00"/>
    <x v="3"/>
    <x v="4"/>
    <x v="14"/>
    <x v="3"/>
    <n v="1"/>
    <n v="624"/>
    <n v="0"/>
    <n v="624"/>
    <n v="317.58"/>
    <n v="306.42"/>
    <x v="10"/>
    <x v="1"/>
    <n v="0.49105769230769231"/>
  </r>
  <r>
    <n v="2719"/>
    <d v="2024-11-12T00:00:00"/>
    <x v="1"/>
    <x v="3"/>
    <x v="4"/>
    <x v="5"/>
    <n v="6"/>
    <n v="463"/>
    <n v="0"/>
    <n v="2778"/>
    <n v="2092.0100000000002"/>
    <n v="685.99"/>
    <x v="3"/>
    <x v="0"/>
    <n v="0.24693664506839452"/>
  </r>
  <r>
    <n v="2720"/>
    <d v="2023-03-28T00:00:00"/>
    <x v="0"/>
    <x v="0"/>
    <x v="0"/>
    <x v="3"/>
    <n v="9"/>
    <n v="961"/>
    <n v="10"/>
    <n v="7784.1"/>
    <n v="4474.8900000000003"/>
    <n v="3309.21"/>
    <x v="8"/>
    <x v="1"/>
    <n v="0.4251242918256446"/>
  </r>
  <r>
    <n v="2721"/>
    <d v="2023-02-03T00:00:00"/>
    <x v="3"/>
    <x v="3"/>
    <x v="4"/>
    <x v="3"/>
    <n v="9"/>
    <n v="295"/>
    <n v="5"/>
    <n v="2522.25"/>
    <n v="1268.21"/>
    <n v="1254.04"/>
    <x v="9"/>
    <x v="1"/>
    <n v="0.49719100009911782"/>
  </r>
  <r>
    <n v="2722"/>
    <d v="2024-08-04T00:00:00"/>
    <x v="2"/>
    <x v="1"/>
    <x v="16"/>
    <x v="0"/>
    <n v="2"/>
    <n v="485"/>
    <n v="5"/>
    <n v="921.5"/>
    <n v="692.47"/>
    <n v="229.03"/>
    <x v="2"/>
    <x v="0"/>
    <n v="0.24854042322300596"/>
  </r>
  <r>
    <n v="2723"/>
    <d v="2023-11-05T00:00:00"/>
    <x v="0"/>
    <x v="0"/>
    <x v="12"/>
    <x v="3"/>
    <n v="7"/>
    <n v="845"/>
    <n v="0"/>
    <n v="5915"/>
    <n v="3706.84"/>
    <n v="2208.16"/>
    <x v="3"/>
    <x v="1"/>
    <n v="0.37331530008453084"/>
  </r>
  <r>
    <n v="2724"/>
    <d v="2023-04-23T00:00:00"/>
    <x v="2"/>
    <x v="0"/>
    <x v="1"/>
    <x v="2"/>
    <n v="5"/>
    <n v="160"/>
    <n v="15"/>
    <n v="680"/>
    <n v="511.7"/>
    <n v="168.3"/>
    <x v="10"/>
    <x v="1"/>
    <n v="0.24750000000000003"/>
  </r>
  <r>
    <n v="2725"/>
    <d v="2024-12-30T00:00:00"/>
    <x v="2"/>
    <x v="3"/>
    <x v="19"/>
    <x v="5"/>
    <n v="9"/>
    <n v="902"/>
    <n v="0"/>
    <n v="8118"/>
    <n v="4078.43"/>
    <n v="4039.57"/>
    <x v="6"/>
    <x v="0"/>
    <n v="0.49760655333826065"/>
  </r>
  <r>
    <n v="2726"/>
    <d v="2024-08-15T00:00:00"/>
    <x v="0"/>
    <x v="3"/>
    <x v="15"/>
    <x v="3"/>
    <n v="10"/>
    <n v="522"/>
    <n v="5"/>
    <n v="4959"/>
    <n v="2631.27"/>
    <n v="2327.73"/>
    <x v="2"/>
    <x v="0"/>
    <n v="0.46939503932244403"/>
  </r>
  <r>
    <n v="2727"/>
    <d v="2024-02-14T00:00:00"/>
    <x v="2"/>
    <x v="0"/>
    <x v="13"/>
    <x v="4"/>
    <n v="2"/>
    <n v="800"/>
    <n v="20"/>
    <n v="1280"/>
    <n v="986.98"/>
    <n v="293.02"/>
    <x v="9"/>
    <x v="0"/>
    <n v="0.228921875"/>
  </r>
  <r>
    <n v="2728"/>
    <d v="2023-07-22T00:00:00"/>
    <x v="0"/>
    <x v="2"/>
    <x v="10"/>
    <x v="4"/>
    <n v="7"/>
    <n v="347"/>
    <n v="15"/>
    <n v="2064.65"/>
    <n v="1300.6500000000001"/>
    <n v="764"/>
    <x v="5"/>
    <x v="1"/>
    <n v="0.3700385053156709"/>
  </r>
  <r>
    <n v="2729"/>
    <d v="2023-05-19T00:00:00"/>
    <x v="1"/>
    <x v="3"/>
    <x v="15"/>
    <x v="0"/>
    <n v="8"/>
    <n v="746"/>
    <n v="0"/>
    <n v="5968"/>
    <n v="4581.59"/>
    <n v="1386.41"/>
    <x v="7"/>
    <x v="1"/>
    <n v="0.23230730563002683"/>
  </r>
  <r>
    <n v="2730"/>
    <d v="2023-08-20T00:00:00"/>
    <x v="1"/>
    <x v="1"/>
    <x v="7"/>
    <x v="0"/>
    <n v="5"/>
    <n v="884"/>
    <n v="0"/>
    <n v="4420"/>
    <n v="2778.96"/>
    <n v="1641.04"/>
    <x v="2"/>
    <x v="1"/>
    <n v="0.37127601809954752"/>
  </r>
  <r>
    <n v="2731"/>
    <d v="2024-04-20T00:00:00"/>
    <x v="2"/>
    <x v="1"/>
    <x v="16"/>
    <x v="3"/>
    <n v="9"/>
    <n v="222"/>
    <n v="15"/>
    <n v="1698.3"/>
    <n v="1077.18"/>
    <n v="621.12"/>
    <x v="10"/>
    <x v="0"/>
    <n v="0.36573043631867164"/>
  </r>
  <r>
    <n v="2732"/>
    <d v="2023-12-04T00:00:00"/>
    <x v="2"/>
    <x v="1"/>
    <x v="16"/>
    <x v="4"/>
    <n v="10"/>
    <n v="378"/>
    <n v="0"/>
    <n v="3780"/>
    <n v="2073.7600000000002"/>
    <n v="1706.24"/>
    <x v="6"/>
    <x v="1"/>
    <n v="0.45138624338624339"/>
  </r>
  <r>
    <n v="2733"/>
    <d v="2024-01-05T00:00:00"/>
    <x v="2"/>
    <x v="3"/>
    <x v="11"/>
    <x v="3"/>
    <n v="2"/>
    <n v="259"/>
    <n v="5"/>
    <n v="492.1"/>
    <n v="373.77"/>
    <n v="118.33"/>
    <x v="11"/>
    <x v="0"/>
    <n v="0.24045925624872991"/>
  </r>
  <r>
    <n v="2734"/>
    <d v="2024-12-31T00:00:00"/>
    <x v="0"/>
    <x v="2"/>
    <x v="3"/>
    <x v="2"/>
    <n v="2"/>
    <n v="391"/>
    <n v="15"/>
    <n v="664.7"/>
    <n v="420.09"/>
    <n v="244.61"/>
    <x v="6"/>
    <x v="0"/>
    <n v="0.36800060177523697"/>
  </r>
  <r>
    <n v="2735"/>
    <d v="2023-02-08T00:00:00"/>
    <x v="3"/>
    <x v="1"/>
    <x v="16"/>
    <x v="3"/>
    <n v="10"/>
    <n v="522"/>
    <n v="15"/>
    <n v="4437"/>
    <n v="3511.85"/>
    <n v="925.15"/>
    <x v="9"/>
    <x v="1"/>
    <n v="0.20850800090151003"/>
  </r>
  <r>
    <n v="2736"/>
    <d v="2024-06-20T00:00:00"/>
    <x v="3"/>
    <x v="1"/>
    <x v="7"/>
    <x v="4"/>
    <n v="3"/>
    <n v="256"/>
    <n v="15"/>
    <n v="652.79999999999995"/>
    <n v="352.54"/>
    <n v="300.26"/>
    <x v="4"/>
    <x v="0"/>
    <n v="0.45995710784313726"/>
  </r>
  <r>
    <n v="2737"/>
    <d v="2023-01-24T00:00:00"/>
    <x v="3"/>
    <x v="4"/>
    <x v="8"/>
    <x v="5"/>
    <n v="4"/>
    <n v="114"/>
    <n v="10"/>
    <n v="410.4"/>
    <n v="227.61"/>
    <n v="182.79"/>
    <x v="11"/>
    <x v="1"/>
    <n v="0.44539473684210529"/>
  </r>
  <r>
    <n v="2738"/>
    <d v="2023-12-27T00:00:00"/>
    <x v="1"/>
    <x v="1"/>
    <x v="5"/>
    <x v="5"/>
    <n v="10"/>
    <n v="71"/>
    <n v="5"/>
    <n v="674.5"/>
    <n v="356.73"/>
    <n v="317.77"/>
    <x v="6"/>
    <x v="1"/>
    <n v="0.47111934766493696"/>
  </r>
  <r>
    <n v="2739"/>
    <d v="2023-02-16T00:00:00"/>
    <x v="0"/>
    <x v="4"/>
    <x v="8"/>
    <x v="5"/>
    <n v="4"/>
    <n v="467"/>
    <n v="5"/>
    <n v="1774.6"/>
    <n v="1384.73"/>
    <n v="389.87"/>
    <x v="9"/>
    <x v="1"/>
    <n v="0.21969457906006989"/>
  </r>
  <r>
    <n v="2740"/>
    <d v="2024-09-16T00:00:00"/>
    <x v="0"/>
    <x v="4"/>
    <x v="14"/>
    <x v="0"/>
    <n v="10"/>
    <n v="420"/>
    <n v="15"/>
    <n v="3570"/>
    <n v="2018.49"/>
    <n v="1551.51"/>
    <x v="0"/>
    <x v="0"/>
    <n v="0.43459663865546216"/>
  </r>
  <r>
    <n v="2741"/>
    <d v="2023-02-26T00:00:00"/>
    <x v="0"/>
    <x v="4"/>
    <x v="18"/>
    <x v="3"/>
    <n v="8"/>
    <n v="918"/>
    <n v="5"/>
    <n v="6976.8"/>
    <n v="3937.31"/>
    <n v="3039.49"/>
    <x v="9"/>
    <x v="1"/>
    <n v="0.43565674807934868"/>
  </r>
  <r>
    <n v="2742"/>
    <d v="2023-03-13T00:00:00"/>
    <x v="0"/>
    <x v="2"/>
    <x v="6"/>
    <x v="3"/>
    <n v="2"/>
    <n v="136"/>
    <n v="15"/>
    <n v="231.2"/>
    <n v="132.62"/>
    <n v="98.58"/>
    <x v="8"/>
    <x v="1"/>
    <n v="0.42638408304498271"/>
  </r>
  <r>
    <n v="2743"/>
    <d v="2023-08-06T00:00:00"/>
    <x v="1"/>
    <x v="2"/>
    <x v="6"/>
    <x v="2"/>
    <n v="7"/>
    <n v="593"/>
    <n v="0"/>
    <n v="4151"/>
    <n v="2189.19"/>
    <n v="1961.81"/>
    <x v="2"/>
    <x v="1"/>
    <n v="0.47261141893519631"/>
  </r>
  <r>
    <n v="2744"/>
    <d v="2024-04-02T00:00:00"/>
    <x v="3"/>
    <x v="1"/>
    <x v="2"/>
    <x v="2"/>
    <n v="4"/>
    <n v="62"/>
    <n v="20"/>
    <n v="198.4"/>
    <n v="115.63"/>
    <n v="82.77"/>
    <x v="10"/>
    <x v="0"/>
    <n v="0.41718749999999999"/>
  </r>
  <r>
    <n v="2745"/>
    <d v="2023-08-22T00:00:00"/>
    <x v="0"/>
    <x v="0"/>
    <x v="13"/>
    <x v="1"/>
    <n v="1"/>
    <n v="946"/>
    <n v="15"/>
    <n v="804.1"/>
    <n v="565.66999999999996"/>
    <n v="238.43"/>
    <x v="2"/>
    <x v="1"/>
    <n v="0.29651784603904985"/>
  </r>
  <r>
    <n v="2746"/>
    <d v="2023-08-06T00:00:00"/>
    <x v="2"/>
    <x v="1"/>
    <x v="16"/>
    <x v="1"/>
    <n v="5"/>
    <n v="344"/>
    <n v="15"/>
    <n v="1462"/>
    <n v="985.74"/>
    <n v="476.26"/>
    <x v="2"/>
    <x v="1"/>
    <n v="0.3257592339261286"/>
  </r>
  <r>
    <n v="2747"/>
    <d v="2023-08-06T00:00:00"/>
    <x v="2"/>
    <x v="1"/>
    <x v="7"/>
    <x v="2"/>
    <n v="1"/>
    <n v="681"/>
    <n v="5"/>
    <n v="646.95000000000005"/>
    <n v="382.05"/>
    <n v="264.89999999999998"/>
    <x v="2"/>
    <x v="1"/>
    <n v="0.40945977277996748"/>
  </r>
  <r>
    <n v="2748"/>
    <d v="2023-10-15T00:00:00"/>
    <x v="0"/>
    <x v="4"/>
    <x v="18"/>
    <x v="0"/>
    <n v="3"/>
    <n v="510"/>
    <n v="0"/>
    <n v="1530"/>
    <n v="955.2"/>
    <n v="574.79999999999995"/>
    <x v="1"/>
    <x v="1"/>
    <n v="0.37568627450980391"/>
  </r>
  <r>
    <n v="2749"/>
    <d v="2023-02-20T00:00:00"/>
    <x v="2"/>
    <x v="2"/>
    <x v="10"/>
    <x v="5"/>
    <n v="9"/>
    <n v="455"/>
    <n v="10"/>
    <n v="3685.5"/>
    <n v="2937.78"/>
    <n v="747.72"/>
    <x v="9"/>
    <x v="1"/>
    <n v="0.20288156288156289"/>
  </r>
  <r>
    <n v="2750"/>
    <d v="2024-02-07T00:00:00"/>
    <x v="0"/>
    <x v="3"/>
    <x v="19"/>
    <x v="4"/>
    <n v="9"/>
    <n v="138"/>
    <n v="5"/>
    <n v="1179.9000000000001"/>
    <n v="648.39"/>
    <n v="531.51"/>
    <x v="9"/>
    <x v="0"/>
    <n v="0.45047037884566482"/>
  </r>
  <r>
    <n v="2751"/>
    <d v="2023-01-12T00:00:00"/>
    <x v="2"/>
    <x v="1"/>
    <x v="5"/>
    <x v="2"/>
    <n v="4"/>
    <n v="117"/>
    <n v="20"/>
    <n v="374.4"/>
    <n v="233.58"/>
    <n v="140.82"/>
    <x v="11"/>
    <x v="1"/>
    <n v="0.37612179487179487"/>
  </r>
  <r>
    <n v="2752"/>
    <d v="2024-02-09T00:00:00"/>
    <x v="3"/>
    <x v="4"/>
    <x v="9"/>
    <x v="1"/>
    <n v="5"/>
    <n v="926"/>
    <n v="15"/>
    <n v="3935.5"/>
    <n v="3128.96"/>
    <n v="806.54"/>
    <x v="9"/>
    <x v="0"/>
    <n v="0.2049396518866726"/>
  </r>
  <r>
    <n v="2753"/>
    <d v="2024-09-27T00:00:00"/>
    <x v="3"/>
    <x v="2"/>
    <x v="17"/>
    <x v="3"/>
    <n v="8"/>
    <n v="220"/>
    <n v="0"/>
    <n v="1760"/>
    <n v="1193.93"/>
    <n v="566.07000000000005"/>
    <x v="0"/>
    <x v="0"/>
    <n v="0.32163068181818183"/>
  </r>
  <r>
    <n v="2754"/>
    <d v="2023-05-30T00:00:00"/>
    <x v="0"/>
    <x v="3"/>
    <x v="19"/>
    <x v="0"/>
    <n v="5"/>
    <n v="580"/>
    <n v="0"/>
    <n v="2900"/>
    <n v="2317.12"/>
    <n v="582.88"/>
    <x v="7"/>
    <x v="1"/>
    <n v="0.20099310344827587"/>
  </r>
  <r>
    <n v="2755"/>
    <d v="2023-07-14T00:00:00"/>
    <x v="1"/>
    <x v="3"/>
    <x v="19"/>
    <x v="3"/>
    <n v="3"/>
    <n v="243"/>
    <n v="20"/>
    <n v="583.20000000000005"/>
    <n v="381.08"/>
    <n v="202.12"/>
    <x v="5"/>
    <x v="1"/>
    <n v="0.34657064471879284"/>
  </r>
  <r>
    <n v="2756"/>
    <d v="2023-11-04T00:00:00"/>
    <x v="1"/>
    <x v="1"/>
    <x v="2"/>
    <x v="0"/>
    <n v="1"/>
    <n v="204"/>
    <n v="10"/>
    <n v="183.6"/>
    <n v="126.37"/>
    <n v="57.23"/>
    <x v="3"/>
    <x v="1"/>
    <n v="0.31171023965141609"/>
  </r>
  <r>
    <n v="2757"/>
    <d v="2023-01-19T00:00:00"/>
    <x v="2"/>
    <x v="3"/>
    <x v="11"/>
    <x v="3"/>
    <n v="7"/>
    <n v="503"/>
    <n v="10"/>
    <n v="3168.9"/>
    <n v="2148.02"/>
    <n v="1020.88"/>
    <x v="11"/>
    <x v="1"/>
    <n v="0.32215595316986967"/>
  </r>
  <r>
    <n v="2758"/>
    <d v="2023-03-06T00:00:00"/>
    <x v="3"/>
    <x v="4"/>
    <x v="14"/>
    <x v="5"/>
    <n v="9"/>
    <n v="516"/>
    <n v="5"/>
    <n v="4411.8"/>
    <n v="2332.5700000000002"/>
    <n v="2079.23"/>
    <x v="8"/>
    <x v="1"/>
    <n v="0.47128836302642912"/>
  </r>
  <r>
    <n v="2759"/>
    <d v="2023-10-22T00:00:00"/>
    <x v="3"/>
    <x v="1"/>
    <x v="16"/>
    <x v="5"/>
    <n v="2"/>
    <n v="978"/>
    <n v="0"/>
    <n v="1956"/>
    <n v="1265.92"/>
    <n v="690.08"/>
    <x v="1"/>
    <x v="1"/>
    <n v="0.35280163599182007"/>
  </r>
  <r>
    <n v="2760"/>
    <d v="2024-01-07T00:00:00"/>
    <x v="2"/>
    <x v="1"/>
    <x v="5"/>
    <x v="1"/>
    <n v="3"/>
    <n v="449"/>
    <n v="5"/>
    <n v="1279.6500000000001"/>
    <n v="861.78"/>
    <n v="417.87"/>
    <x v="11"/>
    <x v="0"/>
    <n v="0.32655022857812682"/>
  </r>
  <r>
    <n v="2761"/>
    <d v="2024-07-28T00:00:00"/>
    <x v="1"/>
    <x v="3"/>
    <x v="11"/>
    <x v="1"/>
    <n v="9"/>
    <n v="350"/>
    <n v="10"/>
    <n v="2835"/>
    <n v="2067.5500000000002"/>
    <n v="767.45"/>
    <x v="5"/>
    <x v="0"/>
    <n v="0.27070546737213408"/>
  </r>
  <r>
    <n v="2762"/>
    <d v="2024-03-23T00:00:00"/>
    <x v="3"/>
    <x v="2"/>
    <x v="3"/>
    <x v="3"/>
    <n v="6"/>
    <n v="610"/>
    <n v="20"/>
    <n v="2928"/>
    <n v="1996.22"/>
    <n v="931.78"/>
    <x v="8"/>
    <x v="0"/>
    <n v="0.31823087431693986"/>
  </r>
  <r>
    <n v="2763"/>
    <d v="2023-08-02T00:00:00"/>
    <x v="2"/>
    <x v="1"/>
    <x v="5"/>
    <x v="0"/>
    <n v="8"/>
    <n v="817"/>
    <n v="15"/>
    <n v="5555.6"/>
    <n v="3607.26"/>
    <n v="1948.34"/>
    <x v="2"/>
    <x v="1"/>
    <n v="0.35069839441284467"/>
  </r>
  <r>
    <n v="2764"/>
    <d v="2024-05-03T00:00:00"/>
    <x v="3"/>
    <x v="4"/>
    <x v="8"/>
    <x v="2"/>
    <n v="8"/>
    <n v="550"/>
    <n v="5"/>
    <n v="4180"/>
    <n v="2656.11"/>
    <n v="1523.89"/>
    <x v="7"/>
    <x v="0"/>
    <n v="0.36456698564593304"/>
  </r>
  <r>
    <n v="2765"/>
    <d v="2024-12-22T00:00:00"/>
    <x v="3"/>
    <x v="1"/>
    <x v="2"/>
    <x v="2"/>
    <n v="1"/>
    <n v="584"/>
    <n v="10"/>
    <n v="525.6"/>
    <n v="299.64"/>
    <n v="225.96"/>
    <x v="6"/>
    <x v="0"/>
    <n v="0.42990867579908676"/>
  </r>
  <r>
    <n v="2766"/>
    <d v="2024-01-15T00:00:00"/>
    <x v="3"/>
    <x v="1"/>
    <x v="16"/>
    <x v="0"/>
    <n v="1"/>
    <n v="420"/>
    <n v="0"/>
    <n v="420"/>
    <n v="267.27999999999997"/>
    <n v="152.72"/>
    <x v="11"/>
    <x v="0"/>
    <n v="0.36361904761904762"/>
  </r>
  <r>
    <n v="2767"/>
    <d v="2023-07-07T00:00:00"/>
    <x v="2"/>
    <x v="4"/>
    <x v="18"/>
    <x v="3"/>
    <n v="8"/>
    <n v="897"/>
    <n v="15"/>
    <n v="6099.6"/>
    <n v="3934.2"/>
    <n v="2165.4"/>
    <x v="5"/>
    <x v="1"/>
    <n v="0.35500688569742278"/>
  </r>
  <r>
    <n v="2768"/>
    <d v="2024-08-21T00:00:00"/>
    <x v="1"/>
    <x v="4"/>
    <x v="9"/>
    <x v="0"/>
    <n v="5"/>
    <n v="352"/>
    <n v="20"/>
    <n v="1408"/>
    <n v="714.5"/>
    <n v="693.5"/>
    <x v="2"/>
    <x v="0"/>
    <n v="0.49254261363636365"/>
  </r>
  <r>
    <n v="2769"/>
    <d v="2023-06-27T00:00:00"/>
    <x v="3"/>
    <x v="2"/>
    <x v="6"/>
    <x v="3"/>
    <n v="2"/>
    <n v="901"/>
    <n v="20"/>
    <n v="1441.6"/>
    <n v="756.65"/>
    <n v="684.95"/>
    <x v="4"/>
    <x v="1"/>
    <n v="0.47513179800221983"/>
  </r>
  <r>
    <n v="2770"/>
    <d v="2023-06-04T00:00:00"/>
    <x v="1"/>
    <x v="2"/>
    <x v="6"/>
    <x v="1"/>
    <n v="2"/>
    <n v="202"/>
    <n v="0"/>
    <n v="404"/>
    <n v="242.83"/>
    <n v="161.16999999999999"/>
    <x v="4"/>
    <x v="1"/>
    <n v="0.3989356435643564"/>
  </r>
  <r>
    <n v="2771"/>
    <d v="2024-11-26T00:00:00"/>
    <x v="3"/>
    <x v="3"/>
    <x v="4"/>
    <x v="1"/>
    <n v="8"/>
    <n v="837"/>
    <n v="15"/>
    <n v="5691.6"/>
    <n v="3628.02"/>
    <n v="2063.58"/>
    <x v="3"/>
    <x v="0"/>
    <n v="0.36256588656968158"/>
  </r>
  <r>
    <n v="2772"/>
    <d v="2024-03-19T00:00:00"/>
    <x v="2"/>
    <x v="0"/>
    <x v="0"/>
    <x v="1"/>
    <n v="6"/>
    <n v="438"/>
    <n v="5"/>
    <n v="2496.6"/>
    <n v="1763.09"/>
    <n v="733.51"/>
    <x v="8"/>
    <x v="0"/>
    <n v="0.29380357285908837"/>
  </r>
  <r>
    <n v="2773"/>
    <d v="2024-08-16T00:00:00"/>
    <x v="2"/>
    <x v="2"/>
    <x v="3"/>
    <x v="4"/>
    <n v="5"/>
    <n v="401"/>
    <n v="10"/>
    <n v="1804.5"/>
    <n v="1362.26"/>
    <n v="442.24"/>
    <x v="2"/>
    <x v="0"/>
    <n v="0.24507619839290662"/>
  </r>
  <r>
    <n v="2774"/>
    <d v="2024-05-03T00:00:00"/>
    <x v="1"/>
    <x v="4"/>
    <x v="18"/>
    <x v="3"/>
    <n v="3"/>
    <n v="65"/>
    <n v="10"/>
    <n v="175.5"/>
    <n v="114.69"/>
    <n v="60.81"/>
    <x v="7"/>
    <x v="0"/>
    <n v="0.34649572649572652"/>
  </r>
  <r>
    <n v="2775"/>
    <d v="2024-03-04T00:00:00"/>
    <x v="0"/>
    <x v="1"/>
    <x v="7"/>
    <x v="4"/>
    <n v="10"/>
    <n v="498"/>
    <n v="10"/>
    <n v="4482"/>
    <n v="3133.67"/>
    <n v="1348.33"/>
    <x v="8"/>
    <x v="0"/>
    <n v="0.30083221775992858"/>
  </r>
  <r>
    <n v="2776"/>
    <d v="2023-07-29T00:00:00"/>
    <x v="3"/>
    <x v="4"/>
    <x v="8"/>
    <x v="0"/>
    <n v="3"/>
    <n v="274"/>
    <n v="20"/>
    <n v="657.6"/>
    <n v="332.02"/>
    <n v="325.58"/>
    <x v="5"/>
    <x v="1"/>
    <n v="0.495103406326034"/>
  </r>
  <r>
    <n v="2777"/>
    <d v="2023-11-19T00:00:00"/>
    <x v="1"/>
    <x v="4"/>
    <x v="14"/>
    <x v="2"/>
    <n v="3"/>
    <n v="450"/>
    <n v="15"/>
    <n v="1147.5"/>
    <n v="861.01"/>
    <n v="286.49"/>
    <x v="3"/>
    <x v="1"/>
    <n v="0.24966448801742921"/>
  </r>
  <r>
    <n v="2778"/>
    <d v="2024-05-20T00:00:00"/>
    <x v="2"/>
    <x v="0"/>
    <x v="13"/>
    <x v="5"/>
    <n v="3"/>
    <n v="318"/>
    <n v="0"/>
    <n v="954"/>
    <n v="690.16"/>
    <n v="263.83999999999997"/>
    <x v="7"/>
    <x v="0"/>
    <n v="0.27656184486373164"/>
  </r>
  <r>
    <n v="2779"/>
    <d v="2024-10-17T00:00:00"/>
    <x v="3"/>
    <x v="0"/>
    <x v="0"/>
    <x v="5"/>
    <n v="9"/>
    <n v="372"/>
    <n v="0"/>
    <n v="3348"/>
    <n v="1786.33"/>
    <n v="1561.67"/>
    <x v="1"/>
    <x v="0"/>
    <n v="0.46644862604540027"/>
  </r>
  <r>
    <n v="2780"/>
    <d v="2024-05-08T00:00:00"/>
    <x v="0"/>
    <x v="2"/>
    <x v="6"/>
    <x v="3"/>
    <n v="3"/>
    <n v="195"/>
    <n v="15"/>
    <n v="497.25"/>
    <n v="388.44"/>
    <n v="108.81"/>
    <x v="7"/>
    <x v="0"/>
    <n v="0.21882352941176472"/>
  </r>
  <r>
    <n v="2781"/>
    <d v="2024-09-09T00:00:00"/>
    <x v="0"/>
    <x v="2"/>
    <x v="3"/>
    <x v="1"/>
    <n v="7"/>
    <n v="241"/>
    <n v="5"/>
    <n v="1602.65"/>
    <n v="1272.72"/>
    <n v="329.93"/>
    <x v="0"/>
    <x v="0"/>
    <n v="0.20586528562069073"/>
  </r>
  <r>
    <n v="2782"/>
    <d v="2023-04-28T00:00:00"/>
    <x v="3"/>
    <x v="2"/>
    <x v="6"/>
    <x v="1"/>
    <n v="3"/>
    <n v="124"/>
    <n v="0"/>
    <n v="372"/>
    <n v="274.22000000000003"/>
    <n v="97.78"/>
    <x v="10"/>
    <x v="1"/>
    <n v="0.26284946236559142"/>
  </r>
  <r>
    <n v="2783"/>
    <d v="2024-01-04T00:00:00"/>
    <x v="1"/>
    <x v="0"/>
    <x v="0"/>
    <x v="1"/>
    <n v="3"/>
    <n v="532"/>
    <n v="5"/>
    <n v="1516.2"/>
    <n v="1100.8800000000001"/>
    <n v="415.32"/>
    <x v="11"/>
    <x v="0"/>
    <n v="0.27392164622081516"/>
  </r>
  <r>
    <n v="2784"/>
    <d v="2024-08-10T00:00:00"/>
    <x v="1"/>
    <x v="1"/>
    <x v="16"/>
    <x v="4"/>
    <n v="5"/>
    <n v="312"/>
    <n v="5"/>
    <n v="1482"/>
    <n v="751.84"/>
    <n v="730.16"/>
    <x v="2"/>
    <x v="0"/>
    <n v="0.49268556005398106"/>
  </r>
  <r>
    <n v="2785"/>
    <d v="2024-09-05T00:00:00"/>
    <x v="1"/>
    <x v="1"/>
    <x v="5"/>
    <x v="2"/>
    <n v="2"/>
    <n v="924"/>
    <n v="10"/>
    <n v="1663.2"/>
    <n v="1218.57"/>
    <n v="444.63"/>
    <x v="0"/>
    <x v="0"/>
    <n v="0.26733405483405481"/>
  </r>
  <r>
    <n v="2786"/>
    <d v="2023-12-11T00:00:00"/>
    <x v="2"/>
    <x v="4"/>
    <x v="14"/>
    <x v="5"/>
    <n v="10"/>
    <n v="141"/>
    <n v="20"/>
    <n v="1128"/>
    <n v="644.73"/>
    <n v="483.27"/>
    <x v="6"/>
    <x v="1"/>
    <n v="0.42843085106382978"/>
  </r>
  <r>
    <n v="2787"/>
    <d v="2024-06-07T00:00:00"/>
    <x v="2"/>
    <x v="3"/>
    <x v="15"/>
    <x v="5"/>
    <n v="10"/>
    <n v="287"/>
    <n v="10"/>
    <n v="2583"/>
    <n v="1922.94"/>
    <n v="660.06"/>
    <x v="4"/>
    <x v="0"/>
    <n v="0.25554006968641113"/>
  </r>
  <r>
    <n v="2788"/>
    <d v="2024-06-26T00:00:00"/>
    <x v="3"/>
    <x v="4"/>
    <x v="9"/>
    <x v="3"/>
    <n v="1"/>
    <n v="98"/>
    <n v="20"/>
    <n v="78.400000000000006"/>
    <n v="48.21"/>
    <n v="30.19"/>
    <x v="4"/>
    <x v="0"/>
    <n v="0.38507653061224489"/>
  </r>
  <r>
    <n v="2789"/>
    <d v="2023-06-07T00:00:00"/>
    <x v="2"/>
    <x v="3"/>
    <x v="4"/>
    <x v="4"/>
    <n v="6"/>
    <n v="467"/>
    <n v="15"/>
    <n v="2381.6999999999998"/>
    <n v="1210.71"/>
    <n v="1170.99"/>
    <x v="4"/>
    <x v="1"/>
    <n v="0.49166141831464927"/>
  </r>
  <r>
    <n v="2790"/>
    <d v="2023-01-29T00:00:00"/>
    <x v="0"/>
    <x v="0"/>
    <x v="13"/>
    <x v="0"/>
    <n v="10"/>
    <n v="510"/>
    <n v="15"/>
    <n v="4335"/>
    <n v="3254.61"/>
    <n v="1080.3900000000001"/>
    <x v="11"/>
    <x v="1"/>
    <n v="0.24922491349480971"/>
  </r>
  <r>
    <n v="2791"/>
    <d v="2024-02-18T00:00:00"/>
    <x v="0"/>
    <x v="3"/>
    <x v="4"/>
    <x v="3"/>
    <n v="7"/>
    <n v="710"/>
    <n v="10"/>
    <n v="4473"/>
    <n v="3016.45"/>
    <n v="1456.55"/>
    <x v="9"/>
    <x v="0"/>
    <n v="0.32563156718086295"/>
  </r>
  <r>
    <n v="2792"/>
    <d v="2024-03-19T00:00:00"/>
    <x v="2"/>
    <x v="3"/>
    <x v="19"/>
    <x v="5"/>
    <n v="3"/>
    <n v="116"/>
    <n v="0"/>
    <n v="348"/>
    <n v="251.63"/>
    <n v="96.37"/>
    <x v="8"/>
    <x v="0"/>
    <n v="0.27692528735632183"/>
  </r>
  <r>
    <n v="2793"/>
    <d v="2023-01-31T00:00:00"/>
    <x v="1"/>
    <x v="3"/>
    <x v="19"/>
    <x v="0"/>
    <n v="4"/>
    <n v="487"/>
    <n v="0"/>
    <n v="1948"/>
    <n v="1486.58"/>
    <n v="461.42"/>
    <x v="11"/>
    <x v="1"/>
    <n v="0.23686858316221768"/>
  </r>
  <r>
    <n v="2794"/>
    <d v="2023-11-21T00:00:00"/>
    <x v="0"/>
    <x v="3"/>
    <x v="19"/>
    <x v="0"/>
    <n v="5"/>
    <n v="781"/>
    <n v="0"/>
    <n v="3905"/>
    <n v="2534.04"/>
    <n v="1370.96"/>
    <x v="3"/>
    <x v="1"/>
    <n v="0.35107810499359798"/>
  </r>
  <r>
    <n v="2795"/>
    <d v="2024-03-16T00:00:00"/>
    <x v="1"/>
    <x v="2"/>
    <x v="17"/>
    <x v="5"/>
    <n v="4"/>
    <n v="542"/>
    <n v="0"/>
    <n v="2168"/>
    <n v="1395.69"/>
    <n v="772.31"/>
    <x v="8"/>
    <x v="0"/>
    <n v="0.35623154981549815"/>
  </r>
  <r>
    <n v="2796"/>
    <d v="2023-06-24T00:00:00"/>
    <x v="1"/>
    <x v="4"/>
    <x v="18"/>
    <x v="3"/>
    <n v="1"/>
    <n v="894"/>
    <n v="5"/>
    <n v="849.3"/>
    <n v="576.61"/>
    <n v="272.69"/>
    <x v="4"/>
    <x v="1"/>
    <n v="0.32107618038384556"/>
  </r>
  <r>
    <n v="2797"/>
    <d v="2024-01-05T00:00:00"/>
    <x v="1"/>
    <x v="2"/>
    <x v="17"/>
    <x v="3"/>
    <n v="4"/>
    <n v="376"/>
    <n v="15"/>
    <n v="1278.4000000000001"/>
    <n v="642.74"/>
    <n v="635.66"/>
    <x v="11"/>
    <x v="0"/>
    <n v="0.49723091364205252"/>
  </r>
  <r>
    <n v="2798"/>
    <d v="2024-03-15T00:00:00"/>
    <x v="2"/>
    <x v="0"/>
    <x v="1"/>
    <x v="3"/>
    <n v="8"/>
    <n v="165"/>
    <n v="15"/>
    <n v="1122"/>
    <n v="725"/>
    <n v="397"/>
    <x v="8"/>
    <x v="0"/>
    <n v="0.35383244206773617"/>
  </r>
  <r>
    <n v="2799"/>
    <d v="2024-11-01T00:00:00"/>
    <x v="3"/>
    <x v="4"/>
    <x v="14"/>
    <x v="0"/>
    <n v="5"/>
    <n v="114"/>
    <n v="10"/>
    <n v="513"/>
    <n v="273.72000000000003"/>
    <n v="239.28"/>
    <x v="3"/>
    <x v="0"/>
    <n v="0.4664327485380117"/>
  </r>
  <r>
    <n v="2800"/>
    <d v="2023-03-01T00:00:00"/>
    <x v="3"/>
    <x v="2"/>
    <x v="6"/>
    <x v="2"/>
    <n v="4"/>
    <n v="606"/>
    <n v="15"/>
    <n v="2060.4"/>
    <n v="1424.54"/>
    <n v="635.86"/>
    <x v="8"/>
    <x v="1"/>
    <n v="0.30860997864492329"/>
  </r>
  <r>
    <n v="2801"/>
    <d v="2024-12-29T00:00:00"/>
    <x v="2"/>
    <x v="4"/>
    <x v="14"/>
    <x v="0"/>
    <n v="2"/>
    <n v="452"/>
    <n v="20"/>
    <n v="723.2"/>
    <n v="421.54"/>
    <n v="301.66000000000003"/>
    <x v="6"/>
    <x v="0"/>
    <n v="0.41711836283185844"/>
  </r>
  <r>
    <n v="2802"/>
    <d v="2023-10-26T00:00:00"/>
    <x v="0"/>
    <x v="2"/>
    <x v="3"/>
    <x v="4"/>
    <n v="2"/>
    <n v="600"/>
    <n v="5"/>
    <n v="1140"/>
    <n v="750.62"/>
    <n v="389.38"/>
    <x v="1"/>
    <x v="1"/>
    <n v="0.3415614035087719"/>
  </r>
  <r>
    <n v="2803"/>
    <d v="2024-02-14T00:00:00"/>
    <x v="0"/>
    <x v="4"/>
    <x v="9"/>
    <x v="4"/>
    <n v="2"/>
    <n v="891"/>
    <n v="20"/>
    <n v="1425.6"/>
    <n v="916.7"/>
    <n v="508.9"/>
    <x v="9"/>
    <x v="0"/>
    <n v="0.35697250280583614"/>
  </r>
  <r>
    <n v="2804"/>
    <d v="2024-07-18T00:00:00"/>
    <x v="2"/>
    <x v="3"/>
    <x v="11"/>
    <x v="5"/>
    <n v="8"/>
    <n v="259"/>
    <n v="20"/>
    <n v="1657.6"/>
    <n v="1000.47"/>
    <n v="657.13"/>
    <x v="5"/>
    <x v="0"/>
    <n v="0.39643460424710425"/>
  </r>
  <r>
    <n v="2805"/>
    <d v="2024-08-11T00:00:00"/>
    <x v="2"/>
    <x v="1"/>
    <x v="16"/>
    <x v="4"/>
    <n v="7"/>
    <n v="393"/>
    <n v="5"/>
    <n v="2613.4499999999998"/>
    <n v="1545.77"/>
    <n v="1067.68"/>
    <x v="2"/>
    <x v="0"/>
    <n v="0.40853278233752327"/>
  </r>
  <r>
    <n v="2806"/>
    <d v="2023-10-09T00:00:00"/>
    <x v="2"/>
    <x v="0"/>
    <x v="13"/>
    <x v="3"/>
    <n v="9"/>
    <n v="678"/>
    <n v="15"/>
    <n v="5186.7"/>
    <n v="3003.7"/>
    <n v="2183"/>
    <x v="1"/>
    <x v="1"/>
    <n v="0.4208841845489425"/>
  </r>
  <r>
    <n v="2807"/>
    <d v="2023-07-26T00:00:00"/>
    <x v="2"/>
    <x v="0"/>
    <x v="1"/>
    <x v="3"/>
    <n v="7"/>
    <n v="901"/>
    <n v="15"/>
    <n v="5360.95"/>
    <n v="3295.81"/>
    <n v="2065.14"/>
    <x v="5"/>
    <x v="1"/>
    <n v="0.38521903767056209"/>
  </r>
  <r>
    <n v="2808"/>
    <d v="2023-07-24T00:00:00"/>
    <x v="2"/>
    <x v="1"/>
    <x v="7"/>
    <x v="2"/>
    <n v="7"/>
    <n v="263"/>
    <n v="5"/>
    <n v="1748.95"/>
    <n v="1313.53"/>
    <n v="435.42"/>
    <x v="5"/>
    <x v="1"/>
    <n v="0.24896080505446125"/>
  </r>
  <r>
    <n v="2809"/>
    <d v="2024-07-10T00:00:00"/>
    <x v="2"/>
    <x v="3"/>
    <x v="15"/>
    <x v="5"/>
    <n v="7"/>
    <n v="551"/>
    <n v="10"/>
    <n v="3471.3"/>
    <n v="1921.94"/>
    <n v="1549.36"/>
    <x v="5"/>
    <x v="0"/>
    <n v="0.44633422637052395"/>
  </r>
  <r>
    <n v="2810"/>
    <d v="2024-10-03T00:00:00"/>
    <x v="0"/>
    <x v="1"/>
    <x v="5"/>
    <x v="1"/>
    <n v="6"/>
    <n v="732"/>
    <n v="5"/>
    <n v="4172.3999999999996"/>
    <n v="2315.0100000000002"/>
    <n v="1857.39"/>
    <x v="1"/>
    <x v="0"/>
    <n v="0.44516105838366415"/>
  </r>
  <r>
    <n v="2811"/>
    <d v="2024-02-11T00:00:00"/>
    <x v="3"/>
    <x v="2"/>
    <x v="6"/>
    <x v="5"/>
    <n v="3"/>
    <n v="411"/>
    <n v="15"/>
    <n v="1048.05"/>
    <n v="533.17999999999995"/>
    <n v="514.87"/>
    <x v="9"/>
    <x v="0"/>
    <n v="0.49126472973617674"/>
  </r>
  <r>
    <n v="2812"/>
    <d v="2023-04-20T00:00:00"/>
    <x v="2"/>
    <x v="3"/>
    <x v="15"/>
    <x v="5"/>
    <n v="1"/>
    <n v="831"/>
    <n v="0"/>
    <n v="831"/>
    <n v="483.42"/>
    <n v="347.58"/>
    <x v="10"/>
    <x v="1"/>
    <n v="0.41826714801444043"/>
  </r>
  <r>
    <n v="2813"/>
    <d v="2023-12-07T00:00:00"/>
    <x v="2"/>
    <x v="1"/>
    <x v="2"/>
    <x v="5"/>
    <n v="5"/>
    <n v="490"/>
    <n v="5"/>
    <n v="2327.5"/>
    <n v="1497.95"/>
    <n v="829.55"/>
    <x v="6"/>
    <x v="1"/>
    <n v="0.35641245972073038"/>
  </r>
  <r>
    <n v="2814"/>
    <d v="2023-09-28T00:00:00"/>
    <x v="0"/>
    <x v="4"/>
    <x v="8"/>
    <x v="5"/>
    <n v="10"/>
    <n v="959"/>
    <n v="5"/>
    <n v="9110.5"/>
    <n v="6920.79"/>
    <n v="2189.71"/>
    <x v="0"/>
    <x v="1"/>
    <n v="0.24035014543658417"/>
  </r>
  <r>
    <n v="2815"/>
    <d v="2023-04-07T00:00:00"/>
    <x v="2"/>
    <x v="0"/>
    <x v="13"/>
    <x v="2"/>
    <n v="8"/>
    <n v="608"/>
    <n v="5"/>
    <n v="4620.8"/>
    <n v="3693.4"/>
    <n v="927.4"/>
    <x v="10"/>
    <x v="1"/>
    <n v="0.20070117728531855"/>
  </r>
  <r>
    <n v="2816"/>
    <d v="2024-08-05T00:00:00"/>
    <x v="1"/>
    <x v="4"/>
    <x v="14"/>
    <x v="0"/>
    <n v="2"/>
    <n v="640"/>
    <n v="20"/>
    <n v="1024"/>
    <n v="542.19000000000005"/>
    <n v="481.81"/>
    <x v="2"/>
    <x v="0"/>
    <n v="0.470517578125"/>
  </r>
  <r>
    <n v="2817"/>
    <d v="2024-07-23T00:00:00"/>
    <x v="0"/>
    <x v="0"/>
    <x v="1"/>
    <x v="4"/>
    <n v="1"/>
    <n v="59"/>
    <n v="20"/>
    <n v="47.2"/>
    <n v="24.95"/>
    <n v="22.25"/>
    <x v="5"/>
    <x v="0"/>
    <n v="0.47139830508474573"/>
  </r>
  <r>
    <n v="2818"/>
    <d v="2023-01-31T00:00:00"/>
    <x v="3"/>
    <x v="3"/>
    <x v="15"/>
    <x v="5"/>
    <n v="5"/>
    <n v="472"/>
    <n v="0"/>
    <n v="2360"/>
    <n v="1640.65"/>
    <n v="719.35"/>
    <x v="11"/>
    <x v="1"/>
    <n v="0.30480932203389832"/>
  </r>
  <r>
    <n v="2819"/>
    <d v="2024-12-16T00:00:00"/>
    <x v="0"/>
    <x v="1"/>
    <x v="16"/>
    <x v="5"/>
    <n v="1"/>
    <n v="935"/>
    <n v="20"/>
    <n v="748"/>
    <n v="433.74"/>
    <n v="314.26"/>
    <x v="6"/>
    <x v="0"/>
    <n v="0.42013368983957217"/>
  </r>
  <r>
    <n v="2820"/>
    <d v="2023-01-23T00:00:00"/>
    <x v="2"/>
    <x v="0"/>
    <x v="13"/>
    <x v="3"/>
    <n v="6"/>
    <n v="235"/>
    <n v="5"/>
    <n v="1339.5"/>
    <n v="984.32"/>
    <n v="355.18"/>
    <x v="11"/>
    <x v="1"/>
    <n v="0.26515864128406125"/>
  </r>
  <r>
    <n v="2821"/>
    <d v="2023-07-14T00:00:00"/>
    <x v="1"/>
    <x v="3"/>
    <x v="11"/>
    <x v="2"/>
    <n v="7"/>
    <n v="960"/>
    <n v="15"/>
    <n v="5712"/>
    <n v="3469.52"/>
    <n v="2242.48"/>
    <x v="5"/>
    <x v="1"/>
    <n v="0.39259103641456583"/>
  </r>
  <r>
    <n v="2822"/>
    <d v="2024-06-18T00:00:00"/>
    <x v="1"/>
    <x v="2"/>
    <x v="3"/>
    <x v="3"/>
    <n v="4"/>
    <n v="950"/>
    <n v="5"/>
    <n v="3610"/>
    <n v="2086.2800000000002"/>
    <n v="1523.72"/>
    <x v="4"/>
    <x v="0"/>
    <n v="0.42208310249307479"/>
  </r>
  <r>
    <n v="2823"/>
    <d v="2023-07-10T00:00:00"/>
    <x v="3"/>
    <x v="1"/>
    <x v="16"/>
    <x v="1"/>
    <n v="10"/>
    <n v="11"/>
    <n v="5"/>
    <n v="104.5"/>
    <n v="83.53"/>
    <n v="20.97"/>
    <x v="5"/>
    <x v="1"/>
    <n v="0.20066985645933014"/>
  </r>
  <r>
    <n v="2824"/>
    <d v="2024-04-09T00:00:00"/>
    <x v="1"/>
    <x v="1"/>
    <x v="7"/>
    <x v="2"/>
    <n v="2"/>
    <n v="455"/>
    <n v="15"/>
    <n v="773.5"/>
    <n v="479.41"/>
    <n v="294.08999999999997"/>
    <x v="10"/>
    <x v="0"/>
    <n v="0.38020685197155785"/>
  </r>
  <r>
    <n v="2825"/>
    <d v="2023-04-03T00:00:00"/>
    <x v="0"/>
    <x v="2"/>
    <x v="6"/>
    <x v="4"/>
    <n v="9"/>
    <n v="21"/>
    <n v="0"/>
    <n v="189"/>
    <n v="107.35"/>
    <n v="81.650000000000006"/>
    <x v="10"/>
    <x v="1"/>
    <n v="0.43201058201058207"/>
  </r>
  <r>
    <n v="2826"/>
    <d v="2024-05-11T00:00:00"/>
    <x v="0"/>
    <x v="3"/>
    <x v="4"/>
    <x v="4"/>
    <n v="6"/>
    <n v="152"/>
    <n v="10"/>
    <n v="820.8"/>
    <n v="550.07000000000005"/>
    <n v="270.73"/>
    <x v="7"/>
    <x v="0"/>
    <n v="0.32983674463937623"/>
  </r>
  <r>
    <n v="2827"/>
    <d v="2024-02-18T00:00:00"/>
    <x v="0"/>
    <x v="4"/>
    <x v="18"/>
    <x v="5"/>
    <n v="3"/>
    <n v="75"/>
    <n v="15"/>
    <n v="191.25"/>
    <n v="150.79"/>
    <n v="40.46"/>
    <x v="9"/>
    <x v="0"/>
    <n v="0.21155555555555555"/>
  </r>
  <r>
    <n v="2828"/>
    <d v="2024-11-21T00:00:00"/>
    <x v="0"/>
    <x v="3"/>
    <x v="19"/>
    <x v="1"/>
    <n v="1"/>
    <n v="174"/>
    <n v="10"/>
    <n v="156.6"/>
    <n v="86.34"/>
    <n v="70.260000000000005"/>
    <x v="3"/>
    <x v="0"/>
    <n v="0.44865900383141766"/>
  </r>
  <r>
    <n v="2829"/>
    <d v="2023-11-28T00:00:00"/>
    <x v="1"/>
    <x v="2"/>
    <x v="3"/>
    <x v="5"/>
    <n v="8"/>
    <n v="584"/>
    <n v="0"/>
    <n v="4672"/>
    <n v="2779.71"/>
    <n v="1892.29"/>
    <x v="3"/>
    <x v="1"/>
    <n v="0.40502782534246573"/>
  </r>
  <r>
    <n v="2830"/>
    <d v="2024-03-06T00:00:00"/>
    <x v="0"/>
    <x v="1"/>
    <x v="16"/>
    <x v="0"/>
    <n v="9"/>
    <n v="739"/>
    <n v="15"/>
    <n v="5653.35"/>
    <n v="2922.02"/>
    <n v="2731.33"/>
    <x v="8"/>
    <x v="0"/>
    <n v="0.48313477849416714"/>
  </r>
  <r>
    <n v="2831"/>
    <d v="2024-06-24T00:00:00"/>
    <x v="3"/>
    <x v="2"/>
    <x v="17"/>
    <x v="2"/>
    <n v="8"/>
    <n v="808"/>
    <n v="10"/>
    <n v="5817.6"/>
    <n v="4251.74"/>
    <n v="1565.86"/>
    <x v="4"/>
    <x v="0"/>
    <n v="0.26915910341034099"/>
  </r>
  <r>
    <n v="2832"/>
    <d v="2023-08-24T00:00:00"/>
    <x v="0"/>
    <x v="3"/>
    <x v="4"/>
    <x v="1"/>
    <n v="3"/>
    <n v="864"/>
    <n v="10"/>
    <n v="2332.8000000000002"/>
    <n v="1683.67"/>
    <n v="649.13"/>
    <x v="2"/>
    <x v="1"/>
    <n v="0.27826217421124827"/>
  </r>
  <r>
    <n v="2833"/>
    <d v="2024-07-01T00:00:00"/>
    <x v="1"/>
    <x v="3"/>
    <x v="11"/>
    <x v="0"/>
    <n v="7"/>
    <n v="338"/>
    <n v="15"/>
    <n v="2011.1"/>
    <n v="1514.95"/>
    <n v="496.15"/>
    <x v="5"/>
    <x v="0"/>
    <n v="0.24670578290487793"/>
  </r>
  <r>
    <n v="2834"/>
    <d v="2024-06-26T00:00:00"/>
    <x v="3"/>
    <x v="3"/>
    <x v="4"/>
    <x v="1"/>
    <n v="7"/>
    <n v="161"/>
    <n v="20"/>
    <n v="901.6"/>
    <n v="675.94"/>
    <n v="225.66"/>
    <x v="4"/>
    <x v="0"/>
    <n v="0.25028837622005323"/>
  </r>
  <r>
    <n v="2835"/>
    <d v="2023-10-05T00:00:00"/>
    <x v="0"/>
    <x v="1"/>
    <x v="2"/>
    <x v="0"/>
    <n v="3"/>
    <n v="283"/>
    <n v="20"/>
    <n v="679.2"/>
    <n v="346.72"/>
    <n v="332.48"/>
    <x v="1"/>
    <x v="1"/>
    <n v="0.48951707891637219"/>
  </r>
  <r>
    <n v="2836"/>
    <d v="2024-03-02T00:00:00"/>
    <x v="1"/>
    <x v="2"/>
    <x v="3"/>
    <x v="5"/>
    <n v="5"/>
    <n v="285"/>
    <n v="0"/>
    <n v="1425"/>
    <n v="1076.25"/>
    <n v="348.75"/>
    <x v="8"/>
    <x v="0"/>
    <n v="0.24473684210526317"/>
  </r>
  <r>
    <n v="2837"/>
    <d v="2023-10-04T00:00:00"/>
    <x v="2"/>
    <x v="2"/>
    <x v="3"/>
    <x v="2"/>
    <n v="6"/>
    <n v="679"/>
    <n v="20"/>
    <n v="3259.2"/>
    <n v="1946.39"/>
    <n v="1312.81"/>
    <x v="1"/>
    <x v="1"/>
    <n v="0.40280130093274424"/>
  </r>
  <r>
    <n v="2838"/>
    <d v="2023-12-14T00:00:00"/>
    <x v="0"/>
    <x v="2"/>
    <x v="6"/>
    <x v="0"/>
    <n v="6"/>
    <n v="332"/>
    <n v="0"/>
    <n v="1992"/>
    <n v="1120.8399999999999"/>
    <n v="871.16"/>
    <x v="6"/>
    <x v="1"/>
    <n v="0.43732931726907631"/>
  </r>
  <r>
    <n v="2839"/>
    <d v="2024-10-22T00:00:00"/>
    <x v="0"/>
    <x v="3"/>
    <x v="11"/>
    <x v="0"/>
    <n v="8"/>
    <n v="121"/>
    <n v="0"/>
    <n v="968"/>
    <n v="544.63"/>
    <n v="423.37"/>
    <x v="1"/>
    <x v="0"/>
    <n v="0.43736570247933887"/>
  </r>
  <r>
    <n v="2840"/>
    <d v="2023-02-11T00:00:00"/>
    <x v="2"/>
    <x v="1"/>
    <x v="2"/>
    <x v="4"/>
    <n v="8"/>
    <n v="991"/>
    <n v="10"/>
    <n v="7135.2"/>
    <n v="4668.51"/>
    <n v="2466.69"/>
    <x v="9"/>
    <x v="1"/>
    <n v="0.34570719811638079"/>
  </r>
  <r>
    <n v="2841"/>
    <d v="2024-10-23T00:00:00"/>
    <x v="0"/>
    <x v="0"/>
    <x v="1"/>
    <x v="4"/>
    <n v="5"/>
    <n v="743"/>
    <n v="20"/>
    <n v="2972"/>
    <n v="1912.06"/>
    <n v="1059.94"/>
    <x v="1"/>
    <x v="0"/>
    <n v="0.35664199192462992"/>
  </r>
  <r>
    <n v="2842"/>
    <d v="2023-07-18T00:00:00"/>
    <x v="0"/>
    <x v="4"/>
    <x v="8"/>
    <x v="1"/>
    <n v="9"/>
    <n v="953"/>
    <n v="0"/>
    <n v="8577"/>
    <n v="4770.55"/>
    <n v="3806.45"/>
    <x v="5"/>
    <x v="1"/>
    <n v="0.44379736504605338"/>
  </r>
  <r>
    <n v="2843"/>
    <d v="2023-02-13T00:00:00"/>
    <x v="3"/>
    <x v="0"/>
    <x v="0"/>
    <x v="5"/>
    <n v="7"/>
    <n v="81"/>
    <n v="0"/>
    <n v="567"/>
    <n v="314.95999999999998"/>
    <n v="252.04"/>
    <x v="9"/>
    <x v="1"/>
    <n v="0.44451499118165783"/>
  </r>
  <r>
    <n v="2844"/>
    <d v="2023-01-06T00:00:00"/>
    <x v="0"/>
    <x v="4"/>
    <x v="9"/>
    <x v="4"/>
    <n v="2"/>
    <n v="258"/>
    <n v="15"/>
    <n v="438.6"/>
    <n v="292.3"/>
    <n v="146.30000000000001"/>
    <x v="11"/>
    <x v="1"/>
    <n v="0.33356133150934791"/>
  </r>
  <r>
    <n v="2845"/>
    <d v="2023-02-25T00:00:00"/>
    <x v="1"/>
    <x v="2"/>
    <x v="6"/>
    <x v="1"/>
    <n v="2"/>
    <n v="408"/>
    <n v="15"/>
    <n v="693.6"/>
    <n v="492.59"/>
    <n v="201.01"/>
    <x v="9"/>
    <x v="1"/>
    <n v="0.28980680507497114"/>
  </r>
  <r>
    <n v="2846"/>
    <d v="2024-02-10T00:00:00"/>
    <x v="0"/>
    <x v="4"/>
    <x v="8"/>
    <x v="5"/>
    <n v="10"/>
    <n v="525"/>
    <n v="0"/>
    <n v="5250"/>
    <n v="3551.83"/>
    <n v="1698.17"/>
    <x v="9"/>
    <x v="0"/>
    <n v="0.3234609523809524"/>
  </r>
  <r>
    <n v="2847"/>
    <d v="2024-02-21T00:00:00"/>
    <x v="0"/>
    <x v="2"/>
    <x v="3"/>
    <x v="3"/>
    <n v="9"/>
    <n v="541"/>
    <n v="0"/>
    <n v="4869"/>
    <n v="3358.58"/>
    <n v="1510.42"/>
    <x v="9"/>
    <x v="0"/>
    <n v="0.31021154241117271"/>
  </r>
  <r>
    <n v="2848"/>
    <d v="2024-03-30T00:00:00"/>
    <x v="3"/>
    <x v="0"/>
    <x v="1"/>
    <x v="5"/>
    <n v="1"/>
    <n v="202"/>
    <n v="15"/>
    <n v="171.7"/>
    <n v="102.17"/>
    <n v="69.53"/>
    <x v="8"/>
    <x v="0"/>
    <n v="0.40495049504950498"/>
  </r>
  <r>
    <n v="2849"/>
    <d v="2024-10-15T00:00:00"/>
    <x v="2"/>
    <x v="3"/>
    <x v="19"/>
    <x v="4"/>
    <n v="6"/>
    <n v="679"/>
    <n v="0"/>
    <n v="4074"/>
    <n v="3006.95"/>
    <n v="1067.05"/>
    <x v="1"/>
    <x v="0"/>
    <n v="0.2619170348551792"/>
  </r>
  <r>
    <n v="2850"/>
    <d v="2023-12-18T00:00:00"/>
    <x v="3"/>
    <x v="3"/>
    <x v="15"/>
    <x v="4"/>
    <n v="3"/>
    <n v="753"/>
    <n v="20"/>
    <n v="1807.2"/>
    <n v="1420.7"/>
    <n v="386.5"/>
    <x v="6"/>
    <x v="1"/>
    <n v="0.21386675520141654"/>
  </r>
  <r>
    <n v="2851"/>
    <d v="2024-04-12T00:00:00"/>
    <x v="1"/>
    <x v="2"/>
    <x v="6"/>
    <x v="3"/>
    <n v="4"/>
    <n v="847"/>
    <n v="0"/>
    <n v="3388"/>
    <n v="1811.84"/>
    <n v="1576.16"/>
    <x v="10"/>
    <x v="0"/>
    <n v="0.46521841794569069"/>
  </r>
  <r>
    <n v="2852"/>
    <d v="2023-08-30T00:00:00"/>
    <x v="1"/>
    <x v="3"/>
    <x v="19"/>
    <x v="3"/>
    <n v="2"/>
    <n v="548"/>
    <n v="0"/>
    <n v="1096"/>
    <n v="716.74"/>
    <n v="379.26"/>
    <x v="2"/>
    <x v="1"/>
    <n v="0.34604014598540145"/>
  </r>
  <r>
    <n v="2853"/>
    <d v="2023-10-15T00:00:00"/>
    <x v="0"/>
    <x v="1"/>
    <x v="2"/>
    <x v="3"/>
    <n v="2"/>
    <n v="442"/>
    <n v="20"/>
    <n v="707.2"/>
    <n v="361.12"/>
    <n v="346.08"/>
    <x v="1"/>
    <x v="1"/>
    <n v="0.489366515837104"/>
  </r>
  <r>
    <n v="2854"/>
    <d v="2023-12-02T00:00:00"/>
    <x v="1"/>
    <x v="0"/>
    <x v="12"/>
    <x v="0"/>
    <n v="9"/>
    <n v="503"/>
    <n v="5"/>
    <n v="4300.6499999999996"/>
    <n v="2698.84"/>
    <n v="1601.81"/>
    <x v="6"/>
    <x v="1"/>
    <n v="0.37245765175031681"/>
  </r>
  <r>
    <n v="2855"/>
    <d v="2023-06-01T00:00:00"/>
    <x v="0"/>
    <x v="2"/>
    <x v="17"/>
    <x v="1"/>
    <n v="3"/>
    <n v="647"/>
    <n v="15"/>
    <n v="1649.85"/>
    <n v="921.89"/>
    <n v="727.96"/>
    <x v="4"/>
    <x v="1"/>
    <n v="0.44122799042337185"/>
  </r>
  <r>
    <n v="2856"/>
    <d v="2023-10-20T00:00:00"/>
    <x v="2"/>
    <x v="2"/>
    <x v="3"/>
    <x v="1"/>
    <n v="4"/>
    <n v="624"/>
    <n v="20"/>
    <n v="1996.8"/>
    <n v="1457.03"/>
    <n v="539.77"/>
    <x v="1"/>
    <x v="1"/>
    <n v="0.27031750801282051"/>
  </r>
  <r>
    <n v="2857"/>
    <d v="2024-01-24T00:00:00"/>
    <x v="1"/>
    <x v="4"/>
    <x v="18"/>
    <x v="5"/>
    <n v="10"/>
    <n v="668"/>
    <n v="20"/>
    <n v="5344"/>
    <n v="3682.01"/>
    <n v="1661.99"/>
    <x v="11"/>
    <x v="0"/>
    <n v="0.31100112275449104"/>
  </r>
  <r>
    <n v="2858"/>
    <d v="2024-03-13T00:00:00"/>
    <x v="0"/>
    <x v="3"/>
    <x v="19"/>
    <x v="5"/>
    <n v="9"/>
    <n v="324"/>
    <n v="10"/>
    <n v="2624.4"/>
    <n v="1427.09"/>
    <n v="1197.31"/>
    <x v="8"/>
    <x v="0"/>
    <n v="0.45622237463801246"/>
  </r>
  <r>
    <n v="2859"/>
    <d v="2023-12-23T00:00:00"/>
    <x v="0"/>
    <x v="2"/>
    <x v="17"/>
    <x v="0"/>
    <n v="2"/>
    <n v="121"/>
    <n v="15"/>
    <n v="205.7"/>
    <n v="134.31"/>
    <n v="71.39"/>
    <x v="6"/>
    <x v="1"/>
    <n v="0.34705882352941181"/>
  </r>
  <r>
    <n v="2860"/>
    <d v="2024-12-13T00:00:00"/>
    <x v="2"/>
    <x v="1"/>
    <x v="7"/>
    <x v="1"/>
    <n v="10"/>
    <n v="947"/>
    <n v="0"/>
    <n v="9470"/>
    <n v="5608.13"/>
    <n v="3861.87"/>
    <x v="6"/>
    <x v="0"/>
    <n v="0.40780042238648362"/>
  </r>
  <r>
    <n v="2861"/>
    <d v="2024-05-20T00:00:00"/>
    <x v="0"/>
    <x v="2"/>
    <x v="6"/>
    <x v="0"/>
    <n v="6"/>
    <n v="800"/>
    <n v="15"/>
    <n v="4080"/>
    <n v="2682.66"/>
    <n v="1397.34"/>
    <x v="7"/>
    <x v="0"/>
    <n v="0.34248529411764705"/>
  </r>
  <r>
    <n v="2862"/>
    <d v="2024-10-24T00:00:00"/>
    <x v="2"/>
    <x v="3"/>
    <x v="11"/>
    <x v="1"/>
    <n v="7"/>
    <n v="741"/>
    <n v="10"/>
    <n v="4668.3"/>
    <n v="2665.97"/>
    <n v="2002.33"/>
    <x v="1"/>
    <x v="0"/>
    <n v="0.42892059207848676"/>
  </r>
  <r>
    <n v="2863"/>
    <d v="2023-11-16T00:00:00"/>
    <x v="3"/>
    <x v="1"/>
    <x v="16"/>
    <x v="5"/>
    <n v="6"/>
    <n v="478"/>
    <n v="5"/>
    <n v="2724.6"/>
    <n v="1393.3"/>
    <n v="1331.3"/>
    <x v="3"/>
    <x v="1"/>
    <n v="0.48862218307274463"/>
  </r>
  <r>
    <n v="2864"/>
    <d v="2023-08-08T00:00:00"/>
    <x v="0"/>
    <x v="1"/>
    <x v="5"/>
    <x v="4"/>
    <n v="6"/>
    <n v="87"/>
    <n v="20"/>
    <n v="417.6"/>
    <n v="328.7"/>
    <n v="88.9"/>
    <x v="2"/>
    <x v="1"/>
    <n v="0.2128831417624521"/>
  </r>
  <r>
    <n v="2865"/>
    <d v="2023-12-29T00:00:00"/>
    <x v="3"/>
    <x v="2"/>
    <x v="3"/>
    <x v="1"/>
    <n v="2"/>
    <n v="147"/>
    <n v="5"/>
    <n v="279.3"/>
    <n v="159.38999999999999"/>
    <n v="119.91"/>
    <x v="6"/>
    <x v="1"/>
    <n v="0.42932330827067666"/>
  </r>
  <r>
    <n v="2866"/>
    <d v="2024-08-12T00:00:00"/>
    <x v="1"/>
    <x v="1"/>
    <x v="2"/>
    <x v="4"/>
    <n v="3"/>
    <n v="979"/>
    <n v="10"/>
    <n v="2643.3"/>
    <n v="1872.75"/>
    <n v="770.55"/>
    <x v="2"/>
    <x v="0"/>
    <n v="0.29151061173533083"/>
  </r>
  <r>
    <n v="2867"/>
    <d v="2024-05-03T00:00:00"/>
    <x v="1"/>
    <x v="0"/>
    <x v="0"/>
    <x v="4"/>
    <n v="8"/>
    <n v="131"/>
    <n v="20"/>
    <n v="838.4"/>
    <n v="652.6"/>
    <n v="185.8"/>
    <x v="7"/>
    <x v="0"/>
    <n v="0.22161259541984735"/>
  </r>
  <r>
    <n v="2868"/>
    <d v="2024-07-21T00:00:00"/>
    <x v="0"/>
    <x v="2"/>
    <x v="17"/>
    <x v="2"/>
    <n v="7"/>
    <n v="878"/>
    <n v="0"/>
    <n v="6146"/>
    <n v="4446.09"/>
    <n v="1699.91"/>
    <x v="5"/>
    <x v="0"/>
    <n v="0.27658802473153271"/>
  </r>
  <r>
    <n v="2869"/>
    <d v="2024-01-04T00:00:00"/>
    <x v="0"/>
    <x v="1"/>
    <x v="7"/>
    <x v="1"/>
    <n v="10"/>
    <n v="778"/>
    <n v="15"/>
    <n v="6613"/>
    <n v="4062.37"/>
    <n v="2550.63"/>
    <x v="11"/>
    <x v="0"/>
    <n v="0.38569938000907306"/>
  </r>
  <r>
    <n v="2870"/>
    <d v="2023-06-13T00:00:00"/>
    <x v="1"/>
    <x v="1"/>
    <x v="7"/>
    <x v="0"/>
    <n v="8"/>
    <n v="558"/>
    <n v="15"/>
    <n v="3794.4"/>
    <n v="2127.79"/>
    <n v="1666.61"/>
    <x v="4"/>
    <x v="1"/>
    <n v="0.43922886358844609"/>
  </r>
  <r>
    <n v="2871"/>
    <d v="2023-11-19T00:00:00"/>
    <x v="2"/>
    <x v="2"/>
    <x v="6"/>
    <x v="5"/>
    <n v="8"/>
    <n v="26"/>
    <n v="5"/>
    <n v="197.6"/>
    <n v="152.62"/>
    <n v="44.98"/>
    <x v="3"/>
    <x v="1"/>
    <n v="0.22763157894736841"/>
  </r>
  <r>
    <n v="2872"/>
    <d v="2024-03-30T00:00:00"/>
    <x v="0"/>
    <x v="3"/>
    <x v="19"/>
    <x v="2"/>
    <n v="2"/>
    <n v="451"/>
    <n v="5"/>
    <n v="856.9"/>
    <n v="664.16"/>
    <n v="192.74"/>
    <x v="8"/>
    <x v="0"/>
    <n v="0.22492706266775589"/>
  </r>
  <r>
    <n v="2873"/>
    <d v="2023-07-19T00:00:00"/>
    <x v="3"/>
    <x v="3"/>
    <x v="4"/>
    <x v="3"/>
    <n v="8"/>
    <n v="157"/>
    <n v="20"/>
    <n v="1004.8"/>
    <n v="550.65"/>
    <n v="454.15"/>
    <x v="5"/>
    <x v="1"/>
    <n v="0.45198049363057324"/>
  </r>
  <r>
    <n v="2874"/>
    <d v="2023-11-02T00:00:00"/>
    <x v="0"/>
    <x v="4"/>
    <x v="9"/>
    <x v="4"/>
    <n v="4"/>
    <n v="811"/>
    <n v="20"/>
    <n v="2595.1999999999998"/>
    <n v="1618.89"/>
    <n v="976.31"/>
    <x v="3"/>
    <x v="1"/>
    <n v="0.37619836621454994"/>
  </r>
  <r>
    <n v="2875"/>
    <d v="2023-12-03T00:00:00"/>
    <x v="1"/>
    <x v="4"/>
    <x v="18"/>
    <x v="3"/>
    <n v="7"/>
    <n v="305"/>
    <n v="0"/>
    <n v="2135"/>
    <n v="1296.29"/>
    <n v="838.71"/>
    <x v="6"/>
    <x v="1"/>
    <n v="0.39283840749414523"/>
  </r>
  <r>
    <n v="2876"/>
    <d v="2024-12-01T00:00:00"/>
    <x v="1"/>
    <x v="2"/>
    <x v="3"/>
    <x v="1"/>
    <n v="4"/>
    <n v="143"/>
    <n v="5"/>
    <n v="543.4"/>
    <n v="335.9"/>
    <n v="207.5"/>
    <x v="6"/>
    <x v="0"/>
    <n v="0.38185498711814503"/>
  </r>
  <r>
    <n v="2877"/>
    <d v="2024-09-16T00:00:00"/>
    <x v="1"/>
    <x v="3"/>
    <x v="19"/>
    <x v="1"/>
    <n v="10"/>
    <n v="990"/>
    <n v="20"/>
    <n v="7920"/>
    <n v="4690.83"/>
    <n v="3229.17"/>
    <x v="0"/>
    <x v="0"/>
    <n v="0.40772348484848486"/>
  </r>
  <r>
    <n v="2878"/>
    <d v="2023-09-17T00:00:00"/>
    <x v="1"/>
    <x v="0"/>
    <x v="0"/>
    <x v="0"/>
    <n v="4"/>
    <n v="300"/>
    <n v="10"/>
    <n v="1080"/>
    <n v="555.88"/>
    <n v="524.12"/>
    <x v="0"/>
    <x v="1"/>
    <n v="0.48529629629629628"/>
  </r>
  <r>
    <n v="2879"/>
    <d v="2023-10-01T00:00:00"/>
    <x v="3"/>
    <x v="2"/>
    <x v="10"/>
    <x v="2"/>
    <n v="1"/>
    <n v="608"/>
    <n v="5"/>
    <n v="577.6"/>
    <n v="332.52"/>
    <n v="245.08"/>
    <x v="1"/>
    <x v="1"/>
    <n v="0.42430747922437673"/>
  </r>
  <r>
    <n v="2880"/>
    <d v="2023-11-06T00:00:00"/>
    <x v="0"/>
    <x v="4"/>
    <x v="9"/>
    <x v="4"/>
    <n v="4"/>
    <n v="218"/>
    <n v="15"/>
    <n v="741.2"/>
    <n v="421.06"/>
    <n v="320.14"/>
    <x v="3"/>
    <x v="1"/>
    <n v="0.43192120885051266"/>
  </r>
  <r>
    <n v="2881"/>
    <d v="2024-01-22T00:00:00"/>
    <x v="3"/>
    <x v="1"/>
    <x v="16"/>
    <x v="5"/>
    <n v="3"/>
    <n v="213"/>
    <n v="5"/>
    <n v="607.04999999999995"/>
    <n v="323.93"/>
    <n v="283.12"/>
    <x v="11"/>
    <x v="0"/>
    <n v="0.4663866238365868"/>
  </r>
  <r>
    <n v="2882"/>
    <d v="2024-04-02T00:00:00"/>
    <x v="0"/>
    <x v="1"/>
    <x v="16"/>
    <x v="1"/>
    <n v="7"/>
    <n v="590"/>
    <n v="5"/>
    <n v="3923.5"/>
    <n v="2362.48"/>
    <n v="1561.02"/>
    <x v="10"/>
    <x v="0"/>
    <n v="0.3978641519051867"/>
  </r>
  <r>
    <n v="2883"/>
    <d v="2023-08-27T00:00:00"/>
    <x v="2"/>
    <x v="4"/>
    <x v="8"/>
    <x v="5"/>
    <n v="9"/>
    <n v="884"/>
    <n v="5"/>
    <n v="7558.2"/>
    <n v="4229.8599999999997"/>
    <n v="3328.34"/>
    <x v="2"/>
    <x v="1"/>
    <n v="0.44036146172369084"/>
  </r>
  <r>
    <n v="2884"/>
    <d v="2023-10-29T00:00:00"/>
    <x v="0"/>
    <x v="4"/>
    <x v="8"/>
    <x v="3"/>
    <n v="7"/>
    <n v="873"/>
    <n v="5"/>
    <n v="5805.45"/>
    <n v="4642.1899999999996"/>
    <n v="1163.26"/>
    <x v="1"/>
    <x v="1"/>
    <n v="0.20037378670042805"/>
  </r>
  <r>
    <n v="2885"/>
    <d v="2024-03-13T00:00:00"/>
    <x v="3"/>
    <x v="0"/>
    <x v="13"/>
    <x v="2"/>
    <n v="1"/>
    <n v="669"/>
    <n v="10"/>
    <n v="602.1"/>
    <n v="421.75"/>
    <n v="180.35"/>
    <x v="8"/>
    <x v="0"/>
    <n v="0.29953496096993854"/>
  </r>
  <r>
    <n v="2886"/>
    <d v="2024-05-22T00:00:00"/>
    <x v="2"/>
    <x v="3"/>
    <x v="11"/>
    <x v="0"/>
    <n v="2"/>
    <n v="620"/>
    <n v="15"/>
    <n v="1054"/>
    <n v="781.22"/>
    <n v="272.77999999999997"/>
    <x v="7"/>
    <x v="0"/>
    <n v="0.25880455407969638"/>
  </r>
  <r>
    <n v="2887"/>
    <d v="2023-01-01T00:00:00"/>
    <x v="0"/>
    <x v="4"/>
    <x v="9"/>
    <x v="5"/>
    <n v="5"/>
    <n v="762"/>
    <n v="5"/>
    <n v="3619.5"/>
    <n v="2141.25"/>
    <n v="1478.25"/>
    <x v="11"/>
    <x v="1"/>
    <n v="0.40841276419394945"/>
  </r>
  <r>
    <n v="2888"/>
    <d v="2023-06-22T00:00:00"/>
    <x v="0"/>
    <x v="3"/>
    <x v="15"/>
    <x v="3"/>
    <n v="3"/>
    <n v="884"/>
    <n v="5"/>
    <n v="2519.4"/>
    <n v="1401.21"/>
    <n v="1118.19"/>
    <x v="4"/>
    <x v="1"/>
    <n v="0.44383186472969754"/>
  </r>
  <r>
    <n v="2889"/>
    <d v="2024-01-19T00:00:00"/>
    <x v="0"/>
    <x v="2"/>
    <x v="3"/>
    <x v="2"/>
    <n v="2"/>
    <n v="223"/>
    <n v="10"/>
    <n v="401.4"/>
    <n v="257.89"/>
    <n v="143.51"/>
    <x v="11"/>
    <x v="0"/>
    <n v="0.35752366716492279"/>
  </r>
  <r>
    <n v="2890"/>
    <d v="2023-12-21T00:00:00"/>
    <x v="3"/>
    <x v="4"/>
    <x v="8"/>
    <x v="5"/>
    <n v="8"/>
    <n v="380"/>
    <n v="0"/>
    <n v="3040"/>
    <n v="2161.11"/>
    <n v="878.89"/>
    <x v="6"/>
    <x v="1"/>
    <n v="0.28910855263157892"/>
  </r>
  <r>
    <n v="2891"/>
    <d v="2023-09-11T00:00:00"/>
    <x v="0"/>
    <x v="1"/>
    <x v="5"/>
    <x v="1"/>
    <n v="7"/>
    <n v="997"/>
    <n v="20"/>
    <n v="5583.2"/>
    <n v="3264.33"/>
    <n v="2318.87"/>
    <x v="0"/>
    <x v="1"/>
    <n v="0.41532991832640781"/>
  </r>
  <r>
    <n v="2892"/>
    <d v="2024-08-06T00:00:00"/>
    <x v="0"/>
    <x v="2"/>
    <x v="6"/>
    <x v="2"/>
    <n v="7"/>
    <n v="223"/>
    <n v="0"/>
    <n v="1561"/>
    <n v="861.28"/>
    <n v="699.72"/>
    <x v="2"/>
    <x v="0"/>
    <n v="0.44825112107623322"/>
  </r>
  <r>
    <n v="2893"/>
    <d v="2023-10-06T00:00:00"/>
    <x v="3"/>
    <x v="3"/>
    <x v="15"/>
    <x v="4"/>
    <n v="9"/>
    <n v="756"/>
    <n v="5"/>
    <n v="6463.8"/>
    <n v="4533.16"/>
    <n v="1930.64"/>
    <x v="1"/>
    <x v="1"/>
    <n v="0.29868498406510102"/>
  </r>
  <r>
    <n v="2894"/>
    <d v="2024-04-26T00:00:00"/>
    <x v="1"/>
    <x v="0"/>
    <x v="12"/>
    <x v="2"/>
    <n v="5"/>
    <n v="466"/>
    <n v="0"/>
    <n v="2330"/>
    <n v="1709.79"/>
    <n v="620.21"/>
    <x v="10"/>
    <x v="0"/>
    <n v="0.26618454935622321"/>
  </r>
  <r>
    <n v="2895"/>
    <d v="2023-05-22T00:00:00"/>
    <x v="0"/>
    <x v="0"/>
    <x v="1"/>
    <x v="3"/>
    <n v="3"/>
    <n v="305"/>
    <n v="20"/>
    <n v="732"/>
    <n v="436.78"/>
    <n v="295.22000000000003"/>
    <x v="7"/>
    <x v="1"/>
    <n v="0.40330601092896179"/>
  </r>
  <r>
    <n v="2896"/>
    <d v="2024-08-26T00:00:00"/>
    <x v="2"/>
    <x v="3"/>
    <x v="4"/>
    <x v="0"/>
    <n v="4"/>
    <n v="183"/>
    <n v="5"/>
    <n v="695.4"/>
    <n v="448.46"/>
    <n v="246.94"/>
    <x v="2"/>
    <x v="0"/>
    <n v="0.35510497555363818"/>
  </r>
  <r>
    <n v="2897"/>
    <d v="2024-10-04T00:00:00"/>
    <x v="0"/>
    <x v="2"/>
    <x v="10"/>
    <x v="2"/>
    <n v="1"/>
    <n v="824"/>
    <n v="5"/>
    <n v="782.8"/>
    <n v="451.06"/>
    <n v="331.74"/>
    <x v="1"/>
    <x v="0"/>
    <n v="0.42378640776699034"/>
  </r>
  <r>
    <n v="2898"/>
    <d v="2024-03-11T00:00:00"/>
    <x v="3"/>
    <x v="3"/>
    <x v="11"/>
    <x v="4"/>
    <n v="6"/>
    <n v="653"/>
    <n v="0"/>
    <n v="3918"/>
    <n v="2846.36"/>
    <n v="1071.6400000000001"/>
    <x v="8"/>
    <x v="0"/>
    <n v="0.27351710056151102"/>
  </r>
  <r>
    <n v="2899"/>
    <d v="2023-02-03T00:00:00"/>
    <x v="3"/>
    <x v="2"/>
    <x v="3"/>
    <x v="3"/>
    <n v="9"/>
    <n v="643"/>
    <n v="20"/>
    <n v="4629.6000000000004"/>
    <n v="3069.19"/>
    <n v="1560.41"/>
    <x v="9"/>
    <x v="1"/>
    <n v="0.33705071712458962"/>
  </r>
  <r>
    <n v="2900"/>
    <d v="2023-05-21T00:00:00"/>
    <x v="3"/>
    <x v="2"/>
    <x v="3"/>
    <x v="2"/>
    <n v="9"/>
    <n v="667"/>
    <n v="10"/>
    <n v="5402.7"/>
    <n v="2889.94"/>
    <n v="2512.7600000000002"/>
    <x v="7"/>
    <x v="1"/>
    <n v="0.46509337923630784"/>
  </r>
  <r>
    <n v="2901"/>
    <d v="2024-02-03T00:00:00"/>
    <x v="2"/>
    <x v="0"/>
    <x v="0"/>
    <x v="1"/>
    <n v="9"/>
    <n v="213"/>
    <n v="10"/>
    <n v="1725.3"/>
    <n v="1102.8800000000001"/>
    <n v="622.41999999999996"/>
    <x v="9"/>
    <x v="0"/>
    <n v="0.36076044745841301"/>
  </r>
  <r>
    <n v="2902"/>
    <d v="2024-07-22T00:00:00"/>
    <x v="2"/>
    <x v="1"/>
    <x v="16"/>
    <x v="2"/>
    <n v="5"/>
    <n v="683"/>
    <n v="20"/>
    <n v="2732"/>
    <n v="2083.64"/>
    <n v="648.36"/>
    <x v="5"/>
    <x v="0"/>
    <n v="0.23732064421669108"/>
  </r>
  <r>
    <n v="2903"/>
    <d v="2023-07-21T00:00:00"/>
    <x v="0"/>
    <x v="0"/>
    <x v="12"/>
    <x v="1"/>
    <n v="1"/>
    <n v="320"/>
    <n v="20"/>
    <n v="256"/>
    <n v="147.96"/>
    <n v="108.04"/>
    <x v="5"/>
    <x v="1"/>
    <n v="0.42203125000000002"/>
  </r>
  <r>
    <n v="2904"/>
    <d v="2024-06-25T00:00:00"/>
    <x v="1"/>
    <x v="2"/>
    <x v="6"/>
    <x v="5"/>
    <n v="2"/>
    <n v="812"/>
    <n v="20"/>
    <n v="1299.2"/>
    <n v="972.63"/>
    <n v="326.57"/>
    <x v="4"/>
    <x v="0"/>
    <n v="0.25136237684729063"/>
  </r>
  <r>
    <n v="2905"/>
    <d v="2024-11-15T00:00:00"/>
    <x v="2"/>
    <x v="0"/>
    <x v="0"/>
    <x v="4"/>
    <n v="9"/>
    <n v="160"/>
    <n v="5"/>
    <n v="1368"/>
    <n v="815.3"/>
    <n v="552.70000000000005"/>
    <x v="3"/>
    <x v="0"/>
    <n v="0.40402046783625734"/>
  </r>
  <r>
    <n v="2906"/>
    <d v="2024-10-23T00:00:00"/>
    <x v="0"/>
    <x v="4"/>
    <x v="18"/>
    <x v="2"/>
    <n v="1"/>
    <n v="995"/>
    <n v="15"/>
    <n v="845.75"/>
    <n v="548.95000000000005"/>
    <n v="296.8"/>
    <x v="1"/>
    <x v="0"/>
    <n v="0.35093112621933198"/>
  </r>
  <r>
    <n v="2907"/>
    <d v="2023-05-28T00:00:00"/>
    <x v="0"/>
    <x v="0"/>
    <x v="0"/>
    <x v="3"/>
    <n v="1"/>
    <n v="925"/>
    <n v="10"/>
    <n v="832.5"/>
    <n v="466.37"/>
    <n v="366.13"/>
    <x v="7"/>
    <x v="1"/>
    <n v="0.43979579579579581"/>
  </r>
  <r>
    <n v="2908"/>
    <d v="2024-11-12T00:00:00"/>
    <x v="3"/>
    <x v="2"/>
    <x v="3"/>
    <x v="2"/>
    <n v="1"/>
    <n v="518"/>
    <n v="20"/>
    <n v="414.4"/>
    <n v="247.8"/>
    <n v="166.6"/>
    <x v="3"/>
    <x v="0"/>
    <n v="0.40202702702702703"/>
  </r>
  <r>
    <n v="2909"/>
    <d v="2024-06-07T00:00:00"/>
    <x v="2"/>
    <x v="2"/>
    <x v="17"/>
    <x v="2"/>
    <n v="1"/>
    <n v="260"/>
    <n v="10"/>
    <n v="234"/>
    <n v="119.12"/>
    <n v="114.88"/>
    <x v="4"/>
    <x v="0"/>
    <n v="0.49094017094017089"/>
  </r>
  <r>
    <n v="2910"/>
    <d v="2024-09-29T00:00:00"/>
    <x v="3"/>
    <x v="4"/>
    <x v="18"/>
    <x v="0"/>
    <n v="2"/>
    <n v="37"/>
    <n v="20"/>
    <n v="59.2"/>
    <n v="45.77"/>
    <n v="13.43"/>
    <x v="0"/>
    <x v="0"/>
    <n v="0.22685810810810808"/>
  </r>
  <r>
    <n v="2911"/>
    <d v="2024-06-02T00:00:00"/>
    <x v="2"/>
    <x v="3"/>
    <x v="19"/>
    <x v="4"/>
    <n v="7"/>
    <n v="838"/>
    <n v="0"/>
    <n v="5866"/>
    <n v="3748.04"/>
    <n v="2117.96"/>
    <x v="4"/>
    <x v="0"/>
    <n v="0.36105693828844188"/>
  </r>
  <r>
    <n v="2912"/>
    <d v="2023-11-15T00:00:00"/>
    <x v="3"/>
    <x v="2"/>
    <x v="10"/>
    <x v="1"/>
    <n v="7"/>
    <n v="752"/>
    <n v="0"/>
    <n v="5264"/>
    <n v="3421.05"/>
    <n v="1842.95"/>
    <x v="3"/>
    <x v="1"/>
    <n v="0.35010448328267479"/>
  </r>
  <r>
    <n v="2913"/>
    <d v="2024-09-25T00:00:00"/>
    <x v="1"/>
    <x v="2"/>
    <x v="3"/>
    <x v="4"/>
    <n v="8"/>
    <n v="311"/>
    <n v="0"/>
    <n v="2488"/>
    <n v="1951.34"/>
    <n v="536.66"/>
    <x v="0"/>
    <x v="0"/>
    <n v="0.21569935691318326"/>
  </r>
  <r>
    <n v="2914"/>
    <d v="2024-10-07T00:00:00"/>
    <x v="3"/>
    <x v="3"/>
    <x v="15"/>
    <x v="5"/>
    <n v="7"/>
    <n v="644"/>
    <n v="10"/>
    <n v="4057.2"/>
    <n v="2943.81"/>
    <n v="1113.3900000000001"/>
    <x v="1"/>
    <x v="0"/>
    <n v="0.27442324755989356"/>
  </r>
  <r>
    <n v="2915"/>
    <d v="2023-04-11T00:00:00"/>
    <x v="1"/>
    <x v="1"/>
    <x v="7"/>
    <x v="1"/>
    <n v="1"/>
    <n v="64"/>
    <n v="15"/>
    <n v="54.4"/>
    <n v="27.36"/>
    <n v="27.04"/>
    <x v="10"/>
    <x v="1"/>
    <n v="0.49705882352941178"/>
  </r>
  <r>
    <n v="2916"/>
    <d v="2024-10-22T00:00:00"/>
    <x v="1"/>
    <x v="4"/>
    <x v="9"/>
    <x v="2"/>
    <n v="3"/>
    <n v="443"/>
    <n v="5"/>
    <n v="1262.55"/>
    <n v="657.89"/>
    <n v="604.66"/>
    <x v="1"/>
    <x v="0"/>
    <n v="0.47891964674666349"/>
  </r>
  <r>
    <n v="2917"/>
    <d v="2024-04-11T00:00:00"/>
    <x v="2"/>
    <x v="3"/>
    <x v="15"/>
    <x v="5"/>
    <n v="5"/>
    <n v="733"/>
    <n v="20"/>
    <n v="2932"/>
    <n v="2198.17"/>
    <n v="733.83"/>
    <x v="10"/>
    <x v="0"/>
    <n v="0.25028308321964532"/>
  </r>
  <r>
    <n v="2918"/>
    <d v="2023-05-18T00:00:00"/>
    <x v="1"/>
    <x v="2"/>
    <x v="6"/>
    <x v="0"/>
    <n v="3"/>
    <n v="416"/>
    <n v="20"/>
    <n v="998.4"/>
    <n v="768.93"/>
    <n v="229.47"/>
    <x v="7"/>
    <x v="1"/>
    <n v="0.22983774038461538"/>
  </r>
  <r>
    <n v="2919"/>
    <d v="2024-09-29T00:00:00"/>
    <x v="1"/>
    <x v="3"/>
    <x v="15"/>
    <x v="2"/>
    <n v="2"/>
    <n v="485"/>
    <n v="10"/>
    <n v="873"/>
    <n v="623.75"/>
    <n v="249.25"/>
    <x v="0"/>
    <x v="0"/>
    <n v="0.28550973654066436"/>
  </r>
  <r>
    <n v="2920"/>
    <d v="2023-06-13T00:00:00"/>
    <x v="3"/>
    <x v="1"/>
    <x v="16"/>
    <x v="1"/>
    <n v="2"/>
    <n v="639"/>
    <n v="10"/>
    <n v="1150.2"/>
    <n v="811.5"/>
    <n v="338.7"/>
    <x v="4"/>
    <x v="1"/>
    <n v="0.29447052686489306"/>
  </r>
  <r>
    <n v="2921"/>
    <d v="2024-07-05T00:00:00"/>
    <x v="2"/>
    <x v="2"/>
    <x v="10"/>
    <x v="2"/>
    <n v="2"/>
    <n v="275"/>
    <n v="15"/>
    <n v="467.5"/>
    <n v="307.37"/>
    <n v="160.13"/>
    <x v="5"/>
    <x v="0"/>
    <n v="0.34252406417112297"/>
  </r>
  <r>
    <n v="2922"/>
    <d v="2024-04-21T00:00:00"/>
    <x v="3"/>
    <x v="1"/>
    <x v="5"/>
    <x v="2"/>
    <n v="5"/>
    <n v="699"/>
    <n v="15"/>
    <n v="2970.75"/>
    <n v="1989.3"/>
    <n v="981.45"/>
    <x v="10"/>
    <x v="0"/>
    <n v="0.33037111840444333"/>
  </r>
  <r>
    <n v="2923"/>
    <d v="2023-02-28T00:00:00"/>
    <x v="3"/>
    <x v="2"/>
    <x v="3"/>
    <x v="2"/>
    <n v="5"/>
    <n v="509"/>
    <n v="20"/>
    <n v="2036"/>
    <n v="1300.44"/>
    <n v="735.56"/>
    <x v="9"/>
    <x v="1"/>
    <n v="0.36127701375245574"/>
  </r>
  <r>
    <n v="2924"/>
    <d v="2023-08-14T00:00:00"/>
    <x v="2"/>
    <x v="3"/>
    <x v="11"/>
    <x v="5"/>
    <n v="6"/>
    <n v="312"/>
    <n v="10"/>
    <n v="1684.8"/>
    <n v="1279.5899999999999"/>
    <n v="405.21"/>
    <x v="2"/>
    <x v="1"/>
    <n v="0.24050925925925926"/>
  </r>
  <r>
    <n v="2925"/>
    <d v="2024-07-21T00:00:00"/>
    <x v="0"/>
    <x v="2"/>
    <x v="17"/>
    <x v="4"/>
    <n v="6"/>
    <n v="678"/>
    <n v="15"/>
    <n v="3457.8"/>
    <n v="2336.23"/>
    <n v="1121.57"/>
    <x v="5"/>
    <x v="0"/>
    <n v="0.32435941928393774"/>
  </r>
  <r>
    <n v="2926"/>
    <d v="2023-05-11T00:00:00"/>
    <x v="1"/>
    <x v="0"/>
    <x v="1"/>
    <x v="5"/>
    <n v="10"/>
    <n v="506"/>
    <n v="5"/>
    <n v="4807"/>
    <n v="3725.27"/>
    <n v="1081.73"/>
    <x v="7"/>
    <x v="1"/>
    <n v="0.22503224464322863"/>
  </r>
  <r>
    <n v="2927"/>
    <d v="2024-08-02T00:00:00"/>
    <x v="1"/>
    <x v="2"/>
    <x v="3"/>
    <x v="1"/>
    <n v="8"/>
    <n v="898"/>
    <n v="10"/>
    <n v="6465.6"/>
    <n v="4995.57"/>
    <n v="1470.03"/>
    <x v="2"/>
    <x v="0"/>
    <n v="0.22736172976985894"/>
  </r>
  <r>
    <n v="2928"/>
    <d v="2023-10-22T00:00:00"/>
    <x v="0"/>
    <x v="2"/>
    <x v="6"/>
    <x v="2"/>
    <n v="6"/>
    <n v="363"/>
    <n v="5"/>
    <n v="2069.1"/>
    <n v="1458.82"/>
    <n v="610.28"/>
    <x v="1"/>
    <x v="1"/>
    <n v="0.29494949494949496"/>
  </r>
  <r>
    <n v="2929"/>
    <d v="2023-12-30T00:00:00"/>
    <x v="0"/>
    <x v="3"/>
    <x v="4"/>
    <x v="3"/>
    <n v="1"/>
    <n v="796"/>
    <n v="0"/>
    <n v="796"/>
    <n v="531.47"/>
    <n v="264.52999999999997"/>
    <x v="6"/>
    <x v="1"/>
    <n v="0.33232412060301503"/>
  </r>
  <r>
    <n v="2930"/>
    <d v="2023-09-22T00:00:00"/>
    <x v="3"/>
    <x v="0"/>
    <x v="1"/>
    <x v="0"/>
    <n v="6"/>
    <n v="12"/>
    <n v="0"/>
    <n v="72"/>
    <n v="36.340000000000003"/>
    <n v="35.659999999999997"/>
    <x v="0"/>
    <x v="1"/>
    <n v="0.49527777777777771"/>
  </r>
  <r>
    <n v="2931"/>
    <d v="2024-10-04T00:00:00"/>
    <x v="2"/>
    <x v="0"/>
    <x v="13"/>
    <x v="1"/>
    <n v="4"/>
    <n v="378"/>
    <n v="0"/>
    <n v="1512"/>
    <n v="1203.48"/>
    <n v="308.52"/>
    <x v="1"/>
    <x v="0"/>
    <n v="0.20404761904761903"/>
  </r>
  <r>
    <n v="2932"/>
    <d v="2024-07-09T00:00:00"/>
    <x v="3"/>
    <x v="2"/>
    <x v="17"/>
    <x v="5"/>
    <n v="5"/>
    <n v="480"/>
    <n v="15"/>
    <n v="2040"/>
    <n v="1413.38"/>
    <n v="626.62"/>
    <x v="5"/>
    <x v="0"/>
    <n v="0.30716666666666664"/>
  </r>
  <r>
    <n v="2933"/>
    <d v="2023-08-18T00:00:00"/>
    <x v="1"/>
    <x v="2"/>
    <x v="3"/>
    <x v="1"/>
    <n v="2"/>
    <n v="364"/>
    <n v="15"/>
    <n v="618.79999999999995"/>
    <n v="335.35"/>
    <n v="283.45"/>
    <x v="2"/>
    <x v="1"/>
    <n v="0.45806399482870075"/>
  </r>
  <r>
    <n v="2934"/>
    <d v="2023-06-15T00:00:00"/>
    <x v="0"/>
    <x v="1"/>
    <x v="5"/>
    <x v="1"/>
    <n v="6"/>
    <n v="972"/>
    <n v="10"/>
    <n v="5248.8"/>
    <n v="3882.21"/>
    <n v="1366.59"/>
    <x v="4"/>
    <x v="1"/>
    <n v="0.26036236854138084"/>
  </r>
  <r>
    <n v="2935"/>
    <d v="2024-01-06T00:00:00"/>
    <x v="1"/>
    <x v="1"/>
    <x v="2"/>
    <x v="2"/>
    <n v="6"/>
    <n v="180"/>
    <n v="0"/>
    <n v="1080"/>
    <n v="802.21"/>
    <n v="277.79000000000002"/>
    <x v="11"/>
    <x v="0"/>
    <n v="0.25721296296296298"/>
  </r>
  <r>
    <n v="2936"/>
    <d v="2023-03-03T00:00:00"/>
    <x v="2"/>
    <x v="3"/>
    <x v="4"/>
    <x v="2"/>
    <n v="1"/>
    <n v="907"/>
    <n v="0"/>
    <n v="907"/>
    <n v="603.76"/>
    <n v="303.24"/>
    <x v="8"/>
    <x v="1"/>
    <n v="0.33433296582138922"/>
  </r>
  <r>
    <n v="2937"/>
    <d v="2023-12-20T00:00:00"/>
    <x v="0"/>
    <x v="3"/>
    <x v="19"/>
    <x v="2"/>
    <n v="6"/>
    <n v="370"/>
    <n v="20"/>
    <n v="1776"/>
    <n v="1283.7"/>
    <n v="492.3"/>
    <x v="6"/>
    <x v="1"/>
    <n v="0.27719594594594593"/>
  </r>
  <r>
    <n v="2938"/>
    <d v="2023-06-03T00:00:00"/>
    <x v="3"/>
    <x v="4"/>
    <x v="9"/>
    <x v="1"/>
    <n v="8"/>
    <n v="251"/>
    <n v="10"/>
    <n v="1807.2"/>
    <n v="910.76"/>
    <n v="896.44"/>
    <x v="4"/>
    <x v="1"/>
    <n v="0.49603806994245242"/>
  </r>
  <r>
    <n v="2939"/>
    <d v="2024-09-02T00:00:00"/>
    <x v="3"/>
    <x v="0"/>
    <x v="0"/>
    <x v="4"/>
    <n v="1"/>
    <n v="895"/>
    <n v="20"/>
    <n v="716"/>
    <n v="411.15"/>
    <n v="304.85000000000002"/>
    <x v="0"/>
    <x v="0"/>
    <n v="0.42576815642458105"/>
  </r>
  <r>
    <n v="2940"/>
    <d v="2023-07-05T00:00:00"/>
    <x v="2"/>
    <x v="0"/>
    <x v="12"/>
    <x v="1"/>
    <n v="6"/>
    <n v="571"/>
    <n v="20"/>
    <n v="2740.8"/>
    <n v="1959.83"/>
    <n v="780.97"/>
    <x v="5"/>
    <x v="1"/>
    <n v="0.28494235259778167"/>
  </r>
  <r>
    <n v="2941"/>
    <d v="2024-06-12T00:00:00"/>
    <x v="1"/>
    <x v="0"/>
    <x v="13"/>
    <x v="5"/>
    <n v="2"/>
    <n v="547"/>
    <n v="0"/>
    <n v="1094"/>
    <n v="790.2"/>
    <n v="303.8"/>
    <x v="4"/>
    <x v="0"/>
    <n v="0.27769652650822668"/>
  </r>
  <r>
    <n v="2942"/>
    <d v="2024-01-01T00:00:00"/>
    <x v="1"/>
    <x v="0"/>
    <x v="1"/>
    <x v="3"/>
    <n v="1"/>
    <n v="432"/>
    <n v="15"/>
    <n v="367.2"/>
    <n v="240.03"/>
    <n v="127.17"/>
    <x v="11"/>
    <x v="0"/>
    <n v="0.3463235294117647"/>
  </r>
  <r>
    <n v="2943"/>
    <d v="2023-07-27T00:00:00"/>
    <x v="0"/>
    <x v="4"/>
    <x v="8"/>
    <x v="0"/>
    <n v="8"/>
    <n v="121"/>
    <n v="20"/>
    <n v="774.4"/>
    <n v="517.65"/>
    <n v="256.75"/>
    <x v="5"/>
    <x v="1"/>
    <n v="0.33154700413223143"/>
  </r>
  <r>
    <n v="2944"/>
    <d v="2024-10-22T00:00:00"/>
    <x v="1"/>
    <x v="3"/>
    <x v="11"/>
    <x v="4"/>
    <n v="3"/>
    <n v="432"/>
    <n v="10"/>
    <n v="1166.4000000000001"/>
    <n v="719.06"/>
    <n v="447.34"/>
    <x v="1"/>
    <x v="0"/>
    <n v="0.38352194787379967"/>
  </r>
  <r>
    <n v="2945"/>
    <d v="2023-03-10T00:00:00"/>
    <x v="0"/>
    <x v="0"/>
    <x v="1"/>
    <x v="3"/>
    <n v="3"/>
    <n v="468"/>
    <n v="20"/>
    <n v="1123.2"/>
    <n v="898.05"/>
    <n v="225.15"/>
    <x v="8"/>
    <x v="1"/>
    <n v="0.20045405982905984"/>
  </r>
  <r>
    <n v="2946"/>
    <d v="2023-09-23T00:00:00"/>
    <x v="1"/>
    <x v="0"/>
    <x v="0"/>
    <x v="0"/>
    <n v="2"/>
    <n v="613"/>
    <n v="0"/>
    <n v="1226"/>
    <n v="780.29"/>
    <n v="445.71"/>
    <x v="0"/>
    <x v="1"/>
    <n v="0.36354812398042413"/>
  </r>
  <r>
    <n v="2947"/>
    <d v="2024-07-25T00:00:00"/>
    <x v="3"/>
    <x v="0"/>
    <x v="1"/>
    <x v="5"/>
    <n v="10"/>
    <n v="817"/>
    <n v="5"/>
    <n v="7761.5"/>
    <n v="4995.09"/>
    <n v="2766.41"/>
    <x v="5"/>
    <x v="0"/>
    <n v="0.35642723700315659"/>
  </r>
  <r>
    <n v="2948"/>
    <d v="2023-09-18T00:00:00"/>
    <x v="1"/>
    <x v="2"/>
    <x v="10"/>
    <x v="1"/>
    <n v="10"/>
    <n v="80"/>
    <n v="15"/>
    <n v="680"/>
    <n v="384.01"/>
    <n v="295.99"/>
    <x v="0"/>
    <x v="1"/>
    <n v="0.43527941176470591"/>
  </r>
  <r>
    <n v="2949"/>
    <d v="2023-02-19T00:00:00"/>
    <x v="0"/>
    <x v="2"/>
    <x v="6"/>
    <x v="0"/>
    <n v="8"/>
    <n v="652"/>
    <n v="5"/>
    <n v="4955.2"/>
    <n v="2610.21"/>
    <n v="2344.9899999999998"/>
    <x v="9"/>
    <x v="1"/>
    <n v="0.47323821440103325"/>
  </r>
  <r>
    <n v="2950"/>
    <d v="2024-08-31T00:00:00"/>
    <x v="1"/>
    <x v="0"/>
    <x v="13"/>
    <x v="3"/>
    <n v="5"/>
    <n v="901"/>
    <n v="15"/>
    <n v="3829.25"/>
    <n v="2348.6"/>
    <n v="1480.65"/>
    <x v="2"/>
    <x v="0"/>
    <n v="0.38666840765162891"/>
  </r>
  <r>
    <n v="2951"/>
    <d v="2023-10-08T00:00:00"/>
    <x v="3"/>
    <x v="3"/>
    <x v="4"/>
    <x v="3"/>
    <n v="1"/>
    <n v="981"/>
    <n v="20"/>
    <n v="784.8"/>
    <n v="434.83"/>
    <n v="349.97"/>
    <x v="1"/>
    <x v="1"/>
    <n v="0.44593527013251788"/>
  </r>
  <r>
    <n v="2952"/>
    <d v="2023-03-30T00:00:00"/>
    <x v="2"/>
    <x v="3"/>
    <x v="4"/>
    <x v="3"/>
    <n v="10"/>
    <n v="916"/>
    <n v="15"/>
    <n v="7786"/>
    <n v="4576.57"/>
    <n v="3209.43"/>
    <x v="8"/>
    <x v="1"/>
    <n v="0.41220524017467247"/>
  </r>
  <r>
    <n v="2953"/>
    <d v="2024-08-03T00:00:00"/>
    <x v="0"/>
    <x v="4"/>
    <x v="18"/>
    <x v="5"/>
    <n v="3"/>
    <n v="788"/>
    <n v="10"/>
    <n v="2127.6"/>
    <n v="1125.24"/>
    <n v="1002.36"/>
    <x v="2"/>
    <x v="0"/>
    <n v="0.47112239142696"/>
  </r>
  <r>
    <n v="2954"/>
    <d v="2024-10-04T00:00:00"/>
    <x v="3"/>
    <x v="2"/>
    <x v="17"/>
    <x v="5"/>
    <n v="4"/>
    <n v="727"/>
    <n v="5"/>
    <n v="2762.6"/>
    <n v="1760.99"/>
    <n v="1001.61"/>
    <x v="1"/>
    <x v="0"/>
    <n v="0.36256063128936511"/>
  </r>
  <r>
    <n v="2955"/>
    <d v="2023-12-13T00:00:00"/>
    <x v="1"/>
    <x v="1"/>
    <x v="7"/>
    <x v="2"/>
    <n v="7"/>
    <n v="806"/>
    <n v="10"/>
    <n v="5077.8"/>
    <n v="3421.31"/>
    <n v="1656.49"/>
    <x v="6"/>
    <x v="1"/>
    <n v="0.32622198589940526"/>
  </r>
  <r>
    <n v="2956"/>
    <d v="2024-05-19T00:00:00"/>
    <x v="3"/>
    <x v="4"/>
    <x v="18"/>
    <x v="0"/>
    <n v="5"/>
    <n v="635"/>
    <n v="0"/>
    <n v="3175"/>
    <n v="2298.1799999999998"/>
    <n v="876.82"/>
    <x v="7"/>
    <x v="0"/>
    <n v="0.27616377952755905"/>
  </r>
  <r>
    <n v="2957"/>
    <d v="2024-01-22T00:00:00"/>
    <x v="3"/>
    <x v="3"/>
    <x v="4"/>
    <x v="5"/>
    <n v="7"/>
    <n v="673"/>
    <n v="5"/>
    <n v="4475.45"/>
    <n v="3509.35"/>
    <n v="966.1"/>
    <x v="11"/>
    <x v="0"/>
    <n v="0.21586656090449005"/>
  </r>
  <r>
    <n v="2958"/>
    <d v="2024-04-28T00:00:00"/>
    <x v="0"/>
    <x v="2"/>
    <x v="6"/>
    <x v="1"/>
    <n v="3"/>
    <n v="501"/>
    <n v="10"/>
    <n v="1352.7"/>
    <n v="863.8"/>
    <n v="488.9"/>
    <x v="10"/>
    <x v="0"/>
    <n v="0.36142529755304204"/>
  </r>
  <r>
    <n v="2959"/>
    <d v="2023-04-29T00:00:00"/>
    <x v="2"/>
    <x v="2"/>
    <x v="3"/>
    <x v="1"/>
    <n v="1"/>
    <n v="843"/>
    <n v="15"/>
    <n v="716.55"/>
    <n v="559.4"/>
    <n v="157.15"/>
    <x v="10"/>
    <x v="1"/>
    <n v="0.2193147721722141"/>
  </r>
  <r>
    <n v="2960"/>
    <d v="2023-07-30T00:00:00"/>
    <x v="3"/>
    <x v="4"/>
    <x v="18"/>
    <x v="0"/>
    <n v="10"/>
    <n v="667"/>
    <n v="10"/>
    <n v="6003"/>
    <n v="3077.14"/>
    <n v="2925.86"/>
    <x v="5"/>
    <x v="1"/>
    <n v="0.48739963351657506"/>
  </r>
  <r>
    <n v="2961"/>
    <d v="2024-08-28T00:00:00"/>
    <x v="3"/>
    <x v="1"/>
    <x v="7"/>
    <x v="4"/>
    <n v="2"/>
    <n v="306"/>
    <n v="5"/>
    <n v="581.4"/>
    <n v="301.45999999999998"/>
    <n v="279.94"/>
    <x v="2"/>
    <x v="0"/>
    <n v="0.48149294805641557"/>
  </r>
  <r>
    <n v="2962"/>
    <d v="2024-02-03T00:00:00"/>
    <x v="2"/>
    <x v="2"/>
    <x v="3"/>
    <x v="5"/>
    <n v="8"/>
    <n v="757"/>
    <n v="0"/>
    <n v="6056"/>
    <n v="3790.8"/>
    <n v="2265.1999999999998"/>
    <x v="9"/>
    <x v="0"/>
    <n v="0.37404227212681634"/>
  </r>
  <r>
    <n v="2963"/>
    <d v="2024-02-14T00:00:00"/>
    <x v="3"/>
    <x v="1"/>
    <x v="7"/>
    <x v="1"/>
    <n v="2"/>
    <n v="191"/>
    <n v="15"/>
    <n v="324.7"/>
    <n v="227.19"/>
    <n v="97.51"/>
    <x v="9"/>
    <x v="0"/>
    <n v="0.30030797659377889"/>
  </r>
  <r>
    <n v="2964"/>
    <d v="2023-12-16T00:00:00"/>
    <x v="1"/>
    <x v="2"/>
    <x v="6"/>
    <x v="3"/>
    <n v="9"/>
    <n v="189"/>
    <n v="20"/>
    <n v="1360.8"/>
    <n v="978.31"/>
    <n v="382.49"/>
    <x v="6"/>
    <x v="1"/>
    <n v="0.28107730746619636"/>
  </r>
  <r>
    <n v="2965"/>
    <d v="2024-05-10T00:00:00"/>
    <x v="1"/>
    <x v="1"/>
    <x v="16"/>
    <x v="5"/>
    <n v="1"/>
    <n v="535"/>
    <n v="5"/>
    <n v="508.25"/>
    <n v="351.34"/>
    <n v="156.91"/>
    <x v="7"/>
    <x v="0"/>
    <n v="0.30872602065912447"/>
  </r>
  <r>
    <n v="2966"/>
    <d v="2023-11-10T00:00:00"/>
    <x v="0"/>
    <x v="4"/>
    <x v="9"/>
    <x v="3"/>
    <n v="7"/>
    <n v="882"/>
    <n v="0"/>
    <n v="6174"/>
    <n v="4008.38"/>
    <n v="2165.62"/>
    <x v="3"/>
    <x v="1"/>
    <n v="0.35076449627470035"/>
  </r>
  <r>
    <n v="2967"/>
    <d v="2024-06-05T00:00:00"/>
    <x v="2"/>
    <x v="1"/>
    <x v="2"/>
    <x v="0"/>
    <n v="7"/>
    <n v="423"/>
    <n v="5"/>
    <n v="2812.95"/>
    <n v="1748.09"/>
    <n v="1064.8599999999999"/>
    <x v="4"/>
    <x v="0"/>
    <n v="0.37855631987770844"/>
  </r>
  <r>
    <n v="2968"/>
    <d v="2024-02-15T00:00:00"/>
    <x v="3"/>
    <x v="3"/>
    <x v="11"/>
    <x v="5"/>
    <n v="8"/>
    <n v="300"/>
    <n v="0"/>
    <n v="2400"/>
    <n v="1780.77"/>
    <n v="619.23"/>
    <x v="9"/>
    <x v="0"/>
    <n v="0.25801250000000003"/>
  </r>
  <r>
    <n v="2969"/>
    <d v="2024-10-11T00:00:00"/>
    <x v="0"/>
    <x v="2"/>
    <x v="17"/>
    <x v="0"/>
    <n v="9"/>
    <n v="971"/>
    <n v="10"/>
    <n v="7865.1"/>
    <n v="4232.53"/>
    <n v="3632.57"/>
    <x v="1"/>
    <x v="0"/>
    <n v="0.46185935334579342"/>
  </r>
  <r>
    <n v="2970"/>
    <d v="2024-12-15T00:00:00"/>
    <x v="1"/>
    <x v="0"/>
    <x v="12"/>
    <x v="1"/>
    <n v="9"/>
    <n v="355"/>
    <n v="0"/>
    <n v="3195"/>
    <n v="1946"/>
    <n v="1249"/>
    <x v="6"/>
    <x v="0"/>
    <n v="0.39092331768388106"/>
  </r>
  <r>
    <n v="2971"/>
    <d v="2023-11-11T00:00:00"/>
    <x v="1"/>
    <x v="3"/>
    <x v="11"/>
    <x v="4"/>
    <n v="10"/>
    <n v="607"/>
    <n v="5"/>
    <n v="5766.5"/>
    <n v="4499.66"/>
    <n v="1266.8399999999999"/>
    <x v="3"/>
    <x v="1"/>
    <n v="0.21968958640423134"/>
  </r>
  <r>
    <n v="2972"/>
    <d v="2023-11-04T00:00:00"/>
    <x v="2"/>
    <x v="3"/>
    <x v="19"/>
    <x v="2"/>
    <n v="7"/>
    <n v="546"/>
    <n v="0"/>
    <n v="3822"/>
    <n v="3018.61"/>
    <n v="803.39"/>
    <x v="3"/>
    <x v="1"/>
    <n v="0.21020146520146521"/>
  </r>
  <r>
    <n v="2973"/>
    <d v="2023-04-17T00:00:00"/>
    <x v="3"/>
    <x v="1"/>
    <x v="5"/>
    <x v="1"/>
    <n v="5"/>
    <n v="55"/>
    <n v="5"/>
    <n v="261.25"/>
    <n v="148.12"/>
    <n v="113.13"/>
    <x v="10"/>
    <x v="1"/>
    <n v="0.43303349282296649"/>
  </r>
  <r>
    <n v="2974"/>
    <d v="2023-08-12T00:00:00"/>
    <x v="0"/>
    <x v="4"/>
    <x v="14"/>
    <x v="2"/>
    <n v="4"/>
    <n v="1000"/>
    <n v="20"/>
    <n v="3200"/>
    <n v="1791"/>
    <n v="1409"/>
    <x v="2"/>
    <x v="1"/>
    <n v="0.4403125"/>
  </r>
  <r>
    <n v="2975"/>
    <d v="2024-01-17T00:00:00"/>
    <x v="0"/>
    <x v="0"/>
    <x v="13"/>
    <x v="1"/>
    <n v="8"/>
    <n v="413"/>
    <n v="5"/>
    <n v="3138.8"/>
    <n v="2433.67"/>
    <n v="705.13"/>
    <x v="11"/>
    <x v="0"/>
    <n v="0.22464954759780806"/>
  </r>
  <r>
    <n v="2976"/>
    <d v="2023-01-28T00:00:00"/>
    <x v="3"/>
    <x v="0"/>
    <x v="0"/>
    <x v="3"/>
    <n v="1"/>
    <n v="262"/>
    <n v="5"/>
    <n v="248.9"/>
    <n v="163.22"/>
    <n v="85.68"/>
    <x v="11"/>
    <x v="1"/>
    <n v="0.34423463238248292"/>
  </r>
  <r>
    <n v="2977"/>
    <d v="2023-03-18T00:00:00"/>
    <x v="1"/>
    <x v="2"/>
    <x v="17"/>
    <x v="2"/>
    <n v="10"/>
    <n v="992"/>
    <n v="20"/>
    <n v="7936"/>
    <n v="4017.54"/>
    <n v="3918.46"/>
    <x v="8"/>
    <x v="1"/>
    <n v="0.49375756048387098"/>
  </r>
  <r>
    <n v="2978"/>
    <d v="2023-01-28T00:00:00"/>
    <x v="0"/>
    <x v="0"/>
    <x v="13"/>
    <x v="3"/>
    <n v="5"/>
    <n v="178"/>
    <n v="10"/>
    <n v="801"/>
    <n v="488.19"/>
    <n v="312.81"/>
    <x v="11"/>
    <x v="1"/>
    <n v="0.39052434456928842"/>
  </r>
  <r>
    <n v="2979"/>
    <d v="2023-02-19T00:00:00"/>
    <x v="0"/>
    <x v="2"/>
    <x v="17"/>
    <x v="3"/>
    <n v="5"/>
    <n v="10"/>
    <n v="20"/>
    <n v="40"/>
    <n v="30.13"/>
    <n v="9.8699999999999992"/>
    <x v="9"/>
    <x v="1"/>
    <n v="0.24674999999999997"/>
  </r>
  <r>
    <n v="2980"/>
    <d v="2024-09-08T00:00:00"/>
    <x v="1"/>
    <x v="4"/>
    <x v="14"/>
    <x v="3"/>
    <n v="6"/>
    <n v="399"/>
    <n v="0"/>
    <n v="2394"/>
    <n v="1681.22"/>
    <n v="712.78"/>
    <x v="0"/>
    <x v="0"/>
    <n v="0.29773600668337508"/>
  </r>
  <r>
    <n v="2981"/>
    <d v="2024-11-26T00:00:00"/>
    <x v="1"/>
    <x v="0"/>
    <x v="13"/>
    <x v="5"/>
    <n v="5"/>
    <n v="11"/>
    <n v="5"/>
    <n v="52.25"/>
    <n v="35.74"/>
    <n v="16.510000000000002"/>
    <x v="3"/>
    <x v="0"/>
    <n v="0.3159808612440192"/>
  </r>
  <r>
    <n v="2982"/>
    <d v="2024-09-13T00:00:00"/>
    <x v="3"/>
    <x v="0"/>
    <x v="0"/>
    <x v="0"/>
    <n v="10"/>
    <n v="652"/>
    <n v="10"/>
    <n v="5868"/>
    <n v="3859.12"/>
    <n v="2008.88"/>
    <x v="0"/>
    <x v="0"/>
    <n v="0.34234492160872532"/>
  </r>
  <r>
    <n v="2983"/>
    <d v="2024-07-28T00:00:00"/>
    <x v="3"/>
    <x v="2"/>
    <x v="10"/>
    <x v="3"/>
    <n v="10"/>
    <n v="846"/>
    <n v="0"/>
    <n v="8460"/>
    <n v="4897.2299999999996"/>
    <n v="3562.77"/>
    <x v="5"/>
    <x v="0"/>
    <n v="0.42113120567375889"/>
  </r>
  <r>
    <n v="2984"/>
    <d v="2024-11-18T00:00:00"/>
    <x v="0"/>
    <x v="3"/>
    <x v="19"/>
    <x v="1"/>
    <n v="3"/>
    <n v="395"/>
    <n v="10"/>
    <n v="1066.5"/>
    <n v="691.91"/>
    <n v="374.59"/>
    <x v="3"/>
    <x v="0"/>
    <n v="0.35123300515705574"/>
  </r>
  <r>
    <n v="2985"/>
    <d v="2023-12-01T00:00:00"/>
    <x v="1"/>
    <x v="4"/>
    <x v="14"/>
    <x v="2"/>
    <n v="6"/>
    <n v="556"/>
    <n v="15"/>
    <n v="2835.6"/>
    <n v="1563.65"/>
    <n v="1271.95"/>
    <x v="6"/>
    <x v="1"/>
    <n v="0.44856467766962904"/>
  </r>
  <r>
    <n v="2986"/>
    <d v="2023-10-22T00:00:00"/>
    <x v="0"/>
    <x v="0"/>
    <x v="12"/>
    <x v="3"/>
    <n v="8"/>
    <n v="887"/>
    <n v="15"/>
    <n v="6031.6"/>
    <n v="3455.78"/>
    <n v="2575.8200000000002"/>
    <x v="1"/>
    <x v="1"/>
    <n v="0.4270541813117581"/>
  </r>
  <r>
    <n v="2987"/>
    <d v="2024-02-28T00:00:00"/>
    <x v="0"/>
    <x v="1"/>
    <x v="7"/>
    <x v="3"/>
    <n v="1"/>
    <n v="394"/>
    <n v="10"/>
    <n v="354.6"/>
    <n v="247.89"/>
    <n v="106.71"/>
    <x v="9"/>
    <x v="0"/>
    <n v="0.30093062605752957"/>
  </r>
  <r>
    <n v="2988"/>
    <d v="2023-12-04T00:00:00"/>
    <x v="2"/>
    <x v="0"/>
    <x v="0"/>
    <x v="4"/>
    <n v="4"/>
    <n v="662"/>
    <n v="0"/>
    <n v="2648"/>
    <n v="1405.27"/>
    <n v="1242.73"/>
    <x v="6"/>
    <x v="1"/>
    <n v="0.46930891238670697"/>
  </r>
  <r>
    <n v="2989"/>
    <d v="2024-06-27T00:00:00"/>
    <x v="3"/>
    <x v="2"/>
    <x v="3"/>
    <x v="4"/>
    <n v="10"/>
    <n v="518"/>
    <n v="15"/>
    <n v="4403"/>
    <n v="3212.93"/>
    <n v="1190.07"/>
    <x v="4"/>
    <x v="0"/>
    <n v="0.27028616852146264"/>
  </r>
  <r>
    <n v="2990"/>
    <d v="2024-03-18T00:00:00"/>
    <x v="3"/>
    <x v="2"/>
    <x v="3"/>
    <x v="3"/>
    <n v="2"/>
    <n v="950"/>
    <n v="20"/>
    <n v="1520"/>
    <n v="1102.72"/>
    <n v="417.28"/>
    <x v="8"/>
    <x v="0"/>
    <n v="0.27452631578947367"/>
  </r>
  <r>
    <n v="2991"/>
    <d v="2023-10-14T00:00:00"/>
    <x v="1"/>
    <x v="2"/>
    <x v="10"/>
    <x v="4"/>
    <n v="5"/>
    <n v="839"/>
    <n v="10"/>
    <n v="3775.5"/>
    <n v="1947.62"/>
    <n v="1827.88"/>
    <x v="1"/>
    <x v="1"/>
    <n v="0.48414249768242618"/>
  </r>
  <r>
    <n v="2992"/>
    <d v="2023-06-21T00:00:00"/>
    <x v="0"/>
    <x v="3"/>
    <x v="4"/>
    <x v="1"/>
    <n v="1"/>
    <n v="539"/>
    <n v="0"/>
    <n v="539"/>
    <n v="299.25"/>
    <n v="239.75"/>
    <x v="4"/>
    <x v="1"/>
    <n v="0.44480519480519481"/>
  </r>
  <r>
    <n v="2993"/>
    <d v="2023-02-24T00:00:00"/>
    <x v="0"/>
    <x v="4"/>
    <x v="14"/>
    <x v="4"/>
    <n v="5"/>
    <n v="278"/>
    <n v="5"/>
    <n v="1320.5"/>
    <n v="706.25"/>
    <n v="614.25"/>
    <x v="9"/>
    <x v="1"/>
    <n v="0.46516471033699358"/>
  </r>
  <r>
    <n v="2994"/>
    <d v="2024-05-21T00:00:00"/>
    <x v="1"/>
    <x v="0"/>
    <x v="13"/>
    <x v="4"/>
    <n v="4"/>
    <n v="798"/>
    <n v="0"/>
    <n v="3192"/>
    <n v="1758.42"/>
    <n v="1433.58"/>
    <x v="7"/>
    <x v="0"/>
    <n v="0.44911654135338341"/>
  </r>
  <r>
    <n v="2995"/>
    <d v="2023-02-07T00:00:00"/>
    <x v="0"/>
    <x v="0"/>
    <x v="1"/>
    <x v="5"/>
    <n v="5"/>
    <n v="451"/>
    <n v="0"/>
    <n v="2255"/>
    <n v="1142.57"/>
    <n v="1112.43"/>
    <x v="9"/>
    <x v="1"/>
    <n v="0.49331707317073176"/>
  </r>
  <r>
    <n v="2996"/>
    <d v="2023-10-28T00:00:00"/>
    <x v="1"/>
    <x v="1"/>
    <x v="7"/>
    <x v="2"/>
    <n v="4"/>
    <n v="714"/>
    <n v="10"/>
    <n v="2570.4"/>
    <n v="1579.84"/>
    <n v="990.56"/>
    <x v="1"/>
    <x v="1"/>
    <n v="0.38537192654839708"/>
  </r>
  <r>
    <n v="2997"/>
    <d v="2023-04-13T00:00:00"/>
    <x v="1"/>
    <x v="0"/>
    <x v="1"/>
    <x v="2"/>
    <n v="2"/>
    <n v="496"/>
    <n v="10"/>
    <n v="892.8"/>
    <n v="711.97"/>
    <n v="180.83"/>
    <x v="10"/>
    <x v="1"/>
    <n v="0.20254256272401436"/>
  </r>
  <r>
    <n v="2998"/>
    <d v="2024-07-27T00:00:00"/>
    <x v="2"/>
    <x v="0"/>
    <x v="13"/>
    <x v="2"/>
    <n v="1"/>
    <n v="250"/>
    <n v="5"/>
    <n v="237.5"/>
    <n v="147.82"/>
    <n v="89.68"/>
    <x v="5"/>
    <x v="0"/>
    <n v="0.37760000000000005"/>
  </r>
  <r>
    <n v="2999"/>
    <d v="2024-07-29T00:00:00"/>
    <x v="0"/>
    <x v="2"/>
    <x v="10"/>
    <x v="5"/>
    <n v="7"/>
    <n v="590"/>
    <n v="5"/>
    <n v="3923.5"/>
    <n v="3052.22"/>
    <n v="871.28"/>
    <x v="5"/>
    <x v="0"/>
    <n v="0.22206703198674652"/>
  </r>
  <r>
    <n v="3000"/>
    <d v="2023-04-05T00:00:00"/>
    <x v="3"/>
    <x v="3"/>
    <x v="15"/>
    <x v="4"/>
    <n v="7"/>
    <n v="516"/>
    <n v="15"/>
    <n v="3070.2"/>
    <n v="2298.6"/>
    <n v="771.6"/>
    <x v="10"/>
    <x v="1"/>
    <n v="0.25131913230408442"/>
  </r>
  <r>
    <n v="3001"/>
    <d v="2024-08-22T00:00:00"/>
    <x v="0"/>
    <x v="0"/>
    <x v="0"/>
    <x v="4"/>
    <n v="4"/>
    <n v="955"/>
    <n v="20"/>
    <n v="3056"/>
    <n v="2019.08"/>
    <n v="1036.92"/>
    <x v="2"/>
    <x v="0"/>
    <n v="0.33930628272251312"/>
  </r>
  <r>
    <n v="3002"/>
    <d v="2023-12-04T00:00:00"/>
    <x v="0"/>
    <x v="3"/>
    <x v="11"/>
    <x v="1"/>
    <n v="2"/>
    <n v="126"/>
    <n v="15"/>
    <n v="214.2"/>
    <n v="150.83000000000001"/>
    <n v="63.37"/>
    <x v="6"/>
    <x v="1"/>
    <n v="0.29584500466853408"/>
  </r>
  <r>
    <n v="3003"/>
    <d v="2024-08-22T00:00:00"/>
    <x v="0"/>
    <x v="2"/>
    <x v="10"/>
    <x v="4"/>
    <n v="2"/>
    <n v="393"/>
    <n v="20"/>
    <n v="628.79999999999995"/>
    <n v="455.87"/>
    <n v="172.93"/>
    <x v="2"/>
    <x v="0"/>
    <n v="0.27501590330788805"/>
  </r>
  <r>
    <n v="3004"/>
    <d v="2023-09-08T00:00:00"/>
    <x v="0"/>
    <x v="2"/>
    <x v="17"/>
    <x v="4"/>
    <n v="8"/>
    <n v="915"/>
    <n v="15"/>
    <n v="6222"/>
    <n v="4206.93"/>
    <n v="2015.07"/>
    <x v="0"/>
    <x v="1"/>
    <n v="0.32386210221793632"/>
  </r>
  <r>
    <n v="3005"/>
    <d v="2024-09-08T00:00:00"/>
    <x v="0"/>
    <x v="0"/>
    <x v="13"/>
    <x v="3"/>
    <n v="10"/>
    <n v="99"/>
    <n v="15"/>
    <n v="841.5"/>
    <n v="638.82000000000005"/>
    <n v="202.68"/>
    <x v="0"/>
    <x v="0"/>
    <n v="0.24085561497326205"/>
  </r>
  <r>
    <n v="3006"/>
    <d v="2024-08-16T00:00:00"/>
    <x v="0"/>
    <x v="3"/>
    <x v="11"/>
    <x v="3"/>
    <n v="6"/>
    <n v="465"/>
    <n v="0"/>
    <n v="2790"/>
    <n v="1706.75"/>
    <n v="1083.25"/>
    <x v="2"/>
    <x v="0"/>
    <n v="0.38826164874551972"/>
  </r>
  <r>
    <n v="3007"/>
    <d v="2023-11-27T00:00:00"/>
    <x v="2"/>
    <x v="1"/>
    <x v="5"/>
    <x v="3"/>
    <n v="8"/>
    <n v="714"/>
    <n v="0"/>
    <n v="5712"/>
    <n v="3230.36"/>
    <n v="2481.64"/>
    <x v="3"/>
    <x v="1"/>
    <n v="0.43446078431372548"/>
  </r>
  <r>
    <n v="3008"/>
    <d v="2024-05-21T00:00:00"/>
    <x v="1"/>
    <x v="2"/>
    <x v="3"/>
    <x v="5"/>
    <n v="6"/>
    <n v="955"/>
    <n v="0"/>
    <n v="5730"/>
    <n v="3592.13"/>
    <n v="2137.87"/>
    <x v="7"/>
    <x v="0"/>
    <n v="0.37310122164048865"/>
  </r>
  <r>
    <n v="3009"/>
    <d v="2024-05-02T00:00:00"/>
    <x v="0"/>
    <x v="0"/>
    <x v="0"/>
    <x v="0"/>
    <n v="3"/>
    <n v="955"/>
    <n v="20"/>
    <n v="2292"/>
    <n v="1546.02"/>
    <n v="745.98"/>
    <x v="7"/>
    <x v="0"/>
    <n v="0.32547120418848169"/>
  </r>
  <r>
    <n v="3010"/>
    <d v="2023-06-13T00:00:00"/>
    <x v="2"/>
    <x v="3"/>
    <x v="11"/>
    <x v="0"/>
    <n v="6"/>
    <n v="249"/>
    <n v="5"/>
    <n v="1419.3"/>
    <n v="821.23"/>
    <n v="598.07000000000005"/>
    <x v="4"/>
    <x v="1"/>
    <n v="0.42138378073698307"/>
  </r>
  <r>
    <n v="3011"/>
    <d v="2023-09-28T00:00:00"/>
    <x v="1"/>
    <x v="3"/>
    <x v="11"/>
    <x v="0"/>
    <n v="3"/>
    <n v="966"/>
    <n v="0"/>
    <n v="2898"/>
    <n v="2063.3000000000002"/>
    <n v="834.7"/>
    <x v="0"/>
    <x v="1"/>
    <n v="0.28802622498274671"/>
  </r>
  <r>
    <n v="3012"/>
    <d v="2023-07-17T00:00:00"/>
    <x v="1"/>
    <x v="2"/>
    <x v="6"/>
    <x v="3"/>
    <n v="1"/>
    <n v="291"/>
    <n v="5"/>
    <n v="276.45"/>
    <n v="146.43"/>
    <n v="130.02000000000001"/>
    <x v="5"/>
    <x v="1"/>
    <n v="0.47032013022246344"/>
  </r>
  <r>
    <n v="3013"/>
    <d v="2024-01-07T00:00:00"/>
    <x v="1"/>
    <x v="3"/>
    <x v="19"/>
    <x v="5"/>
    <n v="4"/>
    <n v="926"/>
    <n v="5"/>
    <n v="3518.8"/>
    <n v="2349.36"/>
    <n v="1169.44"/>
    <x v="11"/>
    <x v="0"/>
    <n v="0.3323405706490849"/>
  </r>
  <r>
    <n v="3014"/>
    <d v="2023-04-15T00:00:00"/>
    <x v="2"/>
    <x v="0"/>
    <x v="12"/>
    <x v="5"/>
    <n v="10"/>
    <n v="260"/>
    <n v="10"/>
    <n v="2340"/>
    <n v="1799.56"/>
    <n v="540.44000000000005"/>
    <x v="10"/>
    <x v="1"/>
    <n v="0.23095726495726498"/>
  </r>
  <r>
    <n v="3015"/>
    <d v="2024-06-22T00:00:00"/>
    <x v="0"/>
    <x v="3"/>
    <x v="15"/>
    <x v="2"/>
    <n v="4"/>
    <n v="331"/>
    <n v="5"/>
    <n v="1257.8"/>
    <n v="671.5"/>
    <n v="586.29999999999995"/>
    <x v="4"/>
    <x v="0"/>
    <n v="0.46613134043568133"/>
  </r>
  <r>
    <n v="3016"/>
    <d v="2023-10-02T00:00:00"/>
    <x v="1"/>
    <x v="3"/>
    <x v="4"/>
    <x v="3"/>
    <n v="5"/>
    <n v="140"/>
    <n v="15"/>
    <n v="595"/>
    <n v="438.71"/>
    <n v="156.29"/>
    <x v="1"/>
    <x v="1"/>
    <n v="0.26267226890756301"/>
  </r>
  <r>
    <n v="3017"/>
    <d v="2024-07-19T00:00:00"/>
    <x v="0"/>
    <x v="1"/>
    <x v="5"/>
    <x v="4"/>
    <n v="3"/>
    <n v="973"/>
    <n v="5"/>
    <n v="2773.05"/>
    <n v="1832.37"/>
    <n v="940.68"/>
    <x v="5"/>
    <x v="0"/>
    <n v="0.33922215610969869"/>
  </r>
  <r>
    <n v="3018"/>
    <d v="2024-03-16T00:00:00"/>
    <x v="0"/>
    <x v="0"/>
    <x v="1"/>
    <x v="5"/>
    <n v="2"/>
    <n v="221"/>
    <n v="20"/>
    <n v="353.6"/>
    <n v="278.32"/>
    <n v="75.28"/>
    <x v="8"/>
    <x v="0"/>
    <n v="0.21289592760180995"/>
  </r>
  <r>
    <n v="3019"/>
    <d v="2023-12-01T00:00:00"/>
    <x v="2"/>
    <x v="2"/>
    <x v="17"/>
    <x v="3"/>
    <n v="5"/>
    <n v="66"/>
    <n v="15"/>
    <n v="280.5"/>
    <n v="145.63999999999999"/>
    <n v="134.86000000000001"/>
    <x v="6"/>
    <x v="1"/>
    <n v="0.48078431372549024"/>
  </r>
  <r>
    <n v="3020"/>
    <d v="2024-12-11T00:00:00"/>
    <x v="2"/>
    <x v="1"/>
    <x v="16"/>
    <x v="1"/>
    <n v="9"/>
    <n v="826"/>
    <n v="15"/>
    <n v="6318.9"/>
    <n v="4923.18"/>
    <n v="1395.72"/>
    <x v="6"/>
    <x v="0"/>
    <n v="0.22088021649337702"/>
  </r>
  <r>
    <n v="3021"/>
    <d v="2024-10-11T00:00:00"/>
    <x v="3"/>
    <x v="1"/>
    <x v="5"/>
    <x v="5"/>
    <n v="9"/>
    <n v="879"/>
    <n v="0"/>
    <n v="7911"/>
    <n v="4847.13"/>
    <n v="3063.87"/>
    <x v="1"/>
    <x v="0"/>
    <n v="0.38729237770193398"/>
  </r>
  <r>
    <n v="3022"/>
    <d v="2024-02-19T00:00:00"/>
    <x v="3"/>
    <x v="1"/>
    <x v="5"/>
    <x v="3"/>
    <n v="8"/>
    <n v="821"/>
    <n v="20"/>
    <n v="5254.4"/>
    <n v="3276.39"/>
    <n v="1978.01"/>
    <x v="9"/>
    <x v="0"/>
    <n v="0.37644830998781975"/>
  </r>
  <r>
    <n v="3023"/>
    <d v="2024-11-20T00:00:00"/>
    <x v="3"/>
    <x v="3"/>
    <x v="4"/>
    <x v="1"/>
    <n v="7"/>
    <n v="674"/>
    <n v="10"/>
    <n v="4246.2"/>
    <n v="2622.96"/>
    <n v="1623.24"/>
    <x v="3"/>
    <x v="0"/>
    <n v="0.38228062738448498"/>
  </r>
  <r>
    <n v="3024"/>
    <d v="2023-05-24T00:00:00"/>
    <x v="1"/>
    <x v="4"/>
    <x v="18"/>
    <x v="3"/>
    <n v="7"/>
    <n v="695"/>
    <n v="10"/>
    <n v="4378.5"/>
    <n v="2836.68"/>
    <n v="1541.82"/>
    <x v="7"/>
    <x v="1"/>
    <n v="0.35213429256594725"/>
  </r>
  <r>
    <n v="3025"/>
    <d v="2023-11-04T00:00:00"/>
    <x v="1"/>
    <x v="0"/>
    <x v="0"/>
    <x v="5"/>
    <n v="6"/>
    <n v="878"/>
    <n v="5"/>
    <n v="5004.6000000000004"/>
    <n v="3212.93"/>
    <n v="1791.67"/>
    <x v="3"/>
    <x v="1"/>
    <n v="0.3580046357351237"/>
  </r>
  <r>
    <n v="3026"/>
    <d v="2023-01-14T00:00:00"/>
    <x v="1"/>
    <x v="3"/>
    <x v="15"/>
    <x v="2"/>
    <n v="3"/>
    <n v="854"/>
    <n v="5"/>
    <n v="2433.9"/>
    <n v="1434.01"/>
    <n v="999.89"/>
    <x v="11"/>
    <x v="1"/>
    <n v="0.41081802867825301"/>
  </r>
  <r>
    <n v="3027"/>
    <d v="2023-10-24T00:00:00"/>
    <x v="0"/>
    <x v="1"/>
    <x v="16"/>
    <x v="3"/>
    <n v="9"/>
    <n v="449"/>
    <n v="15"/>
    <n v="3434.85"/>
    <n v="1857.06"/>
    <n v="1577.79"/>
    <x v="1"/>
    <x v="1"/>
    <n v="0.45934756976287172"/>
  </r>
  <r>
    <n v="3028"/>
    <d v="2024-02-07T00:00:00"/>
    <x v="0"/>
    <x v="0"/>
    <x v="1"/>
    <x v="4"/>
    <n v="7"/>
    <n v="702"/>
    <n v="20"/>
    <n v="3931.2"/>
    <n v="3117.9"/>
    <n v="813.3"/>
    <x v="9"/>
    <x v="0"/>
    <n v="0.20688339438339437"/>
  </r>
  <r>
    <n v="3029"/>
    <d v="2024-08-08T00:00:00"/>
    <x v="1"/>
    <x v="3"/>
    <x v="19"/>
    <x v="4"/>
    <n v="8"/>
    <n v="435"/>
    <n v="10"/>
    <n v="3132"/>
    <n v="1777.8"/>
    <n v="1354.2"/>
    <x v="2"/>
    <x v="0"/>
    <n v="0.43237547892720307"/>
  </r>
  <r>
    <n v="3030"/>
    <d v="2024-07-26T00:00:00"/>
    <x v="3"/>
    <x v="3"/>
    <x v="11"/>
    <x v="4"/>
    <n v="1"/>
    <n v="649"/>
    <n v="20"/>
    <n v="519.20000000000005"/>
    <n v="311.26"/>
    <n v="207.94"/>
    <x v="5"/>
    <x v="0"/>
    <n v="0.40050077041602461"/>
  </r>
  <r>
    <n v="3031"/>
    <d v="2024-07-08T00:00:00"/>
    <x v="1"/>
    <x v="2"/>
    <x v="3"/>
    <x v="3"/>
    <n v="8"/>
    <n v="788"/>
    <n v="20"/>
    <n v="5043.2"/>
    <n v="2798.4"/>
    <n v="2244.8000000000002"/>
    <x v="5"/>
    <x v="0"/>
    <n v="0.44511421319796962"/>
  </r>
  <r>
    <n v="3032"/>
    <d v="2024-07-26T00:00:00"/>
    <x v="2"/>
    <x v="1"/>
    <x v="16"/>
    <x v="0"/>
    <n v="7"/>
    <n v="668"/>
    <n v="15"/>
    <n v="3974.6"/>
    <n v="2101.12"/>
    <n v="1873.48"/>
    <x v="5"/>
    <x v="0"/>
    <n v="0.47136315604085949"/>
  </r>
  <r>
    <n v="3033"/>
    <d v="2023-03-24T00:00:00"/>
    <x v="1"/>
    <x v="0"/>
    <x v="0"/>
    <x v="0"/>
    <n v="1"/>
    <n v="479"/>
    <n v="5"/>
    <n v="455.05"/>
    <n v="314.17"/>
    <n v="140.88"/>
    <x v="8"/>
    <x v="1"/>
    <n v="0.30959235248873751"/>
  </r>
  <r>
    <n v="3034"/>
    <d v="2024-04-22T00:00:00"/>
    <x v="2"/>
    <x v="4"/>
    <x v="18"/>
    <x v="4"/>
    <n v="2"/>
    <n v="371"/>
    <n v="0"/>
    <n v="742"/>
    <n v="406.06"/>
    <n v="335.94"/>
    <x v="10"/>
    <x v="0"/>
    <n v="0.45274932614555258"/>
  </r>
  <r>
    <n v="3035"/>
    <d v="2023-07-02T00:00:00"/>
    <x v="2"/>
    <x v="1"/>
    <x v="2"/>
    <x v="2"/>
    <n v="2"/>
    <n v="945"/>
    <n v="15"/>
    <n v="1606.5"/>
    <n v="1049.31"/>
    <n v="557.19000000000005"/>
    <x v="5"/>
    <x v="1"/>
    <n v="0.34683473389355746"/>
  </r>
  <r>
    <n v="3036"/>
    <d v="2024-10-18T00:00:00"/>
    <x v="0"/>
    <x v="0"/>
    <x v="12"/>
    <x v="0"/>
    <n v="3"/>
    <n v="969"/>
    <n v="20"/>
    <n v="2325.6"/>
    <n v="1708"/>
    <n v="617.6"/>
    <x v="1"/>
    <x v="0"/>
    <n v="0.26556587547299626"/>
  </r>
  <r>
    <n v="3037"/>
    <d v="2024-08-24T00:00:00"/>
    <x v="3"/>
    <x v="1"/>
    <x v="16"/>
    <x v="1"/>
    <n v="3"/>
    <n v="734"/>
    <n v="5"/>
    <n v="2091.9"/>
    <n v="1335.25"/>
    <n v="756.65"/>
    <x v="2"/>
    <x v="0"/>
    <n v="0.36170467039533438"/>
  </r>
  <r>
    <n v="3038"/>
    <d v="2024-02-14T00:00:00"/>
    <x v="2"/>
    <x v="4"/>
    <x v="14"/>
    <x v="5"/>
    <n v="4"/>
    <n v="231"/>
    <n v="10"/>
    <n v="831.6"/>
    <n v="651.16"/>
    <n v="180.44"/>
    <x v="9"/>
    <x v="0"/>
    <n v="0.21697931697931697"/>
  </r>
  <r>
    <n v="3039"/>
    <d v="2023-07-14T00:00:00"/>
    <x v="1"/>
    <x v="3"/>
    <x v="19"/>
    <x v="4"/>
    <n v="6"/>
    <n v="768"/>
    <n v="0"/>
    <n v="4608"/>
    <n v="3274.97"/>
    <n v="1333.03"/>
    <x v="5"/>
    <x v="1"/>
    <n v="0.28928602430555556"/>
  </r>
  <r>
    <n v="3040"/>
    <d v="2024-03-10T00:00:00"/>
    <x v="1"/>
    <x v="4"/>
    <x v="14"/>
    <x v="5"/>
    <n v="9"/>
    <n v="927"/>
    <n v="0"/>
    <n v="8343"/>
    <n v="6567.54"/>
    <n v="1775.46"/>
    <x v="8"/>
    <x v="0"/>
    <n v="0.21280834232290544"/>
  </r>
  <r>
    <n v="3041"/>
    <d v="2023-08-19T00:00:00"/>
    <x v="0"/>
    <x v="4"/>
    <x v="18"/>
    <x v="5"/>
    <n v="10"/>
    <n v="418"/>
    <n v="15"/>
    <n v="3553"/>
    <n v="2110.7600000000002"/>
    <n v="1442.24"/>
    <x v="2"/>
    <x v="1"/>
    <n v="0.40592175626231353"/>
  </r>
  <r>
    <n v="3042"/>
    <d v="2024-12-19T00:00:00"/>
    <x v="2"/>
    <x v="1"/>
    <x v="7"/>
    <x v="2"/>
    <n v="9"/>
    <n v="66"/>
    <n v="5"/>
    <n v="564.29999999999995"/>
    <n v="322.83"/>
    <n v="241.47"/>
    <x v="6"/>
    <x v="0"/>
    <n v="0.42791068580542269"/>
  </r>
  <r>
    <n v="3043"/>
    <d v="2023-02-02T00:00:00"/>
    <x v="2"/>
    <x v="2"/>
    <x v="3"/>
    <x v="0"/>
    <n v="8"/>
    <n v="35"/>
    <n v="10"/>
    <n v="252"/>
    <n v="156.72"/>
    <n v="95.28"/>
    <x v="9"/>
    <x v="1"/>
    <n v="0.3780952380952381"/>
  </r>
  <r>
    <n v="3044"/>
    <d v="2024-10-02T00:00:00"/>
    <x v="0"/>
    <x v="0"/>
    <x v="12"/>
    <x v="5"/>
    <n v="7"/>
    <n v="69"/>
    <n v="0"/>
    <n v="483"/>
    <n v="269.79000000000002"/>
    <n v="213.21"/>
    <x v="1"/>
    <x v="0"/>
    <n v="0.44142857142857145"/>
  </r>
  <r>
    <n v="3045"/>
    <d v="2023-12-04T00:00:00"/>
    <x v="3"/>
    <x v="2"/>
    <x v="3"/>
    <x v="0"/>
    <n v="6"/>
    <n v="310"/>
    <n v="15"/>
    <n v="1581"/>
    <n v="1058.2"/>
    <n v="522.79999999999995"/>
    <x v="6"/>
    <x v="1"/>
    <n v="0.33067678684376972"/>
  </r>
  <r>
    <n v="3046"/>
    <d v="2023-10-03T00:00:00"/>
    <x v="0"/>
    <x v="4"/>
    <x v="18"/>
    <x v="1"/>
    <n v="4"/>
    <n v="356"/>
    <n v="20"/>
    <n v="1139.2"/>
    <n v="676.6"/>
    <n v="462.6"/>
    <x v="1"/>
    <x v="1"/>
    <n v="0.4060744382022472"/>
  </r>
  <r>
    <n v="3047"/>
    <d v="2024-05-11T00:00:00"/>
    <x v="1"/>
    <x v="1"/>
    <x v="5"/>
    <x v="1"/>
    <n v="10"/>
    <n v="807"/>
    <n v="20"/>
    <n v="6456"/>
    <n v="3495.67"/>
    <n v="2960.33"/>
    <x v="7"/>
    <x v="0"/>
    <n v="0.45853934324659229"/>
  </r>
  <r>
    <n v="3048"/>
    <d v="2023-03-13T00:00:00"/>
    <x v="2"/>
    <x v="4"/>
    <x v="14"/>
    <x v="1"/>
    <n v="9"/>
    <n v="760"/>
    <n v="10"/>
    <n v="6156"/>
    <n v="4437.08"/>
    <n v="1718.92"/>
    <x v="8"/>
    <x v="1"/>
    <n v="0.2792267706302794"/>
  </r>
  <r>
    <n v="3049"/>
    <d v="2023-06-15T00:00:00"/>
    <x v="3"/>
    <x v="3"/>
    <x v="15"/>
    <x v="3"/>
    <n v="3"/>
    <n v="29"/>
    <n v="10"/>
    <n v="78.3"/>
    <n v="53.39"/>
    <n v="24.91"/>
    <x v="4"/>
    <x v="1"/>
    <n v="0.3181353767560664"/>
  </r>
  <r>
    <n v="3050"/>
    <d v="2023-05-21T00:00:00"/>
    <x v="1"/>
    <x v="0"/>
    <x v="0"/>
    <x v="3"/>
    <n v="3"/>
    <n v="918"/>
    <n v="0"/>
    <n v="2754"/>
    <n v="1981.79"/>
    <n v="772.21"/>
    <x v="7"/>
    <x v="1"/>
    <n v="0.28039578794480757"/>
  </r>
  <r>
    <n v="3051"/>
    <d v="2023-11-04T00:00:00"/>
    <x v="2"/>
    <x v="2"/>
    <x v="3"/>
    <x v="5"/>
    <n v="8"/>
    <n v="45"/>
    <n v="15"/>
    <n v="306"/>
    <n v="165.18"/>
    <n v="140.82"/>
    <x v="3"/>
    <x v="1"/>
    <n v="0.4601960784313725"/>
  </r>
  <r>
    <n v="3052"/>
    <d v="2023-05-04T00:00:00"/>
    <x v="3"/>
    <x v="2"/>
    <x v="17"/>
    <x v="5"/>
    <n v="8"/>
    <n v="46"/>
    <n v="20"/>
    <n v="294.39999999999998"/>
    <n v="225.11"/>
    <n v="69.290000000000006"/>
    <x v="7"/>
    <x v="1"/>
    <n v="0.23536005434782611"/>
  </r>
  <r>
    <n v="3053"/>
    <d v="2024-11-01T00:00:00"/>
    <x v="0"/>
    <x v="4"/>
    <x v="8"/>
    <x v="1"/>
    <n v="9"/>
    <n v="195"/>
    <n v="15"/>
    <n v="1491.75"/>
    <n v="887.36"/>
    <n v="604.39"/>
    <x v="3"/>
    <x v="0"/>
    <n v="0.40515501927266634"/>
  </r>
  <r>
    <n v="3054"/>
    <d v="2023-10-08T00:00:00"/>
    <x v="2"/>
    <x v="4"/>
    <x v="18"/>
    <x v="3"/>
    <n v="8"/>
    <n v="455"/>
    <n v="0"/>
    <n v="3640"/>
    <n v="2687.7"/>
    <n v="952.3"/>
    <x v="1"/>
    <x v="1"/>
    <n v="0.26162087912087911"/>
  </r>
  <r>
    <n v="3055"/>
    <d v="2024-11-03T00:00:00"/>
    <x v="1"/>
    <x v="2"/>
    <x v="10"/>
    <x v="0"/>
    <n v="4"/>
    <n v="916"/>
    <n v="5"/>
    <n v="3480.8"/>
    <n v="1817.43"/>
    <n v="1663.37"/>
    <x v="3"/>
    <x v="0"/>
    <n v="0.47787002987818888"/>
  </r>
  <r>
    <n v="3056"/>
    <d v="2024-07-23T00:00:00"/>
    <x v="1"/>
    <x v="0"/>
    <x v="0"/>
    <x v="4"/>
    <n v="5"/>
    <n v="992"/>
    <n v="5"/>
    <n v="4712"/>
    <n v="3303.79"/>
    <n v="1408.21"/>
    <x v="5"/>
    <x v="0"/>
    <n v="0.29885611205432938"/>
  </r>
  <r>
    <n v="3057"/>
    <d v="2023-08-25T00:00:00"/>
    <x v="2"/>
    <x v="3"/>
    <x v="15"/>
    <x v="5"/>
    <n v="6"/>
    <n v="668"/>
    <n v="20"/>
    <n v="3206.4"/>
    <n v="1880.28"/>
    <n v="1326.12"/>
    <x v="2"/>
    <x v="1"/>
    <n v="0.41358532934131731"/>
  </r>
  <r>
    <n v="3058"/>
    <d v="2024-05-24T00:00:00"/>
    <x v="2"/>
    <x v="0"/>
    <x v="1"/>
    <x v="3"/>
    <n v="4"/>
    <n v="997"/>
    <n v="20"/>
    <n v="3190.4"/>
    <n v="1746.54"/>
    <n v="1443.86"/>
    <x v="7"/>
    <x v="0"/>
    <n v="0.45256394182547638"/>
  </r>
  <r>
    <n v="3059"/>
    <d v="2023-11-16T00:00:00"/>
    <x v="0"/>
    <x v="2"/>
    <x v="17"/>
    <x v="1"/>
    <n v="1"/>
    <n v="926"/>
    <n v="5"/>
    <n v="879.7"/>
    <n v="477.78"/>
    <n v="401.92"/>
    <x v="3"/>
    <x v="1"/>
    <n v="0.45688302830510402"/>
  </r>
  <r>
    <n v="3060"/>
    <d v="2024-12-11T00:00:00"/>
    <x v="2"/>
    <x v="4"/>
    <x v="9"/>
    <x v="3"/>
    <n v="4"/>
    <n v="381"/>
    <n v="5"/>
    <n v="1447.8"/>
    <n v="755.93"/>
    <n v="691.87"/>
    <x v="6"/>
    <x v="0"/>
    <n v="0.4778767785605747"/>
  </r>
  <r>
    <n v="3061"/>
    <d v="2023-04-08T00:00:00"/>
    <x v="2"/>
    <x v="4"/>
    <x v="8"/>
    <x v="5"/>
    <n v="8"/>
    <n v="656"/>
    <n v="10"/>
    <n v="4723.2"/>
    <n v="3374.78"/>
    <n v="1348.42"/>
    <x v="10"/>
    <x v="1"/>
    <n v="0.28548865176151766"/>
  </r>
  <r>
    <n v="3062"/>
    <d v="2023-06-18T00:00:00"/>
    <x v="1"/>
    <x v="4"/>
    <x v="8"/>
    <x v="0"/>
    <n v="2"/>
    <n v="654"/>
    <n v="15"/>
    <n v="1111.8"/>
    <n v="564.27"/>
    <n v="547.53"/>
    <x v="4"/>
    <x v="1"/>
    <n v="0.49247166756610899"/>
  </r>
  <r>
    <n v="3063"/>
    <d v="2024-09-13T00:00:00"/>
    <x v="1"/>
    <x v="0"/>
    <x v="0"/>
    <x v="5"/>
    <n v="4"/>
    <n v="812"/>
    <n v="5"/>
    <n v="3085.6"/>
    <n v="1956.94"/>
    <n v="1128.6600000000001"/>
    <x v="0"/>
    <x v="0"/>
    <n v="0.36578299196266534"/>
  </r>
  <r>
    <n v="3064"/>
    <d v="2024-02-07T00:00:00"/>
    <x v="2"/>
    <x v="0"/>
    <x v="1"/>
    <x v="5"/>
    <n v="7"/>
    <n v="537"/>
    <n v="10"/>
    <n v="3383.1"/>
    <n v="2386.1"/>
    <n v="997"/>
    <x v="9"/>
    <x v="0"/>
    <n v="0.29470012710236176"/>
  </r>
  <r>
    <n v="3065"/>
    <d v="2023-03-28T00:00:00"/>
    <x v="2"/>
    <x v="2"/>
    <x v="17"/>
    <x v="3"/>
    <n v="10"/>
    <n v="989"/>
    <n v="0"/>
    <n v="9890"/>
    <n v="7365.13"/>
    <n v="2524.87"/>
    <x v="8"/>
    <x v="1"/>
    <n v="0.25529524772497469"/>
  </r>
  <r>
    <n v="3066"/>
    <d v="2023-08-09T00:00:00"/>
    <x v="0"/>
    <x v="2"/>
    <x v="10"/>
    <x v="0"/>
    <n v="7"/>
    <n v="525"/>
    <n v="15"/>
    <n v="3123.75"/>
    <n v="1855.94"/>
    <n v="1267.81"/>
    <x v="2"/>
    <x v="1"/>
    <n v="0.40586154461784713"/>
  </r>
  <r>
    <n v="3067"/>
    <d v="2024-05-25T00:00:00"/>
    <x v="1"/>
    <x v="0"/>
    <x v="13"/>
    <x v="4"/>
    <n v="6"/>
    <n v="281"/>
    <n v="15"/>
    <n v="1433.1"/>
    <n v="736.31"/>
    <n v="696.79"/>
    <x v="7"/>
    <x v="0"/>
    <n v="0.48621170888284138"/>
  </r>
  <r>
    <n v="3068"/>
    <d v="2024-04-13T00:00:00"/>
    <x v="2"/>
    <x v="1"/>
    <x v="16"/>
    <x v="2"/>
    <n v="7"/>
    <n v="504"/>
    <n v="5"/>
    <n v="3351.6"/>
    <n v="2418.36"/>
    <n v="933.24"/>
    <x v="10"/>
    <x v="0"/>
    <n v="0.27844611528822055"/>
  </r>
  <r>
    <n v="3069"/>
    <d v="2024-10-10T00:00:00"/>
    <x v="3"/>
    <x v="0"/>
    <x v="12"/>
    <x v="1"/>
    <n v="3"/>
    <n v="332"/>
    <n v="5"/>
    <n v="946.2"/>
    <n v="709.65"/>
    <n v="236.55"/>
    <x v="1"/>
    <x v="0"/>
    <n v="0.25"/>
  </r>
  <r>
    <n v="3070"/>
    <d v="2024-10-27T00:00:00"/>
    <x v="2"/>
    <x v="4"/>
    <x v="9"/>
    <x v="3"/>
    <n v="9"/>
    <n v="983"/>
    <n v="5"/>
    <n v="8404.65"/>
    <n v="5809.18"/>
    <n v="2595.4699999999998"/>
    <x v="1"/>
    <x v="0"/>
    <n v="0.30881357343851318"/>
  </r>
  <r>
    <n v="3071"/>
    <d v="2024-07-22T00:00:00"/>
    <x v="1"/>
    <x v="4"/>
    <x v="9"/>
    <x v="1"/>
    <n v="5"/>
    <n v="905"/>
    <n v="20"/>
    <n v="3620"/>
    <n v="2832.87"/>
    <n v="787.13"/>
    <x v="5"/>
    <x v="0"/>
    <n v="0.217439226519337"/>
  </r>
  <r>
    <n v="3072"/>
    <d v="2024-02-29T00:00:00"/>
    <x v="0"/>
    <x v="2"/>
    <x v="3"/>
    <x v="1"/>
    <n v="9"/>
    <n v="807"/>
    <n v="10"/>
    <n v="6536.7"/>
    <n v="4924.58"/>
    <n v="1612.12"/>
    <x v="9"/>
    <x v="0"/>
    <n v="0.24662597335046735"/>
  </r>
  <r>
    <n v="3073"/>
    <d v="2023-05-18T00:00:00"/>
    <x v="0"/>
    <x v="0"/>
    <x v="0"/>
    <x v="1"/>
    <n v="3"/>
    <n v="768"/>
    <n v="20"/>
    <n v="1843.2"/>
    <n v="1187.54"/>
    <n v="655.66"/>
    <x v="7"/>
    <x v="1"/>
    <n v="0.3557183159722222"/>
  </r>
  <r>
    <n v="3074"/>
    <d v="2024-06-28T00:00:00"/>
    <x v="0"/>
    <x v="2"/>
    <x v="10"/>
    <x v="1"/>
    <n v="5"/>
    <n v="739"/>
    <n v="5"/>
    <n v="3510.25"/>
    <n v="2000.28"/>
    <n v="1509.97"/>
    <x v="4"/>
    <x v="0"/>
    <n v="0.43016024499679512"/>
  </r>
  <r>
    <n v="3075"/>
    <d v="2023-05-01T00:00:00"/>
    <x v="3"/>
    <x v="1"/>
    <x v="2"/>
    <x v="1"/>
    <n v="7"/>
    <n v="84"/>
    <n v="15"/>
    <n v="499.8"/>
    <n v="326.58"/>
    <n v="173.22"/>
    <x v="7"/>
    <x v="1"/>
    <n v="0.346578631452581"/>
  </r>
  <r>
    <n v="3076"/>
    <d v="2024-08-22T00:00:00"/>
    <x v="2"/>
    <x v="0"/>
    <x v="0"/>
    <x v="5"/>
    <n v="1"/>
    <n v="137"/>
    <n v="0"/>
    <n v="137"/>
    <n v="86.05"/>
    <n v="50.95"/>
    <x v="2"/>
    <x v="0"/>
    <n v="0.37189781021897811"/>
  </r>
  <r>
    <n v="3077"/>
    <d v="2023-03-23T00:00:00"/>
    <x v="0"/>
    <x v="4"/>
    <x v="18"/>
    <x v="5"/>
    <n v="3"/>
    <n v="815"/>
    <n v="20"/>
    <n v="1956"/>
    <n v="1341.74"/>
    <n v="614.26"/>
    <x v="8"/>
    <x v="1"/>
    <n v="0.31403885480572596"/>
  </r>
  <r>
    <n v="3078"/>
    <d v="2024-12-17T00:00:00"/>
    <x v="3"/>
    <x v="0"/>
    <x v="12"/>
    <x v="3"/>
    <n v="9"/>
    <n v="625"/>
    <n v="10"/>
    <n v="5062.5"/>
    <n v="3693.35"/>
    <n v="1369.15"/>
    <x v="6"/>
    <x v="0"/>
    <n v="0.2704493827160494"/>
  </r>
  <r>
    <n v="3079"/>
    <d v="2024-04-27T00:00:00"/>
    <x v="0"/>
    <x v="0"/>
    <x v="12"/>
    <x v="5"/>
    <n v="10"/>
    <n v="290"/>
    <n v="15"/>
    <n v="2465"/>
    <n v="1643.99"/>
    <n v="821.01"/>
    <x v="10"/>
    <x v="0"/>
    <n v="0.33306693711967544"/>
  </r>
  <r>
    <n v="3080"/>
    <d v="2023-04-22T00:00:00"/>
    <x v="0"/>
    <x v="1"/>
    <x v="7"/>
    <x v="3"/>
    <n v="10"/>
    <n v="345"/>
    <n v="20"/>
    <n v="2760"/>
    <n v="1920.26"/>
    <n v="839.74"/>
    <x v="10"/>
    <x v="1"/>
    <n v="0.30425362318840582"/>
  </r>
  <r>
    <n v="3081"/>
    <d v="2024-08-30T00:00:00"/>
    <x v="0"/>
    <x v="0"/>
    <x v="12"/>
    <x v="2"/>
    <n v="2"/>
    <n v="591"/>
    <n v="5"/>
    <n v="1122.9000000000001"/>
    <n v="773.4"/>
    <n v="349.5"/>
    <x v="2"/>
    <x v="0"/>
    <n v="0.31124766230296552"/>
  </r>
  <r>
    <n v="3082"/>
    <d v="2023-04-14T00:00:00"/>
    <x v="3"/>
    <x v="1"/>
    <x v="7"/>
    <x v="3"/>
    <n v="1"/>
    <n v="965"/>
    <n v="20"/>
    <n v="772"/>
    <n v="433.58"/>
    <n v="338.42"/>
    <x v="10"/>
    <x v="1"/>
    <n v="0.43836787564766844"/>
  </r>
  <r>
    <n v="3083"/>
    <d v="2024-05-18T00:00:00"/>
    <x v="1"/>
    <x v="1"/>
    <x v="2"/>
    <x v="5"/>
    <n v="10"/>
    <n v="27"/>
    <n v="0"/>
    <n v="270"/>
    <n v="207.94"/>
    <n v="62.06"/>
    <x v="7"/>
    <x v="0"/>
    <n v="0.22985185185185186"/>
  </r>
  <r>
    <n v="3084"/>
    <d v="2023-02-28T00:00:00"/>
    <x v="0"/>
    <x v="3"/>
    <x v="19"/>
    <x v="3"/>
    <n v="9"/>
    <n v="729"/>
    <n v="0"/>
    <n v="6561"/>
    <n v="3491.71"/>
    <n v="3069.29"/>
    <x v="9"/>
    <x v="1"/>
    <n v="0.46780826093583294"/>
  </r>
  <r>
    <n v="3085"/>
    <d v="2023-08-19T00:00:00"/>
    <x v="1"/>
    <x v="3"/>
    <x v="11"/>
    <x v="3"/>
    <n v="10"/>
    <n v="542"/>
    <n v="15"/>
    <n v="4607"/>
    <n v="2349.4899999999998"/>
    <n v="2257.5100000000002"/>
    <x v="2"/>
    <x v="1"/>
    <n v="0.49001736487953118"/>
  </r>
  <r>
    <n v="3086"/>
    <d v="2023-10-30T00:00:00"/>
    <x v="3"/>
    <x v="3"/>
    <x v="11"/>
    <x v="4"/>
    <n v="3"/>
    <n v="540"/>
    <n v="15"/>
    <n v="1377"/>
    <n v="722.69"/>
    <n v="654.30999999999995"/>
    <x v="1"/>
    <x v="1"/>
    <n v="0.47517066085693532"/>
  </r>
  <r>
    <n v="3087"/>
    <d v="2024-10-25T00:00:00"/>
    <x v="3"/>
    <x v="0"/>
    <x v="13"/>
    <x v="3"/>
    <n v="3"/>
    <n v="438"/>
    <n v="0"/>
    <n v="1314"/>
    <n v="958.4"/>
    <n v="355.6"/>
    <x v="1"/>
    <x v="0"/>
    <n v="0.27062404870624052"/>
  </r>
  <r>
    <n v="3088"/>
    <d v="2023-09-17T00:00:00"/>
    <x v="2"/>
    <x v="2"/>
    <x v="6"/>
    <x v="5"/>
    <n v="5"/>
    <n v="384"/>
    <n v="10"/>
    <n v="1728"/>
    <n v="914.78"/>
    <n v="813.22"/>
    <x v="0"/>
    <x v="1"/>
    <n v="0.47061342592592592"/>
  </r>
  <r>
    <n v="3089"/>
    <d v="2024-02-08T00:00:00"/>
    <x v="3"/>
    <x v="0"/>
    <x v="12"/>
    <x v="2"/>
    <n v="4"/>
    <n v="692"/>
    <n v="0"/>
    <n v="2768"/>
    <n v="1992.31"/>
    <n v="775.69"/>
    <x v="9"/>
    <x v="0"/>
    <n v="0.28023482658959542"/>
  </r>
  <r>
    <n v="3090"/>
    <d v="2023-01-02T00:00:00"/>
    <x v="1"/>
    <x v="0"/>
    <x v="13"/>
    <x v="5"/>
    <n v="2"/>
    <n v="707"/>
    <n v="5"/>
    <n v="1343.3"/>
    <n v="788.35"/>
    <n v="554.95000000000005"/>
    <x v="11"/>
    <x v="1"/>
    <n v="0.41312439514628158"/>
  </r>
  <r>
    <n v="3091"/>
    <d v="2023-11-11T00:00:00"/>
    <x v="2"/>
    <x v="0"/>
    <x v="1"/>
    <x v="3"/>
    <n v="9"/>
    <n v="97"/>
    <n v="10"/>
    <n v="785.7"/>
    <n v="477.65"/>
    <n v="308.05"/>
    <x v="3"/>
    <x v="1"/>
    <n v="0.39207076492299858"/>
  </r>
  <r>
    <n v="3092"/>
    <d v="2023-05-25T00:00:00"/>
    <x v="1"/>
    <x v="1"/>
    <x v="5"/>
    <x v="2"/>
    <n v="8"/>
    <n v="482"/>
    <n v="20"/>
    <n v="3084.8"/>
    <n v="1780.6"/>
    <n v="1304.2"/>
    <x v="7"/>
    <x v="1"/>
    <n v="0.42278267634854771"/>
  </r>
  <r>
    <n v="3093"/>
    <d v="2024-03-13T00:00:00"/>
    <x v="3"/>
    <x v="1"/>
    <x v="5"/>
    <x v="4"/>
    <n v="5"/>
    <n v="686"/>
    <n v="20"/>
    <n v="2744"/>
    <n v="1700.18"/>
    <n v="1043.82"/>
    <x v="8"/>
    <x v="0"/>
    <n v="0.38040087463556849"/>
  </r>
  <r>
    <n v="3094"/>
    <d v="2023-07-02T00:00:00"/>
    <x v="0"/>
    <x v="1"/>
    <x v="5"/>
    <x v="4"/>
    <n v="9"/>
    <n v="245"/>
    <n v="15"/>
    <n v="1874.25"/>
    <n v="1367.98"/>
    <n v="506.27"/>
    <x v="5"/>
    <x v="1"/>
    <n v="0.27011871415232758"/>
  </r>
  <r>
    <n v="3095"/>
    <d v="2023-03-10T00:00:00"/>
    <x v="1"/>
    <x v="0"/>
    <x v="13"/>
    <x v="4"/>
    <n v="10"/>
    <n v="112"/>
    <n v="5"/>
    <n v="1064"/>
    <n v="753.68"/>
    <n v="310.32"/>
    <x v="8"/>
    <x v="1"/>
    <n v="0.29165413533834583"/>
  </r>
  <r>
    <n v="3096"/>
    <d v="2023-03-12T00:00:00"/>
    <x v="0"/>
    <x v="2"/>
    <x v="10"/>
    <x v="0"/>
    <n v="7"/>
    <n v="301"/>
    <n v="5"/>
    <n v="2001.65"/>
    <n v="1085.6199999999999"/>
    <n v="916.03"/>
    <x v="8"/>
    <x v="1"/>
    <n v="0.45763744910448878"/>
  </r>
  <r>
    <n v="3097"/>
    <d v="2024-01-23T00:00:00"/>
    <x v="2"/>
    <x v="3"/>
    <x v="11"/>
    <x v="4"/>
    <n v="1"/>
    <n v="718"/>
    <n v="0"/>
    <n v="718"/>
    <n v="551.5"/>
    <n v="166.5"/>
    <x v="11"/>
    <x v="0"/>
    <n v="0.23189415041782729"/>
  </r>
  <r>
    <n v="3098"/>
    <d v="2024-01-15T00:00:00"/>
    <x v="2"/>
    <x v="3"/>
    <x v="11"/>
    <x v="0"/>
    <n v="8"/>
    <n v="218"/>
    <n v="5"/>
    <n v="1656.8"/>
    <n v="1248.6099999999999"/>
    <n v="408.19"/>
    <x v="11"/>
    <x v="0"/>
    <n v="0.24637252535007242"/>
  </r>
  <r>
    <n v="3099"/>
    <d v="2023-09-08T00:00:00"/>
    <x v="0"/>
    <x v="1"/>
    <x v="7"/>
    <x v="5"/>
    <n v="6"/>
    <n v="571"/>
    <n v="5"/>
    <n v="3254.7"/>
    <n v="2229.1999999999998"/>
    <n v="1025.5"/>
    <x v="0"/>
    <x v="1"/>
    <n v="0.3150828033305681"/>
  </r>
  <r>
    <n v="3100"/>
    <d v="2023-09-16T00:00:00"/>
    <x v="0"/>
    <x v="3"/>
    <x v="11"/>
    <x v="2"/>
    <n v="6"/>
    <n v="455"/>
    <n v="10"/>
    <n v="2457"/>
    <n v="1860.5"/>
    <n v="596.5"/>
    <x v="0"/>
    <x v="1"/>
    <n v="0.24277574277574276"/>
  </r>
  <r>
    <n v="3101"/>
    <d v="2023-04-27T00:00:00"/>
    <x v="1"/>
    <x v="1"/>
    <x v="16"/>
    <x v="3"/>
    <n v="5"/>
    <n v="76"/>
    <n v="15"/>
    <n v="323"/>
    <n v="218.06"/>
    <n v="104.94"/>
    <x v="10"/>
    <x v="1"/>
    <n v="0.32489164086687305"/>
  </r>
  <r>
    <n v="3102"/>
    <d v="2024-06-30T00:00:00"/>
    <x v="1"/>
    <x v="2"/>
    <x v="3"/>
    <x v="5"/>
    <n v="8"/>
    <n v="744"/>
    <n v="15"/>
    <n v="5059.2"/>
    <n v="3705.31"/>
    <n v="1353.89"/>
    <x v="4"/>
    <x v="0"/>
    <n v="0.26760950347881091"/>
  </r>
  <r>
    <n v="3103"/>
    <d v="2024-02-12T00:00:00"/>
    <x v="1"/>
    <x v="0"/>
    <x v="13"/>
    <x v="5"/>
    <n v="9"/>
    <n v="567"/>
    <n v="15"/>
    <n v="4337.55"/>
    <n v="3167.7"/>
    <n v="1169.8499999999999"/>
    <x v="9"/>
    <x v="0"/>
    <n v="0.26970294290555724"/>
  </r>
  <r>
    <n v="3104"/>
    <d v="2023-01-31T00:00:00"/>
    <x v="2"/>
    <x v="0"/>
    <x v="13"/>
    <x v="4"/>
    <n v="3"/>
    <n v="89"/>
    <n v="15"/>
    <n v="226.95"/>
    <n v="152.11000000000001"/>
    <n v="74.84"/>
    <x v="11"/>
    <x v="1"/>
    <n v="0.32976426525666447"/>
  </r>
  <r>
    <n v="3105"/>
    <d v="2023-05-20T00:00:00"/>
    <x v="0"/>
    <x v="0"/>
    <x v="0"/>
    <x v="5"/>
    <n v="10"/>
    <n v="970"/>
    <n v="0"/>
    <n v="9700"/>
    <n v="5942.43"/>
    <n v="3757.57"/>
    <x v="7"/>
    <x v="1"/>
    <n v="0.38737835051546393"/>
  </r>
  <r>
    <n v="3106"/>
    <d v="2024-09-01T00:00:00"/>
    <x v="0"/>
    <x v="4"/>
    <x v="9"/>
    <x v="1"/>
    <n v="7"/>
    <n v="836"/>
    <n v="0"/>
    <n v="5852"/>
    <n v="3638.61"/>
    <n v="2213.39"/>
    <x v="0"/>
    <x v="0"/>
    <n v="0.37822795625427202"/>
  </r>
  <r>
    <n v="3107"/>
    <d v="2024-05-16T00:00:00"/>
    <x v="2"/>
    <x v="3"/>
    <x v="15"/>
    <x v="1"/>
    <n v="8"/>
    <n v="122"/>
    <n v="20"/>
    <n v="780.8"/>
    <n v="481.54"/>
    <n v="299.26"/>
    <x v="7"/>
    <x v="0"/>
    <n v="0.38327356557377051"/>
  </r>
  <r>
    <n v="3108"/>
    <d v="2024-04-06T00:00:00"/>
    <x v="2"/>
    <x v="0"/>
    <x v="1"/>
    <x v="4"/>
    <n v="7"/>
    <n v="112"/>
    <n v="10"/>
    <n v="705.6"/>
    <n v="542.05999999999995"/>
    <n v="163.54"/>
    <x v="10"/>
    <x v="0"/>
    <n v="0.23177437641723353"/>
  </r>
  <r>
    <n v="3109"/>
    <d v="2023-01-10T00:00:00"/>
    <x v="3"/>
    <x v="3"/>
    <x v="15"/>
    <x v="0"/>
    <n v="3"/>
    <n v="787"/>
    <n v="5"/>
    <n v="2242.9499999999998"/>
    <n v="1543.1"/>
    <n v="699.85"/>
    <x v="11"/>
    <x v="1"/>
    <n v="0.31202211373414479"/>
  </r>
  <r>
    <n v="3110"/>
    <d v="2024-07-30T00:00:00"/>
    <x v="0"/>
    <x v="3"/>
    <x v="19"/>
    <x v="3"/>
    <n v="5"/>
    <n v="603"/>
    <n v="10"/>
    <n v="2713.5"/>
    <n v="1839.29"/>
    <n v="874.21"/>
    <x v="5"/>
    <x v="0"/>
    <n v="0.32217062833978261"/>
  </r>
  <r>
    <n v="3111"/>
    <d v="2023-01-15T00:00:00"/>
    <x v="2"/>
    <x v="0"/>
    <x v="0"/>
    <x v="5"/>
    <n v="8"/>
    <n v="996"/>
    <n v="20"/>
    <n v="6374.4"/>
    <n v="3824.82"/>
    <n v="2549.58"/>
    <x v="11"/>
    <x v="1"/>
    <n v="0.39997176204819279"/>
  </r>
  <r>
    <n v="3112"/>
    <d v="2023-10-02T00:00:00"/>
    <x v="1"/>
    <x v="3"/>
    <x v="19"/>
    <x v="5"/>
    <n v="5"/>
    <n v="173"/>
    <n v="15"/>
    <n v="735.25"/>
    <n v="490.59"/>
    <n v="244.66"/>
    <x v="1"/>
    <x v="1"/>
    <n v="0.33275756545392721"/>
  </r>
  <r>
    <n v="3113"/>
    <d v="2024-03-25T00:00:00"/>
    <x v="3"/>
    <x v="1"/>
    <x v="7"/>
    <x v="1"/>
    <n v="10"/>
    <n v="950"/>
    <n v="20"/>
    <n v="7600"/>
    <n v="4986.9799999999996"/>
    <n v="2613.02"/>
    <x v="8"/>
    <x v="0"/>
    <n v="0.34381842105263155"/>
  </r>
  <r>
    <n v="3114"/>
    <d v="2023-12-31T00:00:00"/>
    <x v="2"/>
    <x v="0"/>
    <x v="13"/>
    <x v="3"/>
    <n v="8"/>
    <n v="584"/>
    <n v="15"/>
    <n v="3971.2"/>
    <n v="2376.9299999999998"/>
    <n v="1594.27"/>
    <x v="6"/>
    <x v="1"/>
    <n v="0.40145799758259471"/>
  </r>
  <r>
    <n v="3115"/>
    <d v="2024-03-29T00:00:00"/>
    <x v="1"/>
    <x v="3"/>
    <x v="15"/>
    <x v="1"/>
    <n v="6"/>
    <n v="102"/>
    <n v="20"/>
    <n v="489.6"/>
    <n v="295.19"/>
    <n v="194.41"/>
    <x v="8"/>
    <x v="0"/>
    <n v="0.39707924836601305"/>
  </r>
  <r>
    <n v="3116"/>
    <d v="2023-01-13T00:00:00"/>
    <x v="3"/>
    <x v="0"/>
    <x v="1"/>
    <x v="5"/>
    <n v="7"/>
    <n v="119"/>
    <n v="0"/>
    <n v="833"/>
    <n v="512.78"/>
    <n v="320.22000000000003"/>
    <x v="11"/>
    <x v="1"/>
    <n v="0.38441776710684278"/>
  </r>
  <r>
    <n v="3117"/>
    <d v="2024-03-14T00:00:00"/>
    <x v="2"/>
    <x v="3"/>
    <x v="11"/>
    <x v="5"/>
    <n v="7"/>
    <n v="296"/>
    <n v="15"/>
    <n v="1761.2"/>
    <n v="949.02"/>
    <n v="812.18"/>
    <x v="8"/>
    <x v="0"/>
    <n v="0.46115148762207581"/>
  </r>
  <r>
    <n v="3118"/>
    <d v="2024-09-16T00:00:00"/>
    <x v="3"/>
    <x v="0"/>
    <x v="12"/>
    <x v="1"/>
    <n v="3"/>
    <n v="385"/>
    <n v="15"/>
    <n v="981.75"/>
    <n v="666.82"/>
    <n v="314.93"/>
    <x v="0"/>
    <x v="0"/>
    <n v="0.32078431372549021"/>
  </r>
  <r>
    <n v="3119"/>
    <d v="2024-12-01T00:00:00"/>
    <x v="0"/>
    <x v="2"/>
    <x v="10"/>
    <x v="1"/>
    <n v="7"/>
    <n v="982"/>
    <n v="0"/>
    <n v="6874"/>
    <n v="3667.36"/>
    <n v="3206.64"/>
    <x v="6"/>
    <x v="0"/>
    <n v="0.46648821646784983"/>
  </r>
  <r>
    <n v="3120"/>
    <d v="2023-10-19T00:00:00"/>
    <x v="1"/>
    <x v="0"/>
    <x v="0"/>
    <x v="0"/>
    <n v="1"/>
    <n v="384"/>
    <n v="15"/>
    <n v="326.39999999999998"/>
    <n v="256.08999999999997"/>
    <n v="70.31"/>
    <x v="1"/>
    <x v="1"/>
    <n v="0.21541053921568629"/>
  </r>
  <r>
    <n v="3121"/>
    <d v="2023-04-27T00:00:00"/>
    <x v="0"/>
    <x v="1"/>
    <x v="7"/>
    <x v="3"/>
    <n v="9"/>
    <n v="978"/>
    <n v="20"/>
    <n v="7041.6"/>
    <n v="5628.13"/>
    <n v="1413.47"/>
    <x v="10"/>
    <x v="1"/>
    <n v="0.20073136787093843"/>
  </r>
  <r>
    <n v="3122"/>
    <d v="2024-09-27T00:00:00"/>
    <x v="2"/>
    <x v="0"/>
    <x v="0"/>
    <x v="1"/>
    <n v="4"/>
    <n v="357"/>
    <n v="15"/>
    <n v="1213.8"/>
    <n v="816.65"/>
    <n v="397.15"/>
    <x v="0"/>
    <x v="0"/>
    <n v="0.32719558411599936"/>
  </r>
  <r>
    <n v="3123"/>
    <d v="2023-07-29T00:00:00"/>
    <x v="0"/>
    <x v="3"/>
    <x v="15"/>
    <x v="1"/>
    <n v="7"/>
    <n v="268"/>
    <n v="5"/>
    <n v="1782.2"/>
    <n v="1132.83"/>
    <n v="649.37"/>
    <x v="5"/>
    <x v="1"/>
    <n v="0.36436426888115814"/>
  </r>
  <r>
    <n v="3124"/>
    <d v="2023-08-31T00:00:00"/>
    <x v="0"/>
    <x v="0"/>
    <x v="12"/>
    <x v="5"/>
    <n v="4"/>
    <n v="311"/>
    <n v="15"/>
    <n v="1057.4000000000001"/>
    <n v="799.22"/>
    <n v="258.18"/>
    <x v="2"/>
    <x v="1"/>
    <n v="0.2441649328541706"/>
  </r>
  <r>
    <n v="3125"/>
    <d v="2023-06-14T00:00:00"/>
    <x v="0"/>
    <x v="3"/>
    <x v="15"/>
    <x v="2"/>
    <n v="10"/>
    <n v="254"/>
    <n v="15"/>
    <n v="2159"/>
    <n v="1148.67"/>
    <n v="1010.33"/>
    <x v="4"/>
    <x v="1"/>
    <n v="0.46796201945345067"/>
  </r>
  <r>
    <n v="3126"/>
    <d v="2024-11-29T00:00:00"/>
    <x v="3"/>
    <x v="2"/>
    <x v="6"/>
    <x v="3"/>
    <n v="9"/>
    <n v="18"/>
    <n v="10"/>
    <n v="145.80000000000001"/>
    <n v="106.77"/>
    <n v="39.03"/>
    <x v="3"/>
    <x v="0"/>
    <n v="0.26769547325102877"/>
  </r>
  <r>
    <n v="3127"/>
    <d v="2023-01-29T00:00:00"/>
    <x v="2"/>
    <x v="3"/>
    <x v="4"/>
    <x v="1"/>
    <n v="6"/>
    <n v="485"/>
    <n v="0"/>
    <n v="2910"/>
    <n v="1822.03"/>
    <n v="1087.97"/>
    <x v="11"/>
    <x v="1"/>
    <n v="0.373872852233677"/>
  </r>
  <r>
    <n v="3128"/>
    <d v="2023-10-03T00:00:00"/>
    <x v="2"/>
    <x v="3"/>
    <x v="11"/>
    <x v="3"/>
    <n v="8"/>
    <n v="593"/>
    <n v="10"/>
    <n v="4269.6000000000004"/>
    <n v="2837.54"/>
    <n v="1432.06"/>
    <x v="1"/>
    <x v="1"/>
    <n v="0.33540846917744049"/>
  </r>
  <r>
    <n v="3129"/>
    <d v="2024-10-30T00:00:00"/>
    <x v="1"/>
    <x v="4"/>
    <x v="9"/>
    <x v="4"/>
    <n v="5"/>
    <n v="515"/>
    <n v="15"/>
    <n v="2188.75"/>
    <n v="1202.8800000000001"/>
    <n v="985.87"/>
    <x v="1"/>
    <x v="0"/>
    <n v="0.4504260422615648"/>
  </r>
  <r>
    <n v="3130"/>
    <d v="2023-09-13T00:00:00"/>
    <x v="3"/>
    <x v="4"/>
    <x v="9"/>
    <x v="3"/>
    <n v="9"/>
    <n v="621"/>
    <n v="5"/>
    <n v="5309.55"/>
    <n v="3892.65"/>
    <n v="1416.9"/>
    <x v="0"/>
    <x v="1"/>
    <n v="0.26685877334237368"/>
  </r>
  <r>
    <n v="3131"/>
    <d v="2023-08-10T00:00:00"/>
    <x v="1"/>
    <x v="3"/>
    <x v="15"/>
    <x v="1"/>
    <n v="5"/>
    <n v="713"/>
    <n v="0"/>
    <n v="3565"/>
    <n v="1970.63"/>
    <n v="1594.37"/>
    <x v="2"/>
    <x v="1"/>
    <n v="0.44722861150070126"/>
  </r>
  <r>
    <n v="3132"/>
    <d v="2024-02-09T00:00:00"/>
    <x v="0"/>
    <x v="0"/>
    <x v="12"/>
    <x v="5"/>
    <n v="1"/>
    <n v="511"/>
    <n v="0"/>
    <n v="511"/>
    <n v="392.33"/>
    <n v="118.67"/>
    <x v="9"/>
    <x v="0"/>
    <n v="0.23223091976516635"/>
  </r>
  <r>
    <n v="3133"/>
    <d v="2024-07-25T00:00:00"/>
    <x v="0"/>
    <x v="2"/>
    <x v="3"/>
    <x v="5"/>
    <n v="6"/>
    <n v="357"/>
    <n v="15"/>
    <n v="1820.7"/>
    <n v="1238.1300000000001"/>
    <n v="582.57000000000005"/>
    <x v="5"/>
    <x v="0"/>
    <n v="0.31997034107760752"/>
  </r>
  <r>
    <n v="3134"/>
    <d v="2023-06-19T00:00:00"/>
    <x v="3"/>
    <x v="1"/>
    <x v="2"/>
    <x v="4"/>
    <n v="10"/>
    <n v="681"/>
    <n v="20"/>
    <n v="5448"/>
    <n v="3992.93"/>
    <n v="1455.07"/>
    <x v="4"/>
    <x v="1"/>
    <n v="0.26708333333333334"/>
  </r>
  <r>
    <n v="3135"/>
    <d v="2024-07-28T00:00:00"/>
    <x v="0"/>
    <x v="2"/>
    <x v="17"/>
    <x v="4"/>
    <n v="5"/>
    <n v="428"/>
    <n v="20"/>
    <n v="1712"/>
    <n v="1161.75"/>
    <n v="550.25"/>
    <x v="5"/>
    <x v="0"/>
    <n v="0.32140771028037385"/>
  </r>
  <r>
    <n v="3136"/>
    <d v="2023-07-19T00:00:00"/>
    <x v="1"/>
    <x v="0"/>
    <x v="0"/>
    <x v="4"/>
    <n v="1"/>
    <n v="883"/>
    <n v="20"/>
    <n v="706.4"/>
    <n v="479.56"/>
    <n v="226.84"/>
    <x v="5"/>
    <x v="1"/>
    <n v="0.32112117780294452"/>
  </r>
  <r>
    <n v="3137"/>
    <d v="2024-05-14T00:00:00"/>
    <x v="3"/>
    <x v="1"/>
    <x v="5"/>
    <x v="0"/>
    <n v="9"/>
    <n v="177"/>
    <n v="15"/>
    <n v="1354.05"/>
    <n v="966.57"/>
    <n v="387.48"/>
    <x v="7"/>
    <x v="0"/>
    <n v="0.28616373102913484"/>
  </r>
  <r>
    <n v="3138"/>
    <d v="2023-08-11T00:00:00"/>
    <x v="0"/>
    <x v="0"/>
    <x v="1"/>
    <x v="4"/>
    <n v="4"/>
    <n v="36"/>
    <n v="20"/>
    <n v="115.2"/>
    <n v="81.93"/>
    <n v="33.270000000000003"/>
    <x v="2"/>
    <x v="1"/>
    <n v="0.28880208333333335"/>
  </r>
  <r>
    <n v="3139"/>
    <d v="2023-05-01T00:00:00"/>
    <x v="2"/>
    <x v="0"/>
    <x v="0"/>
    <x v="1"/>
    <n v="6"/>
    <n v="378"/>
    <n v="5"/>
    <n v="2154.6"/>
    <n v="1585.33"/>
    <n v="569.27"/>
    <x v="7"/>
    <x v="1"/>
    <n v="0.26421145456233175"/>
  </r>
  <r>
    <n v="3140"/>
    <d v="2023-09-08T00:00:00"/>
    <x v="0"/>
    <x v="0"/>
    <x v="13"/>
    <x v="1"/>
    <n v="3"/>
    <n v="839"/>
    <n v="15"/>
    <n v="2139.4499999999998"/>
    <n v="1666.04"/>
    <n v="473.41"/>
    <x v="0"/>
    <x v="1"/>
    <n v="0.22127649629577698"/>
  </r>
  <r>
    <n v="3141"/>
    <d v="2023-02-28T00:00:00"/>
    <x v="0"/>
    <x v="3"/>
    <x v="4"/>
    <x v="5"/>
    <n v="3"/>
    <n v="110"/>
    <n v="0"/>
    <n v="330"/>
    <n v="262.62"/>
    <n v="67.38"/>
    <x v="9"/>
    <x v="1"/>
    <n v="0.20418181818181816"/>
  </r>
  <r>
    <n v="3142"/>
    <d v="2023-02-19T00:00:00"/>
    <x v="0"/>
    <x v="0"/>
    <x v="12"/>
    <x v="0"/>
    <n v="8"/>
    <n v="906"/>
    <n v="10"/>
    <n v="6523.2"/>
    <n v="3381.65"/>
    <n v="3141.55"/>
    <x v="9"/>
    <x v="1"/>
    <n v="0.48159645572725046"/>
  </r>
  <r>
    <n v="3143"/>
    <d v="2023-01-01T00:00:00"/>
    <x v="3"/>
    <x v="1"/>
    <x v="2"/>
    <x v="1"/>
    <n v="9"/>
    <n v="492"/>
    <n v="15"/>
    <n v="3763.8"/>
    <n v="2453.4499999999998"/>
    <n v="1310.3499999999999"/>
    <x v="11"/>
    <x v="1"/>
    <n v="0.34814549125883409"/>
  </r>
  <r>
    <n v="3144"/>
    <d v="2023-04-06T00:00:00"/>
    <x v="2"/>
    <x v="4"/>
    <x v="8"/>
    <x v="0"/>
    <n v="10"/>
    <n v="388"/>
    <n v="5"/>
    <n v="3686"/>
    <n v="2254.91"/>
    <n v="1431.09"/>
    <x v="10"/>
    <x v="1"/>
    <n v="0.38825013564839933"/>
  </r>
  <r>
    <n v="3145"/>
    <d v="2024-06-17T00:00:00"/>
    <x v="3"/>
    <x v="0"/>
    <x v="12"/>
    <x v="5"/>
    <n v="1"/>
    <n v="770"/>
    <n v="5"/>
    <n v="731.5"/>
    <n v="541.5"/>
    <n v="190"/>
    <x v="4"/>
    <x v="0"/>
    <n v="0.25974025974025972"/>
  </r>
  <r>
    <n v="3146"/>
    <d v="2024-05-01T00:00:00"/>
    <x v="0"/>
    <x v="2"/>
    <x v="10"/>
    <x v="5"/>
    <n v="5"/>
    <n v="339"/>
    <n v="15"/>
    <n v="1440.75"/>
    <n v="803.77"/>
    <n v="636.98"/>
    <x v="7"/>
    <x v="0"/>
    <n v="0.44211695297588061"/>
  </r>
  <r>
    <n v="3147"/>
    <d v="2023-10-01T00:00:00"/>
    <x v="0"/>
    <x v="4"/>
    <x v="9"/>
    <x v="4"/>
    <n v="2"/>
    <n v="516"/>
    <n v="5"/>
    <n v="980.4"/>
    <n v="636.66"/>
    <n v="343.74"/>
    <x v="1"/>
    <x v="1"/>
    <n v="0.35061199510403918"/>
  </r>
  <r>
    <n v="3148"/>
    <d v="2023-02-10T00:00:00"/>
    <x v="1"/>
    <x v="4"/>
    <x v="8"/>
    <x v="5"/>
    <n v="2"/>
    <n v="373"/>
    <n v="10"/>
    <n v="671.4"/>
    <n v="470.01"/>
    <n v="201.39"/>
    <x v="9"/>
    <x v="1"/>
    <n v="0.29995531724754243"/>
  </r>
  <r>
    <n v="3149"/>
    <d v="2024-09-25T00:00:00"/>
    <x v="2"/>
    <x v="0"/>
    <x v="1"/>
    <x v="0"/>
    <n v="3"/>
    <n v="298"/>
    <n v="20"/>
    <n v="715.2"/>
    <n v="445.03"/>
    <n v="270.17"/>
    <x v="0"/>
    <x v="0"/>
    <n v="0.37775447427293063"/>
  </r>
  <r>
    <n v="3150"/>
    <d v="2023-09-04T00:00:00"/>
    <x v="3"/>
    <x v="0"/>
    <x v="12"/>
    <x v="2"/>
    <n v="3"/>
    <n v="509"/>
    <n v="15"/>
    <n v="1297.95"/>
    <n v="820.03"/>
    <n v="477.92"/>
    <x v="0"/>
    <x v="1"/>
    <n v="0.36821141030085902"/>
  </r>
  <r>
    <n v="3151"/>
    <d v="2024-02-03T00:00:00"/>
    <x v="3"/>
    <x v="2"/>
    <x v="17"/>
    <x v="2"/>
    <n v="3"/>
    <n v="322"/>
    <n v="0"/>
    <n v="966"/>
    <n v="709.63"/>
    <n v="256.37"/>
    <x v="9"/>
    <x v="0"/>
    <n v="0.26539337474120084"/>
  </r>
  <r>
    <n v="3152"/>
    <d v="2024-11-10T00:00:00"/>
    <x v="2"/>
    <x v="2"/>
    <x v="6"/>
    <x v="5"/>
    <n v="5"/>
    <n v="747"/>
    <n v="20"/>
    <n v="2988"/>
    <n v="1589.94"/>
    <n v="1398.06"/>
    <x v="3"/>
    <x v="0"/>
    <n v="0.46789156626506023"/>
  </r>
  <r>
    <n v="3153"/>
    <d v="2024-06-03T00:00:00"/>
    <x v="1"/>
    <x v="0"/>
    <x v="0"/>
    <x v="5"/>
    <n v="9"/>
    <n v="861"/>
    <n v="15"/>
    <n v="6586.65"/>
    <n v="5204.8500000000004"/>
    <n v="1381.8"/>
    <x v="4"/>
    <x v="0"/>
    <n v="0.2097879802327435"/>
  </r>
  <r>
    <n v="3154"/>
    <d v="2024-08-11T00:00:00"/>
    <x v="1"/>
    <x v="2"/>
    <x v="6"/>
    <x v="1"/>
    <n v="8"/>
    <n v="115"/>
    <n v="5"/>
    <n v="874"/>
    <n v="565.83000000000004"/>
    <n v="308.17"/>
    <x v="2"/>
    <x v="0"/>
    <n v="0.3525972540045767"/>
  </r>
  <r>
    <n v="3155"/>
    <d v="2024-10-26T00:00:00"/>
    <x v="1"/>
    <x v="1"/>
    <x v="2"/>
    <x v="1"/>
    <n v="4"/>
    <n v="84"/>
    <n v="20"/>
    <n v="268.8"/>
    <n v="213.88"/>
    <n v="54.92"/>
    <x v="1"/>
    <x v="0"/>
    <n v="0.20431547619047619"/>
  </r>
  <r>
    <n v="3156"/>
    <d v="2024-07-08T00:00:00"/>
    <x v="3"/>
    <x v="3"/>
    <x v="11"/>
    <x v="3"/>
    <n v="5"/>
    <n v="509"/>
    <n v="20"/>
    <n v="2036"/>
    <n v="1395.1"/>
    <n v="640.9"/>
    <x v="5"/>
    <x v="0"/>
    <n v="0.31478388998035362"/>
  </r>
  <r>
    <n v="3157"/>
    <d v="2024-03-16T00:00:00"/>
    <x v="2"/>
    <x v="1"/>
    <x v="5"/>
    <x v="4"/>
    <n v="6"/>
    <n v="342"/>
    <n v="0"/>
    <n v="2052"/>
    <n v="1217.8"/>
    <n v="834.2"/>
    <x v="8"/>
    <x v="0"/>
    <n v="0.4065302144249513"/>
  </r>
  <r>
    <n v="3158"/>
    <d v="2024-02-02T00:00:00"/>
    <x v="0"/>
    <x v="3"/>
    <x v="4"/>
    <x v="3"/>
    <n v="10"/>
    <n v="624"/>
    <n v="20"/>
    <n v="4992"/>
    <n v="3984.82"/>
    <n v="1007.18"/>
    <x v="9"/>
    <x v="0"/>
    <n v="0.2017588141025641"/>
  </r>
  <r>
    <n v="3159"/>
    <d v="2023-03-18T00:00:00"/>
    <x v="1"/>
    <x v="0"/>
    <x v="0"/>
    <x v="2"/>
    <n v="6"/>
    <n v="713"/>
    <n v="0"/>
    <n v="4278"/>
    <n v="2925"/>
    <n v="1353"/>
    <x v="8"/>
    <x v="1"/>
    <n v="0.31626928471248245"/>
  </r>
  <r>
    <n v="3160"/>
    <d v="2023-08-25T00:00:00"/>
    <x v="1"/>
    <x v="1"/>
    <x v="2"/>
    <x v="2"/>
    <n v="9"/>
    <n v="184"/>
    <n v="0"/>
    <n v="1656"/>
    <n v="888.28"/>
    <n v="767.72"/>
    <x v="2"/>
    <x v="1"/>
    <n v="0.46359903381642514"/>
  </r>
  <r>
    <n v="3161"/>
    <d v="2023-11-07T00:00:00"/>
    <x v="1"/>
    <x v="0"/>
    <x v="13"/>
    <x v="0"/>
    <n v="9"/>
    <n v="863"/>
    <n v="20"/>
    <n v="6213.6"/>
    <n v="4052.19"/>
    <n v="2161.41"/>
    <x v="3"/>
    <x v="1"/>
    <n v="0.34785148706064112"/>
  </r>
  <r>
    <n v="3162"/>
    <d v="2023-01-12T00:00:00"/>
    <x v="2"/>
    <x v="4"/>
    <x v="8"/>
    <x v="4"/>
    <n v="5"/>
    <n v="647"/>
    <n v="20"/>
    <n v="2588"/>
    <n v="1833.93"/>
    <n v="754.07"/>
    <x v="11"/>
    <x v="1"/>
    <n v="0.29137171561051006"/>
  </r>
  <r>
    <n v="3163"/>
    <d v="2023-09-05T00:00:00"/>
    <x v="2"/>
    <x v="1"/>
    <x v="16"/>
    <x v="5"/>
    <n v="4"/>
    <n v="745"/>
    <n v="10"/>
    <n v="2682"/>
    <n v="1945.16"/>
    <n v="736.84"/>
    <x v="0"/>
    <x v="1"/>
    <n v="0.27473527218493665"/>
  </r>
  <r>
    <n v="3164"/>
    <d v="2024-06-15T00:00:00"/>
    <x v="0"/>
    <x v="0"/>
    <x v="12"/>
    <x v="1"/>
    <n v="6"/>
    <n v="650"/>
    <n v="20"/>
    <n v="3120"/>
    <n v="2345.84"/>
    <n v="774.16"/>
    <x v="4"/>
    <x v="0"/>
    <n v="0.24812820512820513"/>
  </r>
  <r>
    <n v="3165"/>
    <d v="2024-10-15T00:00:00"/>
    <x v="1"/>
    <x v="4"/>
    <x v="18"/>
    <x v="2"/>
    <n v="1"/>
    <n v="17"/>
    <n v="0"/>
    <n v="17"/>
    <n v="12.34"/>
    <n v="4.66"/>
    <x v="1"/>
    <x v="0"/>
    <n v="0.27411764705882352"/>
  </r>
  <r>
    <n v="3166"/>
    <d v="2024-11-02T00:00:00"/>
    <x v="3"/>
    <x v="3"/>
    <x v="19"/>
    <x v="5"/>
    <n v="4"/>
    <n v="406"/>
    <n v="0"/>
    <n v="1624"/>
    <n v="1045.45"/>
    <n v="578.54999999999995"/>
    <x v="3"/>
    <x v="0"/>
    <n v="0.35624999999999996"/>
  </r>
  <r>
    <n v="3167"/>
    <d v="2023-08-25T00:00:00"/>
    <x v="1"/>
    <x v="0"/>
    <x v="1"/>
    <x v="5"/>
    <n v="9"/>
    <n v="134"/>
    <n v="5"/>
    <n v="1145.7"/>
    <n v="620.87"/>
    <n v="524.83000000000004"/>
    <x v="2"/>
    <x v="1"/>
    <n v="0.45808675918652353"/>
  </r>
  <r>
    <n v="3168"/>
    <d v="2023-09-12T00:00:00"/>
    <x v="3"/>
    <x v="4"/>
    <x v="14"/>
    <x v="5"/>
    <n v="5"/>
    <n v="612"/>
    <n v="15"/>
    <n v="2601"/>
    <n v="1748.81"/>
    <n v="852.19"/>
    <x v="0"/>
    <x v="1"/>
    <n v="0.32763936947327954"/>
  </r>
  <r>
    <n v="3169"/>
    <d v="2023-04-05T00:00:00"/>
    <x v="1"/>
    <x v="2"/>
    <x v="3"/>
    <x v="4"/>
    <n v="7"/>
    <n v="666"/>
    <n v="5"/>
    <n v="4428.8999999999996"/>
    <n v="2588.64"/>
    <n v="1840.26"/>
    <x v="10"/>
    <x v="1"/>
    <n v="0.41551175235385762"/>
  </r>
  <r>
    <n v="3170"/>
    <d v="2024-08-22T00:00:00"/>
    <x v="1"/>
    <x v="0"/>
    <x v="13"/>
    <x v="4"/>
    <n v="10"/>
    <n v="681"/>
    <n v="15"/>
    <n v="5788.5"/>
    <n v="3325.05"/>
    <n v="2463.4499999999998"/>
    <x v="2"/>
    <x v="0"/>
    <n v="0.4255765742420316"/>
  </r>
  <r>
    <n v="3171"/>
    <d v="2023-02-16T00:00:00"/>
    <x v="3"/>
    <x v="1"/>
    <x v="16"/>
    <x v="3"/>
    <n v="8"/>
    <n v="70"/>
    <n v="15"/>
    <n v="476"/>
    <n v="267.20999999999998"/>
    <n v="208.79"/>
    <x v="9"/>
    <x v="1"/>
    <n v="0.43863445378151261"/>
  </r>
  <r>
    <n v="3172"/>
    <d v="2024-11-13T00:00:00"/>
    <x v="0"/>
    <x v="2"/>
    <x v="6"/>
    <x v="5"/>
    <n v="4"/>
    <n v="98"/>
    <n v="20"/>
    <n v="313.60000000000002"/>
    <n v="206.02"/>
    <n v="107.58"/>
    <x v="3"/>
    <x v="0"/>
    <n v="0.34304846938775507"/>
  </r>
  <r>
    <n v="3173"/>
    <d v="2023-08-09T00:00:00"/>
    <x v="1"/>
    <x v="1"/>
    <x v="16"/>
    <x v="1"/>
    <n v="3"/>
    <n v="164"/>
    <n v="10"/>
    <n v="442.8"/>
    <n v="265.44"/>
    <n v="177.36"/>
    <x v="2"/>
    <x v="1"/>
    <n v="0.40054200542005425"/>
  </r>
  <r>
    <n v="3174"/>
    <d v="2024-08-26T00:00:00"/>
    <x v="2"/>
    <x v="1"/>
    <x v="5"/>
    <x v="1"/>
    <n v="7"/>
    <n v="662"/>
    <n v="0"/>
    <n v="4634"/>
    <n v="2680.21"/>
    <n v="1953.79"/>
    <x v="2"/>
    <x v="0"/>
    <n v="0.42162063012516182"/>
  </r>
  <r>
    <n v="3175"/>
    <d v="2024-09-15T00:00:00"/>
    <x v="2"/>
    <x v="2"/>
    <x v="6"/>
    <x v="0"/>
    <n v="8"/>
    <n v="59"/>
    <n v="20"/>
    <n v="377.6"/>
    <n v="270.64"/>
    <n v="106.96"/>
    <x v="0"/>
    <x v="0"/>
    <n v="0.28326271186440677"/>
  </r>
  <r>
    <n v="3176"/>
    <d v="2023-10-18T00:00:00"/>
    <x v="2"/>
    <x v="2"/>
    <x v="17"/>
    <x v="0"/>
    <n v="8"/>
    <n v="412"/>
    <n v="20"/>
    <n v="2636.8"/>
    <n v="1986.68"/>
    <n v="650.12"/>
    <x v="1"/>
    <x v="1"/>
    <n v="0.24655643203883493"/>
  </r>
  <r>
    <n v="3177"/>
    <d v="2023-04-10T00:00:00"/>
    <x v="3"/>
    <x v="2"/>
    <x v="10"/>
    <x v="3"/>
    <n v="5"/>
    <n v="71"/>
    <n v="5"/>
    <n v="337.25"/>
    <n v="195.03"/>
    <n v="142.22"/>
    <x v="10"/>
    <x v="1"/>
    <n v="0.421704966641957"/>
  </r>
  <r>
    <n v="3178"/>
    <d v="2023-06-16T00:00:00"/>
    <x v="1"/>
    <x v="4"/>
    <x v="8"/>
    <x v="2"/>
    <n v="2"/>
    <n v="306"/>
    <n v="15"/>
    <n v="520.20000000000005"/>
    <n v="401.91"/>
    <n v="118.29"/>
    <x v="4"/>
    <x v="1"/>
    <n v="0.22739331026528259"/>
  </r>
  <r>
    <n v="3179"/>
    <d v="2024-05-04T00:00:00"/>
    <x v="3"/>
    <x v="1"/>
    <x v="2"/>
    <x v="1"/>
    <n v="9"/>
    <n v="75"/>
    <n v="20"/>
    <n v="540"/>
    <n v="429.5"/>
    <n v="110.5"/>
    <x v="7"/>
    <x v="0"/>
    <n v="0.20462962962962963"/>
  </r>
  <r>
    <n v="3180"/>
    <d v="2023-09-08T00:00:00"/>
    <x v="0"/>
    <x v="4"/>
    <x v="8"/>
    <x v="4"/>
    <n v="5"/>
    <n v="619"/>
    <n v="5"/>
    <n v="2940.25"/>
    <n v="2214.36"/>
    <n v="725.89"/>
    <x v="0"/>
    <x v="1"/>
    <n v="0.24688036731570445"/>
  </r>
  <r>
    <n v="3181"/>
    <d v="2024-05-08T00:00:00"/>
    <x v="0"/>
    <x v="3"/>
    <x v="19"/>
    <x v="4"/>
    <n v="4"/>
    <n v="624"/>
    <n v="0"/>
    <n v="2496"/>
    <n v="1611.73"/>
    <n v="884.27"/>
    <x v="7"/>
    <x v="0"/>
    <n v="0.35427483974358975"/>
  </r>
  <r>
    <n v="3182"/>
    <d v="2023-12-20T00:00:00"/>
    <x v="0"/>
    <x v="1"/>
    <x v="5"/>
    <x v="0"/>
    <n v="4"/>
    <n v="987"/>
    <n v="0"/>
    <n v="3948"/>
    <n v="2232.98"/>
    <n v="1715.02"/>
    <x v="6"/>
    <x v="1"/>
    <n v="0.43440222897669706"/>
  </r>
  <r>
    <n v="3183"/>
    <d v="2023-08-19T00:00:00"/>
    <x v="3"/>
    <x v="1"/>
    <x v="2"/>
    <x v="2"/>
    <n v="6"/>
    <n v="623"/>
    <n v="20"/>
    <n v="2990.4"/>
    <n v="1496.51"/>
    <n v="1493.89"/>
    <x v="2"/>
    <x v="1"/>
    <n v="0.49956193151417871"/>
  </r>
  <r>
    <n v="3184"/>
    <d v="2023-03-21T00:00:00"/>
    <x v="1"/>
    <x v="1"/>
    <x v="5"/>
    <x v="0"/>
    <n v="6"/>
    <n v="640"/>
    <n v="15"/>
    <n v="3264"/>
    <n v="1951.93"/>
    <n v="1312.07"/>
    <x v="8"/>
    <x v="1"/>
    <n v="0.40198223039215686"/>
  </r>
  <r>
    <n v="3185"/>
    <d v="2024-11-10T00:00:00"/>
    <x v="0"/>
    <x v="0"/>
    <x v="12"/>
    <x v="0"/>
    <n v="9"/>
    <n v="970"/>
    <n v="10"/>
    <n v="7857"/>
    <n v="6012.55"/>
    <n v="1844.45"/>
    <x v="3"/>
    <x v="0"/>
    <n v="0.23475245004454626"/>
  </r>
  <r>
    <n v="3186"/>
    <d v="2024-07-13T00:00:00"/>
    <x v="3"/>
    <x v="1"/>
    <x v="5"/>
    <x v="2"/>
    <n v="4"/>
    <n v="198"/>
    <n v="10"/>
    <n v="712.8"/>
    <n v="483.27"/>
    <n v="229.53"/>
    <x v="5"/>
    <x v="0"/>
    <n v="0.32201178451178453"/>
  </r>
  <r>
    <n v="3187"/>
    <d v="2024-10-19T00:00:00"/>
    <x v="2"/>
    <x v="0"/>
    <x v="1"/>
    <x v="5"/>
    <n v="10"/>
    <n v="602"/>
    <n v="0"/>
    <n v="6020"/>
    <n v="3561.4"/>
    <n v="2458.6"/>
    <x v="1"/>
    <x v="0"/>
    <n v="0.4084053156146179"/>
  </r>
  <r>
    <n v="3188"/>
    <d v="2024-08-23T00:00:00"/>
    <x v="0"/>
    <x v="3"/>
    <x v="11"/>
    <x v="1"/>
    <n v="9"/>
    <n v="289"/>
    <n v="20"/>
    <n v="2080.8000000000002"/>
    <n v="1353.05"/>
    <n v="727.75"/>
    <x v="2"/>
    <x v="0"/>
    <n v="0.34974529027297191"/>
  </r>
  <r>
    <n v="3189"/>
    <d v="2024-03-20T00:00:00"/>
    <x v="2"/>
    <x v="2"/>
    <x v="17"/>
    <x v="0"/>
    <n v="9"/>
    <n v="80"/>
    <n v="15"/>
    <n v="612"/>
    <n v="354.59"/>
    <n v="257.41000000000003"/>
    <x v="8"/>
    <x v="0"/>
    <n v="0.42060457516339872"/>
  </r>
  <r>
    <n v="3190"/>
    <d v="2024-03-09T00:00:00"/>
    <x v="2"/>
    <x v="3"/>
    <x v="4"/>
    <x v="0"/>
    <n v="4"/>
    <n v="66"/>
    <n v="10"/>
    <n v="237.6"/>
    <n v="119.5"/>
    <n v="118.1"/>
    <x v="8"/>
    <x v="0"/>
    <n v="0.49705387205387203"/>
  </r>
  <r>
    <n v="3191"/>
    <d v="2023-09-16T00:00:00"/>
    <x v="0"/>
    <x v="2"/>
    <x v="10"/>
    <x v="4"/>
    <n v="1"/>
    <n v="530"/>
    <n v="10"/>
    <n v="477"/>
    <n v="343.64"/>
    <n v="133.36000000000001"/>
    <x v="0"/>
    <x v="1"/>
    <n v="0.27958071278825997"/>
  </r>
  <r>
    <n v="3192"/>
    <d v="2023-03-12T00:00:00"/>
    <x v="1"/>
    <x v="4"/>
    <x v="8"/>
    <x v="2"/>
    <n v="10"/>
    <n v="176"/>
    <n v="5"/>
    <n v="1672"/>
    <n v="1084.95"/>
    <n v="587.04999999999995"/>
    <x v="8"/>
    <x v="1"/>
    <n v="0.35110645933014351"/>
  </r>
  <r>
    <n v="3193"/>
    <d v="2023-09-22T00:00:00"/>
    <x v="1"/>
    <x v="3"/>
    <x v="19"/>
    <x v="3"/>
    <n v="10"/>
    <n v="42"/>
    <n v="10"/>
    <n v="378"/>
    <n v="207.52"/>
    <n v="170.48"/>
    <x v="0"/>
    <x v="1"/>
    <n v="0.45100529100529096"/>
  </r>
  <r>
    <n v="3194"/>
    <d v="2023-03-31T00:00:00"/>
    <x v="0"/>
    <x v="1"/>
    <x v="5"/>
    <x v="4"/>
    <n v="9"/>
    <n v="333"/>
    <n v="20"/>
    <n v="2397.6"/>
    <n v="1683.78"/>
    <n v="713.82"/>
    <x v="8"/>
    <x v="1"/>
    <n v="0.29772272272272277"/>
  </r>
  <r>
    <n v="3195"/>
    <d v="2024-02-11T00:00:00"/>
    <x v="0"/>
    <x v="2"/>
    <x v="10"/>
    <x v="0"/>
    <n v="8"/>
    <n v="990"/>
    <n v="0"/>
    <n v="7920"/>
    <n v="6152.01"/>
    <n v="1767.99"/>
    <x v="9"/>
    <x v="0"/>
    <n v="0.2232310606060606"/>
  </r>
  <r>
    <n v="3196"/>
    <d v="2024-12-17T00:00:00"/>
    <x v="2"/>
    <x v="3"/>
    <x v="19"/>
    <x v="0"/>
    <n v="9"/>
    <n v="596"/>
    <n v="10"/>
    <n v="4827.6000000000004"/>
    <n v="2946.39"/>
    <n v="1881.21"/>
    <x v="6"/>
    <x v="0"/>
    <n v="0.38967810091971161"/>
  </r>
  <r>
    <n v="3197"/>
    <d v="2024-11-27T00:00:00"/>
    <x v="0"/>
    <x v="3"/>
    <x v="11"/>
    <x v="4"/>
    <n v="2"/>
    <n v="105"/>
    <n v="10"/>
    <n v="189"/>
    <n v="105.14"/>
    <n v="83.86"/>
    <x v="3"/>
    <x v="0"/>
    <n v="0.44370370370370371"/>
  </r>
  <r>
    <n v="3198"/>
    <d v="2024-09-27T00:00:00"/>
    <x v="3"/>
    <x v="0"/>
    <x v="12"/>
    <x v="4"/>
    <n v="9"/>
    <n v="977"/>
    <n v="0"/>
    <n v="8793"/>
    <n v="4744.17"/>
    <n v="4048.83"/>
    <x v="0"/>
    <x v="0"/>
    <n v="0.46046059365404296"/>
  </r>
  <r>
    <n v="3199"/>
    <d v="2023-08-31T00:00:00"/>
    <x v="1"/>
    <x v="2"/>
    <x v="17"/>
    <x v="4"/>
    <n v="2"/>
    <n v="395"/>
    <n v="5"/>
    <n v="750.5"/>
    <n v="469.2"/>
    <n v="281.3"/>
    <x v="2"/>
    <x v="1"/>
    <n v="0.37481678880746172"/>
  </r>
  <r>
    <n v="3200"/>
    <d v="2023-04-23T00:00:00"/>
    <x v="2"/>
    <x v="4"/>
    <x v="14"/>
    <x v="0"/>
    <n v="5"/>
    <n v="111"/>
    <n v="10"/>
    <n v="499.5"/>
    <n v="387.73"/>
    <n v="111.77"/>
    <x v="10"/>
    <x v="1"/>
    <n v="0.22376376376376375"/>
  </r>
  <r>
    <n v="3201"/>
    <d v="2024-07-21T00:00:00"/>
    <x v="3"/>
    <x v="0"/>
    <x v="12"/>
    <x v="2"/>
    <n v="4"/>
    <n v="952"/>
    <n v="10"/>
    <n v="3427.2"/>
    <n v="2336.29"/>
    <n v="1090.9100000000001"/>
    <x v="5"/>
    <x v="0"/>
    <n v="0.31830940709617184"/>
  </r>
  <r>
    <n v="3202"/>
    <d v="2024-04-24T00:00:00"/>
    <x v="1"/>
    <x v="1"/>
    <x v="16"/>
    <x v="5"/>
    <n v="1"/>
    <n v="671"/>
    <n v="20"/>
    <n v="536.79999999999995"/>
    <n v="296.01"/>
    <n v="240.79"/>
    <x v="10"/>
    <x v="0"/>
    <n v="0.44856557377049183"/>
  </r>
  <r>
    <n v="3203"/>
    <d v="2023-10-26T00:00:00"/>
    <x v="0"/>
    <x v="2"/>
    <x v="6"/>
    <x v="0"/>
    <n v="3"/>
    <n v="660"/>
    <n v="15"/>
    <n v="1683"/>
    <n v="1183.24"/>
    <n v="499.76"/>
    <x v="1"/>
    <x v="1"/>
    <n v="0.29694592988710633"/>
  </r>
  <r>
    <n v="3204"/>
    <d v="2024-03-13T00:00:00"/>
    <x v="2"/>
    <x v="1"/>
    <x v="5"/>
    <x v="3"/>
    <n v="10"/>
    <n v="893"/>
    <n v="5"/>
    <n v="8483.5"/>
    <n v="6267.41"/>
    <n v="2216.09"/>
    <x v="8"/>
    <x v="0"/>
    <n v="0.26122355160016503"/>
  </r>
  <r>
    <n v="3205"/>
    <d v="2023-04-02T00:00:00"/>
    <x v="2"/>
    <x v="3"/>
    <x v="11"/>
    <x v="4"/>
    <n v="10"/>
    <n v="289"/>
    <n v="20"/>
    <n v="2312"/>
    <n v="1215.71"/>
    <n v="1096.29"/>
    <x v="10"/>
    <x v="1"/>
    <n v="0.47417387543252593"/>
  </r>
  <r>
    <n v="3206"/>
    <d v="2024-05-15T00:00:00"/>
    <x v="3"/>
    <x v="4"/>
    <x v="14"/>
    <x v="2"/>
    <n v="2"/>
    <n v="983"/>
    <n v="10"/>
    <n v="1769.4"/>
    <n v="1231.45"/>
    <n v="537.95000000000005"/>
    <x v="7"/>
    <x v="0"/>
    <n v="0.30402961455860744"/>
  </r>
  <r>
    <n v="3207"/>
    <d v="2024-07-12T00:00:00"/>
    <x v="2"/>
    <x v="2"/>
    <x v="3"/>
    <x v="3"/>
    <n v="8"/>
    <n v="216"/>
    <n v="5"/>
    <n v="1641.6"/>
    <n v="1071.72"/>
    <n v="569.88"/>
    <x v="5"/>
    <x v="0"/>
    <n v="0.34714912280701754"/>
  </r>
  <r>
    <n v="3208"/>
    <d v="2023-05-18T00:00:00"/>
    <x v="2"/>
    <x v="2"/>
    <x v="10"/>
    <x v="1"/>
    <n v="3"/>
    <n v="589"/>
    <n v="0"/>
    <n v="1767"/>
    <n v="883.73"/>
    <n v="883.27"/>
    <x v="7"/>
    <x v="1"/>
    <n v="0.49986983588002265"/>
  </r>
  <r>
    <n v="3209"/>
    <d v="2023-05-22T00:00:00"/>
    <x v="2"/>
    <x v="3"/>
    <x v="19"/>
    <x v="0"/>
    <n v="6"/>
    <n v="875"/>
    <n v="10"/>
    <n v="4725"/>
    <n v="2974.22"/>
    <n v="1750.78"/>
    <x v="7"/>
    <x v="1"/>
    <n v="0.37053544973544972"/>
  </r>
  <r>
    <n v="3210"/>
    <d v="2023-02-11T00:00:00"/>
    <x v="0"/>
    <x v="1"/>
    <x v="7"/>
    <x v="2"/>
    <n v="2"/>
    <n v="391"/>
    <n v="5"/>
    <n v="742.9"/>
    <n v="389.74"/>
    <n v="353.16"/>
    <x v="9"/>
    <x v="1"/>
    <n v="0.47538026652308524"/>
  </r>
  <r>
    <n v="3211"/>
    <d v="2023-09-19T00:00:00"/>
    <x v="3"/>
    <x v="1"/>
    <x v="2"/>
    <x v="2"/>
    <n v="3"/>
    <n v="446"/>
    <n v="20"/>
    <n v="1070.4000000000001"/>
    <n v="831.04"/>
    <n v="239.36"/>
    <x v="0"/>
    <x v="1"/>
    <n v="0.22361733931240657"/>
  </r>
  <r>
    <n v="3212"/>
    <d v="2023-08-05T00:00:00"/>
    <x v="0"/>
    <x v="0"/>
    <x v="12"/>
    <x v="5"/>
    <n v="8"/>
    <n v="484"/>
    <n v="0"/>
    <n v="3872"/>
    <n v="3080.08"/>
    <n v="791.92"/>
    <x v="2"/>
    <x v="1"/>
    <n v="0.20452479338842974"/>
  </r>
  <r>
    <n v="3213"/>
    <d v="2024-01-26T00:00:00"/>
    <x v="2"/>
    <x v="4"/>
    <x v="9"/>
    <x v="4"/>
    <n v="9"/>
    <n v="201"/>
    <n v="0"/>
    <n v="1809"/>
    <n v="1027.7"/>
    <n v="781.3"/>
    <x v="11"/>
    <x v="0"/>
    <n v="0.43189607517965722"/>
  </r>
  <r>
    <n v="3214"/>
    <d v="2024-08-26T00:00:00"/>
    <x v="3"/>
    <x v="0"/>
    <x v="0"/>
    <x v="2"/>
    <n v="9"/>
    <n v="392"/>
    <n v="10"/>
    <n v="3175.2"/>
    <n v="2027.02"/>
    <n v="1148.18"/>
    <x v="2"/>
    <x v="0"/>
    <n v="0.36160871756109858"/>
  </r>
  <r>
    <n v="3215"/>
    <d v="2024-03-11T00:00:00"/>
    <x v="0"/>
    <x v="3"/>
    <x v="15"/>
    <x v="2"/>
    <n v="9"/>
    <n v="225"/>
    <n v="15"/>
    <n v="1721.25"/>
    <n v="1149.31"/>
    <n v="571.94000000000005"/>
    <x v="8"/>
    <x v="0"/>
    <n v="0.33228177196804654"/>
  </r>
  <r>
    <n v="3216"/>
    <d v="2024-08-25T00:00:00"/>
    <x v="0"/>
    <x v="0"/>
    <x v="12"/>
    <x v="4"/>
    <n v="9"/>
    <n v="274"/>
    <n v="20"/>
    <n v="1972.8"/>
    <n v="1320.52"/>
    <n v="652.28"/>
    <x v="2"/>
    <x v="0"/>
    <n v="0.33063665855636659"/>
  </r>
  <r>
    <n v="3217"/>
    <d v="2023-05-05T00:00:00"/>
    <x v="1"/>
    <x v="2"/>
    <x v="3"/>
    <x v="2"/>
    <n v="6"/>
    <n v="827"/>
    <n v="20"/>
    <n v="3969.6"/>
    <n v="2724.95"/>
    <n v="1244.6500000000001"/>
    <x v="7"/>
    <x v="1"/>
    <n v="0.31354544538492546"/>
  </r>
  <r>
    <n v="3218"/>
    <d v="2023-08-22T00:00:00"/>
    <x v="0"/>
    <x v="0"/>
    <x v="12"/>
    <x v="5"/>
    <n v="8"/>
    <n v="104"/>
    <n v="0"/>
    <n v="832"/>
    <n v="451.71"/>
    <n v="380.29"/>
    <x v="2"/>
    <x v="1"/>
    <n v="0.45707932692307696"/>
  </r>
  <r>
    <n v="3219"/>
    <d v="2024-10-01T00:00:00"/>
    <x v="0"/>
    <x v="0"/>
    <x v="13"/>
    <x v="4"/>
    <n v="3"/>
    <n v="172"/>
    <n v="15"/>
    <n v="438.6"/>
    <n v="337.98"/>
    <n v="100.62"/>
    <x v="1"/>
    <x v="0"/>
    <n v="0.22941176470588234"/>
  </r>
  <r>
    <n v="3220"/>
    <d v="2024-03-07T00:00:00"/>
    <x v="1"/>
    <x v="0"/>
    <x v="0"/>
    <x v="1"/>
    <n v="8"/>
    <n v="56"/>
    <n v="0"/>
    <n v="448"/>
    <n v="253.7"/>
    <n v="194.3"/>
    <x v="8"/>
    <x v="0"/>
    <n v="0.43370535714285718"/>
  </r>
  <r>
    <n v="3221"/>
    <d v="2023-03-22T00:00:00"/>
    <x v="0"/>
    <x v="1"/>
    <x v="2"/>
    <x v="5"/>
    <n v="2"/>
    <n v="911"/>
    <n v="20"/>
    <n v="1457.6"/>
    <n v="804.02"/>
    <n v="653.58000000000004"/>
    <x v="8"/>
    <x v="1"/>
    <n v="0.44839462129527996"/>
  </r>
  <r>
    <n v="3222"/>
    <d v="2024-01-08T00:00:00"/>
    <x v="0"/>
    <x v="2"/>
    <x v="17"/>
    <x v="2"/>
    <n v="10"/>
    <n v="677"/>
    <n v="5"/>
    <n v="6431.5"/>
    <n v="3675.41"/>
    <n v="2756.09"/>
    <x v="11"/>
    <x v="0"/>
    <n v="0.42852989193811708"/>
  </r>
  <r>
    <n v="3223"/>
    <d v="2023-03-21T00:00:00"/>
    <x v="0"/>
    <x v="4"/>
    <x v="8"/>
    <x v="3"/>
    <n v="9"/>
    <n v="728"/>
    <n v="0"/>
    <n v="6552"/>
    <n v="4670.54"/>
    <n v="1881.46"/>
    <x v="8"/>
    <x v="1"/>
    <n v="0.28715811965811966"/>
  </r>
  <r>
    <n v="3224"/>
    <d v="2023-07-15T00:00:00"/>
    <x v="2"/>
    <x v="1"/>
    <x v="7"/>
    <x v="0"/>
    <n v="2"/>
    <n v="165"/>
    <n v="20"/>
    <n v="264"/>
    <n v="145.88999999999999"/>
    <n v="118.11"/>
    <x v="5"/>
    <x v="1"/>
    <n v="0.44738636363636364"/>
  </r>
  <r>
    <n v="3225"/>
    <d v="2024-03-05T00:00:00"/>
    <x v="1"/>
    <x v="3"/>
    <x v="11"/>
    <x v="0"/>
    <n v="9"/>
    <n v="791"/>
    <n v="5"/>
    <n v="6763.05"/>
    <n v="5229.6899999999996"/>
    <n v="1533.36"/>
    <x v="8"/>
    <x v="0"/>
    <n v="0.22672610730365736"/>
  </r>
  <r>
    <n v="3226"/>
    <d v="2024-04-01T00:00:00"/>
    <x v="0"/>
    <x v="4"/>
    <x v="8"/>
    <x v="1"/>
    <n v="3"/>
    <n v="446"/>
    <n v="0"/>
    <n v="1338"/>
    <n v="1030.6199999999999"/>
    <n v="307.38"/>
    <x v="10"/>
    <x v="0"/>
    <n v="0.22973094170403588"/>
  </r>
  <r>
    <n v="3227"/>
    <d v="2023-04-18T00:00:00"/>
    <x v="0"/>
    <x v="0"/>
    <x v="12"/>
    <x v="1"/>
    <n v="4"/>
    <n v="936"/>
    <n v="5"/>
    <n v="3556.8"/>
    <n v="2273.71"/>
    <n v="1283.0899999999999"/>
    <x v="10"/>
    <x v="1"/>
    <n v="0.36074280251911828"/>
  </r>
  <r>
    <n v="3228"/>
    <d v="2024-05-15T00:00:00"/>
    <x v="0"/>
    <x v="0"/>
    <x v="0"/>
    <x v="0"/>
    <n v="7"/>
    <n v="560"/>
    <n v="0"/>
    <n v="3920"/>
    <n v="2034.43"/>
    <n v="1885.57"/>
    <x v="7"/>
    <x v="0"/>
    <n v="0.48101275510204078"/>
  </r>
  <r>
    <n v="3229"/>
    <d v="2023-11-14T00:00:00"/>
    <x v="1"/>
    <x v="4"/>
    <x v="8"/>
    <x v="0"/>
    <n v="2"/>
    <n v="261"/>
    <n v="15"/>
    <n v="443.7"/>
    <n v="326.01"/>
    <n v="117.69"/>
    <x v="3"/>
    <x v="1"/>
    <n v="0.26524678837052063"/>
  </r>
  <r>
    <n v="3230"/>
    <d v="2024-07-30T00:00:00"/>
    <x v="1"/>
    <x v="0"/>
    <x v="1"/>
    <x v="2"/>
    <n v="4"/>
    <n v="452"/>
    <n v="0"/>
    <n v="1808"/>
    <n v="1066.1500000000001"/>
    <n v="741.85"/>
    <x v="5"/>
    <x v="0"/>
    <n v="0.4103152654867257"/>
  </r>
  <r>
    <n v="3231"/>
    <d v="2023-04-11T00:00:00"/>
    <x v="3"/>
    <x v="1"/>
    <x v="5"/>
    <x v="5"/>
    <n v="8"/>
    <n v="395"/>
    <n v="15"/>
    <n v="2686"/>
    <n v="1798.04"/>
    <n v="887.96"/>
    <x v="10"/>
    <x v="1"/>
    <n v="0.33058823529411768"/>
  </r>
  <r>
    <n v="3232"/>
    <d v="2024-12-15T00:00:00"/>
    <x v="3"/>
    <x v="1"/>
    <x v="2"/>
    <x v="3"/>
    <n v="1"/>
    <n v="120"/>
    <n v="5"/>
    <n v="114"/>
    <n v="63.81"/>
    <n v="50.19"/>
    <x v="6"/>
    <x v="0"/>
    <n v="0.4402631578947368"/>
  </r>
  <r>
    <n v="3233"/>
    <d v="2024-09-29T00:00:00"/>
    <x v="3"/>
    <x v="1"/>
    <x v="16"/>
    <x v="0"/>
    <n v="7"/>
    <n v="161"/>
    <n v="5"/>
    <n v="1070.6500000000001"/>
    <n v="645.13"/>
    <n v="425.52"/>
    <x v="0"/>
    <x v="0"/>
    <n v="0.3974408069864101"/>
  </r>
  <r>
    <n v="3234"/>
    <d v="2023-03-19T00:00:00"/>
    <x v="1"/>
    <x v="1"/>
    <x v="16"/>
    <x v="4"/>
    <n v="2"/>
    <n v="379"/>
    <n v="5"/>
    <n v="720.1"/>
    <n v="570.87"/>
    <n v="149.22999999999999"/>
    <x v="8"/>
    <x v="1"/>
    <n v="0.20723510623524508"/>
  </r>
  <r>
    <n v="3235"/>
    <d v="2023-04-14T00:00:00"/>
    <x v="3"/>
    <x v="0"/>
    <x v="0"/>
    <x v="0"/>
    <n v="7"/>
    <n v="649"/>
    <n v="10"/>
    <n v="4088.7"/>
    <n v="2543.4499999999998"/>
    <n v="1545.25"/>
    <x v="10"/>
    <x v="1"/>
    <n v="0.37793186098270848"/>
  </r>
  <r>
    <n v="3236"/>
    <d v="2023-02-11T00:00:00"/>
    <x v="1"/>
    <x v="3"/>
    <x v="4"/>
    <x v="5"/>
    <n v="2"/>
    <n v="786"/>
    <n v="5"/>
    <n v="1493.4"/>
    <n v="942.11"/>
    <n v="551.29"/>
    <x v="9"/>
    <x v="1"/>
    <n v="0.36915093076201949"/>
  </r>
  <r>
    <n v="3237"/>
    <d v="2023-09-08T00:00:00"/>
    <x v="3"/>
    <x v="3"/>
    <x v="15"/>
    <x v="2"/>
    <n v="1"/>
    <n v="796"/>
    <n v="5"/>
    <n v="756.2"/>
    <n v="419.56"/>
    <n v="336.64"/>
    <x v="0"/>
    <x v="1"/>
    <n v="0.44517323459402269"/>
  </r>
  <r>
    <n v="3238"/>
    <d v="2024-02-15T00:00:00"/>
    <x v="2"/>
    <x v="1"/>
    <x v="7"/>
    <x v="4"/>
    <n v="3"/>
    <n v="285"/>
    <n v="20"/>
    <n v="684"/>
    <n v="348.41"/>
    <n v="335.59"/>
    <x v="9"/>
    <x v="0"/>
    <n v="0.49062865497076019"/>
  </r>
  <r>
    <n v="3239"/>
    <d v="2024-07-12T00:00:00"/>
    <x v="0"/>
    <x v="3"/>
    <x v="15"/>
    <x v="3"/>
    <n v="9"/>
    <n v="77"/>
    <n v="20"/>
    <n v="554.4"/>
    <n v="396.44"/>
    <n v="157.96"/>
    <x v="5"/>
    <x v="0"/>
    <n v="0.28492063492063496"/>
  </r>
  <r>
    <n v="3240"/>
    <d v="2023-02-28T00:00:00"/>
    <x v="0"/>
    <x v="0"/>
    <x v="0"/>
    <x v="2"/>
    <n v="3"/>
    <n v="687"/>
    <n v="10"/>
    <n v="1854.9"/>
    <n v="1217.6400000000001"/>
    <n v="637.26"/>
    <x v="9"/>
    <x v="1"/>
    <n v="0.34355490862041077"/>
  </r>
  <r>
    <n v="3241"/>
    <d v="2024-01-04T00:00:00"/>
    <x v="3"/>
    <x v="3"/>
    <x v="19"/>
    <x v="0"/>
    <n v="9"/>
    <n v="184"/>
    <n v="0"/>
    <n v="1656"/>
    <n v="1277.8900000000001"/>
    <n v="378.11"/>
    <x v="11"/>
    <x v="0"/>
    <n v="0.22832729468599033"/>
  </r>
  <r>
    <n v="3242"/>
    <d v="2023-07-09T00:00:00"/>
    <x v="0"/>
    <x v="3"/>
    <x v="4"/>
    <x v="1"/>
    <n v="8"/>
    <n v="131"/>
    <n v="10"/>
    <n v="943.2"/>
    <n v="481.53"/>
    <n v="461.67"/>
    <x v="5"/>
    <x v="1"/>
    <n v="0.48947201017811703"/>
  </r>
  <r>
    <n v="3243"/>
    <d v="2024-07-31T00:00:00"/>
    <x v="0"/>
    <x v="3"/>
    <x v="4"/>
    <x v="2"/>
    <n v="5"/>
    <n v="881"/>
    <n v="0"/>
    <n v="4405"/>
    <n v="2874.78"/>
    <n v="1530.22"/>
    <x v="5"/>
    <x v="0"/>
    <n v="0.34738251986379115"/>
  </r>
  <r>
    <n v="3244"/>
    <d v="2024-09-14T00:00:00"/>
    <x v="3"/>
    <x v="1"/>
    <x v="5"/>
    <x v="0"/>
    <n v="2"/>
    <n v="695"/>
    <n v="15"/>
    <n v="1181.5"/>
    <n v="870.13"/>
    <n v="311.37"/>
    <x v="0"/>
    <x v="0"/>
    <n v="0.26353787558188746"/>
  </r>
  <r>
    <n v="3245"/>
    <d v="2023-04-25T00:00:00"/>
    <x v="1"/>
    <x v="1"/>
    <x v="16"/>
    <x v="3"/>
    <n v="1"/>
    <n v="358"/>
    <n v="0"/>
    <n v="358"/>
    <n v="277.39"/>
    <n v="80.61"/>
    <x v="10"/>
    <x v="1"/>
    <n v="0.22516759776536313"/>
  </r>
  <r>
    <n v="3246"/>
    <d v="2024-01-02T00:00:00"/>
    <x v="1"/>
    <x v="4"/>
    <x v="9"/>
    <x v="4"/>
    <n v="10"/>
    <n v="864"/>
    <n v="20"/>
    <n v="6912"/>
    <n v="5496.52"/>
    <n v="1415.48"/>
    <x v="11"/>
    <x v="0"/>
    <n v="0.20478587962962963"/>
  </r>
  <r>
    <n v="3247"/>
    <d v="2024-02-14T00:00:00"/>
    <x v="2"/>
    <x v="0"/>
    <x v="0"/>
    <x v="3"/>
    <n v="5"/>
    <n v="230"/>
    <n v="0"/>
    <n v="1150"/>
    <n v="621.12"/>
    <n v="528.88"/>
    <x v="9"/>
    <x v="0"/>
    <n v="0.45989565217391304"/>
  </r>
  <r>
    <n v="3248"/>
    <d v="2024-07-19T00:00:00"/>
    <x v="1"/>
    <x v="1"/>
    <x v="5"/>
    <x v="4"/>
    <n v="5"/>
    <n v="464"/>
    <n v="15"/>
    <n v="1972"/>
    <n v="1013.79"/>
    <n v="958.21"/>
    <x v="5"/>
    <x v="0"/>
    <n v="0.48590770791075055"/>
  </r>
  <r>
    <n v="3249"/>
    <d v="2024-01-24T00:00:00"/>
    <x v="3"/>
    <x v="2"/>
    <x v="3"/>
    <x v="0"/>
    <n v="2"/>
    <n v="678"/>
    <n v="5"/>
    <n v="1288.2"/>
    <n v="684.11"/>
    <n v="604.09"/>
    <x v="11"/>
    <x v="0"/>
    <n v="0.46894115820524762"/>
  </r>
  <r>
    <n v="3250"/>
    <d v="2024-06-11T00:00:00"/>
    <x v="2"/>
    <x v="2"/>
    <x v="10"/>
    <x v="2"/>
    <n v="10"/>
    <n v="236"/>
    <n v="5"/>
    <n v="2242"/>
    <n v="1788.27"/>
    <n v="453.73"/>
    <x v="4"/>
    <x v="0"/>
    <n v="0.20237734165923282"/>
  </r>
  <r>
    <n v="3251"/>
    <d v="2023-08-28T00:00:00"/>
    <x v="1"/>
    <x v="2"/>
    <x v="10"/>
    <x v="1"/>
    <n v="1"/>
    <n v="872"/>
    <n v="15"/>
    <n v="741.2"/>
    <n v="474.19"/>
    <n v="267.01"/>
    <x v="2"/>
    <x v="1"/>
    <n v="0.36024015110631408"/>
  </r>
  <r>
    <n v="3252"/>
    <d v="2023-11-25T00:00:00"/>
    <x v="0"/>
    <x v="0"/>
    <x v="13"/>
    <x v="1"/>
    <n v="10"/>
    <n v="141"/>
    <n v="0"/>
    <n v="1410"/>
    <n v="976.51"/>
    <n v="433.49"/>
    <x v="3"/>
    <x v="1"/>
    <n v="0.30743971631205674"/>
  </r>
  <r>
    <n v="3253"/>
    <d v="2024-11-28T00:00:00"/>
    <x v="1"/>
    <x v="1"/>
    <x v="16"/>
    <x v="1"/>
    <n v="2"/>
    <n v="476"/>
    <n v="0"/>
    <n v="952"/>
    <n v="753.57"/>
    <n v="198.43"/>
    <x v="3"/>
    <x v="0"/>
    <n v="0.20843487394957985"/>
  </r>
  <r>
    <n v="3254"/>
    <d v="2024-06-11T00:00:00"/>
    <x v="1"/>
    <x v="4"/>
    <x v="9"/>
    <x v="3"/>
    <n v="9"/>
    <n v="114"/>
    <n v="15"/>
    <n v="872.1"/>
    <n v="517.05999999999995"/>
    <n v="355.04"/>
    <x v="4"/>
    <x v="0"/>
    <n v="0.40710927645912165"/>
  </r>
  <r>
    <n v="3255"/>
    <d v="2023-12-30T00:00:00"/>
    <x v="3"/>
    <x v="2"/>
    <x v="3"/>
    <x v="3"/>
    <n v="1"/>
    <n v="25"/>
    <n v="10"/>
    <n v="22.5"/>
    <n v="15.04"/>
    <n v="7.46"/>
    <x v="6"/>
    <x v="1"/>
    <n v="0.33155555555555555"/>
  </r>
  <r>
    <n v="3256"/>
    <d v="2023-11-28T00:00:00"/>
    <x v="0"/>
    <x v="1"/>
    <x v="5"/>
    <x v="0"/>
    <n v="3"/>
    <n v="50"/>
    <n v="20"/>
    <n v="120"/>
    <n v="86.28"/>
    <n v="33.72"/>
    <x v="3"/>
    <x v="1"/>
    <n v="0.28099999999999997"/>
  </r>
  <r>
    <n v="3257"/>
    <d v="2024-03-04T00:00:00"/>
    <x v="0"/>
    <x v="4"/>
    <x v="14"/>
    <x v="2"/>
    <n v="9"/>
    <n v="708"/>
    <n v="0"/>
    <n v="6372"/>
    <n v="4225.99"/>
    <n v="2146.0100000000002"/>
    <x v="8"/>
    <x v="0"/>
    <n v="0.33678750784682993"/>
  </r>
  <r>
    <n v="3258"/>
    <d v="2024-03-17T00:00:00"/>
    <x v="0"/>
    <x v="3"/>
    <x v="11"/>
    <x v="3"/>
    <n v="4"/>
    <n v="924"/>
    <n v="15"/>
    <n v="3141.6"/>
    <n v="1581.74"/>
    <n v="1559.86"/>
    <x v="8"/>
    <x v="0"/>
    <n v="0.49651769798828621"/>
  </r>
  <r>
    <n v="3259"/>
    <d v="2023-05-15T00:00:00"/>
    <x v="0"/>
    <x v="3"/>
    <x v="15"/>
    <x v="3"/>
    <n v="8"/>
    <n v="885"/>
    <n v="15"/>
    <n v="6018"/>
    <n v="3914.1"/>
    <n v="2103.9"/>
    <x v="7"/>
    <x v="1"/>
    <n v="0.3496011964107677"/>
  </r>
  <r>
    <n v="3260"/>
    <d v="2023-04-05T00:00:00"/>
    <x v="0"/>
    <x v="0"/>
    <x v="0"/>
    <x v="0"/>
    <n v="9"/>
    <n v="558"/>
    <n v="20"/>
    <n v="4017.6"/>
    <n v="2536.87"/>
    <n v="1480.73"/>
    <x v="10"/>
    <x v="1"/>
    <n v="0.36856083233771408"/>
  </r>
  <r>
    <n v="3261"/>
    <d v="2024-08-26T00:00:00"/>
    <x v="2"/>
    <x v="1"/>
    <x v="5"/>
    <x v="3"/>
    <n v="1"/>
    <n v="752"/>
    <n v="10"/>
    <n v="676.8"/>
    <n v="454.49"/>
    <n v="222.31"/>
    <x v="2"/>
    <x v="0"/>
    <n v="0.32847222222222222"/>
  </r>
  <r>
    <n v="3262"/>
    <d v="2023-02-26T00:00:00"/>
    <x v="3"/>
    <x v="0"/>
    <x v="12"/>
    <x v="4"/>
    <n v="9"/>
    <n v="548"/>
    <n v="10"/>
    <n v="4438.8"/>
    <n v="3217.41"/>
    <n v="1221.3900000000001"/>
    <x v="9"/>
    <x v="1"/>
    <n v="0.27516220600162206"/>
  </r>
  <r>
    <n v="3263"/>
    <d v="2023-11-03T00:00:00"/>
    <x v="1"/>
    <x v="0"/>
    <x v="0"/>
    <x v="1"/>
    <n v="2"/>
    <n v="852"/>
    <n v="15"/>
    <n v="1448.4"/>
    <n v="790.84"/>
    <n v="657.56"/>
    <x v="3"/>
    <x v="1"/>
    <n v="0.45399061032863841"/>
  </r>
  <r>
    <n v="3264"/>
    <d v="2024-07-24T00:00:00"/>
    <x v="2"/>
    <x v="2"/>
    <x v="3"/>
    <x v="2"/>
    <n v="10"/>
    <n v="755"/>
    <n v="20"/>
    <n v="6040"/>
    <n v="4813.09"/>
    <n v="1226.9100000000001"/>
    <x v="5"/>
    <x v="0"/>
    <n v="0.20313079470198678"/>
  </r>
  <r>
    <n v="3265"/>
    <d v="2024-02-17T00:00:00"/>
    <x v="2"/>
    <x v="0"/>
    <x v="12"/>
    <x v="3"/>
    <n v="1"/>
    <n v="574"/>
    <n v="20"/>
    <n v="459.2"/>
    <n v="286.2"/>
    <n v="173"/>
    <x v="9"/>
    <x v="0"/>
    <n v="0.37674216027874563"/>
  </r>
  <r>
    <n v="3266"/>
    <d v="2023-10-09T00:00:00"/>
    <x v="0"/>
    <x v="2"/>
    <x v="10"/>
    <x v="3"/>
    <n v="6"/>
    <n v="970"/>
    <n v="20"/>
    <n v="4656"/>
    <n v="3331.56"/>
    <n v="1324.44"/>
    <x v="1"/>
    <x v="1"/>
    <n v="0.28445876288659794"/>
  </r>
  <r>
    <n v="3267"/>
    <d v="2023-11-27T00:00:00"/>
    <x v="1"/>
    <x v="3"/>
    <x v="4"/>
    <x v="0"/>
    <n v="2"/>
    <n v="862"/>
    <n v="15"/>
    <n v="1465.4"/>
    <n v="845.35"/>
    <n v="620.04999999999995"/>
    <x v="3"/>
    <x v="1"/>
    <n v="0.4231267913197761"/>
  </r>
  <r>
    <n v="3268"/>
    <d v="2023-06-19T00:00:00"/>
    <x v="3"/>
    <x v="3"/>
    <x v="15"/>
    <x v="4"/>
    <n v="4"/>
    <n v="592"/>
    <n v="20"/>
    <n v="1894.4"/>
    <n v="1280.05"/>
    <n v="614.35"/>
    <x v="4"/>
    <x v="1"/>
    <n v="0.32429793074324326"/>
  </r>
  <r>
    <n v="3269"/>
    <d v="2024-02-27T00:00:00"/>
    <x v="0"/>
    <x v="4"/>
    <x v="18"/>
    <x v="1"/>
    <n v="5"/>
    <n v="526"/>
    <n v="10"/>
    <n v="2367"/>
    <n v="1262.31"/>
    <n v="1104.69"/>
    <x v="9"/>
    <x v="0"/>
    <n v="0.46670468948035493"/>
  </r>
  <r>
    <n v="3270"/>
    <d v="2023-04-08T00:00:00"/>
    <x v="3"/>
    <x v="4"/>
    <x v="14"/>
    <x v="4"/>
    <n v="1"/>
    <n v="540"/>
    <n v="20"/>
    <n v="432"/>
    <n v="248.2"/>
    <n v="183.8"/>
    <x v="10"/>
    <x v="1"/>
    <n v="0.42546296296296299"/>
  </r>
  <r>
    <n v="3271"/>
    <d v="2023-02-05T00:00:00"/>
    <x v="3"/>
    <x v="2"/>
    <x v="10"/>
    <x v="2"/>
    <n v="10"/>
    <n v="884"/>
    <n v="5"/>
    <n v="8398"/>
    <n v="6072.66"/>
    <n v="2325.34"/>
    <x v="9"/>
    <x v="1"/>
    <n v="0.27689211717075496"/>
  </r>
  <r>
    <n v="3272"/>
    <d v="2024-03-20T00:00:00"/>
    <x v="2"/>
    <x v="4"/>
    <x v="8"/>
    <x v="0"/>
    <n v="2"/>
    <n v="578"/>
    <n v="10"/>
    <n v="1040.4000000000001"/>
    <n v="722.52"/>
    <n v="317.88"/>
    <x v="8"/>
    <x v="0"/>
    <n v="0.30553633217993076"/>
  </r>
  <r>
    <n v="3273"/>
    <d v="2024-06-27T00:00:00"/>
    <x v="1"/>
    <x v="3"/>
    <x v="11"/>
    <x v="4"/>
    <n v="4"/>
    <n v="878"/>
    <n v="15"/>
    <n v="2985.2"/>
    <n v="2309.14"/>
    <n v="676.06"/>
    <x v="4"/>
    <x v="0"/>
    <n v="0.22647058823529412"/>
  </r>
  <r>
    <n v="3274"/>
    <d v="2024-06-25T00:00:00"/>
    <x v="1"/>
    <x v="4"/>
    <x v="9"/>
    <x v="5"/>
    <n v="4"/>
    <n v="495"/>
    <n v="20"/>
    <n v="1584"/>
    <n v="1263.8599999999999"/>
    <n v="320.14"/>
    <x v="4"/>
    <x v="0"/>
    <n v="0.20210858585858585"/>
  </r>
  <r>
    <n v="3275"/>
    <d v="2024-07-26T00:00:00"/>
    <x v="3"/>
    <x v="4"/>
    <x v="18"/>
    <x v="4"/>
    <n v="5"/>
    <n v="103"/>
    <n v="0"/>
    <n v="515"/>
    <n v="342.02"/>
    <n v="172.98"/>
    <x v="5"/>
    <x v="0"/>
    <n v="0.33588349514563104"/>
  </r>
  <r>
    <n v="3276"/>
    <d v="2024-01-27T00:00:00"/>
    <x v="3"/>
    <x v="0"/>
    <x v="0"/>
    <x v="2"/>
    <n v="6"/>
    <n v="153"/>
    <n v="20"/>
    <n v="734.4"/>
    <n v="438.63"/>
    <n v="295.77"/>
    <x v="11"/>
    <x v="0"/>
    <n v="0.40273692810457518"/>
  </r>
  <r>
    <n v="3277"/>
    <d v="2023-06-21T00:00:00"/>
    <x v="2"/>
    <x v="2"/>
    <x v="6"/>
    <x v="4"/>
    <n v="9"/>
    <n v="878"/>
    <n v="0"/>
    <n v="7902"/>
    <n v="5309.7"/>
    <n v="2592.3000000000002"/>
    <x v="4"/>
    <x v="1"/>
    <n v="0.32805618830675781"/>
  </r>
  <r>
    <n v="3278"/>
    <d v="2024-07-30T00:00:00"/>
    <x v="3"/>
    <x v="1"/>
    <x v="16"/>
    <x v="4"/>
    <n v="3"/>
    <n v="544"/>
    <n v="10"/>
    <n v="1468.8"/>
    <n v="992.38"/>
    <n v="476.42"/>
    <x v="5"/>
    <x v="0"/>
    <n v="0.32436002178649237"/>
  </r>
  <r>
    <n v="3279"/>
    <d v="2023-04-02T00:00:00"/>
    <x v="2"/>
    <x v="4"/>
    <x v="8"/>
    <x v="4"/>
    <n v="10"/>
    <n v="303"/>
    <n v="20"/>
    <n v="2424"/>
    <n v="1243.3800000000001"/>
    <n v="1180.6199999999999"/>
    <x v="10"/>
    <x v="1"/>
    <n v="0.48705445544554449"/>
  </r>
  <r>
    <n v="3280"/>
    <d v="2023-04-18T00:00:00"/>
    <x v="3"/>
    <x v="1"/>
    <x v="7"/>
    <x v="3"/>
    <n v="8"/>
    <n v="480"/>
    <n v="20"/>
    <n v="3072"/>
    <n v="2200.9899999999998"/>
    <n v="871.01"/>
    <x v="10"/>
    <x v="1"/>
    <n v="0.28353190104166665"/>
  </r>
  <r>
    <n v="3281"/>
    <d v="2024-10-12T00:00:00"/>
    <x v="1"/>
    <x v="1"/>
    <x v="16"/>
    <x v="2"/>
    <n v="10"/>
    <n v="859"/>
    <n v="0"/>
    <n v="8590"/>
    <n v="4927.13"/>
    <n v="3662.87"/>
    <x v="1"/>
    <x v="0"/>
    <n v="0.42641094295692666"/>
  </r>
  <r>
    <n v="3282"/>
    <d v="2024-07-11T00:00:00"/>
    <x v="2"/>
    <x v="1"/>
    <x v="16"/>
    <x v="3"/>
    <n v="5"/>
    <n v="796"/>
    <n v="20"/>
    <n v="3184"/>
    <n v="2296.58"/>
    <n v="887.42"/>
    <x v="5"/>
    <x v="0"/>
    <n v="0.27871231155778892"/>
  </r>
  <r>
    <n v="3283"/>
    <d v="2023-11-18T00:00:00"/>
    <x v="2"/>
    <x v="4"/>
    <x v="8"/>
    <x v="1"/>
    <n v="5"/>
    <n v="93"/>
    <n v="20"/>
    <n v="372"/>
    <n v="231.15"/>
    <n v="140.85"/>
    <x v="3"/>
    <x v="1"/>
    <n v="0.37862903225806449"/>
  </r>
  <r>
    <n v="3284"/>
    <d v="2024-12-04T00:00:00"/>
    <x v="3"/>
    <x v="4"/>
    <x v="14"/>
    <x v="3"/>
    <n v="5"/>
    <n v="895"/>
    <n v="0"/>
    <n v="4475"/>
    <n v="2946.49"/>
    <n v="1528.51"/>
    <x v="6"/>
    <x v="0"/>
    <n v="0.34156648044692739"/>
  </r>
  <r>
    <n v="3285"/>
    <d v="2023-05-12T00:00:00"/>
    <x v="1"/>
    <x v="4"/>
    <x v="18"/>
    <x v="2"/>
    <n v="9"/>
    <n v="913"/>
    <n v="0"/>
    <n v="8217"/>
    <n v="5500.18"/>
    <n v="2716.82"/>
    <x v="7"/>
    <x v="1"/>
    <n v="0.33063405135694296"/>
  </r>
  <r>
    <n v="3286"/>
    <d v="2023-03-30T00:00:00"/>
    <x v="0"/>
    <x v="0"/>
    <x v="13"/>
    <x v="5"/>
    <n v="3"/>
    <n v="668"/>
    <n v="15"/>
    <n v="1703.4"/>
    <n v="990.32"/>
    <n v="713.08"/>
    <x v="8"/>
    <x v="1"/>
    <n v="0.41862158036867442"/>
  </r>
  <r>
    <n v="3287"/>
    <d v="2024-11-05T00:00:00"/>
    <x v="1"/>
    <x v="2"/>
    <x v="10"/>
    <x v="1"/>
    <n v="3"/>
    <n v="839"/>
    <n v="0"/>
    <n v="2517"/>
    <n v="1996.41"/>
    <n v="520.59"/>
    <x v="3"/>
    <x v="0"/>
    <n v="0.20682955899880812"/>
  </r>
  <r>
    <n v="3288"/>
    <d v="2024-10-31T00:00:00"/>
    <x v="3"/>
    <x v="1"/>
    <x v="2"/>
    <x v="2"/>
    <n v="6"/>
    <n v="788"/>
    <n v="0"/>
    <n v="4728"/>
    <n v="3426.35"/>
    <n v="1301.6500000000001"/>
    <x v="1"/>
    <x v="0"/>
    <n v="0.27530668358714044"/>
  </r>
  <r>
    <n v="3289"/>
    <d v="2023-11-19T00:00:00"/>
    <x v="0"/>
    <x v="3"/>
    <x v="19"/>
    <x v="5"/>
    <n v="9"/>
    <n v="722"/>
    <n v="10"/>
    <n v="5848.2"/>
    <n v="2949.71"/>
    <n v="2898.49"/>
    <x v="3"/>
    <x v="1"/>
    <n v="0.49562087479908346"/>
  </r>
  <r>
    <n v="3290"/>
    <d v="2023-04-18T00:00:00"/>
    <x v="1"/>
    <x v="1"/>
    <x v="5"/>
    <x v="3"/>
    <n v="3"/>
    <n v="325"/>
    <n v="15"/>
    <n v="828.75"/>
    <n v="509.8"/>
    <n v="318.95"/>
    <x v="10"/>
    <x v="1"/>
    <n v="0.38485671191553544"/>
  </r>
  <r>
    <n v="3291"/>
    <d v="2023-10-22T00:00:00"/>
    <x v="2"/>
    <x v="3"/>
    <x v="19"/>
    <x v="2"/>
    <n v="9"/>
    <n v="345"/>
    <n v="15"/>
    <n v="2639.25"/>
    <n v="1525.37"/>
    <n v="1113.8800000000001"/>
    <x v="1"/>
    <x v="1"/>
    <n v="0.42204414132802881"/>
  </r>
  <r>
    <n v="3292"/>
    <d v="2023-01-08T00:00:00"/>
    <x v="2"/>
    <x v="4"/>
    <x v="14"/>
    <x v="5"/>
    <n v="10"/>
    <n v="91"/>
    <n v="5"/>
    <n v="864.5"/>
    <n v="637.49"/>
    <n v="227.01"/>
    <x v="11"/>
    <x v="1"/>
    <n v="0.26259109311740891"/>
  </r>
  <r>
    <n v="3293"/>
    <d v="2024-09-20T00:00:00"/>
    <x v="0"/>
    <x v="4"/>
    <x v="9"/>
    <x v="1"/>
    <n v="2"/>
    <n v="182"/>
    <n v="5"/>
    <n v="345.8"/>
    <n v="174.76"/>
    <n v="171.04"/>
    <x v="0"/>
    <x v="0"/>
    <n v="0.49462116830537878"/>
  </r>
  <r>
    <n v="3294"/>
    <d v="2023-11-10T00:00:00"/>
    <x v="2"/>
    <x v="1"/>
    <x v="5"/>
    <x v="1"/>
    <n v="4"/>
    <n v="669"/>
    <n v="5"/>
    <n v="2542.1999999999998"/>
    <n v="1787.2"/>
    <n v="755"/>
    <x v="3"/>
    <x v="1"/>
    <n v="0.29698686177326727"/>
  </r>
  <r>
    <n v="3295"/>
    <d v="2024-12-19T00:00:00"/>
    <x v="2"/>
    <x v="1"/>
    <x v="2"/>
    <x v="0"/>
    <n v="5"/>
    <n v="792"/>
    <n v="15"/>
    <n v="3366"/>
    <n v="1842.62"/>
    <n v="1523.38"/>
    <x v="6"/>
    <x v="0"/>
    <n v="0.45257872846108144"/>
  </r>
  <r>
    <n v="3296"/>
    <d v="2024-07-11T00:00:00"/>
    <x v="0"/>
    <x v="1"/>
    <x v="2"/>
    <x v="0"/>
    <n v="1"/>
    <n v="799"/>
    <n v="0"/>
    <n v="799"/>
    <n v="543.29"/>
    <n v="255.71"/>
    <x v="5"/>
    <x v="0"/>
    <n v="0.32003754693366709"/>
  </r>
  <r>
    <n v="3297"/>
    <d v="2023-09-23T00:00:00"/>
    <x v="3"/>
    <x v="2"/>
    <x v="10"/>
    <x v="2"/>
    <n v="10"/>
    <n v="493"/>
    <n v="10"/>
    <n v="4437"/>
    <n v="3387.44"/>
    <n v="1049.56"/>
    <x v="0"/>
    <x v="1"/>
    <n v="0.23654721658778452"/>
  </r>
  <r>
    <n v="3298"/>
    <d v="2024-08-11T00:00:00"/>
    <x v="0"/>
    <x v="0"/>
    <x v="12"/>
    <x v="1"/>
    <n v="4"/>
    <n v="361"/>
    <n v="15"/>
    <n v="1227.4000000000001"/>
    <n v="624.98"/>
    <n v="602.41999999999996"/>
    <x v="2"/>
    <x v="0"/>
    <n v="0.49080984194231703"/>
  </r>
  <r>
    <n v="3299"/>
    <d v="2024-06-03T00:00:00"/>
    <x v="3"/>
    <x v="0"/>
    <x v="13"/>
    <x v="3"/>
    <n v="2"/>
    <n v="983"/>
    <n v="5"/>
    <n v="1867.7"/>
    <n v="1097.6600000000001"/>
    <n v="770.04"/>
    <x v="4"/>
    <x v="0"/>
    <n v="0.41229319483857146"/>
  </r>
  <r>
    <n v="3300"/>
    <d v="2023-12-23T00:00:00"/>
    <x v="1"/>
    <x v="2"/>
    <x v="3"/>
    <x v="2"/>
    <n v="5"/>
    <n v="223"/>
    <n v="5"/>
    <n v="1059.25"/>
    <n v="543.85"/>
    <n v="515.4"/>
    <x v="6"/>
    <x v="1"/>
    <n v="0.48657068680670285"/>
  </r>
  <r>
    <n v="3301"/>
    <d v="2023-10-04T00:00:00"/>
    <x v="2"/>
    <x v="2"/>
    <x v="10"/>
    <x v="4"/>
    <n v="2"/>
    <n v="275"/>
    <n v="10"/>
    <n v="495"/>
    <n v="315.02"/>
    <n v="179.98"/>
    <x v="1"/>
    <x v="1"/>
    <n v="0.36359595959595958"/>
  </r>
  <r>
    <n v="3302"/>
    <d v="2023-02-25T00:00:00"/>
    <x v="0"/>
    <x v="3"/>
    <x v="15"/>
    <x v="1"/>
    <n v="8"/>
    <n v="803"/>
    <n v="0"/>
    <n v="6424"/>
    <n v="4241.59"/>
    <n v="2182.41"/>
    <x v="9"/>
    <x v="1"/>
    <n v="0.33972758405977582"/>
  </r>
  <r>
    <n v="3303"/>
    <d v="2024-02-19T00:00:00"/>
    <x v="2"/>
    <x v="3"/>
    <x v="11"/>
    <x v="2"/>
    <n v="1"/>
    <n v="12"/>
    <n v="15"/>
    <n v="10.199999999999999"/>
    <n v="5.97"/>
    <n v="4.2300000000000004"/>
    <x v="9"/>
    <x v="0"/>
    <n v="0.41470588235294126"/>
  </r>
  <r>
    <n v="3304"/>
    <d v="2024-11-27T00:00:00"/>
    <x v="0"/>
    <x v="2"/>
    <x v="10"/>
    <x v="1"/>
    <n v="2"/>
    <n v="414"/>
    <n v="20"/>
    <n v="662.4"/>
    <n v="496.4"/>
    <n v="166"/>
    <x v="3"/>
    <x v="0"/>
    <n v="0.25060386473429952"/>
  </r>
  <r>
    <n v="3305"/>
    <d v="2023-06-09T00:00:00"/>
    <x v="2"/>
    <x v="4"/>
    <x v="9"/>
    <x v="1"/>
    <n v="3"/>
    <n v="397"/>
    <n v="0"/>
    <n v="1191"/>
    <n v="681.38"/>
    <n v="509.62"/>
    <x v="4"/>
    <x v="1"/>
    <n v="0.42789252728799326"/>
  </r>
  <r>
    <n v="3306"/>
    <d v="2024-03-21T00:00:00"/>
    <x v="1"/>
    <x v="3"/>
    <x v="19"/>
    <x v="3"/>
    <n v="7"/>
    <n v="676"/>
    <n v="10"/>
    <n v="4258.8"/>
    <n v="2794.5"/>
    <n v="1464.3"/>
    <x v="8"/>
    <x v="0"/>
    <n v="0.34382924767540152"/>
  </r>
  <r>
    <n v="3307"/>
    <d v="2024-09-03T00:00:00"/>
    <x v="0"/>
    <x v="2"/>
    <x v="3"/>
    <x v="2"/>
    <n v="2"/>
    <n v="315"/>
    <n v="5"/>
    <n v="598.5"/>
    <n v="406.52"/>
    <n v="191.98"/>
    <x v="0"/>
    <x v="0"/>
    <n v="0.32076858813700915"/>
  </r>
  <r>
    <n v="3308"/>
    <d v="2023-01-10T00:00:00"/>
    <x v="2"/>
    <x v="3"/>
    <x v="15"/>
    <x v="4"/>
    <n v="8"/>
    <n v="568"/>
    <n v="10"/>
    <n v="4089.6"/>
    <n v="2782.62"/>
    <n v="1306.98"/>
    <x v="11"/>
    <x v="1"/>
    <n v="0.3195862676056338"/>
  </r>
  <r>
    <n v="3309"/>
    <d v="2024-10-12T00:00:00"/>
    <x v="2"/>
    <x v="4"/>
    <x v="8"/>
    <x v="1"/>
    <n v="6"/>
    <n v="369"/>
    <n v="5"/>
    <n v="2103.3000000000002"/>
    <n v="1524.84"/>
    <n v="578.46"/>
    <x v="1"/>
    <x v="0"/>
    <n v="0.27502496077592353"/>
  </r>
  <r>
    <n v="3310"/>
    <d v="2023-02-02T00:00:00"/>
    <x v="2"/>
    <x v="4"/>
    <x v="18"/>
    <x v="4"/>
    <n v="3"/>
    <n v="872"/>
    <n v="10"/>
    <n v="2354.4"/>
    <n v="1596.83"/>
    <n v="757.57"/>
    <x v="9"/>
    <x v="1"/>
    <n v="0.32176775399252466"/>
  </r>
  <r>
    <n v="3311"/>
    <d v="2024-11-23T00:00:00"/>
    <x v="1"/>
    <x v="1"/>
    <x v="7"/>
    <x v="3"/>
    <n v="3"/>
    <n v="498"/>
    <n v="15"/>
    <n v="1269.9000000000001"/>
    <n v="852.89"/>
    <n v="417.01"/>
    <x v="3"/>
    <x v="0"/>
    <n v="0.32838018741633196"/>
  </r>
  <r>
    <n v="3312"/>
    <d v="2024-04-21T00:00:00"/>
    <x v="3"/>
    <x v="0"/>
    <x v="13"/>
    <x v="4"/>
    <n v="9"/>
    <n v="666"/>
    <n v="5"/>
    <n v="5694.3"/>
    <n v="4306.3999999999996"/>
    <n v="1387.9"/>
    <x v="10"/>
    <x v="0"/>
    <n v="0.24373496303320866"/>
  </r>
  <r>
    <n v="3313"/>
    <d v="2024-10-01T00:00:00"/>
    <x v="1"/>
    <x v="1"/>
    <x v="5"/>
    <x v="0"/>
    <n v="9"/>
    <n v="699"/>
    <n v="15"/>
    <n v="5347.35"/>
    <n v="2810.93"/>
    <n v="2536.42"/>
    <x v="1"/>
    <x v="0"/>
    <n v="0.47433214582924249"/>
  </r>
  <r>
    <n v="3314"/>
    <d v="2024-04-10T00:00:00"/>
    <x v="0"/>
    <x v="0"/>
    <x v="13"/>
    <x v="0"/>
    <n v="4"/>
    <n v="40"/>
    <n v="10"/>
    <n v="144"/>
    <n v="88.64"/>
    <n v="55.36"/>
    <x v="10"/>
    <x v="0"/>
    <n v="0.38444444444444442"/>
  </r>
  <r>
    <n v="3315"/>
    <d v="2024-11-14T00:00:00"/>
    <x v="2"/>
    <x v="1"/>
    <x v="16"/>
    <x v="4"/>
    <n v="9"/>
    <n v="861"/>
    <n v="5"/>
    <n v="7361.55"/>
    <n v="3955.29"/>
    <n v="3406.26"/>
    <x v="3"/>
    <x v="0"/>
    <n v="0.46270961957739881"/>
  </r>
  <r>
    <n v="3316"/>
    <d v="2023-09-18T00:00:00"/>
    <x v="3"/>
    <x v="1"/>
    <x v="16"/>
    <x v="5"/>
    <n v="8"/>
    <n v="28"/>
    <n v="20"/>
    <n v="179.2"/>
    <n v="111.01"/>
    <n v="68.19"/>
    <x v="0"/>
    <x v="1"/>
    <n v="0.38052455357142856"/>
  </r>
  <r>
    <n v="3317"/>
    <d v="2023-01-19T00:00:00"/>
    <x v="1"/>
    <x v="3"/>
    <x v="19"/>
    <x v="4"/>
    <n v="5"/>
    <n v="950"/>
    <n v="20"/>
    <n v="3800"/>
    <n v="1912.93"/>
    <n v="1887.07"/>
    <x v="11"/>
    <x v="1"/>
    <n v="0.49659736842105262"/>
  </r>
  <r>
    <n v="3318"/>
    <d v="2024-09-06T00:00:00"/>
    <x v="0"/>
    <x v="4"/>
    <x v="14"/>
    <x v="2"/>
    <n v="9"/>
    <n v="614"/>
    <n v="20"/>
    <n v="4420.8"/>
    <n v="2474.4299999999998"/>
    <n v="1946.37"/>
    <x v="0"/>
    <x v="0"/>
    <n v="0.44027551574375673"/>
  </r>
  <r>
    <n v="3319"/>
    <d v="2023-07-23T00:00:00"/>
    <x v="0"/>
    <x v="3"/>
    <x v="19"/>
    <x v="2"/>
    <n v="3"/>
    <n v="824"/>
    <n v="10"/>
    <n v="2224.8000000000002"/>
    <n v="1730.26"/>
    <n v="494.54"/>
    <x v="5"/>
    <x v="1"/>
    <n v="0.22228514922689679"/>
  </r>
  <r>
    <n v="3320"/>
    <d v="2024-09-18T00:00:00"/>
    <x v="3"/>
    <x v="2"/>
    <x v="10"/>
    <x v="3"/>
    <n v="6"/>
    <n v="396"/>
    <n v="0"/>
    <n v="2376"/>
    <n v="1412.74"/>
    <n v="963.26"/>
    <x v="0"/>
    <x v="0"/>
    <n v="0.40541245791245789"/>
  </r>
  <r>
    <n v="3321"/>
    <d v="2024-09-18T00:00:00"/>
    <x v="1"/>
    <x v="2"/>
    <x v="17"/>
    <x v="0"/>
    <n v="10"/>
    <n v="245"/>
    <n v="20"/>
    <n v="1960"/>
    <n v="1405.43"/>
    <n v="554.57000000000005"/>
    <x v="0"/>
    <x v="0"/>
    <n v="0.28294387755102041"/>
  </r>
  <r>
    <n v="3322"/>
    <d v="2024-11-19T00:00:00"/>
    <x v="3"/>
    <x v="3"/>
    <x v="15"/>
    <x v="4"/>
    <n v="3"/>
    <n v="632"/>
    <n v="5"/>
    <n v="1801.2"/>
    <n v="1254.3900000000001"/>
    <n v="546.80999999999995"/>
    <x v="3"/>
    <x v="0"/>
    <n v="0.30358094603597596"/>
  </r>
  <r>
    <n v="3323"/>
    <d v="2023-09-30T00:00:00"/>
    <x v="3"/>
    <x v="2"/>
    <x v="10"/>
    <x v="0"/>
    <n v="8"/>
    <n v="313"/>
    <n v="10"/>
    <n v="2253.6"/>
    <n v="1546.02"/>
    <n v="707.58"/>
    <x v="0"/>
    <x v="1"/>
    <n v="0.31397763578274762"/>
  </r>
  <r>
    <n v="3324"/>
    <d v="2024-05-11T00:00:00"/>
    <x v="3"/>
    <x v="0"/>
    <x v="13"/>
    <x v="5"/>
    <n v="2"/>
    <n v="870"/>
    <n v="5"/>
    <n v="1653"/>
    <n v="973.75"/>
    <n v="679.25"/>
    <x v="7"/>
    <x v="0"/>
    <n v="0.41091954022988508"/>
  </r>
  <r>
    <n v="3325"/>
    <d v="2023-12-16T00:00:00"/>
    <x v="0"/>
    <x v="0"/>
    <x v="0"/>
    <x v="0"/>
    <n v="4"/>
    <n v="484"/>
    <n v="0"/>
    <n v="1936"/>
    <n v="1184.07"/>
    <n v="751.93"/>
    <x v="6"/>
    <x v="1"/>
    <n v="0.38839359504132231"/>
  </r>
  <r>
    <n v="3326"/>
    <d v="2024-01-08T00:00:00"/>
    <x v="1"/>
    <x v="3"/>
    <x v="19"/>
    <x v="5"/>
    <n v="8"/>
    <n v="158"/>
    <n v="5"/>
    <n v="1200.8"/>
    <n v="697.07"/>
    <n v="503.73"/>
    <x v="11"/>
    <x v="0"/>
    <n v="0.4194953364423718"/>
  </r>
  <r>
    <n v="3327"/>
    <d v="2023-03-31T00:00:00"/>
    <x v="3"/>
    <x v="4"/>
    <x v="18"/>
    <x v="2"/>
    <n v="4"/>
    <n v="255"/>
    <n v="10"/>
    <n v="918"/>
    <n v="473.74"/>
    <n v="444.26"/>
    <x v="8"/>
    <x v="1"/>
    <n v="0.48394335511982572"/>
  </r>
  <r>
    <n v="3328"/>
    <d v="2023-10-04T00:00:00"/>
    <x v="1"/>
    <x v="1"/>
    <x v="7"/>
    <x v="0"/>
    <n v="9"/>
    <n v="103"/>
    <n v="15"/>
    <n v="787.95"/>
    <n v="437.31"/>
    <n v="350.64"/>
    <x v="1"/>
    <x v="1"/>
    <n v="0.44500285551113644"/>
  </r>
  <r>
    <n v="3329"/>
    <d v="2023-08-25T00:00:00"/>
    <x v="1"/>
    <x v="1"/>
    <x v="7"/>
    <x v="2"/>
    <n v="3"/>
    <n v="263"/>
    <n v="20"/>
    <n v="631.20000000000005"/>
    <n v="400.18"/>
    <n v="231.02"/>
    <x v="2"/>
    <x v="1"/>
    <n v="0.36600126742712291"/>
  </r>
  <r>
    <n v="3330"/>
    <d v="2023-10-10T00:00:00"/>
    <x v="0"/>
    <x v="3"/>
    <x v="15"/>
    <x v="0"/>
    <n v="3"/>
    <n v="847"/>
    <n v="5"/>
    <n v="2413.9499999999998"/>
    <n v="1492.3"/>
    <n v="921.65"/>
    <x v="1"/>
    <x v="1"/>
    <n v="0.38180161146668323"/>
  </r>
  <r>
    <n v="3331"/>
    <d v="2023-09-20T00:00:00"/>
    <x v="0"/>
    <x v="0"/>
    <x v="13"/>
    <x v="3"/>
    <n v="3"/>
    <n v="942"/>
    <n v="20"/>
    <n v="2260.8000000000002"/>
    <n v="1406.7"/>
    <n v="854.1"/>
    <x v="0"/>
    <x v="1"/>
    <n v="0.37778662420382164"/>
  </r>
  <r>
    <n v="3332"/>
    <d v="2024-11-07T00:00:00"/>
    <x v="3"/>
    <x v="0"/>
    <x v="1"/>
    <x v="1"/>
    <n v="6"/>
    <n v="19"/>
    <n v="10"/>
    <n v="102.6"/>
    <n v="61.42"/>
    <n v="41.18"/>
    <x v="3"/>
    <x v="0"/>
    <n v="0.40136452241715403"/>
  </r>
  <r>
    <n v="3333"/>
    <d v="2023-03-11T00:00:00"/>
    <x v="1"/>
    <x v="3"/>
    <x v="19"/>
    <x v="1"/>
    <n v="3"/>
    <n v="703"/>
    <n v="10"/>
    <n v="1898.1"/>
    <n v="1231.97"/>
    <n v="666.13"/>
    <x v="8"/>
    <x v="1"/>
    <n v="0.35094568252462993"/>
  </r>
  <r>
    <n v="3334"/>
    <d v="2024-01-22T00:00:00"/>
    <x v="3"/>
    <x v="1"/>
    <x v="16"/>
    <x v="3"/>
    <n v="3"/>
    <n v="563"/>
    <n v="0"/>
    <n v="1689"/>
    <n v="992.8"/>
    <n v="696.2"/>
    <x v="11"/>
    <x v="0"/>
    <n v="0.41219656601539373"/>
  </r>
  <r>
    <n v="3335"/>
    <d v="2024-12-15T00:00:00"/>
    <x v="1"/>
    <x v="1"/>
    <x v="16"/>
    <x v="1"/>
    <n v="4"/>
    <n v="616"/>
    <n v="0"/>
    <n v="2464"/>
    <n v="1476.04"/>
    <n v="987.96"/>
    <x v="6"/>
    <x v="0"/>
    <n v="0.40095779220779221"/>
  </r>
  <r>
    <n v="3336"/>
    <d v="2023-04-21T00:00:00"/>
    <x v="0"/>
    <x v="3"/>
    <x v="11"/>
    <x v="2"/>
    <n v="8"/>
    <n v="378"/>
    <n v="20"/>
    <n v="2419.1999999999998"/>
    <n v="1826.82"/>
    <n v="592.38"/>
    <x v="10"/>
    <x v="1"/>
    <n v="0.24486607142857145"/>
  </r>
  <r>
    <n v="3337"/>
    <d v="2023-04-10T00:00:00"/>
    <x v="1"/>
    <x v="3"/>
    <x v="11"/>
    <x v="4"/>
    <n v="2"/>
    <n v="553"/>
    <n v="15"/>
    <n v="940.1"/>
    <n v="479.12"/>
    <n v="460.98"/>
    <x v="10"/>
    <x v="1"/>
    <n v="0.49035209020316989"/>
  </r>
  <r>
    <n v="3338"/>
    <d v="2023-10-15T00:00:00"/>
    <x v="2"/>
    <x v="4"/>
    <x v="8"/>
    <x v="4"/>
    <n v="6"/>
    <n v="103"/>
    <n v="10"/>
    <n v="556.20000000000005"/>
    <n v="347.66"/>
    <n v="208.54"/>
    <x v="1"/>
    <x v="1"/>
    <n v="0.37493707299532536"/>
  </r>
  <r>
    <n v="3339"/>
    <d v="2024-08-17T00:00:00"/>
    <x v="3"/>
    <x v="2"/>
    <x v="17"/>
    <x v="0"/>
    <n v="1"/>
    <n v="140"/>
    <n v="10"/>
    <n v="126"/>
    <n v="88.47"/>
    <n v="37.53"/>
    <x v="2"/>
    <x v="0"/>
    <n v="0.29785714285714288"/>
  </r>
  <r>
    <n v="3340"/>
    <d v="2023-11-03T00:00:00"/>
    <x v="3"/>
    <x v="1"/>
    <x v="7"/>
    <x v="2"/>
    <n v="4"/>
    <n v="630"/>
    <n v="5"/>
    <n v="2394"/>
    <n v="1738.65"/>
    <n v="655.35"/>
    <x v="3"/>
    <x v="1"/>
    <n v="0.27374686716791979"/>
  </r>
  <r>
    <n v="3341"/>
    <d v="2023-03-14T00:00:00"/>
    <x v="0"/>
    <x v="0"/>
    <x v="0"/>
    <x v="4"/>
    <n v="6"/>
    <n v="924"/>
    <n v="10"/>
    <n v="4989.6000000000004"/>
    <n v="2994.8"/>
    <n v="1994.8"/>
    <x v="8"/>
    <x v="1"/>
    <n v="0.39979156645823311"/>
  </r>
  <r>
    <n v="3342"/>
    <d v="2024-11-22T00:00:00"/>
    <x v="2"/>
    <x v="3"/>
    <x v="15"/>
    <x v="0"/>
    <n v="9"/>
    <n v="396"/>
    <n v="15"/>
    <n v="3029.4"/>
    <n v="2353.4299999999998"/>
    <n v="675.97"/>
    <x v="3"/>
    <x v="0"/>
    <n v="0.22313659470522215"/>
  </r>
  <r>
    <n v="3343"/>
    <d v="2024-03-13T00:00:00"/>
    <x v="2"/>
    <x v="4"/>
    <x v="8"/>
    <x v="3"/>
    <n v="3"/>
    <n v="770"/>
    <n v="5"/>
    <n v="2194.5"/>
    <n v="1111.9100000000001"/>
    <n v="1082.5899999999999"/>
    <x v="8"/>
    <x v="0"/>
    <n v="0.49331966279334699"/>
  </r>
  <r>
    <n v="3344"/>
    <d v="2024-08-21T00:00:00"/>
    <x v="2"/>
    <x v="4"/>
    <x v="14"/>
    <x v="2"/>
    <n v="7"/>
    <n v="801"/>
    <n v="20"/>
    <n v="4485.6000000000004"/>
    <n v="2261.71"/>
    <n v="2223.89"/>
    <x v="2"/>
    <x v="0"/>
    <n v="0.49578428749777059"/>
  </r>
  <r>
    <n v="3345"/>
    <d v="2024-02-24T00:00:00"/>
    <x v="0"/>
    <x v="0"/>
    <x v="0"/>
    <x v="5"/>
    <n v="5"/>
    <n v="429"/>
    <n v="15"/>
    <n v="1823.25"/>
    <n v="1075.55"/>
    <n v="747.7"/>
    <x v="9"/>
    <x v="0"/>
    <n v="0.41009186891539834"/>
  </r>
  <r>
    <n v="3346"/>
    <d v="2024-02-14T00:00:00"/>
    <x v="1"/>
    <x v="0"/>
    <x v="1"/>
    <x v="2"/>
    <n v="8"/>
    <n v="803"/>
    <n v="0"/>
    <n v="6424"/>
    <n v="3969.26"/>
    <n v="2454.7399999999998"/>
    <x v="9"/>
    <x v="0"/>
    <n v="0.38212017434620171"/>
  </r>
  <r>
    <n v="3347"/>
    <d v="2023-02-25T00:00:00"/>
    <x v="0"/>
    <x v="1"/>
    <x v="7"/>
    <x v="4"/>
    <n v="8"/>
    <n v="360"/>
    <n v="0"/>
    <n v="2880"/>
    <n v="1539.26"/>
    <n v="1340.74"/>
    <x v="9"/>
    <x v="1"/>
    <n v="0.46553472222222225"/>
  </r>
  <r>
    <n v="3348"/>
    <d v="2023-01-06T00:00:00"/>
    <x v="2"/>
    <x v="0"/>
    <x v="1"/>
    <x v="4"/>
    <n v="9"/>
    <n v="26"/>
    <n v="15"/>
    <n v="198.9"/>
    <n v="134.32"/>
    <n v="64.58"/>
    <x v="11"/>
    <x v="1"/>
    <n v="0.32468577174459523"/>
  </r>
  <r>
    <n v="3349"/>
    <d v="2024-11-26T00:00:00"/>
    <x v="0"/>
    <x v="4"/>
    <x v="8"/>
    <x v="2"/>
    <n v="7"/>
    <n v="874"/>
    <n v="10"/>
    <n v="5506.2"/>
    <n v="3797.24"/>
    <n v="1708.96"/>
    <x v="3"/>
    <x v="0"/>
    <n v="0.31037012821909848"/>
  </r>
  <r>
    <n v="3350"/>
    <d v="2024-06-14T00:00:00"/>
    <x v="3"/>
    <x v="0"/>
    <x v="13"/>
    <x v="4"/>
    <n v="4"/>
    <n v="900"/>
    <n v="0"/>
    <n v="3600"/>
    <n v="2140.83"/>
    <n v="1459.17"/>
    <x v="4"/>
    <x v="0"/>
    <n v="0.40532500000000005"/>
  </r>
  <r>
    <n v="3351"/>
    <d v="2024-09-07T00:00:00"/>
    <x v="3"/>
    <x v="1"/>
    <x v="5"/>
    <x v="5"/>
    <n v="8"/>
    <n v="399"/>
    <n v="20"/>
    <n v="2553.6"/>
    <n v="1533.11"/>
    <n v="1020.49"/>
    <x v="0"/>
    <x v="0"/>
    <n v="0.39962797619047619"/>
  </r>
  <r>
    <n v="3352"/>
    <d v="2023-07-11T00:00:00"/>
    <x v="3"/>
    <x v="4"/>
    <x v="9"/>
    <x v="3"/>
    <n v="8"/>
    <n v="189"/>
    <n v="15"/>
    <n v="1285.2"/>
    <n v="886.24"/>
    <n v="398.96"/>
    <x v="5"/>
    <x v="1"/>
    <n v="0.31042639277933393"/>
  </r>
  <r>
    <n v="3353"/>
    <d v="2023-12-24T00:00:00"/>
    <x v="1"/>
    <x v="0"/>
    <x v="0"/>
    <x v="4"/>
    <n v="10"/>
    <n v="410"/>
    <n v="10"/>
    <n v="3690"/>
    <n v="2336.66"/>
    <n v="1353.34"/>
    <x v="6"/>
    <x v="1"/>
    <n v="0.36675880758807589"/>
  </r>
  <r>
    <n v="3354"/>
    <d v="2024-10-13T00:00:00"/>
    <x v="2"/>
    <x v="0"/>
    <x v="12"/>
    <x v="0"/>
    <n v="6"/>
    <n v="818"/>
    <n v="10"/>
    <n v="4417.2"/>
    <n v="3105.7"/>
    <n v="1311.5"/>
    <x v="1"/>
    <x v="0"/>
    <n v="0.29690754324006158"/>
  </r>
  <r>
    <n v="3355"/>
    <d v="2024-08-08T00:00:00"/>
    <x v="3"/>
    <x v="2"/>
    <x v="6"/>
    <x v="1"/>
    <n v="9"/>
    <n v="263"/>
    <n v="5"/>
    <n v="2248.65"/>
    <n v="1765.32"/>
    <n v="483.33"/>
    <x v="2"/>
    <x v="0"/>
    <n v="0.21494229871256085"/>
  </r>
  <r>
    <n v="3356"/>
    <d v="2023-10-19T00:00:00"/>
    <x v="0"/>
    <x v="2"/>
    <x v="6"/>
    <x v="5"/>
    <n v="10"/>
    <n v="114"/>
    <n v="15"/>
    <n v="969"/>
    <n v="494.04"/>
    <n v="474.96"/>
    <x v="1"/>
    <x v="1"/>
    <n v="0.49015479876160989"/>
  </r>
  <r>
    <n v="3357"/>
    <d v="2024-07-22T00:00:00"/>
    <x v="1"/>
    <x v="2"/>
    <x v="10"/>
    <x v="4"/>
    <n v="8"/>
    <n v="35"/>
    <n v="5"/>
    <n v="266"/>
    <n v="211.73"/>
    <n v="54.27"/>
    <x v="5"/>
    <x v="0"/>
    <n v="0.20402255639097747"/>
  </r>
  <r>
    <n v="3358"/>
    <d v="2023-07-15T00:00:00"/>
    <x v="1"/>
    <x v="0"/>
    <x v="0"/>
    <x v="1"/>
    <n v="3"/>
    <n v="696"/>
    <n v="0"/>
    <n v="2088"/>
    <n v="1218.0999999999999"/>
    <n v="869.9"/>
    <x v="5"/>
    <x v="1"/>
    <n v="0.41661877394636015"/>
  </r>
  <r>
    <n v="3359"/>
    <d v="2024-01-28T00:00:00"/>
    <x v="1"/>
    <x v="4"/>
    <x v="8"/>
    <x v="0"/>
    <n v="4"/>
    <n v="89"/>
    <n v="20"/>
    <n v="284.8"/>
    <n v="165.41"/>
    <n v="119.39"/>
    <x v="11"/>
    <x v="0"/>
    <n v="0.41920646067415729"/>
  </r>
  <r>
    <n v="3360"/>
    <d v="2024-11-24T00:00:00"/>
    <x v="1"/>
    <x v="4"/>
    <x v="14"/>
    <x v="2"/>
    <n v="4"/>
    <n v="482"/>
    <n v="15"/>
    <n v="1638.8"/>
    <n v="973.85"/>
    <n v="664.95"/>
    <x v="3"/>
    <x v="0"/>
    <n v="0.40575421039785214"/>
  </r>
  <r>
    <n v="3361"/>
    <d v="2024-04-25T00:00:00"/>
    <x v="2"/>
    <x v="2"/>
    <x v="3"/>
    <x v="5"/>
    <n v="3"/>
    <n v="428"/>
    <n v="10"/>
    <n v="1155.5999999999999"/>
    <n v="700.02"/>
    <n v="455.58"/>
    <x v="10"/>
    <x v="0"/>
    <n v="0.39423676012461062"/>
  </r>
  <r>
    <n v="3362"/>
    <d v="2024-03-21T00:00:00"/>
    <x v="1"/>
    <x v="4"/>
    <x v="8"/>
    <x v="1"/>
    <n v="5"/>
    <n v="381"/>
    <n v="5"/>
    <n v="1809.75"/>
    <n v="1379.15"/>
    <n v="430.6"/>
    <x v="8"/>
    <x v="0"/>
    <n v="0.23793341621770964"/>
  </r>
  <r>
    <n v="3363"/>
    <d v="2023-12-30T00:00:00"/>
    <x v="0"/>
    <x v="2"/>
    <x v="17"/>
    <x v="5"/>
    <n v="3"/>
    <n v="22"/>
    <n v="10"/>
    <n v="59.4"/>
    <n v="37.1"/>
    <n v="22.3"/>
    <x v="6"/>
    <x v="1"/>
    <n v="0.37542087542087543"/>
  </r>
  <r>
    <n v="3364"/>
    <d v="2023-06-11T00:00:00"/>
    <x v="2"/>
    <x v="3"/>
    <x v="11"/>
    <x v="4"/>
    <n v="6"/>
    <n v="491"/>
    <n v="0"/>
    <n v="2946"/>
    <n v="2213.77"/>
    <n v="732.23"/>
    <x v="4"/>
    <x v="1"/>
    <n v="0.24855057705363204"/>
  </r>
  <r>
    <n v="3365"/>
    <d v="2024-04-27T00:00:00"/>
    <x v="1"/>
    <x v="2"/>
    <x v="17"/>
    <x v="4"/>
    <n v="8"/>
    <n v="491"/>
    <n v="15"/>
    <n v="3338.8"/>
    <n v="2511.5500000000002"/>
    <n v="827.25"/>
    <x v="10"/>
    <x v="0"/>
    <n v="0.24776865939858631"/>
  </r>
  <r>
    <n v="3366"/>
    <d v="2023-01-23T00:00:00"/>
    <x v="3"/>
    <x v="1"/>
    <x v="16"/>
    <x v="3"/>
    <n v="5"/>
    <n v="831"/>
    <n v="15"/>
    <n v="3531.75"/>
    <n v="2544.81"/>
    <n v="986.94"/>
    <x v="11"/>
    <x v="1"/>
    <n v="0.27944786578891484"/>
  </r>
  <r>
    <n v="3367"/>
    <d v="2023-08-02T00:00:00"/>
    <x v="0"/>
    <x v="3"/>
    <x v="19"/>
    <x v="4"/>
    <n v="8"/>
    <n v="310"/>
    <n v="0"/>
    <n v="2480"/>
    <n v="1265.3499999999999"/>
    <n v="1214.6500000000001"/>
    <x v="2"/>
    <x v="1"/>
    <n v="0.48977822580645164"/>
  </r>
  <r>
    <n v="3368"/>
    <d v="2023-10-25T00:00:00"/>
    <x v="1"/>
    <x v="4"/>
    <x v="8"/>
    <x v="3"/>
    <n v="4"/>
    <n v="995"/>
    <n v="15"/>
    <n v="3383"/>
    <n v="2001.11"/>
    <n v="1381.89"/>
    <x v="1"/>
    <x v="1"/>
    <n v="0.40848063848655042"/>
  </r>
  <r>
    <n v="3369"/>
    <d v="2024-08-07T00:00:00"/>
    <x v="3"/>
    <x v="3"/>
    <x v="19"/>
    <x v="0"/>
    <n v="1"/>
    <n v="615"/>
    <n v="15"/>
    <n v="522.75"/>
    <n v="318.64999999999998"/>
    <n v="204.1"/>
    <x v="2"/>
    <x v="0"/>
    <n v="0.39043519846963176"/>
  </r>
  <r>
    <n v="3370"/>
    <d v="2024-12-13T00:00:00"/>
    <x v="0"/>
    <x v="4"/>
    <x v="18"/>
    <x v="5"/>
    <n v="8"/>
    <n v="546"/>
    <n v="20"/>
    <n v="3494.4"/>
    <n v="2687.04"/>
    <n v="807.36"/>
    <x v="6"/>
    <x v="0"/>
    <n v="0.23104395604395603"/>
  </r>
  <r>
    <n v="3371"/>
    <d v="2024-12-13T00:00:00"/>
    <x v="3"/>
    <x v="2"/>
    <x v="6"/>
    <x v="3"/>
    <n v="2"/>
    <n v="283"/>
    <n v="15"/>
    <n v="481.1"/>
    <n v="292.86"/>
    <n v="188.24"/>
    <x v="6"/>
    <x v="0"/>
    <n v="0.39127000623570984"/>
  </r>
  <r>
    <n v="3372"/>
    <d v="2024-08-28T00:00:00"/>
    <x v="2"/>
    <x v="4"/>
    <x v="8"/>
    <x v="3"/>
    <n v="4"/>
    <n v="684"/>
    <n v="5"/>
    <n v="2599.1999999999998"/>
    <n v="1933.55"/>
    <n v="665.65"/>
    <x v="2"/>
    <x v="0"/>
    <n v="0.2560980301631271"/>
  </r>
  <r>
    <n v="3373"/>
    <d v="2023-03-05T00:00:00"/>
    <x v="3"/>
    <x v="1"/>
    <x v="2"/>
    <x v="1"/>
    <n v="8"/>
    <n v="490"/>
    <n v="20"/>
    <n v="3136"/>
    <n v="1635.69"/>
    <n v="1500.31"/>
    <x v="8"/>
    <x v="1"/>
    <n v="0.47841517857142857"/>
  </r>
  <r>
    <n v="3374"/>
    <d v="2023-08-15T00:00:00"/>
    <x v="2"/>
    <x v="3"/>
    <x v="19"/>
    <x v="3"/>
    <n v="9"/>
    <n v="516"/>
    <n v="5"/>
    <n v="4411.8"/>
    <n v="2324.87"/>
    <n v="2086.9299999999998"/>
    <x v="2"/>
    <x v="1"/>
    <n v="0.47303368239720744"/>
  </r>
  <r>
    <n v="3375"/>
    <d v="2023-01-11T00:00:00"/>
    <x v="2"/>
    <x v="3"/>
    <x v="11"/>
    <x v="0"/>
    <n v="3"/>
    <n v="878"/>
    <n v="5"/>
    <n v="2502.3000000000002"/>
    <n v="1559.38"/>
    <n v="942.92"/>
    <x v="11"/>
    <x v="1"/>
    <n v="0.3768213243815689"/>
  </r>
  <r>
    <n v="3376"/>
    <d v="2023-10-26T00:00:00"/>
    <x v="2"/>
    <x v="1"/>
    <x v="7"/>
    <x v="1"/>
    <n v="6"/>
    <n v="660"/>
    <n v="20"/>
    <n v="3168"/>
    <n v="1728.36"/>
    <n v="1439.64"/>
    <x v="1"/>
    <x v="1"/>
    <n v="0.45443181818181821"/>
  </r>
  <r>
    <n v="3377"/>
    <d v="2024-08-02T00:00:00"/>
    <x v="0"/>
    <x v="4"/>
    <x v="8"/>
    <x v="3"/>
    <n v="10"/>
    <n v="809"/>
    <n v="20"/>
    <n v="6472"/>
    <n v="4821.95"/>
    <n v="1650.05"/>
    <x v="2"/>
    <x v="0"/>
    <n v="0.25495210135970331"/>
  </r>
  <r>
    <n v="3378"/>
    <d v="2024-02-10T00:00:00"/>
    <x v="2"/>
    <x v="0"/>
    <x v="0"/>
    <x v="5"/>
    <n v="9"/>
    <n v="629"/>
    <n v="0"/>
    <n v="5661"/>
    <n v="4047.33"/>
    <n v="1613.67"/>
    <x v="9"/>
    <x v="0"/>
    <n v="0.2850503444621092"/>
  </r>
  <r>
    <n v="3379"/>
    <d v="2023-11-09T00:00:00"/>
    <x v="2"/>
    <x v="1"/>
    <x v="16"/>
    <x v="1"/>
    <n v="7"/>
    <n v="256"/>
    <n v="0"/>
    <n v="1792"/>
    <n v="1229.1400000000001"/>
    <n v="562.86"/>
    <x v="3"/>
    <x v="1"/>
    <n v="0.31409598214285717"/>
  </r>
  <r>
    <n v="3380"/>
    <d v="2024-10-01T00:00:00"/>
    <x v="3"/>
    <x v="3"/>
    <x v="19"/>
    <x v="1"/>
    <n v="9"/>
    <n v="289"/>
    <n v="20"/>
    <n v="2080.8000000000002"/>
    <n v="1160.3699999999999"/>
    <n v="920.43"/>
    <x v="1"/>
    <x v="0"/>
    <n v="0.44234429065743941"/>
  </r>
  <r>
    <n v="3381"/>
    <d v="2023-02-05T00:00:00"/>
    <x v="1"/>
    <x v="3"/>
    <x v="19"/>
    <x v="5"/>
    <n v="3"/>
    <n v="397"/>
    <n v="20"/>
    <n v="952.8"/>
    <n v="592.6"/>
    <n v="360.2"/>
    <x v="9"/>
    <x v="1"/>
    <n v="0.37804366078925272"/>
  </r>
  <r>
    <n v="3382"/>
    <d v="2024-06-25T00:00:00"/>
    <x v="1"/>
    <x v="0"/>
    <x v="1"/>
    <x v="1"/>
    <n v="6"/>
    <n v="696"/>
    <n v="0"/>
    <n v="4176"/>
    <n v="2750.03"/>
    <n v="1425.97"/>
    <x v="4"/>
    <x v="0"/>
    <n v="0.34146791187739467"/>
  </r>
  <r>
    <n v="3383"/>
    <d v="2024-01-18T00:00:00"/>
    <x v="1"/>
    <x v="3"/>
    <x v="11"/>
    <x v="5"/>
    <n v="4"/>
    <n v="473"/>
    <n v="15"/>
    <n v="1608.2"/>
    <n v="1166.67"/>
    <n v="441.53"/>
    <x v="11"/>
    <x v="0"/>
    <n v="0.27454918542469842"/>
  </r>
  <r>
    <n v="3384"/>
    <d v="2024-01-05T00:00:00"/>
    <x v="2"/>
    <x v="4"/>
    <x v="8"/>
    <x v="0"/>
    <n v="7"/>
    <n v="937"/>
    <n v="10"/>
    <n v="5903.1"/>
    <n v="3715.51"/>
    <n v="2187.59"/>
    <x v="11"/>
    <x v="0"/>
    <n v="0.37058325286713761"/>
  </r>
  <r>
    <n v="3385"/>
    <d v="2023-10-24T00:00:00"/>
    <x v="3"/>
    <x v="0"/>
    <x v="0"/>
    <x v="3"/>
    <n v="5"/>
    <n v="536"/>
    <n v="0"/>
    <n v="2680"/>
    <n v="1777.83"/>
    <n v="902.17"/>
    <x v="1"/>
    <x v="1"/>
    <n v="0.33663059701492537"/>
  </r>
  <r>
    <n v="3386"/>
    <d v="2024-12-28T00:00:00"/>
    <x v="1"/>
    <x v="0"/>
    <x v="0"/>
    <x v="4"/>
    <n v="10"/>
    <n v="948"/>
    <n v="5"/>
    <n v="9006"/>
    <n v="4871.24"/>
    <n v="4134.76"/>
    <x v="6"/>
    <x v="0"/>
    <n v="0.45911170330890522"/>
  </r>
  <r>
    <n v="3387"/>
    <d v="2024-10-17T00:00:00"/>
    <x v="2"/>
    <x v="2"/>
    <x v="6"/>
    <x v="3"/>
    <n v="8"/>
    <n v="899"/>
    <n v="15"/>
    <n v="6113.2"/>
    <n v="4873.6400000000003"/>
    <n v="1239.56"/>
    <x v="1"/>
    <x v="0"/>
    <n v="0.20276778119479161"/>
  </r>
  <r>
    <n v="3388"/>
    <d v="2024-12-08T00:00:00"/>
    <x v="2"/>
    <x v="3"/>
    <x v="19"/>
    <x v="4"/>
    <n v="4"/>
    <n v="103"/>
    <n v="10"/>
    <n v="370.8"/>
    <n v="193.45"/>
    <n v="177.35"/>
    <x v="6"/>
    <x v="0"/>
    <n v="0.47829018338727075"/>
  </r>
  <r>
    <n v="3389"/>
    <d v="2024-02-04T00:00:00"/>
    <x v="1"/>
    <x v="1"/>
    <x v="7"/>
    <x v="3"/>
    <n v="4"/>
    <n v="577"/>
    <n v="10"/>
    <n v="2077.1999999999998"/>
    <n v="1374.79"/>
    <n v="702.41"/>
    <x v="9"/>
    <x v="0"/>
    <n v="0.33815232043134991"/>
  </r>
  <r>
    <n v="3390"/>
    <d v="2024-05-21T00:00:00"/>
    <x v="0"/>
    <x v="1"/>
    <x v="7"/>
    <x v="2"/>
    <n v="9"/>
    <n v="143"/>
    <n v="0"/>
    <n v="1287"/>
    <n v="723.68"/>
    <n v="563.32000000000005"/>
    <x v="7"/>
    <x v="0"/>
    <n v="0.43770007770007774"/>
  </r>
  <r>
    <n v="3391"/>
    <d v="2023-10-06T00:00:00"/>
    <x v="0"/>
    <x v="4"/>
    <x v="14"/>
    <x v="5"/>
    <n v="3"/>
    <n v="840"/>
    <n v="15"/>
    <n v="2142"/>
    <n v="1266.6199999999999"/>
    <n v="875.38"/>
    <x v="1"/>
    <x v="1"/>
    <n v="0.40867413632119515"/>
  </r>
  <r>
    <n v="3392"/>
    <d v="2023-03-28T00:00:00"/>
    <x v="1"/>
    <x v="3"/>
    <x v="11"/>
    <x v="1"/>
    <n v="9"/>
    <n v="395"/>
    <n v="20"/>
    <n v="2844"/>
    <n v="1590.38"/>
    <n v="1253.6199999999999"/>
    <x v="8"/>
    <x v="1"/>
    <n v="0.44079465541490853"/>
  </r>
  <r>
    <n v="3393"/>
    <d v="2023-03-24T00:00:00"/>
    <x v="2"/>
    <x v="3"/>
    <x v="15"/>
    <x v="0"/>
    <n v="3"/>
    <n v="708"/>
    <n v="10"/>
    <n v="1911.6"/>
    <n v="1388.05"/>
    <n v="523.54999999999995"/>
    <x v="8"/>
    <x v="1"/>
    <n v="0.27388051893701609"/>
  </r>
  <r>
    <n v="3394"/>
    <d v="2024-02-18T00:00:00"/>
    <x v="0"/>
    <x v="4"/>
    <x v="8"/>
    <x v="3"/>
    <n v="6"/>
    <n v="41"/>
    <n v="10"/>
    <n v="221.4"/>
    <n v="165.54"/>
    <n v="55.86"/>
    <x v="9"/>
    <x v="0"/>
    <n v="0.25230352303523035"/>
  </r>
  <r>
    <n v="3395"/>
    <d v="2024-11-15T00:00:00"/>
    <x v="1"/>
    <x v="4"/>
    <x v="9"/>
    <x v="2"/>
    <n v="10"/>
    <n v="578"/>
    <n v="5"/>
    <n v="5491"/>
    <n v="4360.57"/>
    <n v="1130.43"/>
    <x v="3"/>
    <x v="0"/>
    <n v="0.20586960480786742"/>
  </r>
  <r>
    <n v="3396"/>
    <d v="2023-10-31T00:00:00"/>
    <x v="0"/>
    <x v="1"/>
    <x v="5"/>
    <x v="1"/>
    <n v="1"/>
    <n v="181"/>
    <n v="5"/>
    <n v="171.95"/>
    <n v="100.06"/>
    <n v="71.89"/>
    <x v="1"/>
    <x v="1"/>
    <n v="0.41808665309683052"/>
  </r>
  <r>
    <n v="3397"/>
    <d v="2023-05-03T00:00:00"/>
    <x v="0"/>
    <x v="2"/>
    <x v="6"/>
    <x v="3"/>
    <n v="5"/>
    <n v="985"/>
    <n v="20"/>
    <n v="3940"/>
    <n v="2140.29"/>
    <n v="1799.71"/>
    <x v="7"/>
    <x v="1"/>
    <n v="0.4567791878172589"/>
  </r>
  <r>
    <n v="3398"/>
    <d v="2024-12-26T00:00:00"/>
    <x v="0"/>
    <x v="0"/>
    <x v="1"/>
    <x v="0"/>
    <n v="3"/>
    <n v="18"/>
    <n v="20"/>
    <n v="43.2"/>
    <n v="28.4"/>
    <n v="14.8"/>
    <x v="6"/>
    <x v="0"/>
    <n v="0.34259259259259256"/>
  </r>
  <r>
    <n v="3399"/>
    <d v="2024-12-26T00:00:00"/>
    <x v="0"/>
    <x v="2"/>
    <x v="6"/>
    <x v="0"/>
    <n v="5"/>
    <n v="100"/>
    <n v="5"/>
    <n v="475"/>
    <n v="291.47000000000003"/>
    <n v="183.53"/>
    <x v="6"/>
    <x v="0"/>
    <n v="0.38637894736842104"/>
  </r>
  <r>
    <n v="3400"/>
    <d v="2024-01-02T00:00:00"/>
    <x v="1"/>
    <x v="3"/>
    <x v="4"/>
    <x v="2"/>
    <n v="7"/>
    <n v="419"/>
    <n v="0"/>
    <n v="2933"/>
    <n v="1900.54"/>
    <n v="1032.46"/>
    <x v="11"/>
    <x v="0"/>
    <n v="0.35201500170473921"/>
  </r>
  <r>
    <n v="3401"/>
    <d v="2023-09-27T00:00:00"/>
    <x v="0"/>
    <x v="2"/>
    <x v="10"/>
    <x v="3"/>
    <n v="9"/>
    <n v="393"/>
    <n v="10"/>
    <n v="3183.3"/>
    <n v="2016.88"/>
    <n v="1166.42"/>
    <x v="0"/>
    <x v="1"/>
    <n v="0.36641849652875946"/>
  </r>
  <r>
    <n v="3402"/>
    <d v="2023-11-25T00:00:00"/>
    <x v="1"/>
    <x v="0"/>
    <x v="13"/>
    <x v="5"/>
    <n v="9"/>
    <n v="889"/>
    <n v="15"/>
    <n v="6800.85"/>
    <n v="4525.57"/>
    <n v="2275.2800000000002"/>
    <x v="3"/>
    <x v="1"/>
    <n v="0.33455818022747158"/>
  </r>
  <r>
    <n v="3403"/>
    <d v="2023-07-11T00:00:00"/>
    <x v="0"/>
    <x v="2"/>
    <x v="6"/>
    <x v="1"/>
    <n v="5"/>
    <n v="225"/>
    <n v="0"/>
    <n v="1125"/>
    <n v="738.14"/>
    <n v="386.86"/>
    <x v="5"/>
    <x v="1"/>
    <n v="0.34387555555555555"/>
  </r>
  <r>
    <n v="3404"/>
    <d v="2023-05-12T00:00:00"/>
    <x v="2"/>
    <x v="0"/>
    <x v="12"/>
    <x v="4"/>
    <n v="1"/>
    <n v="554"/>
    <n v="15"/>
    <n v="470.9"/>
    <n v="345.44"/>
    <n v="125.46"/>
    <x v="7"/>
    <x v="1"/>
    <n v="0.2664259927797834"/>
  </r>
  <r>
    <n v="3405"/>
    <d v="2023-12-05T00:00:00"/>
    <x v="2"/>
    <x v="4"/>
    <x v="8"/>
    <x v="2"/>
    <n v="7"/>
    <n v="280"/>
    <n v="20"/>
    <n v="1568"/>
    <n v="1009.89"/>
    <n v="558.11"/>
    <x v="6"/>
    <x v="1"/>
    <n v="0.35593750000000002"/>
  </r>
  <r>
    <n v="3406"/>
    <d v="2023-03-07T00:00:00"/>
    <x v="1"/>
    <x v="0"/>
    <x v="0"/>
    <x v="5"/>
    <n v="9"/>
    <n v="473"/>
    <n v="5"/>
    <n v="4044.15"/>
    <n v="3149.33"/>
    <n v="894.82"/>
    <x v="8"/>
    <x v="1"/>
    <n v="0.2212628117156881"/>
  </r>
  <r>
    <n v="3407"/>
    <d v="2024-01-02T00:00:00"/>
    <x v="0"/>
    <x v="0"/>
    <x v="12"/>
    <x v="3"/>
    <n v="5"/>
    <n v="731"/>
    <n v="5"/>
    <n v="3472.25"/>
    <n v="2662.66"/>
    <n v="809.59"/>
    <x v="11"/>
    <x v="0"/>
    <n v="0.23316005471956225"/>
  </r>
  <r>
    <n v="3408"/>
    <d v="2024-07-09T00:00:00"/>
    <x v="2"/>
    <x v="1"/>
    <x v="5"/>
    <x v="3"/>
    <n v="10"/>
    <n v="390"/>
    <n v="0"/>
    <n v="3900"/>
    <n v="2429.06"/>
    <n v="1470.94"/>
    <x v="5"/>
    <x v="0"/>
    <n v="0.3771641025641026"/>
  </r>
  <r>
    <n v="3409"/>
    <d v="2024-01-02T00:00:00"/>
    <x v="3"/>
    <x v="0"/>
    <x v="1"/>
    <x v="3"/>
    <n v="1"/>
    <n v="858"/>
    <n v="10"/>
    <n v="772.2"/>
    <n v="447.62"/>
    <n v="324.58"/>
    <x v="11"/>
    <x v="0"/>
    <n v="0.42033152033152027"/>
  </r>
  <r>
    <n v="3410"/>
    <d v="2023-10-29T00:00:00"/>
    <x v="0"/>
    <x v="3"/>
    <x v="19"/>
    <x v="5"/>
    <n v="8"/>
    <n v="758"/>
    <n v="10"/>
    <n v="5457.6"/>
    <n v="3051.34"/>
    <n v="2406.2600000000002"/>
    <x v="1"/>
    <x v="1"/>
    <n v="0.44090076223981239"/>
  </r>
  <r>
    <n v="3411"/>
    <d v="2023-10-21T00:00:00"/>
    <x v="0"/>
    <x v="1"/>
    <x v="7"/>
    <x v="4"/>
    <n v="10"/>
    <n v="154"/>
    <n v="0"/>
    <n v="1540"/>
    <n v="1127.47"/>
    <n v="412.53"/>
    <x v="1"/>
    <x v="1"/>
    <n v="0.26787662337662338"/>
  </r>
  <r>
    <n v="3412"/>
    <d v="2023-03-10T00:00:00"/>
    <x v="1"/>
    <x v="2"/>
    <x v="10"/>
    <x v="1"/>
    <n v="7"/>
    <n v="388"/>
    <n v="20"/>
    <n v="2172.8000000000002"/>
    <n v="1350.11"/>
    <n v="822.69"/>
    <x v="8"/>
    <x v="1"/>
    <n v="0.3786312592047128"/>
  </r>
  <r>
    <n v="3413"/>
    <d v="2023-07-17T00:00:00"/>
    <x v="0"/>
    <x v="1"/>
    <x v="5"/>
    <x v="3"/>
    <n v="3"/>
    <n v="668"/>
    <n v="15"/>
    <n v="1703.4"/>
    <n v="1227.95"/>
    <n v="475.45"/>
    <x v="5"/>
    <x v="1"/>
    <n v="0.27911823411999526"/>
  </r>
  <r>
    <n v="3414"/>
    <d v="2024-02-11T00:00:00"/>
    <x v="1"/>
    <x v="3"/>
    <x v="19"/>
    <x v="5"/>
    <n v="10"/>
    <n v="935"/>
    <n v="15"/>
    <n v="7947.5"/>
    <n v="5202.9799999999996"/>
    <n v="2744.52"/>
    <x v="9"/>
    <x v="0"/>
    <n v="0.34533123623781065"/>
  </r>
  <r>
    <n v="3415"/>
    <d v="2023-11-21T00:00:00"/>
    <x v="1"/>
    <x v="1"/>
    <x v="16"/>
    <x v="5"/>
    <n v="7"/>
    <n v="516"/>
    <n v="5"/>
    <n v="3431.4"/>
    <n v="1937.1"/>
    <n v="1494.3"/>
    <x v="3"/>
    <x v="1"/>
    <n v="0.43547823045987061"/>
  </r>
  <r>
    <n v="3416"/>
    <d v="2023-03-16T00:00:00"/>
    <x v="3"/>
    <x v="1"/>
    <x v="5"/>
    <x v="0"/>
    <n v="9"/>
    <n v="679"/>
    <n v="5"/>
    <n v="5805.45"/>
    <n v="4028.22"/>
    <n v="1777.23"/>
    <x v="8"/>
    <x v="1"/>
    <n v="0.30613130765056973"/>
  </r>
  <r>
    <n v="3417"/>
    <d v="2024-06-09T00:00:00"/>
    <x v="2"/>
    <x v="3"/>
    <x v="4"/>
    <x v="3"/>
    <n v="3"/>
    <n v="260"/>
    <n v="5"/>
    <n v="741"/>
    <n v="550"/>
    <n v="191"/>
    <x v="4"/>
    <x v="0"/>
    <n v="0.25775978407557354"/>
  </r>
  <r>
    <n v="3418"/>
    <d v="2023-05-15T00:00:00"/>
    <x v="0"/>
    <x v="3"/>
    <x v="4"/>
    <x v="4"/>
    <n v="1"/>
    <n v="264"/>
    <n v="5"/>
    <n v="250.8"/>
    <n v="181.16"/>
    <n v="69.64"/>
    <x v="7"/>
    <x v="1"/>
    <n v="0.27767145135566185"/>
  </r>
  <r>
    <n v="3419"/>
    <d v="2024-01-25T00:00:00"/>
    <x v="3"/>
    <x v="4"/>
    <x v="14"/>
    <x v="3"/>
    <n v="1"/>
    <n v="828"/>
    <n v="15"/>
    <n v="703.8"/>
    <n v="420.28"/>
    <n v="283.52"/>
    <x v="11"/>
    <x v="0"/>
    <n v="0.40284171639670363"/>
  </r>
  <r>
    <n v="3420"/>
    <d v="2024-08-08T00:00:00"/>
    <x v="1"/>
    <x v="0"/>
    <x v="1"/>
    <x v="0"/>
    <n v="8"/>
    <n v="999"/>
    <n v="20"/>
    <n v="6393.6"/>
    <n v="4396.99"/>
    <n v="1996.61"/>
    <x v="2"/>
    <x v="0"/>
    <n v="0.31228259509509504"/>
  </r>
  <r>
    <n v="3421"/>
    <d v="2023-03-16T00:00:00"/>
    <x v="1"/>
    <x v="4"/>
    <x v="18"/>
    <x v="4"/>
    <n v="5"/>
    <n v="281"/>
    <n v="5"/>
    <n v="1334.75"/>
    <n v="907.98"/>
    <n v="426.77"/>
    <x v="8"/>
    <x v="1"/>
    <n v="0.31973777861022662"/>
  </r>
  <r>
    <n v="3422"/>
    <d v="2023-10-04T00:00:00"/>
    <x v="0"/>
    <x v="4"/>
    <x v="9"/>
    <x v="2"/>
    <n v="6"/>
    <n v="912"/>
    <n v="10"/>
    <n v="4924.8"/>
    <n v="2800.26"/>
    <n v="2124.54"/>
    <x v="1"/>
    <x v="1"/>
    <n v="0.43139619883040936"/>
  </r>
  <r>
    <n v="3423"/>
    <d v="2024-05-03T00:00:00"/>
    <x v="1"/>
    <x v="2"/>
    <x v="6"/>
    <x v="1"/>
    <n v="9"/>
    <n v="75"/>
    <n v="5"/>
    <n v="641.25"/>
    <n v="460.26"/>
    <n v="180.99"/>
    <x v="7"/>
    <x v="0"/>
    <n v="0.28224561403508774"/>
  </r>
  <r>
    <n v="3424"/>
    <d v="2024-02-20T00:00:00"/>
    <x v="2"/>
    <x v="0"/>
    <x v="13"/>
    <x v="4"/>
    <n v="4"/>
    <n v="619"/>
    <n v="10"/>
    <n v="2228.4"/>
    <n v="1379"/>
    <n v="849.4"/>
    <x v="9"/>
    <x v="0"/>
    <n v="0.38117034643690539"/>
  </r>
  <r>
    <n v="3425"/>
    <d v="2023-02-09T00:00:00"/>
    <x v="2"/>
    <x v="0"/>
    <x v="13"/>
    <x v="4"/>
    <n v="10"/>
    <n v="452"/>
    <n v="0"/>
    <n v="4520"/>
    <n v="3285.37"/>
    <n v="1234.6300000000001"/>
    <x v="9"/>
    <x v="1"/>
    <n v="0.27314823008849559"/>
  </r>
  <r>
    <n v="3426"/>
    <d v="2024-12-18T00:00:00"/>
    <x v="2"/>
    <x v="4"/>
    <x v="9"/>
    <x v="4"/>
    <n v="1"/>
    <n v="246"/>
    <n v="0"/>
    <n v="246"/>
    <n v="137.62"/>
    <n v="108.38"/>
    <x v="6"/>
    <x v="0"/>
    <n v="0.44056910569105689"/>
  </r>
  <r>
    <n v="3427"/>
    <d v="2023-07-20T00:00:00"/>
    <x v="2"/>
    <x v="4"/>
    <x v="18"/>
    <x v="4"/>
    <n v="1"/>
    <n v="69"/>
    <n v="20"/>
    <n v="55.2"/>
    <n v="43.74"/>
    <n v="11.46"/>
    <x v="5"/>
    <x v="1"/>
    <n v="0.20760869565217391"/>
  </r>
  <r>
    <n v="3428"/>
    <d v="2023-04-26T00:00:00"/>
    <x v="0"/>
    <x v="0"/>
    <x v="13"/>
    <x v="3"/>
    <n v="10"/>
    <n v="962"/>
    <n v="20"/>
    <n v="7696"/>
    <n v="5705.65"/>
    <n v="1990.35"/>
    <x v="10"/>
    <x v="1"/>
    <n v="0.25862136174636174"/>
  </r>
  <r>
    <n v="3429"/>
    <d v="2024-06-21T00:00:00"/>
    <x v="3"/>
    <x v="3"/>
    <x v="15"/>
    <x v="5"/>
    <n v="7"/>
    <n v="732"/>
    <n v="5"/>
    <n v="4867.8"/>
    <n v="3517.73"/>
    <n v="1350.07"/>
    <x v="4"/>
    <x v="0"/>
    <n v="0.27734705616500266"/>
  </r>
  <r>
    <n v="3430"/>
    <d v="2024-10-11T00:00:00"/>
    <x v="1"/>
    <x v="1"/>
    <x v="5"/>
    <x v="2"/>
    <n v="7"/>
    <n v="18"/>
    <n v="20"/>
    <n v="100.8"/>
    <n v="68.34"/>
    <n v="32.46"/>
    <x v="1"/>
    <x v="0"/>
    <n v="0.32202380952380955"/>
  </r>
  <r>
    <n v="3431"/>
    <d v="2023-02-15T00:00:00"/>
    <x v="1"/>
    <x v="1"/>
    <x v="2"/>
    <x v="4"/>
    <n v="9"/>
    <n v="886"/>
    <n v="15"/>
    <n v="6777.9"/>
    <n v="3826.12"/>
    <n v="2951.78"/>
    <x v="9"/>
    <x v="1"/>
    <n v="0.43550067129937009"/>
  </r>
  <r>
    <n v="3432"/>
    <d v="2024-06-25T00:00:00"/>
    <x v="1"/>
    <x v="0"/>
    <x v="12"/>
    <x v="0"/>
    <n v="1"/>
    <n v="302"/>
    <n v="20"/>
    <n v="241.6"/>
    <n v="166.91"/>
    <n v="74.69"/>
    <x v="4"/>
    <x v="0"/>
    <n v="0.30914735099337748"/>
  </r>
  <r>
    <n v="3433"/>
    <d v="2023-12-26T00:00:00"/>
    <x v="2"/>
    <x v="2"/>
    <x v="6"/>
    <x v="3"/>
    <n v="1"/>
    <n v="423"/>
    <n v="15"/>
    <n v="359.55"/>
    <n v="275.44"/>
    <n v="84.11"/>
    <x v="6"/>
    <x v="1"/>
    <n v="0.23393130301766096"/>
  </r>
  <r>
    <n v="3434"/>
    <d v="2023-10-11T00:00:00"/>
    <x v="0"/>
    <x v="2"/>
    <x v="10"/>
    <x v="2"/>
    <n v="2"/>
    <n v="299"/>
    <n v="15"/>
    <n v="508.3"/>
    <n v="310.83"/>
    <n v="197.47"/>
    <x v="1"/>
    <x v="1"/>
    <n v="0.38849104859335037"/>
  </r>
  <r>
    <n v="3435"/>
    <d v="2024-01-16T00:00:00"/>
    <x v="3"/>
    <x v="1"/>
    <x v="7"/>
    <x v="1"/>
    <n v="2"/>
    <n v="688"/>
    <n v="10"/>
    <n v="1238.4000000000001"/>
    <n v="788.18"/>
    <n v="450.22"/>
    <x v="11"/>
    <x v="0"/>
    <n v="0.36354974160206716"/>
  </r>
  <r>
    <n v="3436"/>
    <d v="2023-03-28T00:00:00"/>
    <x v="3"/>
    <x v="1"/>
    <x v="2"/>
    <x v="5"/>
    <n v="2"/>
    <n v="806"/>
    <n v="15"/>
    <n v="1370.2"/>
    <n v="1043.73"/>
    <n v="326.47000000000003"/>
    <x v="8"/>
    <x v="1"/>
    <n v="0.23826448693621372"/>
  </r>
  <r>
    <n v="3437"/>
    <d v="2024-11-30T00:00:00"/>
    <x v="2"/>
    <x v="4"/>
    <x v="14"/>
    <x v="2"/>
    <n v="4"/>
    <n v="311"/>
    <n v="0"/>
    <n v="1244"/>
    <n v="766.97"/>
    <n v="477.03"/>
    <x v="3"/>
    <x v="0"/>
    <n v="0.38346463022508037"/>
  </r>
  <r>
    <n v="3438"/>
    <d v="2023-10-14T00:00:00"/>
    <x v="2"/>
    <x v="2"/>
    <x v="6"/>
    <x v="3"/>
    <n v="7"/>
    <n v="364"/>
    <n v="15"/>
    <n v="2165.8000000000002"/>
    <n v="1329.61"/>
    <n v="836.19"/>
    <x v="1"/>
    <x v="1"/>
    <n v="0.3860882814664327"/>
  </r>
  <r>
    <n v="3439"/>
    <d v="2024-01-10T00:00:00"/>
    <x v="0"/>
    <x v="3"/>
    <x v="11"/>
    <x v="5"/>
    <n v="5"/>
    <n v="861"/>
    <n v="10"/>
    <n v="3874.5"/>
    <n v="2818.96"/>
    <n v="1055.54"/>
    <x v="11"/>
    <x v="0"/>
    <n v="0.27243257194476705"/>
  </r>
  <r>
    <n v="3440"/>
    <d v="2024-05-30T00:00:00"/>
    <x v="1"/>
    <x v="2"/>
    <x v="6"/>
    <x v="2"/>
    <n v="5"/>
    <n v="263"/>
    <n v="15"/>
    <n v="1117.75"/>
    <n v="598.52"/>
    <n v="519.23"/>
    <x v="7"/>
    <x v="0"/>
    <n v="0.46453142473719528"/>
  </r>
  <r>
    <n v="3441"/>
    <d v="2023-05-31T00:00:00"/>
    <x v="3"/>
    <x v="2"/>
    <x v="10"/>
    <x v="3"/>
    <n v="6"/>
    <n v="749"/>
    <n v="20"/>
    <n v="3595.2"/>
    <n v="2097.17"/>
    <n v="1498.03"/>
    <x v="7"/>
    <x v="1"/>
    <n v="0.41667501112594574"/>
  </r>
  <r>
    <n v="3442"/>
    <d v="2023-05-21T00:00:00"/>
    <x v="1"/>
    <x v="2"/>
    <x v="10"/>
    <x v="5"/>
    <n v="7"/>
    <n v="746"/>
    <n v="10"/>
    <n v="4699.8"/>
    <n v="2751.65"/>
    <n v="1948.15"/>
    <x v="7"/>
    <x v="1"/>
    <n v="0.41451763904847017"/>
  </r>
  <r>
    <n v="3443"/>
    <d v="2023-01-12T00:00:00"/>
    <x v="3"/>
    <x v="2"/>
    <x v="6"/>
    <x v="5"/>
    <n v="4"/>
    <n v="362"/>
    <n v="0"/>
    <n v="1448"/>
    <n v="1097.53"/>
    <n v="350.47"/>
    <x v="11"/>
    <x v="1"/>
    <n v="0.24203729281767958"/>
  </r>
  <r>
    <n v="3444"/>
    <d v="2024-04-14T00:00:00"/>
    <x v="0"/>
    <x v="4"/>
    <x v="18"/>
    <x v="1"/>
    <n v="8"/>
    <n v="161"/>
    <n v="5"/>
    <n v="1223.5999999999999"/>
    <n v="758.68"/>
    <n v="464.92"/>
    <x v="10"/>
    <x v="0"/>
    <n v="0.3799607714939523"/>
  </r>
  <r>
    <n v="3445"/>
    <d v="2023-10-08T00:00:00"/>
    <x v="2"/>
    <x v="2"/>
    <x v="3"/>
    <x v="4"/>
    <n v="2"/>
    <n v="612"/>
    <n v="10"/>
    <n v="1101.5999999999999"/>
    <n v="783.14"/>
    <n v="318.45999999999998"/>
    <x v="1"/>
    <x v="1"/>
    <n v="0.28908859840232387"/>
  </r>
  <r>
    <n v="3446"/>
    <d v="2024-11-23T00:00:00"/>
    <x v="0"/>
    <x v="1"/>
    <x v="2"/>
    <x v="0"/>
    <n v="2"/>
    <n v="432"/>
    <n v="0"/>
    <n v="864"/>
    <n v="443.6"/>
    <n v="420.4"/>
    <x v="3"/>
    <x v="0"/>
    <n v="0.48657407407407405"/>
  </r>
  <r>
    <n v="3447"/>
    <d v="2024-01-01T00:00:00"/>
    <x v="1"/>
    <x v="1"/>
    <x v="2"/>
    <x v="1"/>
    <n v="7"/>
    <n v="86"/>
    <n v="0"/>
    <n v="602"/>
    <n v="380.05"/>
    <n v="221.95"/>
    <x v="11"/>
    <x v="0"/>
    <n v="0.36868770764119602"/>
  </r>
  <r>
    <n v="3448"/>
    <d v="2024-11-18T00:00:00"/>
    <x v="1"/>
    <x v="1"/>
    <x v="7"/>
    <x v="3"/>
    <n v="7"/>
    <n v="198"/>
    <n v="0"/>
    <n v="1386"/>
    <n v="1102.24"/>
    <n v="283.76"/>
    <x v="3"/>
    <x v="0"/>
    <n v="0.20473304473304474"/>
  </r>
  <r>
    <n v="3449"/>
    <d v="2023-04-28T00:00:00"/>
    <x v="1"/>
    <x v="3"/>
    <x v="4"/>
    <x v="4"/>
    <n v="5"/>
    <n v="37"/>
    <n v="20"/>
    <n v="148"/>
    <n v="103.37"/>
    <n v="44.63"/>
    <x v="10"/>
    <x v="1"/>
    <n v="0.30155405405405405"/>
  </r>
  <r>
    <n v="3450"/>
    <d v="2024-01-01T00:00:00"/>
    <x v="1"/>
    <x v="1"/>
    <x v="7"/>
    <x v="1"/>
    <n v="6"/>
    <n v="363"/>
    <n v="5"/>
    <n v="2069.1"/>
    <n v="1414.96"/>
    <n v="654.14"/>
    <x v="11"/>
    <x v="0"/>
    <n v="0.31614711710405491"/>
  </r>
  <r>
    <n v="3451"/>
    <d v="2023-06-26T00:00:00"/>
    <x v="1"/>
    <x v="4"/>
    <x v="18"/>
    <x v="0"/>
    <n v="1"/>
    <n v="485"/>
    <n v="10"/>
    <n v="436.5"/>
    <n v="333.52"/>
    <n v="102.98"/>
    <x v="4"/>
    <x v="1"/>
    <n v="0.23592210767468499"/>
  </r>
  <r>
    <n v="3452"/>
    <d v="2024-02-17T00:00:00"/>
    <x v="1"/>
    <x v="0"/>
    <x v="12"/>
    <x v="2"/>
    <n v="6"/>
    <n v="867"/>
    <n v="10"/>
    <n v="4681.8"/>
    <n v="2715.53"/>
    <n v="1966.27"/>
    <x v="9"/>
    <x v="0"/>
    <n v="0.41998163099662522"/>
  </r>
  <r>
    <n v="3453"/>
    <d v="2024-05-22T00:00:00"/>
    <x v="2"/>
    <x v="1"/>
    <x v="16"/>
    <x v="4"/>
    <n v="2"/>
    <n v="167"/>
    <n v="20"/>
    <n v="267.2"/>
    <n v="191.72"/>
    <n v="75.48"/>
    <x v="7"/>
    <x v="0"/>
    <n v="0.28248502994011981"/>
  </r>
  <r>
    <n v="3454"/>
    <d v="2023-06-25T00:00:00"/>
    <x v="0"/>
    <x v="2"/>
    <x v="17"/>
    <x v="3"/>
    <n v="5"/>
    <n v="451"/>
    <n v="5"/>
    <n v="2142.25"/>
    <n v="1657.53"/>
    <n v="484.72"/>
    <x v="4"/>
    <x v="1"/>
    <n v="0.22626677558641617"/>
  </r>
  <r>
    <n v="3455"/>
    <d v="2024-06-27T00:00:00"/>
    <x v="3"/>
    <x v="0"/>
    <x v="13"/>
    <x v="0"/>
    <n v="1"/>
    <n v="511"/>
    <n v="15"/>
    <n v="434.35"/>
    <n v="259.72000000000003"/>
    <n v="174.63"/>
    <x v="4"/>
    <x v="0"/>
    <n v="0.4020490387935996"/>
  </r>
  <r>
    <n v="3456"/>
    <d v="2023-12-19T00:00:00"/>
    <x v="2"/>
    <x v="2"/>
    <x v="17"/>
    <x v="5"/>
    <n v="8"/>
    <n v="669"/>
    <n v="0"/>
    <n v="5352"/>
    <n v="3134.93"/>
    <n v="2217.0700000000002"/>
    <x v="6"/>
    <x v="1"/>
    <n v="0.41425074738415546"/>
  </r>
  <r>
    <n v="3457"/>
    <d v="2023-06-26T00:00:00"/>
    <x v="0"/>
    <x v="2"/>
    <x v="10"/>
    <x v="2"/>
    <n v="8"/>
    <n v="81"/>
    <n v="10"/>
    <n v="583.20000000000005"/>
    <n v="440.33"/>
    <n v="142.87"/>
    <x v="4"/>
    <x v="1"/>
    <n v="0.24497599451303154"/>
  </r>
  <r>
    <n v="3458"/>
    <d v="2024-10-01T00:00:00"/>
    <x v="2"/>
    <x v="3"/>
    <x v="11"/>
    <x v="1"/>
    <n v="3"/>
    <n v="189"/>
    <n v="15"/>
    <n v="481.95"/>
    <n v="349.55"/>
    <n v="132.4"/>
    <x v="1"/>
    <x v="0"/>
    <n v="0.27471729432513747"/>
  </r>
  <r>
    <n v="3459"/>
    <d v="2024-03-10T00:00:00"/>
    <x v="0"/>
    <x v="2"/>
    <x v="6"/>
    <x v="5"/>
    <n v="3"/>
    <n v="393"/>
    <n v="0"/>
    <n v="1179"/>
    <n v="894.72"/>
    <n v="284.27999999999997"/>
    <x v="8"/>
    <x v="0"/>
    <n v="0.24111959287531803"/>
  </r>
  <r>
    <n v="3460"/>
    <d v="2024-10-25T00:00:00"/>
    <x v="1"/>
    <x v="4"/>
    <x v="18"/>
    <x v="3"/>
    <n v="1"/>
    <n v="332"/>
    <n v="10"/>
    <n v="298.8"/>
    <n v="222.76"/>
    <n v="76.040000000000006"/>
    <x v="1"/>
    <x v="0"/>
    <n v="0.25448460508701476"/>
  </r>
  <r>
    <n v="3461"/>
    <d v="2024-08-06T00:00:00"/>
    <x v="3"/>
    <x v="2"/>
    <x v="10"/>
    <x v="5"/>
    <n v="1"/>
    <n v="764"/>
    <n v="20"/>
    <n v="611.20000000000005"/>
    <n v="359.83"/>
    <n v="251.37"/>
    <x v="2"/>
    <x v="0"/>
    <n v="0.41127290575916226"/>
  </r>
  <r>
    <n v="3462"/>
    <d v="2024-02-05T00:00:00"/>
    <x v="2"/>
    <x v="3"/>
    <x v="19"/>
    <x v="2"/>
    <n v="6"/>
    <n v="952"/>
    <n v="15"/>
    <n v="4855.2"/>
    <n v="3732.96"/>
    <n v="1122.24"/>
    <x v="9"/>
    <x v="0"/>
    <n v="0.23114186851211074"/>
  </r>
  <r>
    <n v="3463"/>
    <d v="2023-03-07T00:00:00"/>
    <x v="2"/>
    <x v="2"/>
    <x v="10"/>
    <x v="0"/>
    <n v="3"/>
    <n v="931"/>
    <n v="15"/>
    <n v="2374.0500000000002"/>
    <n v="1674.09"/>
    <n v="699.96"/>
    <x v="8"/>
    <x v="1"/>
    <n v="0.29483793517406964"/>
  </r>
  <r>
    <n v="3464"/>
    <d v="2023-09-26T00:00:00"/>
    <x v="2"/>
    <x v="4"/>
    <x v="8"/>
    <x v="0"/>
    <n v="1"/>
    <n v="649"/>
    <n v="5"/>
    <n v="616.54999999999995"/>
    <n v="433.76"/>
    <n v="182.79"/>
    <x v="0"/>
    <x v="1"/>
    <n v="0.29647230557132431"/>
  </r>
  <r>
    <n v="3465"/>
    <d v="2023-08-12T00:00:00"/>
    <x v="0"/>
    <x v="3"/>
    <x v="19"/>
    <x v="1"/>
    <n v="1"/>
    <n v="268"/>
    <n v="5"/>
    <n v="254.6"/>
    <n v="144.72999999999999"/>
    <n v="109.87"/>
    <x v="2"/>
    <x v="1"/>
    <n v="0.43153967007069916"/>
  </r>
  <r>
    <n v="3466"/>
    <d v="2024-07-28T00:00:00"/>
    <x v="3"/>
    <x v="1"/>
    <x v="2"/>
    <x v="1"/>
    <n v="2"/>
    <n v="569"/>
    <n v="15"/>
    <n v="967.3"/>
    <n v="648.09"/>
    <n v="319.20999999999998"/>
    <x v="5"/>
    <x v="0"/>
    <n v="0.33000103380543783"/>
  </r>
  <r>
    <n v="3467"/>
    <d v="2023-02-25T00:00:00"/>
    <x v="1"/>
    <x v="4"/>
    <x v="8"/>
    <x v="0"/>
    <n v="6"/>
    <n v="982"/>
    <n v="5"/>
    <n v="5597.4"/>
    <n v="2899.96"/>
    <n v="2697.44"/>
    <x v="9"/>
    <x v="1"/>
    <n v="0.48190945796262552"/>
  </r>
  <r>
    <n v="3468"/>
    <d v="2023-05-03T00:00:00"/>
    <x v="3"/>
    <x v="4"/>
    <x v="8"/>
    <x v="4"/>
    <n v="1"/>
    <n v="172"/>
    <n v="20"/>
    <n v="137.6"/>
    <n v="92.24"/>
    <n v="45.36"/>
    <x v="7"/>
    <x v="1"/>
    <n v="0.32965116279069767"/>
  </r>
  <r>
    <n v="3469"/>
    <d v="2024-02-25T00:00:00"/>
    <x v="0"/>
    <x v="4"/>
    <x v="9"/>
    <x v="4"/>
    <n v="5"/>
    <n v="795"/>
    <n v="20"/>
    <n v="3180"/>
    <n v="2051.02"/>
    <n v="1128.98"/>
    <x v="9"/>
    <x v="0"/>
    <n v="0.35502515723270439"/>
  </r>
  <r>
    <n v="3470"/>
    <d v="2024-09-26T00:00:00"/>
    <x v="1"/>
    <x v="1"/>
    <x v="2"/>
    <x v="0"/>
    <n v="3"/>
    <n v="740"/>
    <n v="15"/>
    <n v="1887"/>
    <n v="1362.58"/>
    <n v="524.41999999999996"/>
    <x v="0"/>
    <x v="0"/>
    <n v="0.27791202967673556"/>
  </r>
  <r>
    <n v="3471"/>
    <d v="2023-09-23T00:00:00"/>
    <x v="3"/>
    <x v="0"/>
    <x v="1"/>
    <x v="0"/>
    <n v="4"/>
    <n v="128"/>
    <n v="10"/>
    <n v="460.8"/>
    <n v="367.52"/>
    <n v="93.28"/>
    <x v="0"/>
    <x v="1"/>
    <n v="0.20243055555555556"/>
  </r>
  <r>
    <n v="3472"/>
    <d v="2023-10-17T00:00:00"/>
    <x v="2"/>
    <x v="3"/>
    <x v="11"/>
    <x v="5"/>
    <n v="10"/>
    <n v="392"/>
    <n v="5"/>
    <n v="3724"/>
    <n v="2281.4499999999998"/>
    <n v="1442.55"/>
    <x v="1"/>
    <x v="1"/>
    <n v="0.38736573576799138"/>
  </r>
  <r>
    <n v="3473"/>
    <d v="2023-09-10T00:00:00"/>
    <x v="1"/>
    <x v="0"/>
    <x v="0"/>
    <x v="2"/>
    <n v="3"/>
    <n v="827"/>
    <n v="10"/>
    <n v="2232.9"/>
    <n v="1358.32"/>
    <n v="874.58"/>
    <x v="0"/>
    <x v="1"/>
    <n v="0.39167898248913968"/>
  </r>
  <r>
    <n v="3474"/>
    <d v="2023-05-04T00:00:00"/>
    <x v="3"/>
    <x v="1"/>
    <x v="2"/>
    <x v="3"/>
    <n v="3"/>
    <n v="251"/>
    <n v="10"/>
    <n v="677.7"/>
    <n v="467.63"/>
    <n v="210.07"/>
    <x v="7"/>
    <x v="1"/>
    <n v="0.30997491515419801"/>
  </r>
  <r>
    <n v="3475"/>
    <d v="2024-09-10T00:00:00"/>
    <x v="0"/>
    <x v="2"/>
    <x v="10"/>
    <x v="3"/>
    <n v="5"/>
    <n v="191"/>
    <n v="0"/>
    <n v="955"/>
    <n v="489"/>
    <n v="466"/>
    <x v="0"/>
    <x v="0"/>
    <n v="0.48795811518324606"/>
  </r>
  <r>
    <n v="3476"/>
    <d v="2023-06-25T00:00:00"/>
    <x v="1"/>
    <x v="4"/>
    <x v="9"/>
    <x v="3"/>
    <n v="2"/>
    <n v="762"/>
    <n v="15"/>
    <n v="1295.4000000000001"/>
    <n v="1017.69"/>
    <n v="277.70999999999998"/>
    <x v="4"/>
    <x v="1"/>
    <n v="0.21438165817508104"/>
  </r>
  <r>
    <n v="3477"/>
    <d v="2024-03-09T00:00:00"/>
    <x v="0"/>
    <x v="4"/>
    <x v="8"/>
    <x v="2"/>
    <n v="5"/>
    <n v="86"/>
    <n v="15"/>
    <n v="365.5"/>
    <n v="240.74"/>
    <n v="124.76"/>
    <x v="8"/>
    <x v="0"/>
    <n v="0.34134062927496583"/>
  </r>
  <r>
    <n v="3478"/>
    <d v="2024-10-24T00:00:00"/>
    <x v="1"/>
    <x v="0"/>
    <x v="1"/>
    <x v="3"/>
    <n v="2"/>
    <n v="892"/>
    <n v="10"/>
    <n v="1605.6"/>
    <n v="1062.21"/>
    <n v="543.39"/>
    <x v="1"/>
    <x v="0"/>
    <n v="0.3384342301943199"/>
  </r>
  <r>
    <n v="3479"/>
    <d v="2023-01-28T00:00:00"/>
    <x v="0"/>
    <x v="1"/>
    <x v="7"/>
    <x v="0"/>
    <n v="3"/>
    <n v="435"/>
    <n v="20"/>
    <n v="1044"/>
    <n v="778.38"/>
    <n v="265.62"/>
    <x v="11"/>
    <x v="1"/>
    <n v="0.25442528735632186"/>
  </r>
  <r>
    <n v="3480"/>
    <d v="2024-09-02T00:00:00"/>
    <x v="3"/>
    <x v="0"/>
    <x v="12"/>
    <x v="4"/>
    <n v="6"/>
    <n v="360"/>
    <n v="10"/>
    <n v="1944"/>
    <n v="1536.85"/>
    <n v="407.15"/>
    <x v="0"/>
    <x v="0"/>
    <n v="0.20943930041152262"/>
  </r>
  <r>
    <n v="3481"/>
    <d v="2023-12-09T00:00:00"/>
    <x v="2"/>
    <x v="3"/>
    <x v="4"/>
    <x v="4"/>
    <n v="5"/>
    <n v="852"/>
    <n v="5"/>
    <n v="4047"/>
    <n v="2439.85"/>
    <n v="1607.15"/>
    <x v="6"/>
    <x v="1"/>
    <n v="0.39712132443785525"/>
  </r>
  <r>
    <n v="3482"/>
    <d v="2023-06-27T00:00:00"/>
    <x v="0"/>
    <x v="2"/>
    <x v="6"/>
    <x v="0"/>
    <n v="1"/>
    <n v="782"/>
    <n v="0"/>
    <n v="782"/>
    <n v="601.73"/>
    <n v="180.27"/>
    <x v="4"/>
    <x v="1"/>
    <n v="0.23052429667519184"/>
  </r>
  <r>
    <n v="3483"/>
    <d v="2024-12-18T00:00:00"/>
    <x v="1"/>
    <x v="4"/>
    <x v="9"/>
    <x v="2"/>
    <n v="7"/>
    <n v="726"/>
    <n v="10"/>
    <n v="4573.8"/>
    <n v="3614.95"/>
    <n v="958.85"/>
    <x v="6"/>
    <x v="0"/>
    <n v="0.20963968691241419"/>
  </r>
  <r>
    <n v="3484"/>
    <d v="2023-12-25T00:00:00"/>
    <x v="2"/>
    <x v="4"/>
    <x v="8"/>
    <x v="5"/>
    <n v="5"/>
    <n v="245"/>
    <n v="15"/>
    <n v="1041.25"/>
    <n v="661.14"/>
    <n v="380.11"/>
    <x v="6"/>
    <x v="1"/>
    <n v="0.3650516206482593"/>
  </r>
  <r>
    <n v="3485"/>
    <d v="2023-10-14T00:00:00"/>
    <x v="3"/>
    <x v="4"/>
    <x v="14"/>
    <x v="3"/>
    <n v="10"/>
    <n v="329"/>
    <n v="20"/>
    <n v="2632"/>
    <n v="1441.41"/>
    <n v="1190.5899999999999"/>
    <x v="1"/>
    <x v="1"/>
    <n v="0.45235182370820665"/>
  </r>
  <r>
    <n v="3486"/>
    <d v="2024-12-17T00:00:00"/>
    <x v="0"/>
    <x v="4"/>
    <x v="18"/>
    <x v="3"/>
    <n v="5"/>
    <n v="479"/>
    <n v="20"/>
    <n v="1916"/>
    <n v="1396.71"/>
    <n v="519.29"/>
    <x v="6"/>
    <x v="0"/>
    <n v="0.27102818371607512"/>
  </r>
  <r>
    <n v="3487"/>
    <d v="2023-06-07T00:00:00"/>
    <x v="3"/>
    <x v="0"/>
    <x v="13"/>
    <x v="5"/>
    <n v="7"/>
    <n v="238"/>
    <n v="5"/>
    <n v="1582.7"/>
    <n v="927.95"/>
    <n v="654.75"/>
    <x v="4"/>
    <x v="1"/>
    <n v="0.41369179250647625"/>
  </r>
  <r>
    <n v="3488"/>
    <d v="2024-01-07T00:00:00"/>
    <x v="3"/>
    <x v="1"/>
    <x v="7"/>
    <x v="5"/>
    <n v="10"/>
    <n v="33"/>
    <n v="10"/>
    <n v="297"/>
    <n v="165.5"/>
    <n v="131.5"/>
    <x v="11"/>
    <x v="0"/>
    <n v="0.44276094276094274"/>
  </r>
  <r>
    <n v="3489"/>
    <d v="2024-08-25T00:00:00"/>
    <x v="1"/>
    <x v="1"/>
    <x v="5"/>
    <x v="3"/>
    <n v="8"/>
    <n v="85"/>
    <n v="0"/>
    <n v="680"/>
    <n v="429.51"/>
    <n v="250.49"/>
    <x v="2"/>
    <x v="0"/>
    <n v="0.36836764705882352"/>
  </r>
  <r>
    <n v="3490"/>
    <d v="2024-04-12T00:00:00"/>
    <x v="3"/>
    <x v="3"/>
    <x v="4"/>
    <x v="4"/>
    <n v="6"/>
    <n v="470"/>
    <n v="0"/>
    <n v="2820"/>
    <n v="1580.03"/>
    <n v="1239.97"/>
    <x v="10"/>
    <x v="0"/>
    <n v="0.43970567375886527"/>
  </r>
  <r>
    <n v="3491"/>
    <d v="2024-11-10T00:00:00"/>
    <x v="2"/>
    <x v="1"/>
    <x v="16"/>
    <x v="4"/>
    <n v="1"/>
    <n v="330"/>
    <n v="20"/>
    <n v="264"/>
    <n v="138.12"/>
    <n v="125.88"/>
    <x v="3"/>
    <x v="0"/>
    <n v="0.47681818181818181"/>
  </r>
  <r>
    <n v="3492"/>
    <d v="2023-12-27T00:00:00"/>
    <x v="3"/>
    <x v="2"/>
    <x v="3"/>
    <x v="3"/>
    <n v="4"/>
    <n v="616"/>
    <n v="10"/>
    <n v="2217.6"/>
    <n v="1666.29"/>
    <n v="551.30999999999995"/>
    <x v="6"/>
    <x v="1"/>
    <n v="0.24860660173160171"/>
  </r>
  <r>
    <n v="3493"/>
    <d v="2024-08-06T00:00:00"/>
    <x v="1"/>
    <x v="4"/>
    <x v="14"/>
    <x v="0"/>
    <n v="10"/>
    <n v="784"/>
    <n v="10"/>
    <n v="7056"/>
    <n v="5541.51"/>
    <n v="1514.49"/>
    <x v="2"/>
    <x v="0"/>
    <n v="0.21463860544217686"/>
  </r>
  <r>
    <n v="3494"/>
    <d v="2023-04-06T00:00:00"/>
    <x v="3"/>
    <x v="3"/>
    <x v="11"/>
    <x v="0"/>
    <n v="9"/>
    <n v="763"/>
    <n v="15"/>
    <n v="5836.95"/>
    <n v="3542.21"/>
    <n v="2294.7399999999998"/>
    <x v="10"/>
    <x v="1"/>
    <n v="0.39314025304311323"/>
  </r>
  <r>
    <n v="3495"/>
    <d v="2024-03-25T00:00:00"/>
    <x v="2"/>
    <x v="1"/>
    <x v="2"/>
    <x v="2"/>
    <n v="6"/>
    <n v="792"/>
    <n v="15"/>
    <n v="4039.2"/>
    <n v="2762.5"/>
    <n v="1276.7"/>
    <x v="8"/>
    <x v="0"/>
    <n v="0.31607744107744112"/>
  </r>
  <r>
    <n v="3496"/>
    <d v="2024-02-26T00:00:00"/>
    <x v="1"/>
    <x v="2"/>
    <x v="10"/>
    <x v="4"/>
    <n v="5"/>
    <n v="985"/>
    <n v="20"/>
    <n v="3940"/>
    <n v="2169.2199999999998"/>
    <n v="1770.78"/>
    <x v="9"/>
    <x v="0"/>
    <n v="0.44943654822335027"/>
  </r>
  <r>
    <n v="3497"/>
    <d v="2024-10-04T00:00:00"/>
    <x v="0"/>
    <x v="0"/>
    <x v="0"/>
    <x v="1"/>
    <n v="4"/>
    <n v="563"/>
    <n v="15"/>
    <n v="1914.2"/>
    <n v="1167.67"/>
    <n v="746.53"/>
    <x v="1"/>
    <x v="0"/>
    <n v="0.3899958207083899"/>
  </r>
  <r>
    <n v="3498"/>
    <d v="2023-12-08T00:00:00"/>
    <x v="0"/>
    <x v="1"/>
    <x v="16"/>
    <x v="5"/>
    <n v="6"/>
    <n v="717"/>
    <n v="0"/>
    <n v="4302"/>
    <n v="3397.78"/>
    <n v="904.22"/>
    <x v="6"/>
    <x v="1"/>
    <n v="0.21018596001859602"/>
  </r>
  <r>
    <n v="3499"/>
    <d v="2024-07-11T00:00:00"/>
    <x v="2"/>
    <x v="2"/>
    <x v="6"/>
    <x v="1"/>
    <n v="9"/>
    <n v="138"/>
    <n v="20"/>
    <n v="993.6"/>
    <n v="535.87"/>
    <n v="457.73"/>
    <x v="5"/>
    <x v="0"/>
    <n v="0.46067834138486313"/>
  </r>
  <r>
    <n v="3500"/>
    <d v="2024-10-18T00:00:00"/>
    <x v="1"/>
    <x v="1"/>
    <x v="16"/>
    <x v="3"/>
    <n v="6"/>
    <n v="608"/>
    <n v="0"/>
    <n v="3648"/>
    <n v="2139.87"/>
    <n v="1508.13"/>
    <x v="1"/>
    <x v="0"/>
    <n v="0.41341282894736847"/>
  </r>
  <r>
    <n v="3501"/>
    <d v="2023-01-20T00:00:00"/>
    <x v="1"/>
    <x v="3"/>
    <x v="19"/>
    <x v="5"/>
    <n v="1"/>
    <n v="172"/>
    <n v="20"/>
    <n v="137.6"/>
    <n v="80.010000000000005"/>
    <n v="57.59"/>
    <x v="11"/>
    <x v="1"/>
    <n v="0.41853197674418607"/>
  </r>
  <r>
    <n v="3502"/>
    <d v="2023-12-16T00:00:00"/>
    <x v="2"/>
    <x v="1"/>
    <x v="7"/>
    <x v="5"/>
    <n v="2"/>
    <n v="639"/>
    <n v="5"/>
    <n v="1214.0999999999999"/>
    <n v="953.15"/>
    <n v="260.95"/>
    <x v="6"/>
    <x v="1"/>
    <n v="0.21493287208631909"/>
  </r>
  <r>
    <n v="3503"/>
    <d v="2024-09-08T00:00:00"/>
    <x v="1"/>
    <x v="0"/>
    <x v="0"/>
    <x v="2"/>
    <n v="7"/>
    <n v="992"/>
    <n v="0"/>
    <n v="6944"/>
    <n v="3765.47"/>
    <n v="3178.53"/>
    <x v="0"/>
    <x v="0"/>
    <n v="0.45773761520737333"/>
  </r>
  <r>
    <n v="3504"/>
    <d v="2023-09-19T00:00:00"/>
    <x v="3"/>
    <x v="4"/>
    <x v="8"/>
    <x v="2"/>
    <n v="4"/>
    <n v="130"/>
    <n v="10"/>
    <n v="468"/>
    <n v="371.23"/>
    <n v="96.77"/>
    <x v="0"/>
    <x v="1"/>
    <n v="0.20677350427350427"/>
  </r>
  <r>
    <n v="3505"/>
    <d v="2023-09-16T00:00:00"/>
    <x v="1"/>
    <x v="4"/>
    <x v="8"/>
    <x v="2"/>
    <n v="7"/>
    <n v="39"/>
    <n v="5"/>
    <n v="259.35000000000002"/>
    <n v="192.91"/>
    <n v="66.44"/>
    <x v="0"/>
    <x v="1"/>
    <n v="0.25617890881048772"/>
  </r>
  <r>
    <n v="3506"/>
    <d v="2023-08-06T00:00:00"/>
    <x v="0"/>
    <x v="4"/>
    <x v="14"/>
    <x v="5"/>
    <n v="7"/>
    <n v="868"/>
    <n v="5"/>
    <n v="5772.2"/>
    <n v="3648.08"/>
    <n v="2124.12"/>
    <x v="2"/>
    <x v="1"/>
    <n v="0.36799140708915146"/>
  </r>
  <r>
    <n v="3507"/>
    <d v="2023-07-06T00:00:00"/>
    <x v="1"/>
    <x v="0"/>
    <x v="13"/>
    <x v="1"/>
    <n v="4"/>
    <n v="480"/>
    <n v="0"/>
    <n v="1920"/>
    <n v="1276.47"/>
    <n v="643.53"/>
    <x v="5"/>
    <x v="1"/>
    <n v="0.33517187500000001"/>
  </r>
  <r>
    <n v="3508"/>
    <d v="2024-03-14T00:00:00"/>
    <x v="3"/>
    <x v="1"/>
    <x v="2"/>
    <x v="0"/>
    <n v="6"/>
    <n v="76"/>
    <n v="20"/>
    <n v="364.8"/>
    <n v="277.32"/>
    <n v="87.48"/>
    <x v="8"/>
    <x v="0"/>
    <n v="0.23980263157894738"/>
  </r>
  <r>
    <n v="3509"/>
    <d v="2024-02-05T00:00:00"/>
    <x v="0"/>
    <x v="3"/>
    <x v="4"/>
    <x v="0"/>
    <n v="8"/>
    <n v="201"/>
    <n v="20"/>
    <n v="1286.4000000000001"/>
    <n v="843.79"/>
    <n v="442.61"/>
    <x v="9"/>
    <x v="0"/>
    <n v="0.34406871890547264"/>
  </r>
  <r>
    <n v="3510"/>
    <d v="2023-07-17T00:00:00"/>
    <x v="1"/>
    <x v="4"/>
    <x v="14"/>
    <x v="2"/>
    <n v="6"/>
    <n v="283"/>
    <n v="10"/>
    <n v="1528.2"/>
    <n v="1126.25"/>
    <n v="401.95"/>
    <x v="5"/>
    <x v="1"/>
    <n v="0.26302185577803949"/>
  </r>
  <r>
    <n v="3511"/>
    <d v="2023-06-10T00:00:00"/>
    <x v="2"/>
    <x v="4"/>
    <x v="9"/>
    <x v="0"/>
    <n v="3"/>
    <n v="514"/>
    <n v="15"/>
    <n v="1310.7"/>
    <n v="757.52"/>
    <n v="553.17999999999995"/>
    <x v="4"/>
    <x v="1"/>
    <n v="0.42204928664072627"/>
  </r>
  <r>
    <n v="3512"/>
    <d v="2024-04-24T00:00:00"/>
    <x v="0"/>
    <x v="2"/>
    <x v="6"/>
    <x v="3"/>
    <n v="5"/>
    <n v="390"/>
    <n v="20"/>
    <n v="1560"/>
    <n v="843.2"/>
    <n v="716.8"/>
    <x v="10"/>
    <x v="0"/>
    <n v="0.45948717948717943"/>
  </r>
  <r>
    <n v="3513"/>
    <d v="2024-07-13T00:00:00"/>
    <x v="1"/>
    <x v="2"/>
    <x v="17"/>
    <x v="2"/>
    <n v="7"/>
    <n v="768"/>
    <n v="15"/>
    <n v="4569.6000000000004"/>
    <n v="3521.97"/>
    <n v="1047.6300000000001"/>
    <x v="5"/>
    <x v="0"/>
    <n v="0.22926076680672269"/>
  </r>
  <r>
    <n v="3514"/>
    <d v="2024-02-02T00:00:00"/>
    <x v="1"/>
    <x v="0"/>
    <x v="12"/>
    <x v="5"/>
    <n v="9"/>
    <n v="976"/>
    <n v="5"/>
    <n v="8344.7999999999993"/>
    <n v="5154.05"/>
    <n v="3190.75"/>
    <x v="9"/>
    <x v="0"/>
    <n v="0.38236386731856969"/>
  </r>
  <r>
    <n v="3515"/>
    <d v="2023-11-18T00:00:00"/>
    <x v="1"/>
    <x v="3"/>
    <x v="11"/>
    <x v="1"/>
    <n v="2"/>
    <n v="360"/>
    <n v="10"/>
    <n v="648"/>
    <n v="374.29"/>
    <n v="273.70999999999998"/>
    <x v="3"/>
    <x v="1"/>
    <n v="0.42239197530864192"/>
  </r>
  <r>
    <n v="3516"/>
    <d v="2023-01-14T00:00:00"/>
    <x v="0"/>
    <x v="3"/>
    <x v="4"/>
    <x v="4"/>
    <n v="3"/>
    <n v="72"/>
    <n v="20"/>
    <n v="172.8"/>
    <n v="135.93"/>
    <n v="36.869999999999997"/>
    <x v="11"/>
    <x v="1"/>
    <n v="0.21336805555555552"/>
  </r>
  <r>
    <n v="3517"/>
    <d v="2023-06-17T00:00:00"/>
    <x v="2"/>
    <x v="2"/>
    <x v="17"/>
    <x v="2"/>
    <n v="10"/>
    <n v="766"/>
    <n v="10"/>
    <n v="6894"/>
    <n v="5034.3599999999997"/>
    <n v="1859.64"/>
    <x v="4"/>
    <x v="1"/>
    <n v="0.26974760661444735"/>
  </r>
  <r>
    <n v="3518"/>
    <d v="2024-09-04T00:00:00"/>
    <x v="2"/>
    <x v="3"/>
    <x v="4"/>
    <x v="0"/>
    <n v="8"/>
    <n v="540"/>
    <n v="5"/>
    <n v="4104"/>
    <n v="3090.67"/>
    <n v="1013.33"/>
    <x v="0"/>
    <x v="0"/>
    <n v="0.24691276803118908"/>
  </r>
  <r>
    <n v="3519"/>
    <d v="2024-04-18T00:00:00"/>
    <x v="2"/>
    <x v="1"/>
    <x v="2"/>
    <x v="2"/>
    <n v="1"/>
    <n v="944"/>
    <n v="0"/>
    <n v="944"/>
    <n v="597.54999999999995"/>
    <n v="346.45"/>
    <x v="10"/>
    <x v="0"/>
    <n v="0.36700211864406779"/>
  </r>
  <r>
    <n v="3520"/>
    <d v="2023-12-13T00:00:00"/>
    <x v="3"/>
    <x v="4"/>
    <x v="9"/>
    <x v="5"/>
    <n v="10"/>
    <n v="617"/>
    <n v="15"/>
    <n v="5244.5"/>
    <n v="3007.21"/>
    <n v="2237.29"/>
    <x v="6"/>
    <x v="1"/>
    <n v="0.42659738773953665"/>
  </r>
  <r>
    <n v="3521"/>
    <d v="2024-11-07T00:00:00"/>
    <x v="3"/>
    <x v="4"/>
    <x v="9"/>
    <x v="3"/>
    <n v="10"/>
    <n v="391"/>
    <n v="5"/>
    <n v="3714.5"/>
    <n v="1955.63"/>
    <n v="1758.87"/>
    <x v="3"/>
    <x v="0"/>
    <n v="0.47351460492663883"/>
  </r>
  <r>
    <n v="3522"/>
    <d v="2023-07-08T00:00:00"/>
    <x v="0"/>
    <x v="2"/>
    <x v="6"/>
    <x v="3"/>
    <n v="6"/>
    <n v="592"/>
    <n v="5"/>
    <n v="3374.4"/>
    <n v="2522.16"/>
    <n v="852.24"/>
    <x v="5"/>
    <x v="1"/>
    <n v="0.25256045519203413"/>
  </r>
  <r>
    <n v="3523"/>
    <d v="2023-11-06T00:00:00"/>
    <x v="3"/>
    <x v="4"/>
    <x v="18"/>
    <x v="0"/>
    <n v="9"/>
    <n v="50"/>
    <n v="10"/>
    <n v="405"/>
    <n v="282.92"/>
    <n v="122.08"/>
    <x v="3"/>
    <x v="1"/>
    <n v="0.30143209876543209"/>
  </r>
  <r>
    <n v="3524"/>
    <d v="2024-08-25T00:00:00"/>
    <x v="3"/>
    <x v="4"/>
    <x v="8"/>
    <x v="5"/>
    <n v="1"/>
    <n v="927"/>
    <n v="0"/>
    <n v="927"/>
    <n v="492.95"/>
    <n v="434.05"/>
    <x v="2"/>
    <x v="0"/>
    <n v="0.46823085221143473"/>
  </r>
  <r>
    <n v="3525"/>
    <d v="2023-06-20T00:00:00"/>
    <x v="0"/>
    <x v="0"/>
    <x v="0"/>
    <x v="1"/>
    <n v="8"/>
    <n v="12"/>
    <n v="20"/>
    <n v="76.8"/>
    <n v="43.12"/>
    <n v="33.68"/>
    <x v="4"/>
    <x v="1"/>
    <n v="0.43854166666666666"/>
  </r>
  <r>
    <n v="3526"/>
    <d v="2024-02-25T00:00:00"/>
    <x v="0"/>
    <x v="2"/>
    <x v="6"/>
    <x v="2"/>
    <n v="6"/>
    <n v="978"/>
    <n v="0"/>
    <n v="5868"/>
    <n v="4148.9399999999996"/>
    <n v="1719.06"/>
    <x v="9"/>
    <x v="0"/>
    <n v="0.29295501022494885"/>
  </r>
  <r>
    <n v="3527"/>
    <d v="2023-07-17T00:00:00"/>
    <x v="1"/>
    <x v="4"/>
    <x v="18"/>
    <x v="0"/>
    <n v="1"/>
    <n v="292"/>
    <n v="10"/>
    <n v="262.8"/>
    <n v="178.13"/>
    <n v="84.67"/>
    <x v="5"/>
    <x v="1"/>
    <n v="0.32218417047184172"/>
  </r>
  <r>
    <n v="3528"/>
    <d v="2023-05-19T00:00:00"/>
    <x v="1"/>
    <x v="0"/>
    <x v="13"/>
    <x v="2"/>
    <n v="2"/>
    <n v="356"/>
    <n v="0"/>
    <n v="712"/>
    <n v="390.1"/>
    <n v="321.89999999999998"/>
    <x v="7"/>
    <x v="1"/>
    <n v="0.45210674157303365"/>
  </r>
  <r>
    <n v="3529"/>
    <d v="2023-07-05T00:00:00"/>
    <x v="1"/>
    <x v="3"/>
    <x v="11"/>
    <x v="4"/>
    <n v="2"/>
    <n v="377"/>
    <n v="15"/>
    <n v="640.9"/>
    <n v="417.49"/>
    <n v="223.41"/>
    <x v="5"/>
    <x v="1"/>
    <n v="0.34858792323295368"/>
  </r>
  <r>
    <n v="3530"/>
    <d v="2023-02-16T00:00:00"/>
    <x v="0"/>
    <x v="0"/>
    <x v="0"/>
    <x v="5"/>
    <n v="5"/>
    <n v="566"/>
    <n v="10"/>
    <n v="2547"/>
    <n v="1925.54"/>
    <n v="621.46"/>
    <x v="9"/>
    <x v="1"/>
    <n v="0.2439968590498626"/>
  </r>
  <r>
    <n v="3531"/>
    <d v="2023-06-10T00:00:00"/>
    <x v="3"/>
    <x v="2"/>
    <x v="6"/>
    <x v="1"/>
    <n v="2"/>
    <n v="795"/>
    <n v="5"/>
    <n v="1510.5"/>
    <n v="891.4"/>
    <n v="619.1"/>
    <x v="4"/>
    <x v="1"/>
    <n v="0.40986428334988417"/>
  </r>
  <r>
    <n v="3532"/>
    <d v="2023-05-14T00:00:00"/>
    <x v="3"/>
    <x v="1"/>
    <x v="16"/>
    <x v="4"/>
    <n v="5"/>
    <n v="176"/>
    <n v="15"/>
    <n v="748"/>
    <n v="453.24"/>
    <n v="294.76"/>
    <x v="7"/>
    <x v="1"/>
    <n v="0.39406417112299463"/>
  </r>
  <r>
    <n v="3533"/>
    <d v="2023-07-01T00:00:00"/>
    <x v="0"/>
    <x v="3"/>
    <x v="19"/>
    <x v="0"/>
    <n v="7"/>
    <n v="441"/>
    <n v="0"/>
    <n v="3087"/>
    <n v="2309.61"/>
    <n v="777.39"/>
    <x v="5"/>
    <x v="1"/>
    <n v="0.25182701652089406"/>
  </r>
  <r>
    <n v="3534"/>
    <d v="2024-11-18T00:00:00"/>
    <x v="2"/>
    <x v="1"/>
    <x v="7"/>
    <x v="1"/>
    <n v="10"/>
    <n v="738"/>
    <n v="10"/>
    <n v="6642"/>
    <n v="4537.49"/>
    <n v="2104.5100000000002"/>
    <x v="3"/>
    <x v="0"/>
    <n v="0.31684884071062935"/>
  </r>
  <r>
    <n v="3535"/>
    <d v="2023-07-05T00:00:00"/>
    <x v="0"/>
    <x v="2"/>
    <x v="10"/>
    <x v="0"/>
    <n v="1"/>
    <n v="735"/>
    <n v="0"/>
    <n v="735"/>
    <n v="532.73"/>
    <n v="202.27"/>
    <x v="5"/>
    <x v="1"/>
    <n v="0.27519727891156465"/>
  </r>
  <r>
    <n v="3536"/>
    <d v="2024-07-14T00:00:00"/>
    <x v="2"/>
    <x v="4"/>
    <x v="14"/>
    <x v="2"/>
    <n v="3"/>
    <n v="801"/>
    <n v="5"/>
    <n v="2282.85"/>
    <n v="1215.17"/>
    <n v="1067.68"/>
    <x v="5"/>
    <x v="0"/>
    <n v="0.46769608165232063"/>
  </r>
  <r>
    <n v="3537"/>
    <d v="2023-01-04T00:00:00"/>
    <x v="2"/>
    <x v="0"/>
    <x v="0"/>
    <x v="4"/>
    <n v="5"/>
    <n v="894"/>
    <n v="10"/>
    <n v="4023"/>
    <n v="2211.7199999999998"/>
    <n v="1811.28"/>
    <x v="11"/>
    <x v="1"/>
    <n v="0.4502311707680835"/>
  </r>
  <r>
    <n v="3538"/>
    <d v="2023-07-24T00:00:00"/>
    <x v="2"/>
    <x v="0"/>
    <x v="1"/>
    <x v="3"/>
    <n v="2"/>
    <n v="351"/>
    <n v="5"/>
    <n v="666.9"/>
    <n v="360.56"/>
    <n v="306.33999999999997"/>
    <x v="5"/>
    <x v="1"/>
    <n v="0.45934922777028037"/>
  </r>
  <r>
    <n v="3539"/>
    <d v="2024-09-12T00:00:00"/>
    <x v="2"/>
    <x v="4"/>
    <x v="14"/>
    <x v="2"/>
    <n v="3"/>
    <n v="95"/>
    <n v="20"/>
    <n v="228"/>
    <n v="136.97"/>
    <n v="91.03"/>
    <x v="0"/>
    <x v="0"/>
    <n v="0.39925438596491231"/>
  </r>
  <r>
    <n v="3540"/>
    <d v="2023-03-01T00:00:00"/>
    <x v="3"/>
    <x v="0"/>
    <x v="1"/>
    <x v="5"/>
    <n v="3"/>
    <n v="972"/>
    <n v="10"/>
    <n v="2624.4"/>
    <n v="1389.01"/>
    <n v="1235.3900000000001"/>
    <x v="8"/>
    <x v="1"/>
    <n v="0.47073235787227558"/>
  </r>
  <r>
    <n v="3541"/>
    <d v="2023-04-05T00:00:00"/>
    <x v="0"/>
    <x v="0"/>
    <x v="0"/>
    <x v="0"/>
    <n v="10"/>
    <n v="676"/>
    <n v="15"/>
    <n v="5746"/>
    <n v="3253.98"/>
    <n v="2492.02"/>
    <x v="10"/>
    <x v="1"/>
    <n v="0.43369648451096415"/>
  </r>
  <r>
    <n v="3542"/>
    <d v="2024-09-06T00:00:00"/>
    <x v="1"/>
    <x v="3"/>
    <x v="19"/>
    <x v="4"/>
    <n v="7"/>
    <n v="51"/>
    <n v="15"/>
    <n v="303.45"/>
    <n v="181.93"/>
    <n v="121.52"/>
    <x v="0"/>
    <x v="0"/>
    <n v="0.40046136101499424"/>
  </r>
  <r>
    <n v="3543"/>
    <d v="2023-04-29T00:00:00"/>
    <x v="2"/>
    <x v="0"/>
    <x v="13"/>
    <x v="2"/>
    <n v="1"/>
    <n v="771"/>
    <n v="15"/>
    <n v="655.35"/>
    <n v="473.8"/>
    <n v="181.55"/>
    <x v="10"/>
    <x v="1"/>
    <n v="0.27702754253452355"/>
  </r>
  <r>
    <n v="3544"/>
    <d v="2023-07-03T00:00:00"/>
    <x v="0"/>
    <x v="1"/>
    <x v="16"/>
    <x v="1"/>
    <n v="10"/>
    <n v="96"/>
    <n v="5"/>
    <n v="912"/>
    <n v="648.53"/>
    <n v="263.47000000000003"/>
    <x v="5"/>
    <x v="1"/>
    <n v="0.28889254385964913"/>
  </r>
  <r>
    <n v="3545"/>
    <d v="2024-10-09T00:00:00"/>
    <x v="3"/>
    <x v="0"/>
    <x v="0"/>
    <x v="4"/>
    <n v="7"/>
    <n v="162"/>
    <n v="15"/>
    <n v="963.9"/>
    <n v="631.44000000000005"/>
    <n v="332.46"/>
    <x v="1"/>
    <x v="0"/>
    <n v="0.34491129785247432"/>
  </r>
  <r>
    <n v="3546"/>
    <d v="2023-04-09T00:00:00"/>
    <x v="3"/>
    <x v="0"/>
    <x v="0"/>
    <x v="1"/>
    <n v="4"/>
    <n v="174"/>
    <n v="20"/>
    <n v="556.79999999999995"/>
    <n v="399.45"/>
    <n v="157.35"/>
    <x v="10"/>
    <x v="1"/>
    <n v="0.28259698275862072"/>
  </r>
  <r>
    <n v="3547"/>
    <d v="2024-02-19T00:00:00"/>
    <x v="3"/>
    <x v="2"/>
    <x v="6"/>
    <x v="5"/>
    <n v="1"/>
    <n v="292"/>
    <n v="10"/>
    <n v="262.8"/>
    <n v="178.84"/>
    <n v="83.96"/>
    <x v="9"/>
    <x v="0"/>
    <n v="0.31948249619482494"/>
  </r>
  <r>
    <n v="3548"/>
    <d v="2024-04-29T00:00:00"/>
    <x v="0"/>
    <x v="0"/>
    <x v="0"/>
    <x v="3"/>
    <n v="6"/>
    <n v="95"/>
    <n v="0"/>
    <n v="570"/>
    <n v="346.26"/>
    <n v="223.74"/>
    <x v="10"/>
    <x v="0"/>
    <n v="0.39252631578947372"/>
  </r>
  <r>
    <n v="3549"/>
    <d v="2023-03-22T00:00:00"/>
    <x v="2"/>
    <x v="4"/>
    <x v="8"/>
    <x v="4"/>
    <n v="5"/>
    <n v="127"/>
    <n v="20"/>
    <n v="508"/>
    <n v="255.24"/>
    <n v="252.76"/>
    <x v="8"/>
    <x v="1"/>
    <n v="0.49755905511811022"/>
  </r>
  <r>
    <n v="3550"/>
    <d v="2024-04-27T00:00:00"/>
    <x v="1"/>
    <x v="1"/>
    <x v="16"/>
    <x v="4"/>
    <n v="10"/>
    <n v="947"/>
    <n v="15"/>
    <n v="8049.5"/>
    <n v="5761.16"/>
    <n v="2288.34"/>
    <x v="10"/>
    <x v="0"/>
    <n v="0.28428349586930868"/>
  </r>
  <r>
    <n v="3551"/>
    <d v="2023-06-08T00:00:00"/>
    <x v="3"/>
    <x v="4"/>
    <x v="14"/>
    <x v="2"/>
    <n v="5"/>
    <n v="227"/>
    <n v="15"/>
    <n v="964.75"/>
    <n v="508.16"/>
    <n v="456.59"/>
    <x v="4"/>
    <x v="1"/>
    <n v="0.47327286861881313"/>
  </r>
  <r>
    <n v="3552"/>
    <d v="2024-11-12T00:00:00"/>
    <x v="1"/>
    <x v="4"/>
    <x v="14"/>
    <x v="3"/>
    <n v="6"/>
    <n v="807"/>
    <n v="5"/>
    <n v="4599.8999999999996"/>
    <n v="3645.35"/>
    <n v="954.55"/>
    <x v="3"/>
    <x v="0"/>
    <n v="0.20751538076914716"/>
  </r>
  <r>
    <n v="3553"/>
    <d v="2024-07-02T00:00:00"/>
    <x v="1"/>
    <x v="4"/>
    <x v="18"/>
    <x v="2"/>
    <n v="6"/>
    <n v="420"/>
    <n v="10"/>
    <n v="2268"/>
    <n v="1654.63"/>
    <n v="613.37"/>
    <x v="5"/>
    <x v="0"/>
    <n v="0.27044532627865964"/>
  </r>
  <r>
    <n v="3554"/>
    <d v="2023-05-26T00:00:00"/>
    <x v="1"/>
    <x v="4"/>
    <x v="8"/>
    <x v="5"/>
    <n v="4"/>
    <n v="108"/>
    <n v="10"/>
    <n v="388.8"/>
    <n v="246.67"/>
    <n v="142.13"/>
    <x v="7"/>
    <x v="1"/>
    <n v="0.36556069958847737"/>
  </r>
  <r>
    <n v="3555"/>
    <d v="2023-04-16T00:00:00"/>
    <x v="0"/>
    <x v="1"/>
    <x v="16"/>
    <x v="5"/>
    <n v="10"/>
    <n v="651"/>
    <n v="15"/>
    <n v="5533.5"/>
    <n v="4372.26"/>
    <n v="1161.24"/>
    <x v="10"/>
    <x v="1"/>
    <n v="0.20985632962862563"/>
  </r>
  <r>
    <n v="3556"/>
    <d v="2023-12-08T00:00:00"/>
    <x v="0"/>
    <x v="3"/>
    <x v="15"/>
    <x v="1"/>
    <n v="4"/>
    <n v="17"/>
    <n v="0"/>
    <n v="68"/>
    <n v="43.08"/>
    <n v="24.92"/>
    <x v="6"/>
    <x v="1"/>
    <n v="0.36647058823529416"/>
  </r>
  <r>
    <n v="3557"/>
    <d v="2023-07-17T00:00:00"/>
    <x v="2"/>
    <x v="0"/>
    <x v="12"/>
    <x v="1"/>
    <n v="2"/>
    <n v="423"/>
    <n v="10"/>
    <n v="761.4"/>
    <n v="509.76"/>
    <n v="251.64"/>
    <x v="5"/>
    <x v="1"/>
    <n v="0.3304964539007092"/>
  </r>
  <r>
    <n v="3558"/>
    <d v="2024-11-22T00:00:00"/>
    <x v="2"/>
    <x v="2"/>
    <x v="17"/>
    <x v="1"/>
    <n v="6"/>
    <n v="741"/>
    <n v="5"/>
    <n v="4223.7"/>
    <n v="2951.79"/>
    <n v="1271.9100000000001"/>
    <x v="3"/>
    <x v="0"/>
    <n v="0.3011364443497408"/>
  </r>
  <r>
    <n v="3559"/>
    <d v="2024-10-08T00:00:00"/>
    <x v="1"/>
    <x v="1"/>
    <x v="5"/>
    <x v="0"/>
    <n v="5"/>
    <n v="347"/>
    <n v="5"/>
    <n v="1648.25"/>
    <n v="843.05"/>
    <n v="805.2"/>
    <x v="1"/>
    <x v="0"/>
    <n v="0.48851812528439259"/>
  </r>
  <r>
    <n v="3560"/>
    <d v="2023-10-12T00:00:00"/>
    <x v="3"/>
    <x v="2"/>
    <x v="10"/>
    <x v="0"/>
    <n v="5"/>
    <n v="581"/>
    <n v="20"/>
    <n v="2324"/>
    <n v="1463.85"/>
    <n v="860.15"/>
    <x v="1"/>
    <x v="1"/>
    <n v="0.37011617900172117"/>
  </r>
  <r>
    <n v="3561"/>
    <d v="2024-01-02T00:00:00"/>
    <x v="2"/>
    <x v="2"/>
    <x v="10"/>
    <x v="3"/>
    <n v="4"/>
    <n v="677"/>
    <n v="10"/>
    <n v="2437.1999999999998"/>
    <n v="1407.52"/>
    <n v="1029.68"/>
    <x v="11"/>
    <x v="0"/>
    <n v="0.42248481864434601"/>
  </r>
  <r>
    <n v="3562"/>
    <d v="2024-02-27T00:00:00"/>
    <x v="1"/>
    <x v="3"/>
    <x v="11"/>
    <x v="5"/>
    <n v="2"/>
    <n v="464"/>
    <n v="15"/>
    <n v="788.8"/>
    <n v="499.09"/>
    <n v="289.70999999999998"/>
    <x v="9"/>
    <x v="0"/>
    <n v="0.36727941176470585"/>
  </r>
  <r>
    <n v="3563"/>
    <d v="2023-12-15T00:00:00"/>
    <x v="3"/>
    <x v="0"/>
    <x v="13"/>
    <x v="4"/>
    <n v="8"/>
    <n v="286"/>
    <n v="5"/>
    <n v="2173.6"/>
    <n v="1165.17"/>
    <n v="1008.43"/>
    <x v="6"/>
    <x v="1"/>
    <n v="0.46394460802355542"/>
  </r>
  <r>
    <n v="3564"/>
    <d v="2024-08-20T00:00:00"/>
    <x v="2"/>
    <x v="4"/>
    <x v="8"/>
    <x v="0"/>
    <n v="5"/>
    <n v="996"/>
    <n v="5"/>
    <n v="4731"/>
    <n v="2416.89"/>
    <n v="2314.11"/>
    <x v="2"/>
    <x v="0"/>
    <n v="0.48913760304375398"/>
  </r>
  <r>
    <n v="3565"/>
    <d v="2023-02-05T00:00:00"/>
    <x v="2"/>
    <x v="4"/>
    <x v="8"/>
    <x v="0"/>
    <n v="5"/>
    <n v="118"/>
    <n v="5"/>
    <n v="560.5"/>
    <n v="285.60000000000002"/>
    <n v="274.89999999999998"/>
    <x v="9"/>
    <x v="1"/>
    <n v="0.49045495093666364"/>
  </r>
  <r>
    <n v="3566"/>
    <d v="2023-09-09T00:00:00"/>
    <x v="2"/>
    <x v="1"/>
    <x v="2"/>
    <x v="4"/>
    <n v="6"/>
    <n v="756"/>
    <n v="15"/>
    <n v="3855.6"/>
    <n v="2526.5300000000002"/>
    <n v="1329.07"/>
    <x v="0"/>
    <x v="1"/>
    <n v="0.34471158833903931"/>
  </r>
  <r>
    <n v="3567"/>
    <d v="2024-01-30T00:00:00"/>
    <x v="1"/>
    <x v="4"/>
    <x v="14"/>
    <x v="5"/>
    <n v="2"/>
    <n v="217"/>
    <n v="20"/>
    <n v="347.2"/>
    <n v="222.38"/>
    <n v="124.82"/>
    <x v="11"/>
    <x v="0"/>
    <n v="0.35950460829493086"/>
  </r>
  <r>
    <n v="3568"/>
    <d v="2024-04-01T00:00:00"/>
    <x v="0"/>
    <x v="4"/>
    <x v="9"/>
    <x v="3"/>
    <n v="10"/>
    <n v="648"/>
    <n v="20"/>
    <n v="5184"/>
    <n v="4060.2"/>
    <n v="1123.8"/>
    <x v="10"/>
    <x v="0"/>
    <n v="0.2167824074074074"/>
  </r>
  <r>
    <n v="3569"/>
    <d v="2023-08-29T00:00:00"/>
    <x v="0"/>
    <x v="1"/>
    <x v="7"/>
    <x v="0"/>
    <n v="8"/>
    <n v="725"/>
    <n v="15"/>
    <n v="4930"/>
    <n v="3038.55"/>
    <n v="1891.45"/>
    <x v="2"/>
    <x v="1"/>
    <n v="0.38366125760649089"/>
  </r>
  <r>
    <n v="3570"/>
    <d v="2023-03-11T00:00:00"/>
    <x v="0"/>
    <x v="3"/>
    <x v="11"/>
    <x v="0"/>
    <n v="8"/>
    <n v="81"/>
    <n v="10"/>
    <n v="583.20000000000005"/>
    <n v="308.33"/>
    <n v="274.87"/>
    <x v="8"/>
    <x v="1"/>
    <n v="0.47131344307270229"/>
  </r>
  <r>
    <n v="3571"/>
    <d v="2024-01-26T00:00:00"/>
    <x v="2"/>
    <x v="0"/>
    <x v="13"/>
    <x v="3"/>
    <n v="6"/>
    <n v="741"/>
    <n v="0"/>
    <n v="4446"/>
    <n v="2603.6999999999998"/>
    <n v="1842.3"/>
    <x v="11"/>
    <x v="0"/>
    <n v="0.41437246963562752"/>
  </r>
  <r>
    <n v="3572"/>
    <d v="2024-11-24T00:00:00"/>
    <x v="0"/>
    <x v="3"/>
    <x v="4"/>
    <x v="5"/>
    <n v="9"/>
    <n v="854"/>
    <n v="15"/>
    <n v="6533.1"/>
    <n v="4588.1000000000004"/>
    <n v="1945"/>
    <x v="3"/>
    <x v="0"/>
    <n v="0.29771471430102092"/>
  </r>
  <r>
    <n v="3573"/>
    <d v="2024-01-21T00:00:00"/>
    <x v="1"/>
    <x v="2"/>
    <x v="10"/>
    <x v="1"/>
    <n v="4"/>
    <n v="514"/>
    <n v="10"/>
    <n v="1850.4"/>
    <n v="1077.22"/>
    <n v="773.18"/>
    <x v="11"/>
    <x v="0"/>
    <n v="0.4178447903156074"/>
  </r>
  <r>
    <n v="3574"/>
    <d v="2023-04-27T00:00:00"/>
    <x v="1"/>
    <x v="0"/>
    <x v="0"/>
    <x v="5"/>
    <n v="1"/>
    <n v="519"/>
    <n v="0"/>
    <n v="519"/>
    <n v="398.76"/>
    <n v="120.24"/>
    <x v="10"/>
    <x v="1"/>
    <n v="0.23167630057803468"/>
  </r>
  <r>
    <n v="3575"/>
    <d v="2024-05-24T00:00:00"/>
    <x v="1"/>
    <x v="1"/>
    <x v="2"/>
    <x v="5"/>
    <n v="10"/>
    <n v="651"/>
    <n v="15"/>
    <n v="5533.5"/>
    <n v="3072.51"/>
    <n v="2460.9899999999998"/>
    <x v="7"/>
    <x v="0"/>
    <n v="0.44474383301707776"/>
  </r>
  <r>
    <n v="3576"/>
    <d v="2023-11-12T00:00:00"/>
    <x v="3"/>
    <x v="1"/>
    <x v="16"/>
    <x v="1"/>
    <n v="7"/>
    <n v="995"/>
    <n v="5"/>
    <n v="6616.75"/>
    <n v="4729.4799999999996"/>
    <n v="1887.27"/>
    <x v="3"/>
    <x v="1"/>
    <n v="0.28522613065326635"/>
  </r>
  <r>
    <n v="3577"/>
    <d v="2023-09-21T00:00:00"/>
    <x v="3"/>
    <x v="1"/>
    <x v="2"/>
    <x v="5"/>
    <n v="10"/>
    <n v="250"/>
    <n v="5"/>
    <n v="2375"/>
    <n v="1288.23"/>
    <n v="1086.77"/>
    <x v="0"/>
    <x v="1"/>
    <n v="0.45758736842105263"/>
  </r>
  <r>
    <n v="3578"/>
    <d v="2023-03-06T00:00:00"/>
    <x v="1"/>
    <x v="1"/>
    <x v="2"/>
    <x v="0"/>
    <n v="9"/>
    <n v="21"/>
    <n v="5"/>
    <n v="179.55"/>
    <n v="124.27"/>
    <n v="55.28"/>
    <x v="8"/>
    <x v="1"/>
    <n v="0.30788081314397103"/>
  </r>
  <r>
    <n v="3579"/>
    <d v="2024-03-05T00:00:00"/>
    <x v="0"/>
    <x v="4"/>
    <x v="18"/>
    <x v="3"/>
    <n v="5"/>
    <n v="741"/>
    <n v="0"/>
    <n v="3705"/>
    <n v="2283.1999999999998"/>
    <n v="1421.8"/>
    <x v="8"/>
    <x v="0"/>
    <n v="0.38375168690958161"/>
  </r>
  <r>
    <n v="3580"/>
    <d v="2024-07-13T00:00:00"/>
    <x v="3"/>
    <x v="4"/>
    <x v="18"/>
    <x v="4"/>
    <n v="7"/>
    <n v="694"/>
    <n v="20"/>
    <n v="3886.4"/>
    <n v="2755.38"/>
    <n v="1131.02"/>
    <x v="5"/>
    <x v="0"/>
    <n v="0.29101996706463562"/>
  </r>
  <r>
    <n v="3581"/>
    <d v="2024-11-17T00:00:00"/>
    <x v="2"/>
    <x v="3"/>
    <x v="11"/>
    <x v="1"/>
    <n v="2"/>
    <n v="784"/>
    <n v="20"/>
    <n v="1254.4000000000001"/>
    <n v="692.28"/>
    <n v="562.12"/>
    <x v="3"/>
    <x v="0"/>
    <n v="0.44811862244897954"/>
  </r>
  <r>
    <n v="3582"/>
    <d v="2024-09-25T00:00:00"/>
    <x v="0"/>
    <x v="1"/>
    <x v="5"/>
    <x v="4"/>
    <n v="10"/>
    <n v="850"/>
    <n v="10"/>
    <n v="7650"/>
    <n v="4156.67"/>
    <n v="3493.33"/>
    <x v="0"/>
    <x v="0"/>
    <n v="0.45664444444444441"/>
  </r>
  <r>
    <n v="3583"/>
    <d v="2024-10-24T00:00:00"/>
    <x v="1"/>
    <x v="0"/>
    <x v="13"/>
    <x v="4"/>
    <n v="3"/>
    <n v="124"/>
    <n v="10"/>
    <n v="334.8"/>
    <n v="202.95"/>
    <n v="131.85"/>
    <x v="1"/>
    <x v="0"/>
    <n v="0.39381720430107525"/>
  </r>
  <r>
    <n v="3584"/>
    <d v="2024-01-09T00:00:00"/>
    <x v="3"/>
    <x v="2"/>
    <x v="17"/>
    <x v="2"/>
    <n v="7"/>
    <n v="667"/>
    <n v="5"/>
    <n v="4435.55"/>
    <n v="3461.63"/>
    <n v="973.92"/>
    <x v="11"/>
    <x v="0"/>
    <n v="0.21957141729886934"/>
  </r>
  <r>
    <n v="3585"/>
    <d v="2023-06-20T00:00:00"/>
    <x v="1"/>
    <x v="1"/>
    <x v="16"/>
    <x v="0"/>
    <n v="7"/>
    <n v="483"/>
    <n v="10"/>
    <n v="3042.9"/>
    <n v="1911.27"/>
    <n v="1131.6300000000001"/>
    <x v="4"/>
    <x v="1"/>
    <n v="0.3718919451838707"/>
  </r>
  <r>
    <n v="3586"/>
    <d v="2023-09-22T00:00:00"/>
    <x v="3"/>
    <x v="4"/>
    <x v="14"/>
    <x v="5"/>
    <n v="2"/>
    <n v="701"/>
    <n v="5"/>
    <n v="1331.9"/>
    <n v="723.41"/>
    <n v="608.49"/>
    <x v="0"/>
    <x v="1"/>
    <n v="0.45685862301974622"/>
  </r>
  <r>
    <n v="3587"/>
    <d v="2023-12-21T00:00:00"/>
    <x v="0"/>
    <x v="0"/>
    <x v="13"/>
    <x v="0"/>
    <n v="8"/>
    <n v="900"/>
    <n v="5"/>
    <n v="6840"/>
    <n v="3555.67"/>
    <n v="3284.33"/>
    <x v="6"/>
    <x v="1"/>
    <n v="0.48016520467836254"/>
  </r>
  <r>
    <n v="3588"/>
    <d v="2023-12-01T00:00:00"/>
    <x v="3"/>
    <x v="1"/>
    <x v="5"/>
    <x v="5"/>
    <n v="4"/>
    <n v="550"/>
    <n v="5"/>
    <n v="2090"/>
    <n v="1512.06"/>
    <n v="577.94000000000005"/>
    <x v="6"/>
    <x v="1"/>
    <n v="0.27652631578947373"/>
  </r>
  <r>
    <n v="3589"/>
    <d v="2023-06-07T00:00:00"/>
    <x v="2"/>
    <x v="1"/>
    <x v="7"/>
    <x v="2"/>
    <n v="5"/>
    <n v="706"/>
    <n v="0"/>
    <n v="3530"/>
    <n v="2381.39"/>
    <n v="1148.6099999999999"/>
    <x v="4"/>
    <x v="1"/>
    <n v="0.32538526912181298"/>
  </r>
  <r>
    <n v="3590"/>
    <d v="2023-05-05T00:00:00"/>
    <x v="3"/>
    <x v="0"/>
    <x v="13"/>
    <x v="5"/>
    <n v="1"/>
    <n v="659"/>
    <n v="0"/>
    <n v="659"/>
    <n v="450.94"/>
    <n v="208.06"/>
    <x v="7"/>
    <x v="1"/>
    <n v="0.31572078907435508"/>
  </r>
  <r>
    <n v="3591"/>
    <d v="2023-05-29T00:00:00"/>
    <x v="0"/>
    <x v="4"/>
    <x v="9"/>
    <x v="2"/>
    <n v="8"/>
    <n v="356"/>
    <n v="0"/>
    <n v="2848"/>
    <n v="1766.2"/>
    <n v="1081.8"/>
    <x v="7"/>
    <x v="1"/>
    <n v="0.37984550561797753"/>
  </r>
  <r>
    <n v="3592"/>
    <d v="2024-04-17T00:00:00"/>
    <x v="2"/>
    <x v="0"/>
    <x v="1"/>
    <x v="4"/>
    <n v="2"/>
    <n v="64"/>
    <n v="0"/>
    <n v="128"/>
    <n v="69.72"/>
    <n v="58.28"/>
    <x v="10"/>
    <x v="0"/>
    <n v="0.45531250000000001"/>
  </r>
  <r>
    <n v="3593"/>
    <d v="2023-08-07T00:00:00"/>
    <x v="2"/>
    <x v="2"/>
    <x v="10"/>
    <x v="1"/>
    <n v="1"/>
    <n v="845"/>
    <n v="10"/>
    <n v="760.5"/>
    <n v="467.64"/>
    <n v="292.86"/>
    <x v="2"/>
    <x v="1"/>
    <n v="0.38508875739644971"/>
  </r>
  <r>
    <n v="3594"/>
    <d v="2023-03-23T00:00:00"/>
    <x v="2"/>
    <x v="4"/>
    <x v="18"/>
    <x v="2"/>
    <n v="3"/>
    <n v="980"/>
    <n v="5"/>
    <n v="2793"/>
    <n v="1699.31"/>
    <n v="1093.69"/>
    <x v="8"/>
    <x v="1"/>
    <n v="0.39158252774794128"/>
  </r>
  <r>
    <n v="3595"/>
    <d v="2023-08-24T00:00:00"/>
    <x v="0"/>
    <x v="0"/>
    <x v="13"/>
    <x v="2"/>
    <n v="4"/>
    <n v="358"/>
    <n v="20"/>
    <n v="1145.5999999999999"/>
    <n v="838.68"/>
    <n v="306.92"/>
    <x v="2"/>
    <x v="1"/>
    <n v="0.26791201117318442"/>
  </r>
  <r>
    <n v="3596"/>
    <d v="2024-06-13T00:00:00"/>
    <x v="3"/>
    <x v="1"/>
    <x v="2"/>
    <x v="1"/>
    <n v="10"/>
    <n v="787"/>
    <n v="10"/>
    <n v="7083"/>
    <n v="4116.1499999999996"/>
    <n v="2966.85"/>
    <x v="4"/>
    <x v="0"/>
    <n v="0.41886912325285897"/>
  </r>
  <r>
    <n v="3597"/>
    <d v="2023-10-03T00:00:00"/>
    <x v="2"/>
    <x v="4"/>
    <x v="9"/>
    <x v="4"/>
    <n v="8"/>
    <n v="343"/>
    <n v="0"/>
    <n v="2744"/>
    <n v="1830.36"/>
    <n v="913.64"/>
    <x v="1"/>
    <x v="1"/>
    <n v="0.33295918367346938"/>
  </r>
  <r>
    <n v="3598"/>
    <d v="2024-11-04T00:00:00"/>
    <x v="0"/>
    <x v="0"/>
    <x v="13"/>
    <x v="4"/>
    <n v="10"/>
    <n v="40"/>
    <n v="0"/>
    <n v="400"/>
    <n v="292.56"/>
    <n v="107.44"/>
    <x v="3"/>
    <x v="0"/>
    <n v="0.26860000000000001"/>
  </r>
  <r>
    <n v="3599"/>
    <d v="2024-01-21T00:00:00"/>
    <x v="0"/>
    <x v="2"/>
    <x v="6"/>
    <x v="2"/>
    <n v="10"/>
    <n v="772"/>
    <n v="20"/>
    <n v="6176"/>
    <n v="4380.2"/>
    <n v="1795.8"/>
    <x v="11"/>
    <x v="0"/>
    <n v="0.29077072538860105"/>
  </r>
  <r>
    <n v="3600"/>
    <d v="2023-03-27T00:00:00"/>
    <x v="3"/>
    <x v="3"/>
    <x v="4"/>
    <x v="4"/>
    <n v="8"/>
    <n v="22"/>
    <n v="5"/>
    <n v="167.2"/>
    <n v="86.6"/>
    <n v="80.599999999999994"/>
    <x v="8"/>
    <x v="1"/>
    <n v="0.48205741626794257"/>
  </r>
  <r>
    <n v="3601"/>
    <d v="2023-12-20T00:00:00"/>
    <x v="1"/>
    <x v="3"/>
    <x v="19"/>
    <x v="1"/>
    <n v="7"/>
    <n v="210"/>
    <n v="0"/>
    <n v="1470"/>
    <n v="1142.53"/>
    <n v="327.47000000000003"/>
    <x v="6"/>
    <x v="1"/>
    <n v="0.22276870748299321"/>
  </r>
  <r>
    <n v="3602"/>
    <d v="2023-06-19T00:00:00"/>
    <x v="0"/>
    <x v="0"/>
    <x v="12"/>
    <x v="0"/>
    <n v="10"/>
    <n v="266"/>
    <n v="20"/>
    <n v="2128"/>
    <n v="1547.14"/>
    <n v="580.86"/>
    <x v="4"/>
    <x v="1"/>
    <n v="0.27296052631578949"/>
  </r>
  <r>
    <n v="3603"/>
    <d v="2024-05-01T00:00:00"/>
    <x v="1"/>
    <x v="4"/>
    <x v="9"/>
    <x v="4"/>
    <n v="10"/>
    <n v="582"/>
    <n v="0"/>
    <n v="5820"/>
    <n v="3562.14"/>
    <n v="2257.86"/>
    <x v="7"/>
    <x v="0"/>
    <n v="0.38794845360824742"/>
  </r>
  <r>
    <n v="3604"/>
    <d v="2024-04-19T00:00:00"/>
    <x v="2"/>
    <x v="0"/>
    <x v="13"/>
    <x v="4"/>
    <n v="5"/>
    <n v="330"/>
    <n v="15"/>
    <n v="1402.5"/>
    <n v="1112.9100000000001"/>
    <n v="289.58999999999997"/>
    <x v="10"/>
    <x v="0"/>
    <n v="0.20648128342245989"/>
  </r>
  <r>
    <n v="3605"/>
    <d v="2023-11-26T00:00:00"/>
    <x v="1"/>
    <x v="3"/>
    <x v="19"/>
    <x v="2"/>
    <n v="6"/>
    <n v="911"/>
    <n v="20"/>
    <n v="4372.8"/>
    <n v="3366.73"/>
    <n v="1006.07"/>
    <x v="3"/>
    <x v="1"/>
    <n v="0.23007455177460667"/>
  </r>
  <r>
    <n v="3606"/>
    <d v="2024-09-03T00:00:00"/>
    <x v="1"/>
    <x v="4"/>
    <x v="9"/>
    <x v="3"/>
    <n v="4"/>
    <n v="652"/>
    <n v="10"/>
    <n v="2347.1999999999998"/>
    <n v="1731.58"/>
    <n v="615.62"/>
    <x v="0"/>
    <x v="0"/>
    <n v="0.26227845944103617"/>
  </r>
  <r>
    <n v="3607"/>
    <d v="2024-09-14T00:00:00"/>
    <x v="3"/>
    <x v="3"/>
    <x v="4"/>
    <x v="5"/>
    <n v="8"/>
    <n v="939"/>
    <n v="10"/>
    <n v="6760.8"/>
    <n v="3597.11"/>
    <n v="3163.69"/>
    <x v="0"/>
    <x v="0"/>
    <n v="0.46794610105312978"/>
  </r>
  <r>
    <n v="3608"/>
    <d v="2023-08-12T00:00:00"/>
    <x v="2"/>
    <x v="1"/>
    <x v="7"/>
    <x v="2"/>
    <n v="8"/>
    <n v="191"/>
    <n v="10"/>
    <n v="1375.2"/>
    <n v="760.56"/>
    <n v="614.64"/>
    <x v="2"/>
    <x v="1"/>
    <n v="0.4469458987783595"/>
  </r>
  <r>
    <n v="3609"/>
    <d v="2024-09-19T00:00:00"/>
    <x v="1"/>
    <x v="2"/>
    <x v="3"/>
    <x v="2"/>
    <n v="10"/>
    <n v="323"/>
    <n v="15"/>
    <n v="2745.5"/>
    <n v="1508.99"/>
    <n v="1236.51"/>
    <x v="0"/>
    <x v="0"/>
    <n v="0.45037698051356767"/>
  </r>
  <r>
    <n v="3610"/>
    <d v="2024-08-27T00:00:00"/>
    <x v="1"/>
    <x v="3"/>
    <x v="4"/>
    <x v="0"/>
    <n v="2"/>
    <n v="336"/>
    <n v="0"/>
    <n v="672"/>
    <n v="486.47"/>
    <n v="185.53"/>
    <x v="2"/>
    <x v="0"/>
    <n v="0.27608630952380953"/>
  </r>
  <r>
    <n v="3611"/>
    <d v="2023-06-12T00:00:00"/>
    <x v="1"/>
    <x v="1"/>
    <x v="2"/>
    <x v="4"/>
    <n v="5"/>
    <n v="276"/>
    <n v="10"/>
    <n v="1242"/>
    <n v="879.19"/>
    <n v="362.81"/>
    <x v="4"/>
    <x v="1"/>
    <n v="0.29211755233494363"/>
  </r>
  <r>
    <n v="3612"/>
    <d v="2024-12-09T00:00:00"/>
    <x v="0"/>
    <x v="4"/>
    <x v="9"/>
    <x v="0"/>
    <n v="1"/>
    <n v="960"/>
    <n v="5"/>
    <n v="912"/>
    <n v="596.66999999999996"/>
    <n v="315.33"/>
    <x v="6"/>
    <x v="0"/>
    <n v="0.34575657894736839"/>
  </r>
  <r>
    <n v="3613"/>
    <d v="2024-06-12T00:00:00"/>
    <x v="1"/>
    <x v="3"/>
    <x v="11"/>
    <x v="0"/>
    <n v="9"/>
    <n v="547"/>
    <n v="20"/>
    <n v="3938.4"/>
    <n v="3134.8"/>
    <n v="803.6"/>
    <x v="4"/>
    <x v="0"/>
    <n v="0.20404225066016657"/>
  </r>
  <r>
    <n v="3614"/>
    <d v="2023-10-07T00:00:00"/>
    <x v="1"/>
    <x v="3"/>
    <x v="11"/>
    <x v="3"/>
    <n v="4"/>
    <n v="271"/>
    <n v="15"/>
    <n v="921.4"/>
    <n v="471.18"/>
    <n v="450.22"/>
    <x v="1"/>
    <x v="1"/>
    <n v="0.48862600390709793"/>
  </r>
  <r>
    <n v="3615"/>
    <d v="2024-09-18T00:00:00"/>
    <x v="3"/>
    <x v="4"/>
    <x v="9"/>
    <x v="4"/>
    <n v="5"/>
    <n v="567"/>
    <n v="5"/>
    <n v="2693.25"/>
    <n v="2144.14"/>
    <n v="549.11"/>
    <x v="0"/>
    <x v="0"/>
    <n v="0.20388378353290634"/>
  </r>
  <r>
    <n v="3616"/>
    <d v="2024-03-14T00:00:00"/>
    <x v="2"/>
    <x v="2"/>
    <x v="3"/>
    <x v="2"/>
    <n v="4"/>
    <n v="977"/>
    <n v="15"/>
    <n v="3321.8"/>
    <n v="2549.0100000000002"/>
    <n v="772.79"/>
    <x v="8"/>
    <x v="0"/>
    <n v="0.23264194111626224"/>
  </r>
  <r>
    <n v="3617"/>
    <d v="2024-11-17T00:00:00"/>
    <x v="3"/>
    <x v="2"/>
    <x v="17"/>
    <x v="5"/>
    <n v="7"/>
    <n v="639"/>
    <n v="5"/>
    <n v="4249.3500000000004"/>
    <n v="2296.81"/>
    <n v="1952.54"/>
    <x v="3"/>
    <x v="0"/>
    <n v="0.45949145163377925"/>
  </r>
  <r>
    <n v="3618"/>
    <d v="2024-12-16T00:00:00"/>
    <x v="2"/>
    <x v="0"/>
    <x v="13"/>
    <x v="4"/>
    <n v="4"/>
    <n v="970"/>
    <n v="20"/>
    <n v="3104"/>
    <n v="1956.04"/>
    <n v="1147.96"/>
    <x v="6"/>
    <x v="0"/>
    <n v="0.36983247422680415"/>
  </r>
  <r>
    <n v="3619"/>
    <d v="2024-09-18T00:00:00"/>
    <x v="0"/>
    <x v="2"/>
    <x v="6"/>
    <x v="1"/>
    <n v="1"/>
    <n v="708"/>
    <n v="20"/>
    <n v="566.4"/>
    <n v="369.32"/>
    <n v="197.08"/>
    <x v="0"/>
    <x v="0"/>
    <n v="0.34795197740112999"/>
  </r>
  <r>
    <n v="3620"/>
    <d v="2024-09-27T00:00:00"/>
    <x v="0"/>
    <x v="2"/>
    <x v="17"/>
    <x v="4"/>
    <n v="2"/>
    <n v="729"/>
    <n v="0"/>
    <n v="1458"/>
    <n v="1057.3699999999999"/>
    <n v="400.63"/>
    <x v="0"/>
    <x v="0"/>
    <n v="0.27478052126200275"/>
  </r>
  <r>
    <n v="3621"/>
    <d v="2024-06-07T00:00:00"/>
    <x v="1"/>
    <x v="3"/>
    <x v="15"/>
    <x v="0"/>
    <n v="10"/>
    <n v="604"/>
    <n v="10"/>
    <n v="5436"/>
    <n v="3223.58"/>
    <n v="2212.42"/>
    <x v="4"/>
    <x v="0"/>
    <n v="0.40699411331861662"/>
  </r>
  <r>
    <n v="3622"/>
    <d v="2023-06-07T00:00:00"/>
    <x v="3"/>
    <x v="0"/>
    <x v="1"/>
    <x v="4"/>
    <n v="5"/>
    <n v="211"/>
    <n v="20"/>
    <n v="844"/>
    <n v="496.81"/>
    <n v="347.19"/>
    <x v="4"/>
    <x v="1"/>
    <n v="0.41136255924170617"/>
  </r>
  <r>
    <n v="3623"/>
    <d v="2023-11-01T00:00:00"/>
    <x v="3"/>
    <x v="2"/>
    <x v="6"/>
    <x v="3"/>
    <n v="3"/>
    <n v="543"/>
    <n v="10"/>
    <n v="1466.1"/>
    <n v="996.24"/>
    <n v="469.86"/>
    <x v="3"/>
    <x v="1"/>
    <n v="0.32048291385307964"/>
  </r>
  <r>
    <n v="3624"/>
    <d v="2024-11-26T00:00:00"/>
    <x v="3"/>
    <x v="2"/>
    <x v="10"/>
    <x v="3"/>
    <n v="6"/>
    <n v="253"/>
    <n v="20"/>
    <n v="1214.4000000000001"/>
    <n v="820.52"/>
    <n v="393.88"/>
    <x v="3"/>
    <x v="0"/>
    <n v="0.32434123847167323"/>
  </r>
  <r>
    <n v="3625"/>
    <d v="2023-04-09T00:00:00"/>
    <x v="1"/>
    <x v="3"/>
    <x v="4"/>
    <x v="1"/>
    <n v="10"/>
    <n v="323"/>
    <n v="0"/>
    <n v="3230"/>
    <n v="2188.85"/>
    <n v="1041.1500000000001"/>
    <x v="10"/>
    <x v="1"/>
    <n v="0.3223374613003096"/>
  </r>
  <r>
    <n v="3626"/>
    <d v="2023-12-13T00:00:00"/>
    <x v="2"/>
    <x v="4"/>
    <x v="9"/>
    <x v="5"/>
    <n v="5"/>
    <n v="749"/>
    <n v="5"/>
    <n v="3557.75"/>
    <n v="2674.87"/>
    <n v="882.88"/>
    <x v="6"/>
    <x v="1"/>
    <n v="0.24815684069988053"/>
  </r>
  <r>
    <n v="3627"/>
    <d v="2024-10-30T00:00:00"/>
    <x v="2"/>
    <x v="3"/>
    <x v="15"/>
    <x v="0"/>
    <n v="5"/>
    <n v="59"/>
    <n v="0"/>
    <n v="295"/>
    <n v="232.51"/>
    <n v="62.49"/>
    <x v="1"/>
    <x v="0"/>
    <n v="0.21183050847457627"/>
  </r>
  <r>
    <n v="3628"/>
    <d v="2024-02-13T00:00:00"/>
    <x v="2"/>
    <x v="1"/>
    <x v="16"/>
    <x v="3"/>
    <n v="4"/>
    <n v="519"/>
    <n v="20"/>
    <n v="1660.8"/>
    <n v="1142.3900000000001"/>
    <n v="518.41"/>
    <x v="9"/>
    <x v="0"/>
    <n v="0.3121447495183044"/>
  </r>
  <r>
    <n v="3629"/>
    <d v="2023-10-03T00:00:00"/>
    <x v="2"/>
    <x v="4"/>
    <x v="14"/>
    <x v="4"/>
    <n v="7"/>
    <n v="601"/>
    <n v="0"/>
    <n v="4207"/>
    <n v="2545.27"/>
    <n v="1661.73"/>
    <x v="1"/>
    <x v="1"/>
    <n v="0.39499168053244593"/>
  </r>
  <r>
    <n v="3630"/>
    <d v="2023-05-30T00:00:00"/>
    <x v="0"/>
    <x v="3"/>
    <x v="19"/>
    <x v="0"/>
    <n v="6"/>
    <n v="190"/>
    <n v="0"/>
    <n v="1140"/>
    <n v="744.28"/>
    <n v="395.72"/>
    <x v="7"/>
    <x v="1"/>
    <n v="0.34712280701754389"/>
  </r>
  <r>
    <n v="3631"/>
    <d v="2023-06-23T00:00:00"/>
    <x v="1"/>
    <x v="0"/>
    <x v="13"/>
    <x v="0"/>
    <n v="4"/>
    <n v="655"/>
    <n v="20"/>
    <n v="2096"/>
    <n v="1338.93"/>
    <n v="757.07"/>
    <x v="4"/>
    <x v="1"/>
    <n v="0.36119751908396946"/>
  </r>
  <r>
    <n v="3632"/>
    <d v="2024-10-23T00:00:00"/>
    <x v="2"/>
    <x v="1"/>
    <x v="5"/>
    <x v="2"/>
    <n v="2"/>
    <n v="923"/>
    <n v="0"/>
    <n v="1846"/>
    <n v="1400.73"/>
    <n v="445.27"/>
    <x v="1"/>
    <x v="0"/>
    <n v="0.2412080173347779"/>
  </r>
  <r>
    <n v="3633"/>
    <d v="2024-11-19T00:00:00"/>
    <x v="3"/>
    <x v="3"/>
    <x v="11"/>
    <x v="4"/>
    <n v="5"/>
    <n v="56"/>
    <n v="5"/>
    <n v="266"/>
    <n v="135.25"/>
    <n v="130.75"/>
    <x v="3"/>
    <x v="0"/>
    <n v="0.49154135338345867"/>
  </r>
  <r>
    <n v="3634"/>
    <d v="2023-01-07T00:00:00"/>
    <x v="0"/>
    <x v="3"/>
    <x v="19"/>
    <x v="1"/>
    <n v="3"/>
    <n v="470"/>
    <n v="5"/>
    <n v="1339.5"/>
    <n v="856.14"/>
    <n v="483.36"/>
    <x v="11"/>
    <x v="1"/>
    <n v="0.36085106382978727"/>
  </r>
  <r>
    <n v="3635"/>
    <d v="2023-04-15T00:00:00"/>
    <x v="2"/>
    <x v="2"/>
    <x v="10"/>
    <x v="4"/>
    <n v="8"/>
    <n v="335"/>
    <n v="5"/>
    <n v="2546"/>
    <n v="1511.07"/>
    <n v="1034.93"/>
    <x v="10"/>
    <x v="1"/>
    <n v="0.40649253731343288"/>
  </r>
  <r>
    <n v="3636"/>
    <d v="2023-12-25T00:00:00"/>
    <x v="3"/>
    <x v="1"/>
    <x v="2"/>
    <x v="1"/>
    <n v="4"/>
    <n v="686"/>
    <n v="10"/>
    <n v="2469.6"/>
    <n v="1257.45"/>
    <n v="1212.1500000000001"/>
    <x v="6"/>
    <x v="1"/>
    <n v="0.49082847424684167"/>
  </r>
  <r>
    <n v="3637"/>
    <d v="2024-09-09T00:00:00"/>
    <x v="3"/>
    <x v="3"/>
    <x v="11"/>
    <x v="2"/>
    <n v="6"/>
    <n v="599"/>
    <n v="0"/>
    <n v="3594"/>
    <n v="2710.85"/>
    <n v="883.15"/>
    <x v="0"/>
    <x v="0"/>
    <n v="0.24572899276572063"/>
  </r>
  <r>
    <n v="3638"/>
    <d v="2024-04-23T00:00:00"/>
    <x v="1"/>
    <x v="3"/>
    <x v="4"/>
    <x v="0"/>
    <n v="10"/>
    <n v="610"/>
    <n v="5"/>
    <n v="5795"/>
    <n v="3499.61"/>
    <n v="2295.39"/>
    <x v="10"/>
    <x v="0"/>
    <n v="0.39609836065573767"/>
  </r>
  <r>
    <n v="3639"/>
    <d v="2024-03-09T00:00:00"/>
    <x v="2"/>
    <x v="3"/>
    <x v="19"/>
    <x v="0"/>
    <n v="1"/>
    <n v="981"/>
    <n v="10"/>
    <n v="882.9"/>
    <n v="456.36"/>
    <n v="426.54"/>
    <x v="8"/>
    <x v="0"/>
    <n v="0.48311247026843362"/>
  </r>
  <r>
    <n v="3640"/>
    <d v="2023-03-01T00:00:00"/>
    <x v="0"/>
    <x v="1"/>
    <x v="7"/>
    <x v="0"/>
    <n v="10"/>
    <n v="106"/>
    <n v="10"/>
    <n v="954"/>
    <n v="544.29999999999995"/>
    <n v="409.7"/>
    <x v="8"/>
    <x v="1"/>
    <n v="0.42945492662473794"/>
  </r>
  <r>
    <n v="3641"/>
    <d v="2024-05-20T00:00:00"/>
    <x v="1"/>
    <x v="2"/>
    <x v="17"/>
    <x v="0"/>
    <n v="9"/>
    <n v="543"/>
    <n v="20"/>
    <n v="3909.6"/>
    <n v="2597.4299999999998"/>
    <n v="1312.17"/>
    <x v="7"/>
    <x v="0"/>
    <n v="0.3356276856967465"/>
  </r>
  <r>
    <n v="3642"/>
    <d v="2024-06-01T00:00:00"/>
    <x v="3"/>
    <x v="0"/>
    <x v="12"/>
    <x v="1"/>
    <n v="9"/>
    <n v="984"/>
    <n v="20"/>
    <n v="7084.8"/>
    <n v="5663.8"/>
    <n v="1421"/>
    <x v="4"/>
    <x v="0"/>
    <n v="0.20057023486901535"/>
  </r>
  <r>
    <n v="3643"/>
    <d v="2024-04-20T00:00:00"/>
    <x v="0"/>
    <x v="0"/>
    <x v="1"/>
    <x v="4"/>
    <n v="9"/>
    <n v="677"/>
    <n v="15"/>
    <n v="5179.05"/>
    <n v="3314.28"/>
    <n v="1864.77"/>
    <x v="10"/>
    <x v="0"/>
    <n v="0.36006024270860482"/>
  </r>
  <r>
    <n v="3644"/>
    <d v="2024-02-13T00:00:00"/>
    <x v="2"/>
    <x v="3"/>
    <x v="15"/>
    <x v="0"/>
    <n v="9"/>
    <n v="327"/>
    <n v="0"/>
    <n v="2943"/>
    <n v="2113.5300000000002"/>
    <n v="829.47"/>
    <x v="9"/>
    <x v="0"/>
    <n v="0.28184505606523957"/>
  </r>
  <r>
    <n v="3645"/>
    <d v="2023-02-02T00:00:00"/>
    <x v="3"/>
    <x v="3"/>
    <x v="4"/>
    <x v="5"/>
    <n v="8"/>
    <n v="347"/>
    <n v="15"/>
    <n v="2359.6"/>
    <n v="1351.67"/>
    <n v="1007.93"/>
    <x v="9"/>
    <x v="1"/>
    <n v="0.42716138328530256"/>
  </r>
  <r>
    <n v="3646"/>
    <d v="2024-11-30T00:00:00"/>
    <x v="1"/>
    <x v="4"/>
    <x v="14"/>
    <x v="3"/>
    <n v="10"/>
    <n v="340"/>
    <n v="20"/>
    <n v="2720"/>
    <n v="2012.96"/>
    <n v="707.04"/>
    <x v="3"/>
    <x v="0"/>
    <n v="0.25994117647058823"/>
  </r>
  <r>
    <n v="3647"/>
    <d v="2023-11-23T00:00:00"/>
    <x v="0"/>
    <x v="2"/>
    <x v="6"/>
    <x v="5"/>
    <n v="4"/>
    <n v="313"/>
    <n v="20"/>
    <n v="1001.6"/>
    <n v="720.48"/>
    <n v="281.12"/>
    <x v="3"/>
    <x v="1"/>
    <n v="0.28067092651757186"/>
  </r>
  <r>
    <n v="3648"/>
    <d v="2024-07-19T00:00:00"/>
    <x v="3"/>
    <x v="0"/>
    <x v="1"/>
    <x v="3"/>
    <n v="2"/>
    <n v="698"/>
    <n v="20"/>
    <n v="1116.8"/>
    <n v="573.73"/>
    <n v="543.07000000000005"/>
    <x v="5"/>
    <x v="0"/>
    <n v="0.48627328080229232"/>
  </r>
  <r>
    <n v="3649"/>
    <d v="2023-03-22T00:00:00"/>
    <x v="2"/>
    <x v="4"/>
    <x v="8"/>
    <x v="2"/>
    <n v="6"/>
    <n v="346"/>
    <n v="10"/>
    <n v="1868.4"/>
    <n v="1264.7"/>
    <n v="603.70000000000005"/>
    <x v="8"/>
    <x v="1"/>
    <n v="0.32311068293727252"/>
  </r>
  <r>
    <n v="3650"/>
    <d v="2024-03-18T00:00:00"/>
    <x v="1"/>
    <x v="1"/>
    <x v="16"/>
    <x v="4"/>
    <n v="7"/>
    <n v="10"/>
    <n v="0"/>
    <n v="70"/>
    <n v="44.96"/>
    <n v="25.04"/>
    <x v="8"/>
    <x v="0"/>
    <n v="0.35771428571428571"/>
  </r>
  <r>
    <n v="3651"/>
    <d v="2024-07-29T00:00:00"/>
    <x v="0"/>
    <x v="3"/>
    <x v="4"/>
    <x v="5"/>
    <n v="5"/>
    <n v="900"/>
    <n v="20"/>
    <n v="3600"/>
    <n v="1913.78"/>
    <n v="1686.22"/>
    <x v="5"/>
    <x v="0"/>
    <n v="0.46839444444444445"/>
  </r>
  <r>
    <n v="3652"/>
    <d v="2023-02-22T00:00:00"/>
    <x v="0"/>
    <x v="0"/>
    <x v="1"/>
    <x v="3"/>
    <n v="7"/>
    <n v="505"/>
    <n v="0"/>
    <n v="3535"/>
    <n v="2001.47"/>
    <n v="1533.53"/>
    <x v="9"/>
    <x v="1"/>
    <n v="0.43381329561527582"/>
  </r>
  <r>
    <n v="3653"/>
    <d v="2024-10-10T00:00:00"/>
    <x v="2"/>
    <x v="2"/>
    <x v="3"/>
    <x v="2"/>
    <n v="6"/>
    <n v="276"/>
    <n v="15"/>
    <n v="1407.6"/>
    <n v="1005.32"/>
    <n v="402.28"/>
    <x v="1"/>
    <x v="0"/>
    <n v="0.28579141801648195"/>
  </r>
  <r>
    <n v="3654"/>
    <d v="2024-09-03T00:00:00"/>
    <x v="3"/>
    <x v="2"/>
    <x v="17"/>
    <x v="3"/>
    <n v="3"/>
    <n v="791"/>
    <n v="15"/>
    <n v="2017.05"/>
    <n v="1153.96"/>
    <n v="863.09"/>
    <x v="0"/>
    <x v="0"/>
    <n v="0.42789717656974297"/>
  </r>
  <r>
    <n v="3655"/>
    <d v="2024-05-24T00:00:00"/>
    <x v="1"/>
    <x v="4"/>
    <x v="9"/>
    <x v="1"/>
    <n v="7"/>
    <n v="729"/>
    <n v="5"/>
    <n v="4847.8500000000004"/>
    <n v="2685.07"/>
    <n v="2162.7800000000002"/>
    <x v="7"/>
    <x v="0"/>
    <n v="0.44613179038130307"/>
  </r>
  <r>
    <n v="3656"/>
    <d v="2023-02-07T00:00:00"/>
    <x v="2"/>
    <x v="1"/>
    <x v="2"/>
    <x v="3"/>
    <n v="8"/>
    <n v="154"/>
    <n v="5"/>
    <n v="1170.4000000000001"/>
    <n v="756.86"/>
    <n v="413.54"/>
    <x v="9"/>
    <x v="1"/>
    <n v="0.35333219412166778"/>
  </r>
  <r>
    <n v="3657"/>
    <d v="2023-12-11T00:00:00"/>
    <x v="3"/>
    <x v="4"/>
    <x v="8"/>
    <x v="1"/>
    <n v="8"/>
    <n v="289"/>
    <n v="0"/>
    <n v="2312"/>
    <n v="1619.96"/>
    <n v="692.04"/>
    <x v="6"/>
    <x v="1"/>
    <n v="0.29932525951557093"/>
  </r>
  <r>
    <n v="3658"/>
    <d v="2023-12-17T00:00:00"/>
    <x v="1"/>
    <x v="1"/>
    <x v="5"/>
    <x v="1"/>
    <n v="3"/>
    <n v="615"/>
    <n v="5"/>
    <n v="1752.75"/>
    <n v="1246.68"/>
    <n v="506.07"/>
    <x v="6"/>
    <x v="1"/>
    <n v="0.28872913992297816"/>
  </r>
  <r>
    <n v="3659"/>
    <d v="2023-12-30T00:00:00"/>
    <x v="3"/>
    <x v="2"/>
    <x v="6"/>
    <x v="4"/>
    <n v="1"/>
    <n v="905"/>
    <n v="15"/>
    <n v="769.25"/>
    <n v="571.08000000000004"/>
    <n v="198.17"/>
    <x v="6"/>
    <x v="1"/>
    <n v="0.2576145596360091"/>
  </r>
  <r>
    <n v="3660"/>
    <d v="2023-04-26T00:00:00"/>
    <x v="0"/>
    <x v="0"/>
    <x v="12"/>
    <x v="5"/>
    <n v="7"/>
    <n v="274"/>
    <n v="10"/>
    <n v="1726.2"/>
    <n v="1297.57"/>
    <n v="428.63"/>
    <x v="10"/>
    <x v="1"/>
    <n v="0.24830842312594137"/>
  </r>
  <r>
    <n v="3661"/>
    <d v="2024-06-13T00:00:00"/>
    <x v="2"/>
    <x v="1"/>
    <x v="2"/>
    <x v="5"/>
    <n v="5"/>
    <n v="875"/>
    <n v="5"/>
    <n v="4156.25"/>
    <n v="3307.42"/>
    <n v="848.83"/>
    <x v="4"/>
    <x v="0"/>
    <n v="0.20422977443609022"/>
  </r>
  <r>
    <n v="3662"/>
    <d v="2023-12-21T00:00:00"/>
    <x v="2"/>
    <x v="3"/>
    <x v="11"/>
    <x v="1"/>
    <n v="10"/>
    <n v="556"/>
    <n v="15"/>
    <n v="4726"/>
    <n v="3520.18"/>
    <n v="1205.82"/>
    <x v="6"/>
    <x v="1"/>
    <n v="0.25514600084638173"/>
  </r>
  <r>
    <n v="3663"/>
    <d v="2023-05-02T00:00:00"/>
    <x v="3"/>
    <x v="1"/>
    <x v="16"/>
    <x v="0"/>
    <n v="4"/>
    <n v="960"/>
    <n v="20"/>
    <n v="3072"/>
    <n v="2291.8000000000002"/>
    <n v="780.2"/>
    <x v="7"/>
    <x v="1"/>
    <n v="0.25397135416666666"/>
  </r>
  <r>
    <n v="3664"/>
    <d v="2023-05-10T00:00:00"/>
    <x v="2"/>
    <x v="4"/>
    <x v="9"/>
    <x v="0"/>
    <n v="6"/>
    <n v="334"/>
    <n v="5"/>
    <n v="1903.8"/>
    <n v="1333.06"/>
    <n v="570.74"/>
    <x v="7"/>
    <x v="1"/>
    <n v="0.29978989389641769"/>
  </r>
  <r>
    <n v="3665"/>
    <d v="2024-10-21T00:00:00"/>
    <x v="0"/>
    <x v="1"/>
    <x v="16"/>
    <x v="5"/>
    <n v="3"/>
    <n v="682"/>
    <n v="10"/>
    <n v="1841.4"/>
    <n v="1034.71"/>
    <n v="806.69"/>
    <x v="1"/>
    <x v="0"/>
    <n v="0.43808515260128167"/>
  </r>
  <r>
    <n v="3666"/>
    <d v="2023-06-27T00:00:00"/>
    <x v="3"/>
    <x v="4"/>
    <x v="9"/>
    <x v="0"/>
    <n v="1"/>
    <n v="850"/>
    <n v="0"/>
    <n v="850"/>
    <n v="652.61"/>
    <n v="197.39"/>
    <x v="4"/>
    <x v="1"/>
    <n v="0.23222352941176469"/>
  </r>
  <r>
    <n v="3667"/>
    <d v="2024-09-03T00:00:00"/>
    <x v="3"/>
    <x v="4"/>
    <x v="9"/>
    <x v="5"/>
    <n v="8"/>
    <n v="199"/>
    <n v="10"/>
    <n v="1432.8"/>
    <n v="1074.3699999999999"/>
    <n v="358.43"/>
    <x v="0"/>
    <x v="0"/>
    <n v="0.25016052484645451"/>
  </r>
  <r>
    <n v="3668"/>
    <d v="2024-10-14T00:00:00"/>
    <x v="2"/>
    <x v="2"/>
    <x v="6"/>
    <x v="2"/>
    <n v="2"/>
    <n v="811"/>
    <n v="0"/>
    <n v="1622"/>
    <n v="1234.93"/>
    <n v="387.07"/>
    <x v="1"/>
    <x v="0"/>
    <n v="0.23863748458692971"/>
  </r>
  <r>
    <n v="3669"/>
    <d v="2024-08-25T00:00:00"/>
    <x v="1"/>
    <x v="2"/>
    <x v="17"/>
    <x v="0"/>
    <n v="3"/>
    <n v="577"/>
    <n v="10"/>
    <n v="1557.9"/>
    <n v="791.96"/>
    <n v="765.94"/>
    <x v="2"/>
    <x v="0"/>
    <n v="0.49164901469927469"/>
  </r>
  <r>
    <n v="3670"/>
    <d v="2024-12-15T00:00:00"/>
    <x v="1"/>
    <x v="4"/>
    <x v="9"/>
    <x v="5"/>
    <n v="4"/>
    <n v="593"/>
    <n v="15"/>
    <n v="2016.2"/>
    <n v="1597.92"/>
    <n v="418.28"/>
    <x v="6"/>
    <x v="0"/>
    <n v="0.20745957742287469"/>
  </r>
  <r>
    <n v="3671"/>
    <d v="2023-04-25T00:00:00"/>
    <x v="1"/>
    <x v="3"/>
    <x v="4"/>
    <x v="3"/>
    <n v="2"/>
    <n v="742"/>
    <n v="10"/>
    <n v="1335.6"/>
    <n v="820.34"/>
    <n v="515.26"/>
    <x v="10"/>
    <x v="1"/>
    <n v="0.38578915843066791"/>
  </r>
  <r>
    <n v="3672"/>
    <d v="2023-01-03T00:00:00"/>
    <x v="2"/>
    <x v="3"/>
    <x v="19"/>
    <x v="4"/>
    <n v="8"/>
    <n v="296"/>
    <n v="10"/>
    <n v="2131.1999999999998"/>
    <n v="1660.97"/>
    <n v="470.23"/>
    <x v="11"/>
    <x v="1"/>
    <n v="0.22064095345345347"/>
  </r>
  <r>
    <n v="3673"/>
    <d v="2023-06-05T00:00:00"/>
    <x v="1"/>
    <x v="1"/>
    <x v="5"/>
    <x v="5"/>
    <n v="8"/>
    <n v="169"/>
    <n v="10"/>
    <n v="1216.8"/>
    <n v="727.7"/>
    <n v="489.1"/>
    <x v="4"/>
    <x v="1"/>
    <n v="0.40195595003287315"/>
  </r>
  <r>
    <n v="3674"/>
    <d v="2023-01-06T00:00:00"/>
    <x v="3"/>
    <x v="4"/>
    <x v="9"/>
    <x v="4"/>
    <n v="6"/>
    <n v="457"/>
    <n v="10"/>
    <n v="2467.8000000000002"/>
    <n v="1667.21"/>
    <n v="800.59"/>
    <x v="11"/>
    <x v="1"/>
    <n v="0.32441445822189802"/>
  </r>
  <r>
    <n v="3675"/>
    <d v="2024-08-07T00:00:00"/>
    <x v="2"/>
    <x v="0"/>
    <x v="0"/>
    <x v="2"/>
    <n v="10"/>
    <n v="377"/>
    <n v="20"/>
    <n v="3016"/>
    <n v="1708.94"/>
    <n v="1307.06"/>
    <x v="2"/>
    <x v="0"/>
    <n v="0.4333753315649867"/>
  </r>
  <r>
    <n v="3676"/>
    <d v="2024-10-01T00:00:00"/>
    <x v="3"/>
    <x v="0"/>
    <x v="12"/>
    <x v="2"/>
    <n v="8"/>
    <n v="898"/>
    <n v="0"/>
    <n v="7184"/>
    <n v="3911.33"/>
    <n v="3272.67"/>
    <x v="1"/>
    <x v="0"/>
    <n v="0.45554983296213808"/>
  </r>
  <r>
    <n v="3677"/>
    <d v="2024-12-25T00:00:00"/>
    <x v="3"/>
    <x v="3"/>
    <x v="15"/>
    <x v="3"/>
    <n v="4"/>
    <n v="444"/>
    <n v="10"/>
    <n v="1598.4"/>
    <n v="851.96"/>
    <n v="746.44"/>
    <x v="6"/>
    <x v="0"/>
    <n v="0.46699199199199198"/>
  </r>
  <r>
    <n v="3678"/>
    <d v="2023-09-04T00:00:00"/>
    <x v="0"/>
    <x v="4"/>
    <x v="9"/>
    <x v="0"/>
    <n v="2"/>
    <n v="99"/>
    <n v="15"/>
    <n v="168.3"/>
    <n v="93.22"/>
    <n v="75.08"/>
    <x v="0"/>
    <x v="1"/>
    <n v="0.44610814022578726"/>
  </r>
  <r>
    <n v="3679"/>
    <d v="2024-07-14T00:00:00"/>
    <x v="3"/>
    <x v="0"/>
    <x v="13"/>
    <x v="0"/>
    <n v="8"/>
    <n v="643"/>
    <n v="20"/>
    <n v="4115.2"/>
    <n v="3219.44"/>
    <n v="895.76"/>
    <x v="5"/>
    <x v="0"/>
    <n v="0.2176710730948678"/>
  </r>
  <r>
    <n v="3680"/>
    <d v="2024-05-24T00:00:00"/>
    <x v="1"/>
    <x v="2"/>
    <x v="6"/>
    <x v="3"/>
    <n v="9"/>
    <n v="149"/>
    <n v="20"/>
    <n v="1072.8"/>
    <n v="763.14"/>
    <n v="309.66000000000003"/>
    <x v="7"/>
    <x v="0"/>
    <n v="0.28864653243847876"/>
  </r>
  <r>
    <n v="3681"/>
    <d v="2024-05-28T00:00:00"/>
    <x v="0"/>
    <x v="0"/>
    <x v="0"/>
    <x v="1"/>
    <n v="2"/>
    <n v="394"/>
    <n v="5"/>
    <n v="748.6"/>
    <n v="474.33"/>
    <n v="274.27"/>
    <x v="7"/>
    <x v="0"/>
    <n v="0.36637723751001866"/>
  </r>
  <r>
    <n v="3682"/>
    <d v="2024-05-05T00:00:00"/>
    <x v="3"/>
    <x v="4"/>
    <x v="9"/>
    <x v="4"/>
    <n v="2"/>
    <n v="481"/>
    <n v="20"/>
    <n v="769.6"/>
    <n v="532.48"/>
    <n v="237.12"/>
    <x v="7"/>
    <x v="0"/>
    <n v="0.30810810810810813"/>
  </r>
  <r>
    <n v="3683"/>
    <d v="2023-05-10T00:00:00"/>
    <x v="3"/>
    <x v="0"/>
    <x v="12"/>
    <x v="5"/>
    <n v="9"/>
    <n v="748"/>
    <n v="20"/>
    <n v="5385.6"/>
    <n v="3961.12"/>
    <n v="1424.48"/>
    <x v="7"/>
    <x v="1"/>
    <n v="0.26449792038027331"/>
  </r>
  <r>
    <n v="3684"/>
    <d v="2023-08-15T00:00:00"/>
    <x v="2"/>
    <x v="3"/>
    <x v="4"/>
    <x v="0"/>
    <n v="3"/>
    <n v="684"/>
    <n v="20"/>
    <n v="1641.6"/>
    <n v="1299.8499999999999"/>
    <n v="341.75"/>
    <x v="2"/>
    <x v="1"/>
    <n v="0.20818104288499026"/>
  </r>
  <r>
    <n v="3685"/>
    <d v="2023-08-02T00:00:00"/>
    <x v="2"/>
    <x v="3"/>
    <x v="4"/>
    <x v="5"/>
    <n v="2"/>
    <n v="118"/>
    <n v="15"/>
    <n v="200.6"/>
    <n v="156.97"/>
    <n v="43.63"/>
    <x v="2"/>
    <x v="1"/>
    <n v="0.21749750747756733"/>
  </r>
  <r>
    <n v="3686"/>
    <d v="2024-11-20T00:00:00"/>
    <x v="3"/>
    <x v="3"/>
    <x v="15"/>
    <x v="2"/>
    <n v="9"/>
    <n v="276"/>
    <n v="10"/>
    <n v="2235.6"/>
    <n v="1123.3399999999999"/>
    <n v="1112.26"/>
    <x v="3"/>
    <x v="0"/>
    <n v="0.49752191805331902"/>
  </r>
  <r>
    <n v="3687"/>
    <d v="2024-08-05T00:00:00"/>
    <x v="1"/>
    <x v="1"/>
    <x v="16"/>
    <x v="0"/>
    <n v="4"/>
    <n v="957"/>
    <n v="10"/>
    <n v="3445.2"/>
    <n v="2471.9899999999998"/>
    <n v="973.21"/>
    <x v="2"/>
    <x v="0"/>
    <n v="0.28248287472425404"/>
  </r>
  <r>
    <n v="3688"/>
    <d v="2024-10-15T00:00:00"/>
    <x v="3"/>
    <x v="4"/>
    <x v="14"/>
    <x v="4"/>
    <n v="8"/>
    <n v="478"/>
    <n v="20"/>
    <n v="3059.2"/>
    <n v="2175.08"/>
    <n v="884.12"/>
    <x v="1"/>
    <x v="0"/>
    <n v="0.28900366108786613"/>
  </r>
  <r>
    <n v="3689"/>
    <d v="2024-02-02T00:00:00"/>
    <x v="1"/>
    <x v="4"/>
    <x v="18"/>
    <x v="3"/>
    <n v="9"/>
    <n v="164"/>
    <n v="15"/>
    <n v="1254.5999999999999"/>
    <n v="762.47"/>
    <n v="492.13"/>
    <x v="9"/>
    <x v="0"/>
    <n v="0.39226048142834374"/>
  </r>
  <r>
    <n v="3690"/>
    <d v="2023-06-17T00:00:00"/>
    <x v="1"/>
    <x v="1"/>
    <x v="5"/>
    <x v="5"/>
    <n v="10"/>
    <n v="455"/>
    <n v="5"/>
    <n v="4322.5"/>
    <n v="2461.5300000000002"/>
    <n v="1860.97"/>
    <x v="4"/>
    <x v="1"/>
    <n v="0.43053094274146908"/>
  </r>
  <r>
    <n v="3691"/>
    <d v="2024-01-20T00:00:00"/>
    <x v="3"/>
    <x v="4"/>
    <x v="14"/>
    <x v="0"/>
    <n v="4"/>
    <n v="306"/>
    <n v="10"/>
    <n v="1101.5999999999999"/>
    <n v="591.04999999999995"/>
    <n v="510.55"/>
    <x v="11"/>
    <x v="0"/>
    <n v="0.46346223674655052"/>
  </r>
  <r>
    <n v="3692"/>
    <d v="2023-02-02T00:00:00"/>
    <x v="2"/>
    <x v="2"/>
    <x v="3"/>
    <x v="4"/>
    <n v="3"/>
    <n v="24"/>
    <n v="10"/>
    <n v="64.8"/>
    <n v="37.61"/>
    <n v="27.19"/>
    <x v="9"/>
    <x v="1"/>
    <n v="0.41959876543209879"/>
  </r>
  <r>
    <n v="3693"/>
    <d v="2024-06-28T00:00:00"/>
    <x v="1"/>
    <x v="0"/>
    <x v="1"/>
    <x v="3"/>
    <n v="2"/>
    <n v="131"/>
    <n v="0"/>
    <n v="262"/>
    <n v="143.97999999999999"/>
    <n v="118.02"/>
    <x v="4"/>
    <x v="0"/>
    <n v="0.45045801526717555"/>
  </r>
  <r>
    <n v="3694"/>
    <d v="2023-01-08T00:00:00"/>
    <x v="0"/>
    <x v="3"/>
    <x v="4"/>
    <x v="2"/>
    <n v="7"/>
    <n v="522"/>
    <n v="20"/>
    <n v="2923.2"/>
    <n v="2236.06"/>
    <n v="687.14"/>
    <x v="11"/>
    <x v="1"/>
    <n v="0.23506431308155448"/>
  </r>
  <r>
    <n v="3695"/>
    <d v="2024-11-19T00:00:00"/>
    <x v="1"/>
    <x v="3"/>
    <x v="19"/>
    <x v="5"/>
    <n v="3"/>
    <n v="741"/>
    <n v="0"/>
    <n v="2223"/>
    <n v="1728.69"/>
    <n v="494.31"/>
    <x v="3"/>
    <x v="0"/>
    <n v="0.22236167341430499"/>
  </r>
  <r>
    <n v="3696"/>
    <d v="2024-09-05T00:00:00"/>
    <x v="0"/>
    <x v="4"/>
    <x v="8"/>
    <x v="5"/>
    <n v="8"/>
    <n v="473"/>
    <n v="15"/>
    <n v="3216.4"/>
    <n v="2096.9899999999998"/>
    <n v="1119.4100000000001"/>
    <x v="0"/>
    <x v="0"/>
    <n v="0.34803196119885588"/>
  </r>
  <r>
    <n v="3697"/>
    <d v="2023-01-30T00:00:00"/>
    <x v="2"/>
    <x v="3"/>
    <x v="4"/>
    <x v="2"/>
    <n v="2"/>
    <n v="495"/>
    <n v="5"/>
    <n v="940.5"/>
    <n v="622.75"/>
    <n v="317.75"/>
    <x v="11"/>
    <x v="1"/>
    <n v="0.3378522062732589"/>
  </r>
  <r>
    <n v="3698"/>
    <d v="2023-01-19T00:00:00"/>
    <x v="0"/>
    <x v="0"/>
    <x v="0"/>
    <x v="0"/>
    <n v="10"/>
    <n v="640"/>
    <n v="15"/>
    <n v="5440"/>
    <n v="3718.93"/>
    <n v="1721.07"/>
    <x v="11"/>
    <x v="1"/>
    <n v="0.31637316176470587"/>
  </r>
  <r>
    <n v="3699"/>
    <d v="2023-04-08T00:00:00"/>
    <x v="3"/>
    <x v="3"/>
    <x v="11"/>
    <x v="3"/>
    <n v="6"/>
    <n v="42"/>
    <n v="5"/>
    <n v="239.4"/>
    <n v="151.74"/>
    <n v="87.66"/>
    <x v="10"/>
    <x v="1"/>
    <n v="0.36616541353383458"/>
  </r>
  <r>
    <n v="3700"/>
    <d v="2024-07-13T00:00:00"/>
    <x v="0"/>
    <x v="3"/>
    <x v="19"/>
    <x v="0"/>
    <n v="8"/>
    <n v="576"/>
    <n v="5"/>
    <n v="4377.6000000000004"/>
    <n v="2396.96"/>
    <n v="1980.64"/>
    <x v="5"/>
    <x v="0"/>
    <n v="0.45244883040935668"/>
  </r>
  <r>
    <n v="3701"/>
    <d v="2024-10-10T00:00:00"/>
    <x v="0"/>
    <x v="0"/>
    <x v="13"/>
    <x v="4"/>
    <n v="10"/>
    <n v="162"/>
    <n v="20"/>
    <n v="1296"/>
    <n v="770.19"/>
    <n v="525.80999999999995"/>
    <x v="1"/>
    <x v="0"/>
    <n v="0.40571759259259255"/>
  </r>
  <r>
    <n v="3702"/>
    <d v="2024-12-16T00:00:00"/>
    <x v="3"/>
    <x v="1"/>
    <x v="7"/>
    <x v="1"/>
    <n v="3"/>
    <n v="667"/>
    <n v="20"/>
    <n v="1600.8"/>
    <n v="1148.32"/>
    <n v="452.48"/>
    <x v="6"/>
    <x v="0"/>
    <n v="0.28265867066466771"/>
  </r>
  <r>
    <n v="3703"/>
    <d v="2023-07-20T00:00:00"/>
    <x v="3"/>
    <x v="0"/>
    <x v="1"/>
    <x v="5"/>
    <n v="10"/>
    <n v="662"/>
    <n v="10"/>
    <n v="5958"/>
    <n v="4653.2"/>
    <n v="1304.8"/>
    <x v="5"/>
    <x v="1"/>
    <n v="0.21899966431688486"/>
  </r>
  <r>
    <n v="3704"/>
    <d v="2024-07-10T00:00:00"/>
    <x v="0"/>
    <x v="0"/>
    <x v="0"/>
    <x v="5"/>
    <n v="2"/>
    <n v="768"/>
    <n v="15"/>
    <n v="1305.5999999999999"/>
    <n v="711.38"/>
    <n v="594.22"/>
    <x v="5"/>
    <x v="0"/>
    <n v="0.45513174019607849"/>
  </r>
  <r>
    <n v="3705"/>
    <d v="2023-03-22T00:00:00"/>
    <x v="2"/>
    <x v="4"/>
    <x v="14"/>
    <x v="5"/>
    <n v="10"/>
    <n v="712"/>
    <n v="15"/>
    <n v="6052"/>
    <n v="3729.86"/>
    <n v="2322.14"/>
    <x v="8"/>
    <x v="1"/>
    <n v="0.38369795109054855"/>
  </r>
  <r>
    <n v="3706"/>
    <d v="2023-12-06T00:00:00"/>
    <x v="1"/>
    <x v="2"/>
    <x v="17"/>
    <x v="2"/>
    <n v="9"/>
    <n v="509"/>
    <n v="5"/>
    <n v="4351.95"/>
    <n v="2879.47"/>
    <n v="1472.48"/>
    <x v="6"/>
    <x v="1"/>
    <n v="0.33834947552246697"/>
  </r>
  <r>
    <n v="3707"/>
    <d v="2024-12-06T00:00:00"/>
    <x v="3"/>
    <x v="3"/>
    <x v="19"/>
    <x v="1"/>
    <n v="3"/>
    <n v="190"/>
    <n v="5"/>
    <n v="541.5"/>
    <n v="363.83"/>
    <n v="177.67"/>
    <x v="6"/>
    <x v="0"/>
    <n v="0.32810710987996305"/>
  </r>
  <r>
    <n v="3708"/>
    <d v="2023-11-13T00:00:00"/>
    <x v="0"/>
    <x v="3"/>
    <x v="4"/>
    <x v="4"/>
    <n v="1"/>
    <n v="81"/>
    <n v="10"/>
    <n v="72.900000000000006"/>
    <n v="53.63"/>
    <n v="19.27"/>
    <x v="3"/>
    <x v="1"/>
    <n v="0.26433470507544576"/>
  </r>
  <r>
    <n v="3709"/>
    <d v="2024-10-28T00:00:00"/>
    <x v="2"/>
    <x v="4"/>
    <x v="18"/>
    <x v="0"/>
    <n v="4"/>
    <n v="921"/>
    <n v="0"/>
    <n v="3684"/>
    <n v="2786.35"/>
    <n v="897.65"/>
    <x v="1"/>
    <x v="0"/>
    <n v="0.24366178067318131"/>
  </r>
  <r>
    <n v="3710"/>
    <d v="2024-03-20T00:00:00"/>
    <x v="3"/>
    <x v="0"/>
    <x v="12"/>
    <x v="3"/>
    <n v="5"/>
    <n v="361"/>
    <n v="5"/>
    <n v="1714.75"/>
    <n v="891.85"/>
    <n v="822.9"/>
    <x v="8"/>
    <x v="0"/>
    <n v="0.47989502842980025"/>
  </r>
  <r>
    <n v="3711"/>
    <d v="2024-10-15T00:00:00"/>
    <x v="1"/>
    <x v="2"/>
    <x v="10"/>
    <x v="4"/>
    <n v="5"/>
    <n v="848"/>
    <n v="5"/>
    <n v="4028"/>
    <n v="2112.96"/>
    <n v="1915.04"/>
    <x v="1"/>
    <x v="0"/>
    <n v="0.47543197616683219"/>
  </r>
  <r>
    <n v="3712"/>
    <d v="2024-10-20T00:00:00"/>
    <x v="3"/>
    <x v="3"/>
    <x v="15"/>
    <x v="3"/>
    <n v="3"/>
    <n v="171"/>
    <n v="15"/>
    <n v="436.05"/>
    <n v="243.47"/>
    <n v="192.58"/>
    <x v="1"/>
    <x v="0"/>
    <n v="0.44164660016053209"/>
  </r>
  <r>
    <n v="3713"/>
    <d v="2023-08-20T00:00:00"/>
    <x v="0"/>
    <x v="0"/>
    <x v="0"/>
    <x v="0"/>
    <n v="1"/>
    <n v="154"/>
    <n v="0"/>
    <n v="154"/>
    <n v="115.96"/>
    <n v="38.04"/>
    <x v="2"/>
    <x v="1"/>
    <n v="0.24701298701298702"/>
  </r>
  <r>
    <n v="3714"/>
    <d v="2023-08-17T00:00:00"/>
    <x v="1"/>
    <x v="1"/>
    <x v="2"/>
    <x v="4"/>
    <n v="8"/>
    <n v="833"/>
    <n v="0"/>
    <n v="6664"/>
    <n v="4808.3500000000004"/>
    <n v="1855.65"/>
    <x v="2"/>
    <x v="1"/>
    <n v="0.27845888355342135"/>
  </r>
  <r>
    <n v="3715"/>
    <d v="2023-10-29T00:00:00"/>
    <x v="0"/>
    <x v="3"/>
    <x v="15"/>
    <x v="5"/>
    <n v="10"/>
    <n v="247"/>
    <n v="20"/>
    <n v="1976"/>
    <n v="1374.22"/>
    <n v="601.78"/>
    <x v="1"/>
    <x v="1"/>
    <n v="0.30454453441295543"/>
  </r>
  <r>
    <n v="3716"/>
    <d v="2024-04-14T00:00:00"/>
    <x v="3"/>
    <x v="4"/>
    <x v="9"/>
    <x v="5"/>
    <n v="8"/>
    <n v="705"/>
    <n v="15"/>
    <n v="4794"/>
    <n v="3609.9"/>
    <n v="1184.0999999999999"/>
    <x v="10"/>
    <x v="0"/>
    <n v="0.24699624530663328"/>
  </r>
  <r>
    <n v="3717"/>
    <d v="2024-09-09T00:00:00"/>
    <x v="3"/>
    <x v="3"/>
    <x v="15"/>
    <x v="4"/>
    <n v="8"/>
    <n v="243"/>
    <n v="15"/>
    <n v="1652.4"/>
    <n v="1219.23"/>
    <n v="433.17"/>
    <x v="0"/>
    <x v="0"/>
    <n v="0.26214596949891067"/>
  </r>
  <r>
    <n v="3718"/>
    <d v="2024-03-21T00:00:00"/>
    <x v="3"/>
    <x v="4"/>
    <x v="8"/>
    <x v="5"/>
    <n v="3"/>
    <n v="77"/>
    <n v="20"/>
    <n v="184.8"/>
    <n v="143.02000000000001"/>
    <n v="41.78"/>
    <x v="8"/>
    <x v="0"/>
    <n v="0.22608225108225108"/>
  </r>
  <r>
    <n v="3719"/>
    <d v="2024-09-18T00:00:00"/>
    <x v="0"/>
    <x v="3"/>
    <x v="15"/>
    <x v="3"/>
    <n v="10"/>
    <n v="657"/>
    <n v="5"/>
    <n v="6241.5"/>
    <n v="3643.78"/>
    <n v="2597.7199999999998"/>
    <x v="0"/>
    <x v="0"/>
    <n v="0.41620123367780176"/>
  </r>
  <r>
    <n v="3720"/>
    <d v="2024-12-22T00:00:00"/>
    <x v="3"/>
    <x v="1"/>
    <x v="5"/>
    <x v="3"/>
    <n v="3"/>
    <n v="306"/>
    <n v="5"/>
    <n v="872.1"/>
    <n v="557.01"/>
    <n v="315.08999999999997"/>
    <x v="6"/>
    <x v="0"/>
    <n v="0.36130030959752318"/>
  </r>
  <r>
    <n v="3721"/>
    <d v="2024-09-11T00:00:00"/>
    <x v="3"/>
    <x v="2"/>
    <x v="10"/>
    <x v="3"/>
    <n v="8"/>
    <n v="903"/>
    <n v="5"/>
    <n v="6862.8"/>
    <n v="5460.75"/>
    <n v="1402.05"/>
    <x v="0"/>
    <x v="0"/>
    <n v="0.204297079909075"/>
  </r>
  <r>
    <n v="3722"/>
    <d v="2024-08-01T00:00:00"/>
    <x v="2"/>
    <x v="4"/>
    <x v="18"/>
    <x v="4"/>
    <n v="2"/>
    <n v="445"/>
    <n v="5"/>
    <n v="845.5"/>
    <n v="463.94"/>
    <n v="381.56"/>
    <x v="2"/>
    <x v="0"/>
    <n v="0.45128326434062688"/>
  </r>
  <r>
    <n v="3723"/>
    <d v="2024-06-22T00:00:00"/>
    <x v="0"/>
    <x v="1"/>
    <x v="2"/>
    <x v="3"/>
    <n v="7"/>
    <n v="69"/>
    <n v="0"/>
    <n v="483"/>
    <n v="367.03"/>
    <n v="115.97"/>
    <x v="4"/>
    <x v="0"/>
    <n v="0.24010351966873705"/>
  </r>
  <r>
    <n v="3724"/>
    <d v="2024-10-26T00:00:00"/>
    <x v="2"/>
    <x v="1"/>
    <x v="7"/>
    <x v="0"/>
    <n v="8"/>
    <n v="547"/>
    <n v="15"/>
    <n v="3719.6"/>
    <n v="2239.0500000000002"/>
    <n v="1480.55"/>
    <x v="1"/>
    <x v="0"/>
    <n v="0.39804011183998278"/>
  </r>
  <r>
    <n v="3725"/>
    <d v="2024-01-29T00:00:00"/>
    <x v="0"/>
    <x v="4"/>
    <x v="9"/>
    <x v="5"/>
    <n v="2"/>
    <n v="505"/>
    <n v="10"/>
    <n v="909"/>
    <n v="463.2"/>
    <n v="445.8"/>
    <x v="11"/>
    <x v="0"/>
    <n v="0.49042904290429046"/>
  </r>
  <r>
    <n v="3726"/>
    <d v="2024-02-06T00:00:00"/>
    <x v="3"/>
    <x v="2"/>
    <x v="6"/>
    <x v="2"/>
    <n v="3"/>
    <n v="497"/>
    <n v="10"/>
    <n v="1341.9"/>
    <n v="957.46"/>
    <n v="384.44"/>
    <x v="9"/>
    <x v="0"/>
    <n v="0.28648930620761603"/>
  </r>
  <r>
    <n v="3727"/>
    <d v="2023-09-21T00:00:00"/>
    <x v="0"/>
    <x v="1"/>
    <x v="5"/>
    <x v="5"/>
    <n v="6"/>
    <n v="549"/>
    <n v="15"/>
    <n v="2799.9"/>
    <n v="1644.47"/>
    <n v="1155.43"/>
    <x v="0"/>
    <x v="1"/>
    <n v="0.41266830958248507"/>
  </r>
  <r>
    <n v="3728"/>
    <d v="2023-07-26T00:00:00"/>
    <x v="1"/>
    <x v="4"/>
    <x v="8"/>
    <x v="5"/>
    <n v="7"/>
    <n v="480"/>
    <n v="15"/>
    <n v="2856"/>
    <n v="2277.17"/>
    <n v="578.83000000000004"/>
    <x v="5"/>
    <x v="1"/>
    <n v="0.202671568627451"/>
  </r>
  <r>
    <n v="3729"/>
    <d v="2023-09-27T00:00:00"/>
    <x v="3"/>
    <x v="2"/>
    <x v="3"/>
    <x v="0"/>
    <n v="1"/>
    <n v="301"/>
    <n v="10"/>
    <n v="270.89999999999998"/>
    <n v="170.08"/>
    <n v="100.82"/>
    <x v="0"/>
    <x v="1"/>
    <n v="0.37216685123661869"/>
  </r>
  <r>
    <n v="3730"/>
    <d v="2023-09-23T00:00:00"/>
    <x v="0"/>
    <x v="2"/>
    <x v="17"/>
    <x v="4"/>
    <n v="8"/>
    <n v="819"/>
    <n v="0"/>
    <n v="6552"/>
    <n v="4897.38"/>
    <n v="1654.62"/>
    <x v="0"/>
    <x v="1"/>
    <n v="0.25253663003663002"/>
  </r>
  <r>
    <n v="3731"/>
    <d v="2023-04-11T00:00:00"/>
    <x v="1"/>
    <x v="4"/>
    <x v="18"/>
    <x v="3"/>
    <n v="4"/>
    <n v="758"/>
    <n v="10"/>
    <n v="2728.8"/>
    <n v="1721.03"/>
    <n v="1007.77"/>
    <x v="10"/>
    <x v="1"/>
    <n v="0.36930885370858985"/>
  </r>
  <r>
    <n v="3732"/>
    <d v="2023-02-22T00:00:00"/>
    <x v="2"/>
    <x v="0"/>
    <x v="1"/>
    <x v="3"/>
    <n v="10"/>
    <n v="980"/>
    <n v="15"/>
    <n v="8330"/>
    <n v="5795.14"/>
    <n v="2534.86"/>
    <x v="9"/>
    <x v="1"/>
    <n v="0.30430492196878756"/>
  </r>
  <r>
    <n v="3733"/>
    <d v="2024-04-01T00:00:00"/>
    <x v="1"/>
    <x v="3"/>
    <x v="4"/>
    <x v="5"/>
    <n v="5"/>
    <n v="451"/>
    <n v="0"/>
    <n v="2255"/>
    <n v="1184.1300000000001"/>
    <n v="1070.8699999999999"/>
    <x v="10"/>
    <x v="0"/>
    <n v="0.47488691796008864"/>
  </r>
  <r>
    <n v="3734"/>
    <d v="2024-04-25T00:00:00"/>
    <x v="2"/>
    <x v="4"/>
    <x v="8"/>
    <x v="2"/>
    <n v="3"/>
    <n v="131"/>
    <n v="5"/>
    <n v="373.35"/>
    <n v="276.64999999999998"/>
    <n v="96.7"/>
    <x v="10"/>
    <x v="0"/>
    <n v="0.25900629436185885"/>
  </r>
  <r>
    <n v="3735"/>
    <d v="2023-08-19T00:00:00"/>
    <x v="3"/>
    <x v="0"/>
    <x v="12"/>
    <x v="3"/>
    <n v="3"/>
    <n v="362"/>
    <n v="10"/>
    <n v="977.4"/>
    <n v="650.69000000000005"/>
    <n v="326.70999999999998"/>
    <x v="2"/>
    <x v="1"/>
    <n v="0.33426437487210969"/>
  </r>
  <r>
    <n v="3736"/>
    <d v="2024-05-23T00:00:00"/>
    <x v="0"/>
    <x v="0"/>
    <x v="13"/>
    <x v="0"/>
    <n v="8"/>
    <n v="183"/>
    <n v="10"/>
    <n v="1317.6"/>
    <n v="774.59"/>
    <n v="543.01"/>
    <x v="7"/>
    <x v="0"/>
    <n v="0.4121205221615058"/>
  </r>
  <r>
    <n v="3737"/>
    <d v="2024-12-21T00:00:00"/>
    <x v="2"/>
    <x v="2"/>
    <x v="3"/>
    <x v="1"/>
    <n v="8"/>
    <n v="91"/>
    <n v="15"/>
    <n v="618.79999999999995"/>
    <n v="316.89999999999998"/>
    <n v="301.89999999999998"/>
    <x v="6"/>
    <x v="0"/>
    <n v="0.48787976729153198"/>
  </r>
  <r>
    <n v="3738"/>
    <d v="2024-03-22T00:00:00"/>
    <x v="0"/>
    <x v="1"/>
    <x v="2"/>
    <x v="4"/>
    <n v="4"/>
    <n v="642"/>
    <n v="15"/>
    <n v="2182.8000000000002"/>
    <n v="1641.69"/>
    <n v="541.11"/>
    <x v="8"/>
    <x v="0"/>
    <n v="0.24789719626168222"/>
  </r>
  <r>
    <n v="3739"/>
    <d v="2024-07-05T00:00:00"/>
    <x v="2"/>
    <x v="3"/>
    <x v="19"/>
    <x v="0"/>
    <n v="3"/>
    <n v="71"/>
    <n v="15"/>
    <n v="181.05"/>
    <n v="137.53"/>
    <n v="43.52"/>
    <x v="5"/>
    <x v="0"/>
    <n v="0.24037558685446009"/>
  </r>
  <r>
    <n v="3740"/>
    <d v="2023-05-29T00:00:00"/>
    <x v="1"/>
    <x v="4"/>
    <x v="14"/>
    <x v="0"/>
    <n v="1"/>
    <n v="778"/>
    <n v="10"/>
    <n v="700.2"/>
    <n v="465.17"/>
    <n v="235.03"/>
    <x v="7"/>
    <x v="1"/>
    <n v="0.33566123964581546"/>
  </r>
  <r>
    <n v="3741"/>
    <d v="2024-09-06T00:00:00"/>
    <x v="2"/>
    <x v="1"/>
    <x v="7"/>
    <x v="4"/>
    <n v="5"/>
    <n v="972"/>
    <n v="20"/>
    <n v="3888"/>
    <n v="2392.7600000000002"/>
    <n v="1495.24"/>
    <x v="0"/>
    <x v="0"/>
    <n v="0.38457818930041154"/>
  </r>
  <r>
    <n v="3742"/>
    <d v="2024-06-21T00:00:00"/>
    <x v="2"/>
    <x v="0"/>
    <x v="0"/>
    <x v="5"/>
    <n v="1"/>
    <n v="423"/>
    <n v="5"/>
    <n v="401.85"/>
    <n v="285.14"/>
    <n v="116.71"/>
    <x v="4"/>
    <x v="0"/>
    <n v="0.29043175314171954"/>
  </r>
  <r>
    <n v="3743"/>
    <d v="2024-04-27T00:00:00"/>
    <x v="2"/>
    <x v="3"/>
    <x v="19"/>
    <x v="2"/>
    <n v="2"/>
    <n v="46"/>
    <n v="0"/>
    <n v="92"/>
    <n v="70.67"/>
    <n v="21.33"/>
    <x v="10"/>
    <x v="0"/>
    <n v="0.2318478260869565"/>
  </r>
  <r>
    <n v="3744"/>
    <d v="2023-02-10T00:00:00"/>
    <x v="3"/>
    <x v="3"/>
    <x v="15"/>
    <x v="0"/>
    <n v="7"/>
    <n v="15"/>
    <n v="5"/>
    <n v="99.75"/>
    <n v="68.650000000000006"/>
    <n v="31.1"/>
    <x v="9"/>
    <x v="1"/>
    <n v="0.31177944862155388"/>
  </r>
  <r>
    <n v="3745"/>
    <d v="2023-03-22T00:00:00"/>
    <x v="3"/>
    <x v="3"/>
    <x v="4"/>
    <x v="0"/>
    <n v="10"/>
    <n v="626"/>
    <n v="15"/>
    <n v="5321"/>
    <n v="2770.31"/>
    <n v="2550.69"/>
    <x v="8"/>
    <x v="1"/>
    <n v="0.47936290171020485"/>
  </r>
  <r>
    <n v="3746"/>
    <d v="2023-10-24T00:00:00"/>
    <x v="0"/>
    <x v="4"/>
    <x v="18"/>
    <x v="2"/>
    <n v="9"/>
    <n v="115"/>
    <n v="5"/>
    <n v="983.25"/>
    <n v="758.81"/>
    <n v="224.44"/>
    <x v="1"/>
    <x v="1"/>
    <n v="0.22826341215357235"/>
  </r>
  <r>
    <n v="3747"/>
    <d v="2023-11-07T00:00:00"/>
    <x v="1"/>
    <x v="0"/>
    <x v="1"/>
    <x v="2"/>
    <n v="5"/>
    <n v="704"/>
    <n v="15"/>
    <n v="2992"/>
    <n v="1761.58"/>
    <n v="1230.42"/>
    <x v="3"/>
    <x v="1"/>
    <n v="0.4112366310160428"/>
  </r>
  <r>
    <n v="3748"/>
    <d v="2024-06-27T00:00:00"/>
    <x v="1"/>
    <x v="1"/>
    <x v="2"/>
    <x v="0"/>
    <n v="4"/>
    <n v="630"/>
    <n v="10"/>
    <n v="2268"/>
    <n v="1573.13"/>
    <n v="694.87"/>
    <x v="4"/>
    <x v="0"/>
    <n v="0.30638007054673722"/>
  </r>
  <r>
    <n v="3749"/>
    <d v="2024-08-27T00:00:00"/>
    <x v="3"/>
    <x v="3"/>
    <x v="11"/>
    <x v="2"/>
    <n v="8"/>
    <n v="514"/>
    <n v="10"/>
    <n v="3700.8"/>
    <n v="2420.56"/>
    <n v="1280.24"/>
    <x v="2"/>
    <x v="0"/>
    <n v="0.34593601383484651"/>
  </r>
  <r>
    <n v="3750"/>
    <d v="2024-08-06T00:00:00"/>
    <x v="1"/>
    <x v="1"/>
    <x v="7"/>
    <x v="0"/>
    <n v="5"/>
    <n v="169"/>
    <n v="20"/>
    <n v="676"/>
    <n v="410.27"/>
    <n v="265.73"/>
    <x v="2"/>
    <x v="0"/>
    <n v="0.39309171597633141"/>
  </r>
  <r>
    <n v="3751"/>
    <d v="2023-11-29T00:00:00"/>
    <x v="1"/>
    <x v="1"/>
    <x v="5"/>
    <x v="1"/>
    <n v="5"/>
    <n v="753"/>
    <n v="20"/>
    <n v="3012"/>
    <n v="2024.58"/>
    <n v="987.42"/>
    <x v="3"/>
    <x v="1"/>
    <n v="0.32782868525896414"/>
  </r>
  <r>
    <n v="3752"/>
    <d v="2023-12-02T00:00:00"/>
    <x v="1"/>
    <x v="3"/>
    <x v="4"/>
    <x v="2"/>
    <n v="8"/>
    <n v="399"/>
    <n v="20"/>
    <n v="2553.6"/>
    <n v="1512.55"/>
    <n v="1041.05"/>
    <x v="6"/>
    <x v="1"/>
    <n v="0.4076793546365915"/>
  </r>
  <r>
    <n v="3753"/>
    <d v="2023-10-21T00:00:00"/>
    <x v="3"/>
    <x v="0"/>
    <x v="0"/>
    <x v="2"/>
    <n v="4"/>
    <n v="62"/>
    <n v="10"/>
    <n v="223.2"/>
    <n v="119.89"/>
    <n v="103.31"/>
    <x v="1"/>
    <x v="1"/>
    <n v="0.46285842293906815"/>
  </r>
  <r>
    <n v="3754"/>
    <d v="2023-07-22T00:00:00"/>
    <x v="2"/>
    <x v="4"/>
    <x v="18"/>
    <x v="3"/>
    <n v="10"/>
    <n v="214"/>
    <n v="20"/>
    <n v="1712"/>
    <n v="967.17"/>
    <n v="744.83"/>
    <x v="5"/>
    <x v="1"/>
    <n v="0.43506425233644863"/>
  </r>
  <r>
    <n v="3755"/>
    <d v="2024-12-27T00:00:00"/>
    <x v="0"/>
    <x v="4"/>
    <x v="18"/>
    <x v="5"/>
    <n v="4"/>
    <n v="764"/>
    <n v="10"/>
    <n v="2750.4"/>
    <n v="1393.19"/>
    <n v="1357.21"/>
    <x v="6"/>
    <x v="0"/>
    <n v="0.49345913321698659"/>
  </r>
  <r>
    <n v="3756"/>
    <d v="2024-12-29T00:00:00"/>
    <x v="3"/>
    <x v="2"/>
    <x v="3"/>
    <x v="2"/>
    <n v="2"/>
    <n v="53"/>
    <n v="10"/>
    <n v="95.4"/>
    <n v="53.87"/>
    <n v="41.53"/>
    <x v="6"/>
    <x v="0"/>
    <n v="0.43532494758909851"/>
  </r>
  <r>
    <n v="3757"/>
    <d v="2023-07-19T00:00:00"/>
    <x v="3"/>
    <x v="1"/>
    <x v="5"/>
    <x v="0"/>
    <n v="3"/>
    <n v="470"/>
    <n v="15"/>
    <n v="1198.5"/>
    <n v="688.73"/>
    <n v="509.77"/>
    <x v="5"/>
    <x v="1"/>
    <n v="0.42534000834376301"/>
  </r>
  <r>
    <n v="3758"/>
    <d v="2024-11-16T00:00:00"/>
    <x v="3"/>
    <x v="2"/>
    <x v="3"/>
    <x v="5"/>
    <n v="9"/>
    <n v="537"/>
    <n v="15"/>
    <n v="4108.05"/>
    <n v="3253.08"/>
    <n v="854.97"/>
    <x v="3"/>
    <x v="0"/>
    <n v="0.20812064118012194"/>
  </r>
  <r>
    <n v="3759"/>
    <d v="2024-05-02T00:00:00"/>
    <x v="2"/>
    <x v="0"/>
    <x v="13"/>
    <x v="5"/>
    <n v="7"/>
    <n v="557"/>
    <n v="5"/>
    <n v="3704.05"/>
    <n v="2950.31"/>
    <n v="753.74"/>
    <x v="7"/>
    <x v="0"/>
    <n v="0.20349077361266721"/>
  </r>
  <r>
    <n v="3760"/>
    <d v="2023-02-09T00:00:00"/>
    <x v="3"/>
    <x v="0"/>
    <x v="12"/>
    <x v="1"/>
    <n v="9"/>
    <n v="142"/>
    <n v="0"/>
    <n v="1278"/>
    <n v="714.82"/>
    <n v="563.17999999999995"/>
    <x v="9"/>
    <x v="1"/>
    <n v="0.44067292644757428"/>
  </r>
  <r>
    <n v="3761"/>
    <d v="2023-03-21T00:00:00"/>
    <x v="2"/>
    <x v="0"/>
    <x v="13"/>
    <x v="5"/>
    <n v="3"/>
    <n v="662"/>
    <n v="15"/>
    <n v="1688.1"/>
    <n v="1160.24"/>
    <n v="527.86"/>
    <x v="8"/>
    <x v="1"/>
    <n v="0.31269474557194482"/>
  </r>
  <r>
    <n v="3762"/>
    <d v="2023-04-27T00:00:00"/>
    <x v="0"/>
    <x v="4"/>
    <x v="18"/>
    <x v="4"/>
    <n v="4"/>
    <n v="152"/>
    <n v="0"/>
    <n v="608"/>
    <n v="307.18"/>
    <n v="300.82"/>
    <x v="10"/>
    <x v="1"/>
    <n v="0.49476973684210523"/>
  </r>
  <r>
    <n v="3763"/>
    <d v="2023-10-27T00:00:00"/>
    <x v="2"/>
    <x v="2"/>
    <x v="6"/>
    <x v="0"/>
    <n v="9"/>
    <n v="341"/>
    <n v="10"/>
    <n v="2762.1"/>
    <n v="1516.06"/>
    <n v="1246.04"/>
    <x v="1"/>
    <x v="1"/>
    <n v="0.45112052423880383"/>
  </r>
  <r>
    <n v="3764"/>
    <d v="2024-11-25T00:00:00"/>
    <x v="1"/>
    <x v="2"/>
    <x v="3"/>
    <x v="5"/>
    <n v="2"/>
    <n v="617"/>
    <n v="15"/>
    <n v="1048.9000000000001"/>
    <n v="582.62"/>
    <n v="466.28"/>
    <x v="3"/>
    <x v="0"/>
    <n v="0.44454190103918384"/>
  </r>
  <r>
    <n v="3765"/>
    <d v="2023-12-27T00:00:00"/>
    <x v="0"/>
    <x v="0"/>
    <x v="0"/>
    <x v="5"/>
    <n v="5"/>
    <n v="709"/>
    <n v="15"/>
    <n v="3013.25"/>
    <n v="2113.7600000000002"/>
    <n v="899.49"/>
    <x v="6"/>
    <x v="1"/>
    <n v="0.2985115738820211"/>
  </r>
  <r>
    <n v="3766"/>
    <d v="2023-03-26T00:00:00"/>
    <x v="2"/>
    <x v="4"/>
    <x v="18"/>
    <x v="1"/>
    <n v="1"/>
    <n v="712"/>
    <n v="5"/>
    <n v="676.4"/>
    <n v="376.47"/>
    <n v="299.93"/>
    <x v="8"/>
    <x v="1"/>
    <n v="0.44342105263157899"/>
  </r>
  <r>
    <n v="3767"/>
    <d v="2024-07-30T00:00:00"/>
    <x v="0"/>
    <x v="2"/>
    <x v="6"/>
    <x v="5"/>
    <n v="8"/>
    <n v="696"/>
    <n v="5"/>
    <n v="5289.6"/>
    <n v="4101.22"/>
    <n v="1188.3800000000001"/>
    <x v="5"/>
    <x v="0"/>
    <n v="0.2246634906231095"/>
  </r>
  <r>
    <n v="3768"/>
    <d v="2024-08-17T00:00:00"/>
    <x v="0"/>
    <x v="1"/>
    <x v="16"/>
    <x v="2"/>
    <n v="4"/>
    <n v="609"/>
    <n v="5"/>
    <n v="2314.1999999999998"/>
    <n v="1464.38"/>
    <n v="849.82"/>
    <x v="2"/>
    <x v="0"/>
    <n v="0.36721977357186075"/>
  </r>
  <r>
    <n v="3769"/>
    <d v="2024-10-11T00:00:00"/>
    <x v="0"/>
    <x v="3"/>
    <x v="11"/>
    <x v="5"/>
    <n v="3"/>
    <n v="495"/>
    <n v="20"/>
    <n v="1188"/>
    <n v="839.83"/>
    <n v="348.17"/>
    <x v="1"/>
    <x v="0"/>
    <n v="0.2930723905723906"/>
  </r>
  <r>
    <n v="3770"/>
    <d v="2024-08-29T00:00:00"/>
    <x v="2"/>
    <x v="0"/>
    <x v="12"/>
    <x v="3"/>
    <n v="5"/>
    <n v="311"/>
    <n v="5"/>
    <n v="1477.25"/>
    <n v="1006.44"/>
    <n v="470.81"/>
    <x v="2"/>
    <x v="0"/>
    <n v="0.31870705703164665"/>
  </r>
  <r>
    <n v="3771"/>
    <d v="2023-06-28T00:00:00"/>
    <x v="2"/>
    <x v="0"/>
    <x v="1"/>
    <x v="1"/>
    <n v="2"/>
    <n v="206"/>
    <n v="15"/>
    <n v="350.2"/>
    <n v="236.53"/>
    <n v="113.67"/>
    <x v="4"/>
    <x v="1"/>
    <n v="0.32458595088520847"/>
  </r>
  <r>
    <n v="3772"/>
    <d v="2024-03-16T00:00:00"/>
    <x v="3"/>
    <x v="3"/>
    <x v="15"/>
    <x v="4"/>
    <n v="9"/>
    <n v="71"/>
    <n v="20"/>
    <n v="511.2"/>
    <n v="378.91"/>
    <n v="132.29"/>
    <x v="8"/>
    <x v="0"/>
    <n v="0.25878325508607197"/>
  </r>
  <r>
    <n v="3773"/>
    <d v="2024-09-03T00:00:00"/>
    <x v="2"/>
    <x v="3"/>
    <x v="11"/>
    <x v="5"/>
    <n v="7"/>
    <n v="659"/>
    <n v="15"/>
    <n v="3921.05"/>
    <n v="2259.34"/>
    <n v="1661.71"/>
    <x v="0"/>
    <x v="0"/>
    <n v="0.42379209650476274"/>
  </r>
  <r>
    <n v="3774"/>
    <d v="2024-02-26T00:00:00"/>
    <x v="2"/>
    <x v="4"/>
    <x v="14"/>
    <x v="2"/>
    <n v="5"/>
    <n v="844"/>
    <n v="0"/>
    <n v="4220"/>
    <n v="2367.83"/>
    <n v="1852.17"/>
    <x v="9"/>
    <x v="0"/>
    <n v="0.43890284360189574"/>
  </r>
  <r>
    <n v="3775"/>
    <d v="2024-10-05T00:00:00"/>
    <x v="0"/>
    <x v="4"/>
    <x v="9"/>
    <x v="2"/>
    <n v="3"/>
    <n v="860"/>
    <n v="10"/>
    <n v="2322"/>
    <n v="1588.65"/>
    <n v="733.35"/>
    <x v="1"/>
    <x v="0"/>
    <n v="0.31582687338501292"/>
  </r>
  <r>
    <n v="3776"/>
    <d v="2023-12-17T00:00:00"/>
    <x v="3"/>
    <x v="2"/>
    <x v="10"/>
    <x v="3"/>
    <n v="8"/>
    <n v="440"/>
    <n v="20"/>
    <n v="2816"/>
    <n v="1651.36"/>
    <n v="1164.6400000000001"/>
    <x v="6"/>
    <x v="1"/>
    <n v="0.41357954545454551"/>
  </r>
  <r>
    <n v="3777"/>
    <d v="2023-11-17T00:00:00"/>
    <x v="0"/>
    <x v="0"/>
    <x v="12"/>
    <x v="5"/>
    <n v="4"/>
    <n v="444"/>
    <n v="10"/>
    <n v="1598.4"/>
    <n v="957.53"/>
    <n v="640.87"/>
    <x v="3"/>
    <x v="1"/>
    <n v="0.40094469469469468"/>
  </r>
  <r>
    <n v="3778"/>
    <d v="2023-01-27T00:00:00"/>
    <x v="3"/>
    <x v="1"/>
    <x v="16"/>
    <x v="0"/>
    <n v="4"/>
    <n v="307"/>
    <n v="15"/>
    <n v="1043.8"/>
    <n v="816.14"/>
    <n v="227.66"/>
    <x v="11"/>
    <x v="1"/>
    <n v="0.21810691703391455"/>
  </r>
  <r>
    <n v="3779"/>
    <d v="2024-07-16T00:00:00"/>
    <x v="3"/>
    <x v="1"/>
    <x v="16"/>
    <x v="2"/>
    <n v="6"/>
    <n v="720"/>
    <n v="0"/>
    <n v="4320"/>
    <n v="2494.9"/>
    <n v="1825.1"/>
    <x v="5"/>
    <x v="0"/>
    <n v="0.42247685185185185"/>
  </r>
  <r>
    <n v="3780"/>
    <d v="2024-08-24T00:00:00"/>
    <x v="0"/>
    <x v="0"/>
    <x v="0"/>
    <x v="2"/>
    <n v="6"/>
    <n v="222"/>
    <n v="15"/>
    <n v="1132.2"/>
    <n v="650.51"/>
    <n v="481.69"/>
    <x v="2"/>
    <x v="0"/>
    <n v="0.42544603426956368"/>
  </r>
  <r>
    <n v="3781"/>
    <d v="2023-04-03T00:00:00"/>
    <x v="3"/>
    <x v="4"/>
    <x v="9"/>
    <x v="3"/>
    <n v="1"/>
    <n v="90"/>
    <n v="15"/>
    <n v="76.5"/>
    <n v="51.91"/>
    <n v="24.59"/>
    <x v="10"/>
    <x v="1"/>
    <n v="0.32143790849673204"/>
  </r>
  <r>
    <n v="3782"/>
    <d v="2024-01-15T00:00:00"/>
    <x v="3"/>
    <x v="1"/>
    <x v="7"/>
    <x v="3"/>
    <n v="3"/>
    <n v="346"/>
    <n v="10"/>
    <n v="934.2"/>
    <n v="521.92999999999995"/>
    <n v="412.27"/>
    <x v="11"/>
    <x v="0"/>
    <n v="0.44130807107685716"/>
  </r>
  <r>
    <n v="3783"/>
    <d v="2023-10-11T00:00:00"/>
    <x v="0"/>
    <x v="4"/>
    <x v="8"/>
    <x v="0"/>
    <n v="2"/>
    <n v="147"/>
    <n v="15"/>
    <n v="249.9"/>
    <n v="165.92"/>
    <n v="83.98"/>
    <x v="1"/>
    <x v="1"/>
    <n v="0.33605442176870748"/>
  </r>
  <r>
    <n v="3784"/>
    <d v="2023-07-08T00:00:00"/>
    <x v="1"/>
    <x v="2"/>
    <x v="17"/>
    <x v="3"/>
    <n v="10"/>
    <n v="917"/>
    <n v="15"/>
    <n v="7794.5"/>
    <n v="3940.96"/>
    <n v="3853.54"/>
    <x v="5"/>
    <x v="1"/>
    <n v="0.49439219962794279"/>
  </r>
  <r>
    <n v="3785"/>
    <d v="2024-05-18T00:00:00"/>
    <x v="3"/>
    <x v="1"/>
    <x v="16"/>
    <x v="0"/>
    <n v="3"/>
    <n v="910"/>
    <n v="5"/>
    <n v="2593.5"/>
    <n v="1307.18"/>
    <n v="1286.32"/>
    <x v="7"/>
    <x v="0"/>
    <n v="0.49597840755735489"/>
  </r>
  <r>
    <n v="3786"/>
    <d v="2023-03-24T00:00:00"/>
    <x v="1"/>
    <x v="1"/>
    <x v="2"/>
    <x v="1"/>
    <n v="3"/>
    <n v="195"/>
    <n v="20"/>
    <n v="468"/>
    <n v="360.29"/>
    <n v="107.71"/>
    <x v="8"/>
    <x v="1"/>
    <n v="0.23014957264957264"/>
  </r>
  <r>
    <n v="3787"/>
    <d v="2023-06-30T00:00:00"/>
    <x v="2"/>
    <x v="1"/>
    <x v="7"/>
    <x v="2"/>
    <n v="1"/>
    <n v="343"/>
    <n v="5"/>
    <n v="325.85000000000002"/>
    <n v="180.95"/>
    <n v="144.9"/>
    <x v="4"/>
    <x v="1"/>
    <n v="0.44468313641245971"/>
  </r>
  <r>
    <n v="3788"/>
    <d v="2024-09-26T00:00:00"/>
    <x v="3"/>
    <x v="1"/>
    <x v="2"/>
    <x v="0"/>
    <n v="5"/>
    <n v="161"/>
    <n v="15"/>
    <n v="684.25"/>
    <n v="532.78"/>
    <n v="151.47"/>
    <x v="0"/>
    <x v="0"/>
    <n v="0.2213664596273292"/>
  </r>
  <r>
    <n v="3789"/>
    <d v="2023-09-19T00:00:00"/>
    <x v="2"/>
    <x v="2"/>
    <x v="17"/>
    <x v="0"/>
    <n v="10"/>
    <n v="907"/>
    <n v="5"/>
    <n v="8616.5"/>
    <n v="4381.83"/>
    <n v="4234.67"/>
    <x v="0"/>
    <x v="1"/>
    <n v="0.49146056983694075"/>
  </r>
  <r>
    <n v="3790"/>
    <d v="2023-06-16T00:00:00"/>
    <x v="3"/>
    <x v="2"/>
    <x v="3"/>
    <x v="1"/>
    <n v="6"/>
    <n v="709"/>
    <n v="0"/>
    <n v="4254"/>
    <n v="2738.96"/>
    <n v="1515.04"/>
    <x v="4"/>
    <x v="1"/>
    <n v="0.35614480488951572"/>
  </r>
  <r>
    <n v="3791"/>
    <d v="2024-01-01T00:00:00"/>
    <x v="2"/>
    <x v="3"/>
    <x v="15"/>
    <x v="2"/>
    <n v="10"/>
    <n v="558"/>
    <n v="20"/>
    <n v="4464"/>
    <n v="2288.7199999999998"/>
    <n v="2175.2800000000002"/>
    <x v="11"/>
    <x v="0"/>
    <n v="0.48729390681003587"/>
  </r>
  <r>
    <n v="3792"/>
    <d v="2023-08-03T00:00:00"/>
    <x v="0"/>
    <x v="1"/>
    <x v="16"/>
    <x v="0"/>
    <n v="9"/>
    <n v="13"/>
    <n v="0"/>
    <n v="117"/>
    <n v="69.41"/>
    <n v="47.59"/>
    <x v="2"/>
    <x v="1"/>
    <n v="0.40675213675213678"/>
  </r>
  <r>
    <n v="3793"/>
    <d v="2023-07-29T00:00:00"/>
    <x v="2"/>
    <x v="0"/>
    <x v="0"/>
    <x v="1"/>
    <n v="7"/>
    <n v="379"/>
    <n v="15"/>
    <n v="2255.0500000000002"/>
    <n v="1672.26"/>
    <n v="582.79"/>
    <x v="5"/>
    <x v="1"/>
    <n v="0.25843772865346665"/>
  </r>
  <r>
    <n v="3794"/>
    <d v="2023-10-20T00:00:00"/>
    <x v="0"/>
    <x v="3"/>
    <x v="15"/>
    <x v="5"/>
    <n v="3"/>
    <n v="637"/>
    <n v="5"/>
    <n v="1815.45"/>
    <n v="1008.56"/>
    <n v="806.89"/>
    <x v="1"/>
    <x v="1"/>
    <n v="0.44445729708887599"/>
  </r>
  <r>
    <n v="3795"/>
    <d v="2023-05-12T00:00:00"/>
    <x v="3"/>
    <x v="3"/>
    <x v="19"/>
    <x v="1"/>
    <n v="5"/>
    <n v="196"/>
    <n v="10"/>
    <n v="882"/>
    <n v="451.05"/>
    <n v="430.95"/>
    <x v="7"/>
    <x v="1"/>
    <n v="0.48860544217687074"/>
  </r>
  <r>
    <n v="3796"/>
    <d v="2024-11-06T00:00:00"/>
    <x v="2"/>
    <x v="2"/>
    <x v="3"/>
    <x v="0"/>
    <n v="1"/>
    <n v="393"/>
    <n v="10"/>
    <n v="353.7"/>
    <n v="229.62"/>
    <n v="124.08"/>
    <x v="3"/>
    <x v="0"/>
    <n v="0.35080576759966076"/>
  </r>
  <r>
    <n v="3797"/>
    <d v="2023-08-09T00:00:00"/>
    <x v="3"/>
    <x v="0"/>
    <x v="13"/>
    <x v="3"/>
    <n v="4"/>
    <n v="215"/>
    <n v="15"/>
    <n v="731"/>
    <n v="396.61"/>
    <n v="334.39"/>
    <x v="2"/>
    <x v="1"/>
    <n v="0.45744186046511626"/>
  </r>
  <r>
    <n v="3798"/>
    <d v="2023-12-14T00:00:00"/>
    <x v="3"/>
    <x v="4"/>
    <x v="9"/>
    <x v="3"/>
    <n v="10"/>
    <n v="789"/>
    <n v="15"/>
    <n v="6706.5"/>
    <n v="4482.57"/>
    <n v="2223.9299999999998"/>
    <x v="6"/>
    <x v="1"/>
    <n v="0.33160814135540145"/>
  </r>
  <r>
    <n v="3799"/>
    <d v="2024-01-11T00:00:00"/>
    <x v="0"/>
    <x v="1"/>
    <x v="16"/>
    <x v="4"/>
    <n v="3"/>
    <n v="872"/>
    <n v="20"/>
    <n v="2092.8000000000002"/>
    <n v="1320.46"/>
    <n v="772.34"/>
    <x v="11"/>
    <x v="0"/>
    <n v="0.36904625382262995"/>
  </r>
  <r>
    <n v="3800"/>
    <d v="2024-01-04T00:00:00"/>
    <x v="3"/>
    <x v="0"/>
    <x v="12"/>
    <x v="4"/>
    <n v="3"/>
    <n v="955"/>
    <n v="20"/>
    <n v="2292"/>
    <n v="1769.68"/>
    <n v="522.32000000000005"/>
    <x v="11"/>
    <x v="0"/>
    <n v="0.22788830715532288"/>
  </r>
  <r>
    <n v="3801"/>
    <d v="2024-10-16T00:00:00"/>
    <x v="1"/>
    <x v="3"/>
    <x v="19"/>
    <x v="4"/>
    <n v="4"/>
    <n v="870"/>
    <n v="10"/>
    <n v="3132"/>
    <n v="1793.45"/>
    <n v="1338.55"/>
    <x v="1"/>
    <x v="0"/>
    <n v="0.42737867177522348"/>
  </r>
  <r>
    <n v="3802"/>
    <d v="2023-03-31T00:00:00"/>
    <x v="1"/>
    <x v="3"/>
    <x v="11"/>
    <x v="3"/>
    <n v="5"/>
    <n v="12"/>
    <n v="10"/>
    <n v="54"/>
    <n v="41.95"/>
    <n v="12.05"/>
    <x v="8"/>
    <x v="1"/>
    <n v="0.22314814814814815"/>
  </r>
  <r>
    <n v="3803"/>
    <d v="2024-02-06T00:00:00"/>
    <x v="2"/>
    <x v="1"/>
    <x v="16"/>
    <x v="0"/>
    <n v="10"/>
    <n v="812"/>
    <n v="10"/>
    <n v="7308"/>
    <n v="4889.72"/>
    <n v="2418.2800000000002"/>
    <x v="9"/>
    <x v="0"/>
    <n v="0.33090859332238648"/>
  </r>
  <r>
    <n v="3804"/>
    <d v="2024-10-24T00:00:00"/>
    <x v="2"/>
    <x v="1"/>
    <x v="16"/>
    <x v="2"/>
    <n v="8"/>
    <n v="385"/>
    <n v="0"/>
    <n v="3080"/>
    <n v="2284.29"/>
    <n v="795.71"/>
    <x v="1"/>
    <x v="0"/>
    <n v="0.25834740259740263"/>
  </r>
  <r>
    <n v="3805"/>
    <d v="2024-09-16T00:00:00"/>
    <x v="3"/>
    <x v="4"/>
    <x v="18"/>
    <x v="4"/>
    <n v="3"/>
    <n v="1000"/>
    <n v="5"/>
    <n v="2850"/>
    <n v="2037.85"/>
    <n v="812.15"/>
    <x v="0"/>
    <x v="0"/>
    <n v="0.28496491228070175"/>
  </r>
  <r>
    <n v="3806"/>
    <d v="2023-11-08T00:00:00"/>
    <x v="0"/>
    <x v="4"/>
    <x v="18"/>
    <x v="3"/>
    <n v="10"/>
    <n v="920"/>
    <n v="5"/>
    <n v="8740"/>
    <n v="4823.07"/>
    <n v="3916.93"/>
    <x v="3"/>
    <x v="1"/>
    <n v="0.44816132723112129"/>
  </r>
  <r>
    <n v="3807"/>
    <d v="2024-11-25T00:00:00"/>
    <x v="1"/>
    <x v="4"/>
    <x v="14"/>
    <x v="2"/>
    <n v="8"/>
    <n v="551"/>
    <n v="20"/>
    <n v="3526.4"/>
    <n v="2538.5"/>
    <n v="987.9"/>
    <x v="3"/>
    <x v="0"/>
    <n v="0.28014405626134298"/>
  </r>
  <r>
    <n v="3808"/>
    <d v="2023-09-02T00:00:00"/>
    <x v="3"/>
    <x v="1"/>
    <x v="2"/>
    <x v="3"/>
    <n v="6"/>
    <n v="172"/>
    <n v="5"/>
    <n v="980.4"/>
    <n v="673.18"/>
    <n v="307.22000000000003"/>
    <x v="0"/>
    <x v="1"/>
    <n v="0.31336189310485518"/>
  </r>
  <r>
    <n v="3809"/>
    <d v="2023-11-09T00:00:00"/>
    <x v="2"/>
    <x v="0"/>
    <x v="1"/>
    <x v="4"/>
    <n v="4"/>
    <n v="358"/>
    <n v="10"/>
    <n v="1288.8"/>
    <n v="1007.19"/>
    <n v="281.61"/>
    <x v="3"/>
    <x v="1"/>
    <n v="0.21850558659217878"/>
  </r>
  <r>
    <n v="3810"/>
    <d v="2024-08-20T00:00:00"/>
    <x v="2"/>
    <x v="3"/>
    <x v="11"/>
    <x v="2"/>
    <n v="5"/>
    <n v="579"/>
    <n v="5"/>
    <n v="2750.25"/>
    <n v="2167.33"/>
    <n v="582.91999999999996"/>
    <x v="2"/>
    <x v="0"/>
    <n v="0.21195164075993089"/>
  </r>
  <r>
    <n v="3811"/>
    <d v="2023-07-29T00:00:00"/>
    <x v="3"/>
    <x v="0"/>
    <x v="13"/>
    <x v="5"/>
    <n v="8"/>
    <n v="150"/>
    <n v="10"/>
    <n v="1080"/>
    <n v="842.96"/>
    <n v="237.04"/>
    <x v="5"/>
    <x v="1"/>
    <n v="0.21948148148148147"/>
  </r>
  <r>
    <n v="3812"/>
    <d v="2023-01-16T00:00:00"/>
    <x v="0"/>
    <x v="3"/>
    <x v="15"/>
    <x v="4"/>
    <n v="2"/>
    <n v="337"/>
    <n v="20"/>
    <n v="539.20000000000005"/>
    <n v="343.86"/>
    <n v="195.34"/>
    <x v="11"/>
    <x v="1"/>
    <n v="0.36227744807121659"/>
  </r>
  <r>
    <n v="3813"/>
    <d v="2024-04-01T00:00:00"/>
    <x v="3"/>
    <x v="4"/>
    <x v="8"/>
    <x v="0"/>
    <n v="4"/>
    <n v="865"/>
    <n v="0"/>
    <n v="3460"/>
    <n v="2030.26"/>
    <n v="1429.74"/>
    <x v="10"/>
    <x v="0"/>
    <n v="0.41321965317919074"/>
  </r>
  <r>
    <n v="3814"/>
    <d v="2024-11-07T00:00:00"/>
    <x v="3"/>
    <x v="4"/>
    <x v="14"/>
    <x v="4"/>
    <n v="9"/>
    <n v="767"/>
    <n v="10"/>
    <n v="6212.7"/>
    <n v="4732.53"/>
    <n v="1480.17"/>
    <x v="3"/>
    <x v="0"/>
    <n v="0.2382490704524603"/>
  </r>
  <r>
    <n v="3815"/>
    <d v="2023-03-02T00:00:00"/>
    <x v="2"/>
    <x v="4"/>
    <x v="9"/>
    <x v="1"/>
    <n v="7"/>
    <n v="908"/>
    <n v="15"/>
    <n v="5402.6"/>
    <n v="3006.36"/>
    <n v="2396.2399999999998"/>
    <x v="8"/>
    <x v="1"/>
    <n v="0.44353459445452181"/>
  </r>
  <r>
    <n v="3816"/>
    <d v="2024-12-05T00:00:00"/>
    <x v="0"/>
    <x v="4"/>
    <x v="9"/>
    <x v="1"/>
    <n v="2"/>
    <n v="469"/>
    <n v="15"/>
    <n v="797.3"/>
    <n v="411.46"/>
    <n v="385.84"/>
    <x v="6"/>
    <x v="0"/>
    <n v="0.48393327480245829"/>
  </r>
  <r>
    <n v="3817"/>
    <d v="2024-12-15T00:00:00"/>
    <x v="3"/>
    <x v="4"/>
    <x v="9"/>
    <x v="5"/>
    <n v="9"/>
    <n v="273"/>
    <n v="15"/>
    <n v="2088.4499999999998"/>
    <n v="1650.18"/>
    <n v="438.27"/>
    <x v="6"/>
    <x v="0"/>
    <n v="0.20985419808949221"/>
  </r>
  <r>
    <n v="3818"/>
    <d v="2023-11-27T00:00:00"/>
    <x v="0"/>
    <x v="1"/>
    <x v="7"/>
    <x v="1"/>
    <n v="3"/>
    <n v="959"/>
    <n v="0"/>
    <n v="2877"/>
    <n v="1883.53"/>
    <n v="993.47"/>
    <x v="3"/>
    <x v="1"/>
    <n v="0.3453145637817171"/>
  </r>
  <r>
    <n v="3819"/>
    <d v="2024-02-21T00:00:00"/>
    <x v="1"/>
    <x v="1"/>
    <x v="7"/>
    <x v="0"/>
    <n v="2"/>
    <n v="111"/>
    <n v="0"/>
    <n v="222"/>
    <n v="172.32"/>
    <n v="49.68"/>
    <x v="9"/>
    <x v="0"/>
    <n v="0.22378378378378377"/>
  </r>
  <r>
    <n v="3820"/>
    <d v="2024-06-10T00:00:00"/>
    <x v="0"/>
    <x v="2"/>
    <x v="17"/>
    <x v="2"/>
    <n v="3"/>
    <n v="298"/>
    <n v="0"/>
    <n v="894"/>
    <n v="659.39"/>
    <n v="234.61"/>
    <x v="4"/>
    <x v="0"/>
    <n v="0.262427293064877"/>
  </r>
  <r>
    <n v="3821"/>
    <d v="2024-12-06T00:00:00"/>
    <x v="1"/>
    <x v="1"/>
    <x v="5"/>
    <x v="1"/>
    <n v="3"/>
    <n v="283"/>
    <n v="20"/>
    <n v="679.2"/>
    <n v="541.03"/>
    <n v="138.16999999999999"/>
    <x v="6"/>
    <x v="0"/>
    <n v="0.20343050647820962"/>
  </r>
  <r>
    <n v="3822"/>
    <d v="2023-07-21T00:00:00"/>
    <x v="2"/>
    <x v="0"/>
    <x v="13"/>
    <x v="1"/>
    <n v="9"/>
    <n v="95"/>
    <n v="20"/>
    <n v="684"/>
    <n v="456.12"/>
    <n v="227.88"/>
    <x v="5"/>
    <x v="1"/>
    <n v="0.3331578947368421"/>
  </r>
  <r>
    <n v="3823"/>
    <d v="2023-04-24T00:00:00"/>
    <x v="3"/>
    <x v="1"/>
    <x v="5"/>
    <x v="3"/>
    <n v="7"/>
    <n v="444"/>
    <n v="20"/>
    <n v="2486.4"/>
    <n v="1712.3"/>
    <n v="774.1"/>
    <x v="10"/>
    <x v="1"/>
    <n v="0.31133365508365507"/>
  </r>
  <r>
    <n v="3824"/>
    <d v="2023-02-09T00:00:00"/>
    <x v="3"/>
    <x v="0"/>
    <x v="0"/>
    <x v="4"/>
    <n v="6"/>
    <n v="696"/>
    <n v="15"/>
    <n v="3549.6"/>
    <n v="2664.1"/>
    <n v="885.5"/>
    <x v="9"/>
    <x v="1"/>
    <n v="0.24946472842010367"/>
  </r>
  <r>
    <n v="3825"/>
    <d v="2023-07-22T00:00:00"/>
    <x v="3"/>
    <x v="2"/>
    <x v="10"/>
    <x v="5"/>
    <n v="7"/>
    <n v="728"/>
    <n v="20"/>
    <n v="4076.8"/>
    <n v="3253.75"/>
    <n v="823.05"/>
    <x v="5"/>
    <x v="1"/>
    <n v="0.20188628335949763"/>
  </r>
  <r>
    <n v="3826"/>
    <d v="2024-09-01T00:00:00"/>
    <x v="2"/>
    <x v="0"/>
    <x v="12"/>
    <x v="0"/>
    <n v="2"/>
    <n v="519"/>
    <n v="0"/>
    <n v="1038"/>
    <n v="746.43"/>
    <n v="291.57"/>
    <x v="0"/>
    <x v="0"/>
    <n v="0.28089595375722543"/>
  </r>
  <r>
    <n v="3827"/>
    <d v="2023-04-16T00:00:00"/>
    <x v="0"/>
    <x v="3"/>
    <x v="15"/>
    <x v="4"/>
    <n v="8"/>
    <n v="741"/>
    <n v="20"/>
    <n v="4742.3999999999996"/>
    <n v="3604.01"/>
    <n v="1138.3900000000001"/>
    <x v="10"/>
    <x v="1"/>
    <n v="0.24004512483130908"/>
  </r>
  <r>
    <n v="3828"/>
    <d v="2024-07-20T00:00:00"/>
    <x v="0"/>
    <x v="3"/>
    <x v="11"/>
    <x v="3"/>
    <n v="1"/>
    <n v="225"/>
    <n v="15"/>
    <n v="191.25"/>
    <n v="113.41"/>
    <n v="77.84"/>
    <x v="5"/>
    <x v="0"/>
    <n v="0.40700653594771241"/>
  </r>
  <r>
    <n v="3829"/>
    <d v="2023-09-01T00:00:00"/>
    <x v="0"/>
    <x v="0"/>
    <x v="13"/>
    <x v="3"/>
    <n v="7"/>
    <n v="214"/>
    <n v="20"/>
    <n v="1198.4000000000001"/>
    <n v="915.24"/>
    <n v="283.16000000000003"/>
    <x v="0"/>
    <x v="1"/>
    <n v="0.23628170894526035"/>
  </r>
  <r>
    <n v="3830"/>
    <d v="2023-04-04T00:00:00"/>
    <x v="3"/>
    <x v="2"/>
    <x v="17"/>
    <x v="5"/>
    <n v="4"/>
    <n v="550"/>
    <n v="15"/>
    <n v="1870"/>
    <n v="1463.36"/>
    <n v="406.64"/>
    <x v="10"/>
    <x v="1"/>
    <n v="0.21745454545454546"/>
  </r>
  <r>
    <n v="3831"/>
    <d v="2023-06-18T00:00:00"/>
    <x v="2"/>
    <x v="3"/>
    <x v="11"/>
    <x v="5"/>
    <n v="8"/>
    <n v="649"/>
    <n v="0"/>
    <n v="5192"/>
    <n v="2909.13"/>
    <n v="2282.87"/>
    <x v="4"/>
    <x v="1"/>
    <n v="0.43968990755007703"/>
  </r>
  <r>
    <n v="3832"/>
    <d v="2023-11-10T00:00:00"/>
    <x v="0"/>
    <x v="3"/>
    <x v="4"/>
    <x v="4"/>
    <n v="3"/>
    <n v="462"/>
    <n v="20"/>
    <n v="1108.8"/>
    <n v="568.4"/>
    <n v="540.4"/>
    <x v="3"/>
    <x v="1"/>
    <n v="0.48737373737373735"/>
  </r>
  <r>
    <n v="3833"/>
    <d v="2023-05-14T00:00:00"/>
    <x v="1"/>
    <x v="0"/>
    <x v="0"/>
    <x v="1"/>
    <n v="8"/>
    <n v="845"/>
    <n v="0"/>
    <n v="6760"/>
    <n v="3700.13"/>
    <n v="3059.87"/>
    <x v="7"/>
    <x v="1"/>
    <n v="0.45264349112426033"/>
  </r>
  <r>
    <n v="3834"/>
    <d v="2024-09-15T00:00:00"/>
    <x v="2"/>
    <x v="2"/>
    <x v="17"/>
    <x v="5"/>
    <n v="2"/>
    <n v="641"/>
    <n v="10"/>
    <n v="1153.8"/>
    <n v="845.43"/>
    <n v="308.37"/>
    <x v="0"/>
    <x v="0"/>
    <n v="0.26726469058762353"/>
  </r>
  <r>
    <n v="3835"/>
    <d v="2024-03-01T00:00:00"/>
    <x v="0"/>
    <x v="1"/>
    <x v="16"/>
    <x v="2"/>
    <n v="3"/>
    <n v="874"/>
    <n v="0"/>
    <n v="2622"/>
    <n v="1351.05"/>
    <n v="1270.95"/>
    <x v="8"/>
    <x v="0"/>
    <n v="0.48472540045766593"/>
  </r>
  <r>
    <n v="3836"/>
    <d v="2023-04-13T00:00:00"/>
    <x v="0"/>
    <x v="3"/>
    <x v="11"/>
    <x v="3"/>
    <n v="3"/>
    <n v="179"/>
    <n v="10"/>
    <n v="483.3"/>
    <n v="277.48"/>
    <n v="205.82"/>
    <x v="10"/>
    <x v="1"/>
    <n v="0.42586385267949511"/>
  </r>
  <r>
    <n v="3837"/>
    <d v="2023-12-26T00:00:00"/>
    <x v="2"/>
    <x v="1"/>
    <x v="7"/>
    <x v="4"/>
    <n v="8"/>
    <n v="417"/>
    <n v="15"/>
    <n v="2835.6"/>
    <n v="1722.97"/>
    <n v="1112.6300000000001"/>
    <x v="6"/>
    <x v="1"/>
    <n v="0.39237903794611373"/>
  </r>
  <r>
    <n v="3838"/>
    <d v="2023-01-19T00:00:00"/>
    <x v="1"/>
    <x v="1"/>
    <x v="2"/>
    <x v="0"/>
    <n v="5"/>
    <n v="544"/>
    <n v="15"/>
    <n v="2312"/>
    <n v="1173.92"/>
    <n v="1138.08"/>
    <x v="11"/>
    <x v="1"/>
    <n v="0.49224913494809686"/>
  </r>
  <r>
    <n v="3839"/>
    <d v="2023-08-30T00:00:00"/>
    <x v="1"/>
    <x v="2"/>
    <x v="10"/>
    <x v="3"/>
    <n v="4"/>
    <n v="520"/>
    <n v="5"/>
    <n v="1976"/>
    <n v="1130.48"/>
    <n v="845.52"/>
    <x v="2"/>
    <x v="1"/>
    <n v="0.42789473684210527"/>
  </r>
  <r>
    <n v="3840"/>
    <d v="2024-06-14T00:00:00"/>
    <x v="0"/>
    <x v="4"/>
    <x v="18"/>
    <x v="4"/>
    <n v="1"/>
    <n v="593"/>
    <n v="0"/>
    <n v="593"/>
    <n v="312.26"/>
    <n v="280.74"/>
    <x v="4"/>
    <x v="0"/>
    <n v="0.47342327150084318"/>
  </r>
  <r>
    <n v="3841"/>
    <d v="2024-07-11T00:00:00"/>
    <x v="1"/>
    <x v="1"/>
    <x v="5"/>
    <x v="4"/>
    <n v="3"/>
    <n v="451"/>
    <n v="20"/>
    <n v="1082.4000000000001"/>
    <n v="836.37"/>
    <n v="246.03"/>
    <x v="5"/>
    <x v="0"/>
    <n v="0.22730044345898004"/>
  </r>
  <r>
    <n v="3842"/>
    <d v="2024-07-27T00:00:00"/>
    <x v="2"/>
    <x v="1"/>
    <x v="16"/>
    <x v="0"/>
    <n v="1"/>
    <n v="95"/>
    <n v="20"/>
    <n v="76"/>
    <n v="52.44"/>
    <n v="23.56"/>
    <x v="5"/>
    <x v="0"/>
    <n v="0.31"/>
  </r>
  <r>
    <n v="3843"/>
    <d v="2024-09-27T00:00:00"/>
    <x v="2"/>
    <x v="0"/>
    <x v="1"/>
    <x v="2"/>
    <n v="2"/>
    <n v="266"/>
    <n v="0"/>
    <n v="532"/>
    <n v="389.29"/>
    <n v="142.71"/>
    <x v="0"/>
    <x v="0"/>
    <n v="0.26825187969924813"/>
  </r>
  <r>
    <n v="3844"/>
    <d v="2023-06-17T00:00:00"/>
    <x v="3"/>
    <x v="3"/>
    <x v="19"/>
    <x v="1"/>
    <n v="3"/>
    <n v="35"/>
    <n v="0"/>
    <n v="105"/>
    <n v="73.040000000000006"/>
    <n v="31.96"/>
    <x v="4"/>
    <x v="1"/>
    <n v="0.30438095238095236"/>
  </r>
  <r>
    <n v="3845"/>
    <d v="2023-12-25T00:00:00"/>
    <x v="0"/>
    <x v="4"/>
    <x v="8"/>
    <x v="4"/>
    <n v="8"/>
    <n v="260"/>
    <n v="10"/>
    <n v="1872"/>
    <n v="1189.17"/>
    <n v="682.83"/>
    <x v="6"/>
    <x v="1"/>
    <n v="0.36475961538461543"/>
  </r>
  <r>
    <n v="3846"/>
    <d v="2023-09-19T00:00:00"/>
    <x v="2"/>
    <x v="1"/>
    <x v="2"/>
    <x v="5"/>
    <n v="4"/>
    <n v="737"/>
    <n v="15"/>
    <n v="2505.8000000000002"/>
    <n v="1988.1"/>
    <n v="517.70000000000005"/>
    <x v="0"/>
    <x v="1"/>
    <n v="0.20660068640753451"/>
  </r>
  <r>
    <n v="3847"/>
    <d v="2023-04-06T00:00:00"/>
    <x v="2"/>
    <x v="4"/>
    <x v="18"/>
    <x v="0"/>
    <n v="4"/>
    <n v="653"/>
    <n v="10"/>
    <n v="2350.8000000000002"/>
    <n v="1261.23"/>
    <n v="1089.57"/>
    <x v="10"/>
    <x v="1"/>
    <n v="0.46348902501276157"/>
  </r>
  <r>
    <n v="3848"/>
    <d v="2024-06-02T00:00:00"/>
    <x v="0"/>
    <x v="2"/>
    <x v="6"/>
    <x v="4"/>
    <n v="4"/>
    <n v="523"/>
    <n v="5"/>
    <n v="1987.4"/>
    <n v="1146.6099999999999"/>
    <n v="840.79"/>
    <x v="4"/>
    <x v="0"/>
    <n v="0.42306027976250371"/>
  </r>
  <r>
    <n v="3849"/>
    <d v="2024-02-23T00:00:00"/>
    <x v="1"/>
    <x v="2"/>
    <x v="3"/>
    <x v="1"/>
    <n v="10"/>
    <n v="243"/>
    <n v="10"/>
    <n v="2187"/>
    <n v="1487.27"/>
    <n v="699.73"/>
    <x v="9"/>
    <x v="0"/>
    <n v="0.31994970278920898"/>
  </r>
  <r>
    <n v="3850"/>
    <d v="2024-03-27T00:00:00"/>
    <x v="2"/>
    <x v="3"/>
    <x v="19"/>
    <x v="4"/>
    <n v="2"/>
    <n v="679"/>
    <n v="10"/>
    <n v="1222.2"/>
    <n v="925.98"/>
    <n v="296.22000000000003"/>
    <x v="8"/>
    <x v="0"/>
    <n v="0.24236622484045167"/>
  </r>
  <r>
    <n v="3851"/>
    <d v="2023-06-14T00:00:00"/>
    <x v="2"/>
    <x v="4"/>
    <x v="14"/>
    <x v="2"/>
    <n v="9"/>
    <n v="921"/>
    <n v="0"/>
    <n v="8289"/>
    <n v="5945.96"/>
    <n v="2343.04"/>
    <x v="4"/>
    <x v="1"/>
    <n v="0.2826685969356979"/>
  </r>
  <r>
    <n v="3852"/>
    <d v="2024-09-17T00:00:00"/>
    <x v="3"/>
    <x v="4"/>
    <x v="14"/>
    <x v="4"/>
    <n v="3"/>
    <n v="221"/>
    <n v="5"/>
    <n v="629.85"/>
    <n v="372.37"/>
    <n v="257.48"/>
    <x v="0"/>
    <x v="0"/>
    <n v="0.40879574501865523"/>
  </r>
  <r>
    <n v="3853"/>
    <d v="2023-06-17T00:00:00"/>
    <x v="2"/>
    <x v="4"/>
    <x v="8"/>
    <x v="3"/>
    <n v="1"/>
    <n v="430"/>
    <n v="20"/>
    <n v="344"/>
    <n v="237.33"/>
    <n v="106.67"/>
    <x v="4"/>
    <x v="1"/>
    <n v="0.31008720930232558"/>
  </r>
  <r>
    <n v="3854"/>
    <d v="2024-08-17T00:00:00"/>
    <x v="3"/>
    <x v="2"/>
    <x v="17"/>
    <x v="2"/>
    <n v="7"/>
    <n v="265"/>
    <n v="15"/>
    <n v="1576.75"/>
    <n v="804.74"/>
    <n v="772.01"/>
    <x v="2"/>
    <x v="0"/>
    <n v="0.48962105596955763"/>
  </r>
  <r>
    <n v="3855"/>
    <d v="2024-12-20T00:00:00"/>
    <x v="3"/>
    <x v="0"/>
    <x v="12"/>
    <x v="0"/>
    <n v="2"/>
    <n v="666"/>
    <n v="20"/>
    <n v="1065.5999999999999"/>
    <n v="849.27"/>
    <n v="216.33"/>
    <x v="6"/>
    <x v="0"/>
    <n v="0.20301238738738742"/>
  </r>
  <r>
    <n v="3856"/>
    <d v="2024-07-21T00:00:00"/>
    <x v="1"/>
    <x v="4"/>
    <x v="14"/>
    <x v="0"/>
    <n v="4"/>
    <n v="911"/>
    <n v="20"/>
    <n v="2915.2"/>
    <n v="1610.31"/>
    <n v="1304.8900000000001"/>
    <x v="5"/>
    <x v="0"/>
    <n v="0.44761594401756316"/>
  </r>
  <r>
    <n v="3857"/>
    <d v="2024-08-18T00:00:00"/>
    <x v="3"/>
    <x v="3"/>
    <x v="4"/>
    <x v="0"/>
    <n v="1"/>
    <n v="320"/>
    <n v="5"/>
    <n v="304"/>
    <n v="209.33"/>
    <n v="94.67"/>
    <x v="2"/>
    <x v="0"/>
    <n v="0.31141447368421055"/>
  </r>
  <r>
    <n v="3858"/>
    <d v="2024-12-03T00:00:00"/>
    <x v="3"/>
    <x v="0"/>
    <x v="1"/>
    <x v="5"/>
    <n v="6"/>
    <n v="849"/>
    <n v="15"/>
    <n v="4329.8999999999996"/>
    <n v="2538.12"/>
    <n v="1791.78"/>
    <x v="6"/>
    <x v="0"/>
    <n v="0.41381556156031318"/>
  </r>
  <r>
    <n v="3859"/>
    <d v="2023-11-18T00:00:00"/>
    <x v="2"/>
    <x v="3"/>
    <x v="4"/>
    <x v="5"/>
    <n v="5"/>
    <n v="769"/>
    <n v="0"/>
    <n v="3845"/>
    <n v="2751.35"/>
    <n v="1093.6500000000001"/>
    <x v="3"/>
    <x v="1"/>
    <n v="0.28443433029908977"/>
  </r>
  <r>
    <n v="3860"/>
    <d v="2023-07-18T00:00:00"/>
    <x v="1"/>
    <x v="3"/>
    <x v="15"/>
    <x v="0"/>
    <n v="8"/>
    <n v="290"/>
    <n v="0"/>
    <n v="2320"/>
    <n v="1386.6"/>
    <n v="933.4"/>
    <x v="5"/>
    <x v="1"/>
    <n v="0.40232758620689651"/>
  </r>
  <r>
    <n v="3861"/>
    <d v="2024-04-06T00:00:00"/>
    <x v="3"/>
    <x v="2"/>
    <x v="3"/>
    <x v="1"/>
    <n v="7"/>
    <n v="710"/>
    <n v="0"/>
    <n v="4970"/>
    <n v="3053.12"/>
    <n v="1916.88"/>
    <x v="10"/>
    <x v="0"/>
    <n v="0.38569014084507042"/>
  </r>
  <r>
    <n v="3862"/>
    <d v="2024-12-03T00:00:00"/>
    <x v="1"/>
    <x v="2"/>
    <x v="10"/>
    <x v="4"/>
    <n v="9"/>
    <n v="493"/>
    <n v="0"/>
    <n v="4437"/>
    <n v="3186.49"/>
    <n v="1250.51"/>
    <x v="6"/>
    <x v="0"/>
    <n v="0.28183682668469684"/>
  </r>
  <r>
    <n v="3863"/>
    <d v="2024-08-09T00:00:00"/>
    <x v="3"/>
    <x v="0"/>
    <x v="1"/>
    <x v="0"/>
    <n v="6"/>
    <n v="977"/>
    <n v="10"/>
    <n v="5275.8"/>
    <n v="3636.83"/>
    <n v="1638.97"/>
    <x v="2"/>
    <x v="0"/>
    <n v="0.31065809924561205"/>
  </r>
  <r>
    <n v="3864"/>
    <d v="2023-03-18T00:00:00"/>
    <x v="0"/>
    <x v="0"/>
    <x v="1"/>
    <x v="3"/>
    <n v="10"/>
    <n v="684"/>
    <n v="5"/>
    <n v="6498"/>
    <n v="3966.48"/>
    <n v="2531.52"/>
    <x v="8"/>
    <x v="1"/>
    <n v="0.38958448753462604"/>
  </r>
  <r>
    <n v="3865"/>
    <d v="2023-03-14T00:00:00"/>
    <x v="1"/>
    <x v="4"/>
    <x v="9"/>
    <x v="2"/>
    <n v="8"/>
    <n v="300"/>
    <n v="15"/>
    <n v="2040"/>
    <n v="1112.05"/>
    <n v="927.95"/>
    <x v="8"/>
    <x v="1"/>
    <n v="0.45487745098039217"/>
  </r>
  <r>
    <n v="3866"/>
    <d v="2023-12-24T00:00:00"/>
    <x v="0"/>
    <x v="1"/>
    <x v="7"/>
    <x v="3"/>
    <n v="1"/>
    <n v="225"/>
    <n v="20"/>
    <n v="180"/>
    <n v="112.47"/>
    <n v="67.53"/>
    <x v="6"/>
    <x v="1"/>
    <n v="0.37516666666666665"/>
  </r>
  <r>
    <n v="3867"/>
    <d v="2024-02-01T00:00:00"/>
    <x v="1"/>
    <x v="0"/>
    <x v="0"/>
    <x v="0"/>
    <n v="5"/>
    <n v="27"/>
    <n v="5"/>
    <n v="128.25"/>
    <n v="74.44"/>
    <n v="53.81"/>
    <x v="9"/>
    <x v="0"/>
    <n v="0.41957115009746593"/>
  </r>
  <r>
    <n v="3868"/>
    <d v="2023-10-07T00:00:00"/>
    <x v="3"/>
    <x v="1"/>
    <x v="7"/>
    <x v="3"/>
    <n v="10"/>
    <n v="208"/>
    <n v="10"/>
    <n v="1872"/>
    <n v="1256.78"/>
    <n v="615.22"/>
    <x v="1"/>
    <x v="1"/>
    <n v="0.32864316239316238"/>
  </r>
  <r>
    <n v="3869"/>
    <d v="2024-05-07T00:00:00"/>
    <x v="3"/>
    <x v="3"/>
    <x v="4"/>
    <x v="4"/>
    <n v="10"/>
    <n v="587"/>
    <n v="15"/>
    <n v="4989.5"/>
    <n v="2968.99"/>
    <n v="2020.51"/>
    <x v="7"/>
    <x v="0"/>
    <n v="0.40495240004008415"/>
  </r>
  <r>
    <n v="3870"/>
    <d v="2023-05-30T00:00:00"/>
    <x v="2"/>
    <x v="1"/>
    <x v="7"/>
    <x v="0"/>
    <n v="10"/>
    <n v="453"/>
    <n v="15"/>
    <n v="3850.5"/>
    <n v="2528.33"/>
    <n v="1322.17"/>
    <x v="7"/>
    <x v="1"/>
    <n v="0.34337618491105054"/>
  </r>
  <r>
    <n v="3871"/>
    <d v="2024-01-27T00:00:00"/>
    <x v="0"/>
    <x v="3"/>
    <x v="15"/>
    <x v="5"/>
    <n v="9"/>
    <n v="37"/>
    <n v="20"/>
    <n v="266.39999999999998"/>
    <n v="133.65"/>
    <n v="132.75"/>
    <x v="11"/>
    <x v="0"/>
    <n v="0.49831081081081086"/>
  </r>
  <r>
    <n v="3872"/>
    <d v="2023-05-24T00:00:00"/>
    <x v="0"/>
    <x v="3"/>
    <x v="11"/>
    <x v="4"/>
    <n v="10"/>
    <n v="150"/>
    <n v="10"/>
    <n v="1350"/>
    <n v="831.22"/>
    <n v="518.78"/>
    <x v="7"/>
    <x v="1"/>
    <n v="0.38428148148148145"/>
  </r>
  <r>
    <n v="3873"/>
    <d v="2024-01-16T00:00:00"/>
    <x v="2"/>
    <x v="4"/>
    <x v="8"/>
    <x v="4"/>
    <n v="10"/>
    <n v="933"/>
    <n v="0"/>
    <n v="9330"/>
    <n v="6554.73"/>
    <n v="2775.27"/>
    <x v="11"/>
    <x v="0"/>
    <n v="0.29745659163987137"/>
  </r>
  <r>
    <n v="3874"/>
    <d v="2023-12-01T00:00:00"/>
    <x v="0"/>
    <x v="0"/>
    <x v="0"/>
    <x v="3"/>
    <n v="7"/>
    <n v="194"/>
    <n v="5"/>
    <n v="1290.0999999999999"/>
    <n v="714.1"/>
    <n v="576"/>
    <x v="6"/>
    <x v="1"/>
    <n v="0.44647701728548178"/>
  </r>
  <r>
    <n v="3875"/>
    <d v="2024-07-11T00:00:00"/>
    <x v="3"/>
    <x v="3"/>
    <x v="11"/>
    <x v="2"/>
    <n v="2"/>
    <n v="629"/>
    <n v="5"/>
    <n v="1195.0999999999999"/>
    <n v="890.65"/>
    <n v="304.45"/>
    <x v="5"/>
    <x v="0"/>
    <n v="0.25474855660614176"/>
  </r>
  <r>
    <n v="3876"/>
    <d v="2024-08-14T00:00:00"/>
    <x v="1"/>
    <x v="2"/>
    <x v="6"/>
    <x v="3"/>
    <n v="1"/>
    <n v="273"/>
    <n v="0"/>
    <n v="273"/>
    <n v="185.38"/>
    <n v="87.62"/>
    <x v="2"/>
    <x v="0"/>
    <n v="0.32095238095238099"/>
  </r>
  <r>
    <n v="3877"/>
    <d v="2024-01-27T00:00:00"/>
    <x v="3"/>
    <x v="4"/>
    <x v="9"/>
    <x v="3"/>
    <n v="1"/>
    <n v="667"/>
    <n v="5"/>
    <n v="633.65"/>
    <n v="501.18"/>
    <n v="132.47"/>
    <x v="11"/>
    <x v="0"/>
    <n v="0.20905862858044663"/>
  </r>
  <r>
    <n v="3878"/>
    <d v="2024-09-18T00:00:00"/>
    <x v="1"/>
    <x v="2"/>
    <x v="17"/>
    <x v="0"/>
    <n v="1"/>
    <n v="222"/>
    <n v="5"/>
    <n v="210.9"/>
    <n v="164.91"/>
    <n v="45.99"/>
    <x v="0"/>
    <x v="0"/>
    <n v="0.21806543385490754"/>
  </r>
  <r>
    <n v="3879"/>
    <d v="2023-10-28T00:00:00"/>
    <x v="2"/>
    <x v="2"/>
    <x v="6"/>
    <x v="1"/>
    <n v="4"/>
    <n v="467"/>
    <n v="10"/>
    <n v="1681.2"/>
    <n v="1263.18"/>
    <n v="418.02"/>
    <x v="1"/>
    <x v="1"/>
    <n v="0.24864382583868663"/>
  </r>
  <r>
    <n v="3880"/>
    <d v="2023-11-05T00:00:00"/>
    <x v="0"/>
    <x v="3"/>
    <x v="15"/>
    <x v="5"/>
    <n v="9"/>
    <n v="973"/>
    <n v="10"/>
    <n v="7881.3"/>
    <n v="4110.88"/>
    <n v="3770.42"/>
    <x v="3"/>
    <x v="1"/>
    <n v="0.47840077144633497"/>
  </r>
  <r>
    <n v="3881"/>
    <d v="2023-03-08T00:00:00"/>
    <x v="3"/>
    <x v="2"/>
    <x v="3"/>
    <x v="1"/>
    <n v="10"/>
    <n v="406"/>
    <n v="5"/>
    <n v="3857"/>
    <n v="2197.98"/>
    <n v="1659.02"/>
    <x v="8"/>
    <x v="1"/>
    <n v="0.43013222711952293"/>
  </r>
  <r>
    <n v="3882"/>
    <d v="2024-02-12T00:00:00"/>
    <x v="3"/>
    <x v="1"/>
    <x v="5"/>
    <x v="5"/>
    <n v="1"/>
    <n v="649"/>
    <n v="10"/>
    <n v="584.1"/>
    <n v="391.33"/>
    <n v="192.77"/>
    <x v="9"/>
    <x v="0"/>
    <n v="0.33002910460537582"/>
  </r>
  <r>
    <n v="3883"/>
    <d v="2023-02-21T00:00:00"/>
    <x v="0"/>
    <x v="2"/>
    <x v="6"/>
    <x v="4"/>
    <n v="4"/>
    <n v="476"/>
    <n v="5"/>
    <n v="1808.8"/>
    <n v="1087.22"/>
    <n v="721.58"/>
    <x v="9"/>
    <x v="1"/>
    <n v="0.39892746572313137"/>
  </r>
  <r>
    <n v="3884"/>
    <d v="2024-03-22T00:00:00"/>
    <x v="1"/>
    <x v="1"/>
    <x v="2"/>
    <x v="5"/>
    <n v="1"/>
    <n v="650"/>
    <n v="15"/>
    <n v="552.5"/>
    <n v="318.10000000000002"/>
    <n v="234.4"/>
    <x v="8"/>
    <x v="0"/>
    <n v="0.42425339366515841"/>
  </r>
  <r>
    <n v="3885"/>
    <d v="2023-10-07T00:00:00"/>
    <x v="1"/>
    <x v="2"/>
    <x v="17"/>
    <x v="5"/>
    <n v="7"/>
    <n v="318"/>
    <n v="15"/>
    <n v="1892.1"/>
    <n v="962.1"/>
    <n v="930"/>
    <x v="1"/>
    <x v="1"/>
    <n v="0.49151736166164584"/>
  </r>
  <r>
    <n v="3886"/>
    <d v="2024-09-28T00:00:00"/>
    <x v="0"/>
    <x v="3"/>
    <x v="15"/>
    <x v="3"/>
    <n v="1"/>
    <n v="819"/>
    <n v="0"/>
    <n v="819"/>
    <n v="636.54999999999995"/>
    <n v="182.45"/>
    <x v="0"/>
    <x v="0"/>
    <n v="0.22277167277167276"/>
  </r>
  <r>
    <n v="3887"/>
    <d v="2024-02-01T00:00:00"/>
    <x v="1"/>
    <x v="2"/>
    <x v="3"/>
    <x v="0"/>
    <n v="9"/>
    <n v="316"/>
    <n v="20"/>
    <n v="2275.1999999999998"/>
    <n v="1336.59"/>
    <n v="938.61"/>
    <x v="9"/>
    <x v="0"/>
    <n v="0.41253955696202538"/>
  </r>
  <r>
    <n v="3888"/>
    <d v="2023-04-27T00:00:00"/>
    <x v="2"/>
    <x v="3"/>
    <x v="15"/>
    <x v="0"/>
    <n v="6"/>
    <n v="782"/>
    <n v="0"/>
    <n v="4692"/>
    <n v="3364.3"/>
    <n v="1327.7"/>
    <x v="10"/>
    <x v="1"/>
    <n v="0.28297101449275364"/>
  </r>
  <r>
    <n v="3889"/>
    <d v="2024-12-02T00:00:00"/>
    <x v="2"/>
    <x v="4"/>
    <x v="14"/>
    <x v="3"/>
    <n v="8"/>
    <n v="644"/>
    <n v="0"/>
    <n v="5152"/>
    <n v="4046.03"/>
    <n v="1105.97"/>
    <x v="6"/>
    <x v="0"/>
    <n v="0.21466809006211179"/>
  </r>
  <r>
    <n v="3890"/>
    <d v="2024-09-12T00:00:00"/>
    <x v="0"/>
    <x v="3"/>
    <x v="19"/>
    <x v="5"/>
    <n v="4"/>
    <n v="706"/>
    <n v="0"/>
    <n v="2824"/>
    <n v="1599.65"/>
    <n v="1224.3499999999999"/>
    <x v="0"/>
    <x v="0"/>
    <n v="0.43355169971671387"/>
  </r>
  <r>
    <n v="3891"/>
    <d v="2024-10-26T00:00:00"/>
    <x v="3"/>
    <x v="3"/>
    <x v="4"/>
    <x v="1"/>
    <n v="3"/>
    <n v="72"/>
    <n v="0"/>
    <n v="216"/>
    <n v="130.11000000000001"/>
    <n v="85.89"/>
    <x v="1"/>
    <x v="0"/>
    <n v="0.39763888888888888"/>
  </r>
  <r>
    <n v="3892"/>
    <d v="2023-08-21T00:00:00"/>
    <x v="0"/>
    <x v="4"/>
    <x v="14"/>
    <x v="5"/>
    <n v="10"/>
    <n v="244"/>
    <n v="10"/>
    <n v="2196"/>
    <n v="1194.54"/>
    <n v="1001.46"/>
    <x v="2"/>
    <x v="1"/>
    <n v="0.45603825136612025"/>
  </r>
  <r>
    <n v="3893"/>
    <d v="2023-05-01T00:00:00"/>
    <x v="1"/>
    <x v="0"/>
    <x v="1"/>
    <x v="1"/>
    <n v="6"/>
    <n v="299"/>
    <n v="10"/>
    <n v="1614.6"/>
    <n v="1019.48"/>
    <n v="595.12"/>
    <x v="7"/>
    <x v="1"/>
    <n v="0.36858664684751646"/>
  </r>
  <r>
    <n v="3894"/>
    <d v="2024-04-05T00:00:00"/>
    <x v="2"/>
    <x v="1"/>
    <x v="16"/>
    <x v="1"/>
    <n v="3"/>
    <n v="619"/>
    <n v="10"/>
    <n v="1671.3"/>
    <n v="1160.04"/>
    <n v="511.26"/>
    <x v="10"/>
    <x v="0"/>
    <n v="0.30590558248070365"/>
  </r>
  <r>
    <n v="3895"/>
    <d v="2024-01-23T00:00:00"/>
    <x v="0"/>
    <x v="0"/>
    <x v="13"/>
    <x v="5"/>
    <n v="8"/>
    <n v="73"/>
    <n v="5"/>
    <n v="554.79999999999995"/>
    <n v="405.9"/>
    <n v="148.9"/>
    <x v="11"/>
    <x v="0"/>
    <n v="0.26838500360490269"/>
  </r>
  <r>
    <n v="3896"/>
    <d v="2024-11-28T00:00:00"/>
    <x v="0"/>
    <x v="4"/>
    <x v="18"/>
    <x v="5"/>
    <n v="2"/>
    <n v="772"/>
    <n v="0"/>
    <n v="1544"/>
    <n v="977.22"/>
    <n v="566.78"/>
    <x v="3"/>
    <x v="0"/>
    <n v="0.36708549222797926"/>
  </r>
  <r>
    <n v="3897"/>
    <d v="2023-06-28T00:00:00"/>
    <x v="3"/>
    <x v="3"/>
    <x v="11"/>
    <x v="3"/>
    <n v="7"/>
    <n v="271"/>
    <n v="5"/>
    <n v="1802.15"/>
    <n v="1173.27"/>
    <n v="628.88"/>
    <x v="4"/>
    <x v="1"/>
    <n v="0.34896096329384346"/>
  </r>
  <r>
    <n v="3898"/>
    <d v="2023-06-09T00:00:00"/>
    <x v="0"/>
    <x v="2"/>
    <x v="3"/>
    <x v="4"/>
    <n v="7"/>
    <n v="84"/>
    <n v="10"/>
    <n v="529.20000000000005"/>
    <n v="322.83999999999997"/>
    <n v="206.36"/>
    <x v="4"/>
    <x v="1"/>
    <n v="0.38994708994708993"/>
  </r>
  <r>
    <n v="3899"/>
    <d v="2024-01-27T00:00:00"/>
    <x v="0"/>
    <x v="0"/>
    <x v="1"/>
    <x v="1"/>
    <n v="10"/>
    <n v="380"/>
    <n v="0"/>
    <n v="3800"/>
    <n v="1964.57"/>
    <n v="1835.43"/>
    <x v="11"/>
    <x v="0"/>
    <n v="0.48300789473684214"/>
  </r>
  <r>
    <n v="3900"/>
    <d v="2023-02-13T00:00:00"/>
    <x v="0"/>
    <x v="3"/>
    <x v="19"/>
    <x v="0"/>
    <n v="3"/>
    <n v="539"/>
    <n v="5"/>
    <n v="1536.15"/>
    <n v="844.35"/>
    <n v="691.8"/>
    <x v="9"/>
    <x v="1"/>
    <n v="0.4503466458353676"/>
  </r>
  <r>
    <n v="3901"/>
    <d v="2024-01-04T00:00:00"/>
    <x v="1"/>
    <x v="0"/>
    <x v="1"/>
    <x v="4"/>
    <n v="6"/>
    <n v="11"/>
    <n v="20"/>
    <n v="52.8"/>
    <n v="29.04"/>
    <n v="23.76"/>
    <x v="11"/>
    <x v="0"/>
    <n v="0.45000000000000007"/>
  </r>
  <r>
    <n v="3902"/>
    <d v="2023-11-30T00:00:00"/>
    <x v="0"/>
    <x v="2"/>
    <x v="6"/>
    <x v="1"/>
    <n v="1"/>
    <n v="551"/>
    <n v="15"/>
    <n v="468.35"/>
    <n v="299.64"/>
    <n v="168.71"/>
    <x v="3"/>
    <x v="1"/>
    <n v="0.36022205615458525"/>
  </r>
  <r>
    <n v="3903"/>
    <d v="2023-01-09T00:00:00"/>
    <x v="3"/>
    <x v="2"/>
    <x v="10"/>
    <x v="3"/>
    <n v="7"/>
    <n v="342"/>
    <n v="10"/>
    <n v="2154.6"/>
    <n v="1570.63"/>
    <n v="583.97"/>
    <x v="11"/>
    <x v="1"/>
    <n v="0.27103406664810176"/>
  </r>
  <r>
    <n v="3904"/>
    <d v="2024-11-26T00:00:00"/>
    <x v="2"/>
    <x v="4"/>
    <x v="8"/>
    <x v="1"/>
    <n v="7"/>
    <n v="758"/>
    <n v="5"/>
    <n v="5040.7"/>
    <n v="2792.91"/>
    <n v="2247.79"/>
    <x v="3"/>
    <x v="0"/>
    <n v="0.44592814490050986"/>
  </r>
  <r>
    <n v="3905"/>
    <d v="2023-12-25T00:00:00"/>
    <x v="3"/>
    <x v="1"/>
    <x v="2"/>
    <x v="2"/>
    <n v="3"/>
    <n v="882"/>
    <n v="0"/>
    <n v="2646"/>
    <n v="1820.44"/>
    <n v="825.56"/>
    <x v="6"/>
    <x v="1"/>
    <n v="0.31200302343159486"/>
  </r>
  <r>
    <n v="3906"/>
    <d v="2024-05-04T00:00:00"/>
    <x v="1"/>
    <x v="1"/>
    <x v="7"/>
    <x v="5"/>
    <n v="8"/>
    <n v="282"/>
    <n v="15"/>
    <n v="1917.6"/>
    <n v="964.98"/>
    <n v="952.62"/>
    <x v="7"/>
    <x v="0"/>
    <n v="0.49677722152690867"/>
  </r>
  <r>
    <n v="3907"/>
    <d v="2024-01-15T00:00:00"/>
    <x v="1"/>
    <x v="3"/>
    <x v="11"/>
    <x v="0"/>
    <n v="9"/>
    <n v="833"/>
    <n v="15"/>
    <n v="6372.45"/>
    <n v="3832.25"/>
    <n v="2540.1999999999998"/>
    <x v="11"/>
    <x v="0"/>
    <n v="0.39862219397562942"/>
  </r>
  <r>
    <n v="3908"/>
    <d v="2024-05-07T00:00:00"/>
    <x v="2"/>
    <x v="2"/>
    <x v="10"/>
    <x v="0"/>
    <n v="4"/>
    <n v="350"/>
    <n v="15"/>
    <n v="1190"/>
    <n v="695.73"/>
    <n v="494.27"/>
    <x v="7"/>
    <x v="0"/>
    <n v="0.41535294117647059"/>
  </r>
  <r>
    <n v="3909"/>
    <d v="2023-06-06T00:00:00"/>
    <x v="0"/>
    <x v="3"/>
    <x v="11"/>
    <x v="5"/>
    <n v="3"/>
    <n v="652"/>
    <n v="15"/>
    <n v="1662.6"/>
    <n v="891.54"/>
    <n v="771.06"/>
    <x v="4"/>
    <x v="1"/>
    <n v="0.46376759292674125"/>
  </r>
  <r>
    <n v="3910"/>
    <d v="2024-10-01T00:00:00"/>
    <x v="3"/>
    <x v="1"/>
    <x v="7"/>
    <x v="2"/>
    <n v="6"/>
    <n v="158"/>
    <n v="0"/>
    <n v="948"/>
    <n v="742.37"/>
    <n v="205.63"/>
    <x v="1"/>
    <x v="0"/>
    <n v="0.21690928270042192"/>
  </r>
  <r>
    <n v="3911"/>
    <d v="2024-10-06T00:00:00"/>
    <x v="0"/>
    <x v="0"/>
    <x v="0"/>
    <x v="5"/>
    <n v="3"/>
    <n v="414"/>
    <n v="15"/>
    <n v="1055.7"/>
    <n v="565.51"/>
    <n v="490.19"/>
    <x v="1"/>
    <x v="0"/>
    <n v="0.46432698683338069"/>
  </r>
  <r>
    <n v="3912"/>
    <d v="2024-05-22T00:00:00"/>
    <x v="1"/>
    <x v="1"/>
    <x v="16"/>
    <x v="0"/>
    <n v="3"/>
    <n v="957"/>
    <n v="15"/>
    <n v="2440.35"/>
    <n v="1510.13"/>
    <n v="930.22"/>
    <x v="7"/>
    <x v="0"/>
    <n v="0.38118302702481205"/>
  </r>
  <r>
    <n v="3913"/>
    <d v="2024-11-29T00:00:00"/>
    <x v="3"/>
    <x v="0"/>
    <x v="0"/>
    <x v="3"/>
    <n v="6"/>
    <n v="982"/>
    <n v="10"/>
    <n v="5302.8"/>
    <n v="2849.15"/>
    <n v="2453.65"/>
    <x v="3"/>
    <x v="0"/>
    <n v="0.46270838047823792"/>
  </r>
  <r>
    <n v="3914"/>
    <d v="2024-08-12T00:00:00"/>
    <x v="0"/>
    <x v="4"/>
    <x v="14"/>
    <x v="5"/>
    <n v="3"/>
    <n v="613"/>
    <n v="0"/>
    <n v="1839"/>
    <n v="1444"/>
    <n v="395"/>
    <x v="2"/>
    <x v="0"/>
    <n v="0.21479064709081022"/>
  </r>
  <r>
    <n v="3915"/>
    <d v="2023-08-27T00:00:00"/>
    <x v="1"/>
    <x v="3"/>
    <x v="4"/>
    <x v="0"/>
    <n v="1"/>
    <n v="413"/>
    <n v="0"/>
    <n v="413"/>
    <n v="270.04000000000002"/>
    <n v="142.96"/>
    <x v="2"/>
    <x v="1"/>
    <n v="0.34615012106537535"/>
  </r>
  <r>
    <n v="3916"/>
    <d v="2024-04-10T00:00:00"/>
    <x v="0"/>
    <x v="0"/>
    <x v="12"/>
    <x v="5"/>
    <n v="5"/>
    <n v="227"/>
    <n v="5"/>
    <n v="1078.25"/>
    <n v="691.57"/>
    <n v="386.68"/>
    <x v="10"/>
    <x v="0"/>
    <n v="0.3586181312311616"/>
  </r>
  <r>
    <n v="3917"/>
    <d v="2023-06-09T00:00:00"/>
    <x v="2"/>
    <x v="4"/>
    <x v="9"/>
    <x v="3"/>
    <n v="1"/>
    <n v="444"/>
    <n v="5"/>
    <n v="421.8"/>
    <n v="309.04000000000002"/>
    <n v="112.76"/>
    <x v="4"/>
    <x v="1"/>
    <n v="0.26733048838311996"/>
  </r>
  <r>
    <n v="3918"/>
    <d v="2023-07-16T00:00:00"/>
    <x v="2"/>
    <x v="0"/>
    <x v="1"/>
    <x v="5"/>
    <n v="6"/>
    <n v="430"/>
    <n v="5"/>
    <n v="2451"/>
    <n v="1600.71"/>
    <n v="850.29"/>
    <x v="5"/>
    <x v="1"/>
    <n v="0.34691554467564256"/>
  </r>
  <r>
    <n v="3919"/>
    <d v="2024-06-04T00:00:00"/>
    <x v="1"/>
    <x v="2"/>
    <x v="6"/>
    <x v="1"/>
    <n v="1"/>
    <n v="932"/>
    <n v="0"/>
    <n v="932"/>
    <n v="497.9"/>
    <n v="434.1"/>
    <x v="4"/>
    <x v="0"/>
    <n v="0.46577253218884124"/>
  </r>
  <r>
    <n v="3920"/>
    <d v="2023-04-03T00:00:00"/>
    <x v="2"/>
    <x v="1"/>
    <x v="5"/>
    <x v="3"/>
    <n v="3"/>
    <n v="661"/>
    <n v="5"/>
    <n v="1883.85"/>
    <n v="1493.5"/>
    <n v="390.35"/>
    <x v="10"/>
    <x v="1"/>
    <n v="0.20720864187700722"/>
  </r>
  <r>
    <n v="3921"/>
    <d v="2023-02-02T00:00:00"/>
    <x v="2"/>
    <x v="2"/>
    <x v="10"/>
    <x v="3"/>
    <n v="5"/>
    <n v="313"/>
    <n v="0"/>
    <n v="1565"/>
    <n v="903.94"/>
    <n v="661.06"/>
    <x v="9"/>
    <x v="1"/>
    <n v="0.4224025559105431"/>
  </r>
  <r>
    <n v="3922"/>
    <d v="2023-02-25T00:00:00"/>
    <x v="1"/>
    <x v="4"/>
    <x v="18"/>
    <x v="5"/>
    <n v="9"/>
    <n v="367"/>
    <n v="0"/>
    <n v="3303"/>
    <n v="2614.63"/>
    <n v="688.37"/>
    <x v="9"/>
    <x v="1"/>
    <n v="0.20840750832576446"/>
  </r>
  <r>
    <n v="3923"/>
    <d v="2024-10-29T00:00:00"/>
    <x v="3"/>
    <x v="3"/>
    <x v="4"/>
    <x v="0"/>
    <n v="1"/>
    <n v="935"/>
    <n v="20"/>
    <n v="748"/>
    <n v="403.23"/>
    <n v="344.77"/>
    <x v="1"/>
    <x v="0"/>
    <n v="0.46092245989304809"/>
  </r>
  <r>
    <n v="3924"/>
    <d v="2024-04-21T00:00:00"/>
    <x v="3"/>
    <x v="1"/>
    <x v="2"/>
    <x v="3"/>
    <n v="8"/>
    <n v="192"/>
    <n v="10"/>
    <n v="1382.4"/>
    <n v="1010.63"/>
    <n v="371.77"/>
    <x v="10"/>
    <x v="0"/>
    <n v="0.26893084490740737"/>
  </r>
  <r>
    <n v="3925"/>
    <d v="2024-02-18T00:00:00"/>
    <x v="1"/>
    <x v="2"/>
    <x v="10"/>
    <x v="4"/>
    <n v="9"/>
    <n v="876"/>
    <n v="0"/>
    <n v="7884"/>
    <n v="5747.95"/>
    <n v="2136.0500000000002"/>
    <x v="9"/>
    <x v="0"/>
    <n v="0.27093480466768138"/>
  </r>
  <r>
    <n v="3926"/>
    <d v="2023-07-31T00:00:00"/>
    <x v="0"/>
    <x v="4"/>
    <x v="14"/>
    <x v="3"/>
    <n v="9"/>
    <n v="37"/>
    <n v="15"/>
    <n v="283.05"/>
    <n v="149.41"/>
    <n v="133.63999999999999"/>
    <x v="5"/>
    <x v="1"/>
    <n v="0.4721427309662603"/>
  </r>
  <r>
    <n v="3927"/>
    <d v="2023-05-13T00:00:00"/>
    <x v="0"/>
    <x v="4"/>
    <x v="9"/>
    <x v="5"/>
    <n v="7"/>
    <n v="875"/>
    <n v="20"/>
    <n v="4900"/>
    <n v="3219.4"/>
    <n v="1680.6"/>
    <x v="7"/>
    <x v="1"/>
    <n v="0.34297959183673465"/>
  </r>
  <r>
    <n v="3928"/>
    <d v="2024-05-01T00:00:00"/>
    <x v="0"/>
    <x v="3"/>
    <x v="15"/>
    <x v="3"/>
    <n v="4"/>
    <n v="210"/>
    <n v="10"/>
    <n v="756"/>
    <n v="593.63"/>
    <n v="162.37"/>
    <x v="7"/>
    <x v="0"/>
    <n v="0.21477513227513229"/>
  </r>
  <r>
    <n v="3929"/>
    <d v="2024-12-14T00:00:00"/>
    <x v="2"/>
    <x v="1"/>
    <x v="16"/>
    <x v="3"/>
    <n v="6"/>
    <n v="772"/>
    <n v="5"/>
    <n v="4400.3999999999996"/>
    <n v="3049.15"/>
    <n v="1351.25"/>
    <x v="6"/>
    <x v="0"/>
    <n v="0.30707435687664758"/>
  </r>
  <r>
    <n v="3930"/>
    <d v="2024-09-23T00:00:00"/>
    <x v="2"/>
    <x v="2"/>
    <x v="17"/>
    <x v="2"/>
    <n v="8"/>
    <n v="764"/>
    <n v="5"/>
    <n v="5806.4"/>
    <n v="4623.33"/>
    <n v="1183.07"/>
    <x v="0"/>
    <x v="0"/>
    <n v="0.2037527555800496"/>
  </r>
  <r>
    <n v="3931"/>
    <d v="2024-12-24T00:00:00"/>
    <x v="1"/>
    <x v="1"/>
    <x v="5"/>
    <x v="3"/>
    <n v="2"/>
    <n v="651"/>
    <n v="20"/>
    <n v="1041.5999999999999"/>
    <n v="709.31"/>
    <n v="332.29"/>
    <x v="6"/>
    <x v="0"/>
    <n v="0.31901881720430114"/>
  </r>
  <r>
    <n v="3932"/>
    <d v="2023-10-17T00:00:00"/>
    <x v="1"/>
    <x v="4"/>
    <x v="9"/>
    <x v="1"/>
    <n v="3"/>
    <n v="603"/>
    <n v="15"/>
    <n v="1537.65"/>
    <n v="805.53"/>
    <n v="732.12"/>
    <x v="1"/>
    <x v="1"/>
    <n v="0.47612915813091405"/>
  </r>
  <r>
    <n v="3933"/>
    <d v="2023-03-25T00:00:00"/>
    <x v="1"/>
    <x v="3"/>
    <x v="4"/>
    <x v="1"/>
    <n v="1"/>
    <n v="532"/>
    <n v="10"/>
    <n v="478.8"/>
    <n v="301.39"/>
    <n v="177.41"/>
    <x v="8"/>
    <x v="1"/>
    <n v="0.37053049289891393"/>
  </r>
  <r>
    <n v="3934"/>
    <d v="2023-10-16T00:00:00"/>
    <x v="2"/>
    <x v="1"/>
    <x v="5"/>
    <x v="5"/>
    <n v="7"/>
    <n v="614"/>
    <n v="15"/>
    <n v="3653.3"/>
    <n v="2594.7600000000002"/>
    <n v="1058.54"/>
    <x v="1"/>
    <x v="1"/>
    <n v="0.28974899406016474"/>
  </r>
  <r>
    <n v="3935"/>
    <d v="2024-06-08T00:00:00"/>
    <x v="0"/>
    <x v="2"/>
    <x v="10"/>
    <x v="3"/>
    <n v="6"/>
    <n v="70"/>
    <n v="10"/>
    <n v="378"/>
    <n v="287.41000000000003"/>
    <n v="90.59"/>
    <x v="4"/>
    <x v="0"/>
    <n v="0.23965608465608468"/>
  </r>
  <r>
    <n v="3936"/>
    <d v="2023-07-29T00:00:00"/>
    <x v="3"/>
    <x v="2"/>
    <x v="17"/>
    <x v="5"/>
    <n v="1"/>
    <n v="249"/>
    <n v="0"/>
    <n v="249"/>
    <n v="151.05000000000001"/>
    <n v="97.95"/>
    <x v="5"/>
    <x v="1"/>
    <n v="0.3933734939759036"/>
  </r>
  <r>
    <n v="3937"/>
    <d v="2024-12-15T00:00:00"/>
    <x v="3"/>
    <x v="1"/>
    <x v="7"/>
    <x v="5"/>
    <n v="9"/>
    <n v="706"/>
    <n v="5"/>
    <n v="6036.3"/>
    <n v="4793.95"/>
    <n v="1242.3499999999999"/>
    <x v="6"/>
    <x v="0"/>
    <n v="0.20581316369299071"/>
  </r>
  <r>
    <n v="3938"/>
    <d v="2023-03-18T00:00:00"/>
    <x v="2"/>
    <x v="0"/>
    <x v="1"/>
    <x v="2"/>
    <n v="9"/>
    <n v="663"/>
    <n v="10"/>
    <n v="5370.3"/>
    <n v="3552.65"/>
    <n v="1817.65"/>
    <x v="8"/>
    <x v="1"/>
    <n v="0.33846340055490381"/>
  </r>
  <r>
    <n v="3939"/>
    <d v="2023-01-01T00:00:00"/>
    <x v="1"/>
    <x v="0"/>
    <x v="0"/>
    <x v="0"/>
    <n v="4"/>
    <n v="555"/>
    <n v="0"/>
    <n v="2220"/>
    <n v="1576.5"/>
    <n v="643.5"/>
    <x v="11"/>
    <x v="1"/>
    <n v="0.28986486486486485"/>
  </r>
  <r>
    <n v="3940"/>
    <d v="2023-09-18T00:00:00"/>
    <x v="3"/>
    <x v="0"/>
    <x v="12"/>
    <x v="0"/>
    <n v="2"/>
    <n v="780"/>
    <n v="5"/>
    <n v="1482"/>
    <n v="1025.69"/>
    <n v="456.31"/>
    <x v="0"/>
    <x v="1"/>
    <n v="0.30790148448043186"/>
  </r>
  <r>
    <n v="3941"/>
    <d v="2024-01-14T00:00:00"/>
    <x v="0"/>
    <x v="4"/>
    <x v="14"/>
    <x v="3"/>
    <n v="8"/>
    <n v="424"/>
    <n v="10"/>
    <n v="3052.8"/>
    <n v="2218.7600000000002"/>
    <n v="834.04"/>
    <x v="11"/>
    <x v="0"/>
    <n v="0.27320492662473794"/>
  </r>
  <r>
    <n v="3942"/>
    <d v="2023-10-28T00:00:00"/>
    <x v="1"/>
    <x v="3"/>
    <x v="11"/>
    <x v="5"/>
    <n v="9"/>
    <n v="748"/>
    <n v="15"/>
    <n v="5722.2"/>
    <n v="3681.39"/>
    <n v="2040.81"/>
    <x v="1"/>
    <x v="1"/>
    <n v="0.35664779280696235"/>
  </r>
  <r>
    <n v="3943"/>
    <d v="2023-09-11T00:00:00"/>
    <x v="2"/>
    <x v="1"/>
    <x v="7"/>
    <x v="1"/>
    <n v="6"/>
    <n v="810"/>
    <n v="5"/>
    <n v="4617"/>
    <n v="2467.54"/>
    <n v="2149.46"/>
    <x v="0"/>
    <x v="1"/>
    <n v="0.46555338964695692"/>
  </r>
  <r>
    <n v="3944"/>
    <d v="2024-08-11T00:00:00"/>
    <x v="1"/>
    <x v="1"/>
    <x v="7"/>
    <x v="4"/>
    <n v="2"/>
    <n v="934"/>
    <n v="10"/>
    <n v="1681.2"/>
    <n v="1321.42"/>
    <n v="359.78"/>
    <x v="2"/>
    <x v="0"/>
    <n v="0.21400190340233163"/>
  </r>
  <r>
    <n v="3945"/>
    <d v="2023-11-15T00:00:00"/>
    <x v="2"/>
    <x v="4"/>
    <x v="8"/>
    <x v="5"/>
    <n v="10"/>
    <n v="482"/>
    <n v="0"/>
    <n v="4820"/>
    <n v="2536.0100000000002"/>
    <n v="2283.9899999999998"/>
    <x v="3"/>
    <x v="1"/>
    <n v="0.473856846473029"/>
  </r>
  <r>
    <n v="3946"/>
    <d v="2023-03-12T00:00:00"/>
    <x v="3"/>
    <x v="1"/>
    <x v="16"/>
    <x v="1"/>
    <n v="9"/>
    <n v="937"/>
    <n v="20"/>
    <n v="6746.4"/>
    <n v="5221.8500000000004"/>
    <n v="1524.55"/>
    <x v="8"/>
    <x v="1"/>
    <n v="0.22597978180955769"/>
  </r>
  <r>
    <n v="3947"/>
    <d v="2023-11-22T00:00:00"/>
    <x v="2"/>
    <x v="1"/>
    <x v="5"/>
    <x v="4"/>
    <n v="10"/>
    <n v="283"/>
    <n v="15"/>
    <n v="2405.5"/>
    <n v="1763.04"/>
    <n v="642.46"/>
    <x v="3"/>
    <x v="1"/>
    <n v="0.26707960922885055"/>
  </r>
  <r>
    <n v="3948"/>
    <d v="2024-09-21T00:00:00"/>
    <x v="0"/>
    <x v="1"/>
    <x v="2"/>
    <x v="5"/>
    <n v="2"/>
    <n v="678"/>
    <n v="0"/>
    <n v="1356"/>
    <n v="1040.3800000000001"/>
    <n v="315.62"/>
    <x v="0"/>
    <x v="0"/>
    <n v="0.23275811209439529"/>
  </r>
  <r>
    <n v="3949"/>
    <d v="2024-05-27T00:00:00"/>
    <x v="2"/>
    <x v="3"/>
    <x v="15"/>
    <x v="1"/>
    <n v="5"/>
    <n v="647"/>
    <n v="0"/>
    <n v="3235"/>
    <n v="2209.4699999999998"/>
    <n v="1025.53"/>
    <x v="7"/>
    <x v="0"/>
    <n v="0.31701081916537865"/>
  </r>
  <r>
    <n v="3950"/>
    <d v="2023-07-08T00:00:00"/>
    <x v="1"/>
    <x v="4"/>
    <x v="8"/>
    <x v="0"/>
    <n v="4"/>
    <n v="357"/>
    <n v="5"/>
    <n v="1356.6"/>
    <n v="1076.3900000000001"/>
    <n v="280.20999999999998"/>
    <x v="5"/>
    <x v="1"/>
    <n v="0.20655314757481941"/>
  </r>
  <r>
    <n v="3951"/>
    <d v="2023-07-22T00:00:00"/>
    <x v="3"/>
    <x v="2"/>
    <x v="6"/>
    <x v="3"/>
    <n v="1"/>
    <n v="491"/>
    <n v="5"/>
    <n v="466.45"/>
    <n v="352.84"/>
    <n v="113.61"/>
    <x v="5"/>
    <x v="1"/>
    <n v="0.24356308285989925"/>
  </r>
  <r>
    <n v="3952"/>
    <d v="2024-09-07T00:00:00"/>
    <x v="0"/>
    <x v="2"/>
    <x v="17"/>
    <x v="4"/>
    <n v="4"/>
    <n v="708"/>
    <n v="20"/>
    <n v="2265.6"/>
    <n v="1550.48"/>
    <n v="715.12"/>
    <x v="0"/>
    <x v="0"/>
    <n v="0.31564265536723163"/>
  </r>
  <r>
    <n v="3953"/>
    <d v="2023-04-28T00:00:00"/>
    <x v="0"/>
    <x v="3"/>
    <x v="19"/>
    <x v="2"/>
    <n v="3"/>
    <n v="962"/>
    <n v="5"/>
    <n v="2741.7"/>
    <n v="1961.52"/>
    <n v="780.18"/>
    <x v="10"/>
    <x v="1"/>
    <n v="0.28456067403435825"/>
  </r>
  <r>
    <n v="3954"/>
    <d v="2023-07-14T00:00:00"/>
    <x v="3"/>
    <x v="2"/>
    <x v="3"/>
    <x v="2"/>
    <n v="4"/>
    <n v="484"/>
    <n v="15"/>
    <n v="1645.6"/>
    <n v="1255.9000000000001"/>
    <n v="389.7"/>
    <x v="5"/>
    <x v="1"/>
    <n v="0.23681332036947011"/>
  </r>
  <r>
    <n v="3955"/>
    <d v="2023-08-04T00:00:00"/>
    <x v="3"/>
    <x v="1"/>
    <x v="2"/>
    <x v="0"/>
    <n v="1"/>
    <n v="882"/>
    <n v="15"/>
    <n v="749.7"/>
    <n v="448.17"/>
    <n v="301.52999999999997"/>
    <x v="2"/>
    <x v="1"/>
    <n v="0.4022008803521408"/>
  </r>
  <r>
    <n v="3956"/>
    <d v="2023-01-03T00:00:00"/>
    <x v="2"/>
    <x v="0"/>
    <x v="13"/>
    <x v="0"/>
    <n v="8"/>
    <n v="101"/>
    <n v="10"/>
    <n v="727.2"/>
    <n v="401.74"/>
    <n v="325.45999999999998"/>
    <x v="11"/>
    <x v="1"/>
    <n v="0.4475522552255225"/>
  </r>
  <r>
    <n v="3957"/>
    <d v="2024-08-14T00:00:00"/>
    <x v="0"/>
    <x v="3"/>
    <x v="19"/>
    <x v="3"/>
    <n v="8"/>
    <n v="668"/>
    <n v="15"/>
    <n v="4542.3999999999996"/>
    <n v="2845.79"/>
    <n v="1696.61"/>
    <x v="2"/>
    <x v="0"/>
    <n v="0.37350519549137023"/>
  </r>
  <r>
    <n v="3958"/>
    <d v="2023-07-08T00:00:00"/>
    <x v="1"/>
    <x v="0"/>
    <x v="0"/>
    <x v="0"/>
    <n v="3"/>
    <n v="161"/>
    <n v="5"/>
    <n v="458.85"/>
    <n v="264.11"/>
    <n v="194.74"/>
    <x v="5"/>
    <x v="1"/>
    <n v="0.42440884820747521"/>
  </r>
  <r>
    <n v="3959"/>
    <d v="2023-11-11T00:00:00"/>
    <x v="3"/>
    <x v="1"/>
    <x v="7"/>
    <x v="1"/>
    <n v="10"/>
    <n v="452"/>
    <n v="10"/>
    <n v="4068"/>
    <n v="2958.08"/>
    <n v="1109.92"/>
    <x v="3"/>
    <x v="1"/>
    <n v="0.27284169124877089"/>
  </r>
  <r>
    <n v="3960"/>
    <d v="2023-03-18T00:00:00"/>
    <x v="2"/>
    <x v="1"/>
    <x v="5"/>
    <x v="4"/>
    <n v="7"/>
    <n v="353"/>
    <n v="20"/>
    <n v="1976.8"/>
    <n v="1079.51"/>
    <n v="897.29"/>
    <x v="8"/>
    <x v="1"/>
    <n v="0.45391036017806558"/>
  </r>
  <r>
    <n v="3961"/>
    <d v="2023-07-25T00:00:00"/>
    <x v="0"/>
    <x v="2"/>
    <x v="6"/>
    <x v="1"/>
    <n v="5"/>
    <n v="960"/>
    <n v="5"/>
    <n v="4560"/>
    <n v="3565.98"/>
    <n v="994.02"/>
    <x v="5"/>
    <x v="1"/>
    <n v="0.21798684210526315"/>
  </r>
  <r>
    <n v="3962"/>
    <d v="2024-06-29T00:00:00"/>
    <x v="1"/>
    <x v="1"/>
    <x v="16"/>
    <x v="1"/>
    <n v="2"/>
    <n v="885"/>
    <n v="10"/>
    <n v="1593"/>
    <n v="944.9"/>
    <n v="648.1"/>
    <x v="4"/>
    <x v="0"/>
    <n v="0.40684243565599498"/>
  </r>
  <r>
    <n v="3963"/>
    <d v="2024-11-14T00:00:00"/>
    <x v="2"/>
    <x v="0"/>
    <x v="12"/>
    <x v="1"/>
    <n v="9"/>
    <n v="281"/>
    <n v="20"/>
    <n v="2023.2"/>
    <n v="1538.58"/>
    <n v="484.62"/>
    <x v="3"/>
    <x v="0"/>
    <n v="0.23953143534994067"/>
  </r>
  <r>
    <n v="3964"/>
    <d v="2023-05-20T00:00:00"/>
    <x v="1"/>
    <x v="4"/>
    <x v="18"/>
    <x v="1"/>
    <n v="2"/>
    <n v="908"/>
    <n v="10"/>
    <n v="1634.4"/>
    <n v="968.61"/>
    <n v="665.79"/>
    <x v="7"/>
    <x v="1"/>
    <n v="0.40736049926578555"/>
  </r>
  <r>
    <n v="3965"/>
    <d v="2023-08-07T00:00:00"/>
    <x v="2"/>
    <x v="2"/>
    <x v="17"/>
    <x v="5"/>
    <n v="4"/>
    <n v="725"/>
    <n v="15"/>
    <n v="2465"/>
    <n v="1569.79"/>
    <n v="895.21"/>
    <x v="2"/>
    <x v="1"/>
    <n v="0.36316835699797162"/>
  </r>
  <r>
    <n v="3966"/>
    <d v="2023-11-09T00:00:00"/>
    <x v="2"/>
    <x v="1"/>
    <x v="5"/>
    <x v="1"/>
    <n v="8"/>
    <n v="567"/>
    <n v="0"/>
    <n v="4536"/>
    <n v="2841.1"/>
    <n v="1694.9"/>
    <x v="3"/>
    <x v="1"/>
    <n v="0.37365520282186948"/>
  </r>
  <r>
    <n v="3967"/>
    <d v="2024-05-12T00:00:00"/>
    <x v="3"/>
    <x v="4"/>
    <x v="18"/>
    <x v="2"/>
    <n v="10"/>
    <n v="213"/>
    <n v="20"/>
    <n v="1704"/>
    <n v="1235.17"/>
    <n v="468.83"/>
    <x v="7"/>
    <x v="0"/>
    <n v="0.27513497652582158"/>
  </r>
  <r>
    <n v="3968"/>
    <d v="2024-07-18T00:00:00"/>
    <x v="1"/>
    <x v="0"/>
    <x v="1"/>
    <x v="3"/>
    <n v="7"/>
    <n v="730"/>
    <n v="0"/>
    <n v="5110"/>
    <n v="3341.52"/>
    <n v="1768.48"/>
    <x v="5"/>
    <x v="0"/>
    <n v="0.34608219178082195"/>
  </r>
  <r>
    <n v="3969"/>
    <d v="2023-11-26T00:00:00"/>
    <x v="0"/>
    <x v="0"/>
    <x v="13"/>
    <x v="0"/>
    <n v="6"/>
    <n v="641"/>
    <n v="5"/>
    <n v="3653.7"/>
    <n v="2021.79"/>
    <n v="1631.91"/>
    <x v="3"/>
    <x v="1"/>
    <n v="0.44664586583463345"/>
  </r>
  <r>
    <n v="3970"/>
    <d v="2024-01-21T00:00:00"/>
    <x v="0"/>
    <x v="2"/>
    <x v="3"/>
    <x v="5"/>
    <n v="2"/>
    <n v="705"/>
    <n v="20"/>
    <n v="1128"/>
    <n v="895.25"/>
    <n v="232.75"/>
    <x v="11"/>
    <x v="0"/>
    <n v="0.20633865248226951"/>
  </r>
  <r>
    <n v="3971"/>
    <d v="2024-09-01T00:00:00"/>
    <x v="2"/>
    <x v="1"/>
    <x v="5"/>
    <x v="2"/>
    <n v="2"/>
    <n v="327"/>
    <n v="5"/>
    <n v="621.29999999999995"/>
    <n v="391.44"/>
    <n v="229.86"/>
    <x v="0"/>
    <x v="0"/>
    <n v="0.36996619990342833"/>
  </r>
  <r>
    <n v="3972"/>
    <d v="2024-01-12T00:00:00"/>
    <x v="1"/>
    <x v="2"/>
    <x v="3"/>
    <x v="4"/>
    <n v="3"/>
    <n v="911"/>
    <n v="5"/>
    <n v="2596.35"/>
    <n v="2059.77"/>
    <n v="536.58000000000004"/>
    <x v="11"/>
    <x v="0"/>
    <n v="0.20666705182275119"/>
  </r>
  <r>
    <n v="3973"/>
    <d v="2024-04-16T00:00:00"/>
    <x v="1"/>
    <x v="2"/>
    <x v="6"/>
    <x v="1"/>
    <n v="8"/>
    <n v="428"/>
    <n v="5"/>
    <n v="3252.8"/>
    <n v="2089.9299999999998"/>
    <n v="1162.8699999999999"/>
    <x v="10"/>
    <x v="0"/>
    <n v="0.35749815543531721"/>
  </r>
  <r>
    <n v="3974"/>
    <d v="2023-04-08T00:00:00"/>
    <x v="1"/>
    <x v="2"/>
    <x v="3"/>
    <x v="5"/>
    <n v="6"/>
    <n v="591"/>
    <n v="10"/>
    <n v="3191.4"/>
    <n v="2104.9299999999998"/>
    <n v="1086.47"/>
    <x v="10"/>
    <x v="1"/>
    <n v="0.34043679889703576"/>
  </r>
  <r>
    <n v="3975"/>
    <d v="2023-07-12T00:00:00"/>
    <x v="0"/>
    <x v="1"/>
    <x v="2"/>
    <x v="5"/>
    <n v="9"/>
    <n v="979"/>
    <n v="20"/>
    <n v="7048.8"/>
    <n v="4652.84"/>
    <n v="2395.96"/>
    <x v="5"/>
    <x v="1"/>
    <n v="0.33991033934854159"/>
  </r>
  <r>
    <n v="3976"/>
    <d v="2024-12-03T00:00:00"/>
    <x v="0"/>
    <x v="4"/>
    <x v="18"/>
    <x v="3"/>
    <n v="4"/>
    <n v="715"/>
    <n v="5"/>
    <n v="2717"/>
    <n v="1569.77"/>
    <n v="1147.23"/>
    <x v="6"/>
    <x v="0"/>
    <n v="0.42224144276775855"/>
  </r>
  <r>
    <n v="3977"/>
    <d v="2023-12-03T00:00:00"/>
    <x v="0"/>
    <x v="1"/>
    <x v="5"/>
    <x v="4"/>
    <n v="8"/>
    <n v="52"/>
    <n v="10"/>
    <n v="374.4"/>
    <n v="218.58"/>
    <n v="155.82"/>
    <x v="6"/>
    <x v="1"/>
    <n v="0.41618589743589746"/>
  </r>
  <r>
    <n v="3978"/>
    <d v="2024-11-02T00:00:00"/>
    <x v="1"/>
    <x v="1"/>
    <x v="16"/>
    <x v="1"/>
    <n v="4"/>
    <n v="115"/>
    <n v="5"/>
    <n v="437"/>
    <n v="264.49"/>
    <n v="172.51"/>
    <x v="3"/>
    <x v="0"/>
    <n v="0.39475972540045767"/>
  </r>
  <r>
    <n v="3979"/>
    <d v="2024-09-29T00:00:00"/>
    <x v="3"/>
    <x v="2"/>
    <x v="10"/>
    <x v="2"/>
    <n v="3"/>
    <n v="587"/>
    <n v="20"/>
    <n v="1408.8"/>
    <n v="1001.1"/>
    <n v="407.7"/>
    <x v="0"/>
    <x v="0"/>
    <n v="0.28939522998296424"/>
  </r>
  <r>
    <n v="3980"/>
    <d v="2023-02-16T00:00:00"/>
    <x v="1"/>
    <x v="0"/>
    <x v="13"/>
    <x v="1"/>
    <n v="5"/>
    <n v="262"/>
    <n v="5"/>
    <n v="1244.5"/>
    <n v="978.39"/>
    <n v="266.11"/>
    <x v="9"/>
    <x v="1"/>
    <n v="0.2138288469264765"/>
  </r>
  <r>
    <n v="3981"/>
    <d v="2024-11-15T00:00:00"/>
    <x v="1"/>
    <x v="0"/>
    <x v="1"/>
    <x v="4"/>
    <n v="1"/>
    <n v="420"/>
    <n v="20"/>
    <n v="336"/>
    <n v="199.04"/>
    <n v="136.96"/>
    <x v="3"/>
    <x v="0"/>
    <n v="0.40761904761904766"/>
  </r>
  <r>
    <n v="3982"/>
    <d v="2023-03-18T00:00:00"/>
    <x v="2"/>
    <x v="2"/>
    <x v="17"/>
    <x v="2"/>
    <n v="4"/>
    <n v="92"/>
    <n v="5"/>
    <n v="349.6"/>
    <n v="235.03"/>
    <n v="114.57"/>
    <x v="8"/>
    <x v="1"/>
    <n v="0.32771739130434779"/>
  </r>
  <r>
    <n v="3983"/>
    <d v="2023-04-30T00:00:00"/>
    <x v="2"/>
    <x v="1"/>
    <x v="5"/>
    <x v="5"/>
    <n v="2"/>
    <n v="962"/>
    <n v="15"/>
    <n v="1635.4"/>
    <n v="984.77"/>
    <n v="650.63"/>
    <x v="10"/>
    <x v="1"/>
    <n v="0.39784150666503604"/>
  </r>
  <r>
    <n v="3984"/>
    <d v="2024-08-01T00:00:00"/>
    <x v="0"/>
    <x v="2"/>
    <x v="17"/>
    <x v="3"/>
    <n v="7"/>
    <n v="464"/>
    <n v="15"/>
    <n v="2760.8"/>
    <n v="1940.48"/>
    <n v="820.32"/>
    <x v="2"/>
    <x v="0"/>
    <n v="0.29713126629962328"/>
  </r>
  <r>
    <n v="3985"/>
    <d v="2023-04-21T00:00:00"/>
    <x v="1"/>
    <x v="1"/>
    <x v="16"/>
    <x v="3"/>
    <n v="6"/>
    <n v="526"/>
    <n v="5"/>
    <n v="2998.2"/>
    <n v="2316.9899999999998"/>
    <n v="681.21"/>
    <x v="10"/>
    <x v="1"/>
    <n v="0.2272063237942766"/>
  </r>
  <r>
    <n v="3986"/>
    <d v="2024-11-28T00:00:00"/>
    <x v="3"/>
    <x v="4"/>
    <x v="8"/>
    <x v="3"/>
    <n v="4"/>
    <n v="132"/>
    <n v="20"/>
    <n v="422.4"/>
    <n v="299.86"/>
    <n v="122.54"/>
    <x v="3"/>
    <x v="0"/>
    <n v="0.29010416666666672"/>
  </r>
  <r>
    <n v="3987"/>
    <d v="2023-05-01T00:00:00"/>
    <x v="0"/>
    <x v="0"/>
    <x v="12"/>
    <x v="1"/>
    <n v="1"/>
    <n v="524"/>
    <n v="20"/>
    <n v="419.2"/>
    <n v="306.47000000000003"/>
    <n v="112.73"/>
    <x v="7"/>
    <x v="1"/>
    <n v="0.26891698473282444"/>
  </r>
  <r>
    <n v="3988"/>
    <d v="2024-03-21T00:00:00"/>
    <x v="2"/>
    <x v="4"/>
    <x v="8"/>
    <x v="4"/>
    <n v="4"/>
    <n v="54"/>
    <n v="15"/>
    <n v="183.6"/>
    <n v="114.96"/>
    <n v="68.64"/>
    <x v="8"/>
    <x v="0"/>
    <n v="0.3738562091503268"/>
  </r>
  <r>
    <n v="3989"/>
    <d v="2023-09-04T00:00:00"/>
    <x v="1"/>
    <x v="4"/>
    <x v="18"/>
    <x v="0"/>
    <n v="10"/>
    <n v="788"/>
    <n v="0"/>
    <n v="7880"/>
    <n v="4883.6899999999996"/>
    <n v="2996.31"/>
    <x v="0"/>
    <x v="1"/>
    <n v="0.38024238578680203"/>
  </r>
  <r>
    <n v="3990"/>
    <d v="2023-03-17T00:00:00"/>
    <x v="2"/>
    <x v="1"/>
    <x v="7"/>
    <x v="1"/>
    <n v="9"/>
    <n v="666"/>
    <n v="5"/>
    <n v="5694.3"/>
    <n v="3841.18"/>
    <n v="1853.12"/>
    <x v="8"/>
    <x v="1"/>
    <n v="0.32543420613596047"/>
  </r>
  <r>
    <n v="3991"/>
    <d v="2024-04-15T00:00:00"/>
    <x v="2"/>
    <x v="0"/>
    <x v="12"/>
    <x v="1"/>
    <n v="7"/>
    <n v="30"/>
    <n v="10"/>
    <n v="189"/>
    <n v="127.57"/>
    <n v="61.43"/>
    <x v="10"/>
    <x v="0"/>
    <n v="0.32502645502645505"/>
  </r>
  <r>
    <n v="3992"/>
    <d v="2023-03-17T00:00:00"/>
    <x v="1"/>
    <x v="2"/>
    <x v="10"/>
    <x v="4"/>
    <n v="7"/>
    <n v="404"/>
    <n v="0"/>
    <n v="2828"/>
    <n v="1865.09"/>
    <n v="962.91"/>
    <x v="8"/>
    <x v="1"/>
    <n v="0.34049151343705797"/>
  </r>
  <r>
    <n v="3993"/>
    <d v="2024-02-23T00:00:00"/>
    <x v="1"/>
    <x v="1"/>
    <x v="7"/>
    <x v="2"/>
    <n v="7"/>
    <n v="963"/>
    <n v="15"/>
    <n v="5729.85"/>
    <n v="4351.57"/>
    <n v="1378.28"/>
    <x v="9"/>
    <x v="0"/>
    <n v="0.24054381877361536"/>
  </r>
  <r>
    <n v="3994"/>
    <d v="2023-01-21T00:00:00"/>
    <x v="3"/>
    <x v="1"/>
    <x v="7"/>
    <x v="4"/>
    <n v="3"/>
    <n v="647"/>
    <n v="15"/>
    <n v="1649.85"/>
    <n v="1224.8900000000001"/>
    <n v="424.96"/>
    <x v="11"/>
    <x v="1"/>
    <n v="0.25757493105433826"/>
  </r>
  <r>
    <n v="3995"/>
    <d v="2024-03-09T00:00:00"/>
    <x v="0"/>
    <x v="1"/>
    <x v="2"/>
    <x v="1"/>
    <n v="6"/>
    <n v="796"/>
    <n v="0"/>
    <n v="4776"/>
    <n v="2636.34"/>
    <n v="2139.66"/>
    <x v="8"/>
    <x v="0"/>
    <n v="0.44800251256281404"/>
  </r>
  <r>
    <n v="3996"/>
    <d v="2023-02-25T00:00:00"/>
    <x v="1"/>
    <x v="0"/>
    <x v="0"/>
    <x v="3"/>
    <n v="1"/>
    <n v="972"/>
    <n v="0"/>
    <n v="972"/>
    <n v="542.30999999999995"/>
    <n v="429.69"/>
    <x v="9"/>
    <x v="1"/>
    <n v="0.44206790123456791"/>
  </r>
  <r>
    <n v="3997"/>
    <d v="2023-12-03T00:00:00"/>
    <x v="2"/>
    <x v="1"/>
    <x v="7"/>
    <x v="5"/>
    <n v="7"/>
    <n v="328"/>
    <n v="20"/>
    <n v="1836.8"/>
    <n v="1437.51"/>
    <n v="399.29"/>
    <x v="6"/>
    <x v="1"/>
    <n v="0.2173834930313589"/>
  </r>
  <r>
    <n v="3998"/>
    <d v="2024-10-29T00:00:00"/>
    <x v="2"/>
    <x v="2"/>
    <x v="10"/>
    <x v="0"/>
    <n v="1"/>
    <n v="335"/>
    <n v="10"/>
    <n v="301.5"/>
    <n v="229.09"/>
    <n v="72.41"/>
    <x v="1"/>
    <x v="0"/>
    <n v="0.24016583747927031"/>
  </r>
  <r>
    <n v="3999"/>
    <d v="2023-07-08T00:00:00"/>
    <x v="1"/>
    <x v="1"/>
    <x v="2"/>
    <x v="0"/>
    <n v="2"/>
    <n v="183"/>
    <n v="0"/>
    <n v="366"/>
    <n v="201.51"/>
    <n v="164.49"/>
    <x v="5"/>
    <x v="1"/>
    <n v="0.44942622950819677"/>
  </r>
  <r>
    <n v="4000"/>
    <d v="2023-12-22T00:00:00"/>
    <x v="0"/>
    <x v="1"/>
    <x v="16"/>
    <x v="1"/>
    <n v="2"/>
    <n v="132"/>
    <n v="20"/>
    <n v="211.2"/>
    <n v="149.71"/>
    <n v="61.49"/>
    <x v="6"/>
    <x v="1"/>
    <n v="0.29114583333333338"/>
  </r>
  <r>
    <n v="4001"/>
    <d v="2023-10-27T00:00:00"/>
    <x v="1"/>
    <x v="3"/>
    <x v="11"/>
    <x v="5"/>
    <n v="7"/>
    <n v="884"/>
    <n v="0"/>
    <n v="6188"/>
    <n v="4464.0600000000004"/>
    <n v="1723.94"/>
    <x v="1"/>
    <x v="1"/>
    <n v="0.27859405300581774"/>
  </r>
  <r>
    <n v="4002"/>
    <d v="2023-01-10T00:00:00"/>
    <x v="0"/>
    <x v="3"/>
    <x v="11"/>
    <x v="2"/>
    <n v="10"/>
    <n v="302"/>
    <n v="15"/>
    <n v="2567"/>
    <n v="1718.1"/>
    <n v="848.9"/>
    <x v="11"/>
    <x v="1"/>
    <n v="0.33069731203739772"/>
  </r>
  <r>
    <n v="4003"/>
    <d v="2024-01-23T00:00:00"/>
    <x v="2"/>
    <x v="4"/>
    <x v="14"/>
    <x v="1"/>
    <n v="10"/>
    <n v="851"/>
    <n v="10"/>
    <n v="7659"/>
    <n v="5528.19"/>
    <n v="2130.81"/>
    <x v="11"/>
    <x v="0"/>
    <n v="0.2782099490795143"/>
  </r>
  <r>
    <n v="4004"/>
    <d v="2023-06-11T00:00:00"/>
    <x v="3"/>
    <x v="4"/>
    <x v="9"/>
    <x v="2"/>
    <n v="3"/>
    <n v="400"/>
    <n v="5"/>
    <n v="1140"/>
    <n v="860.14"/>
    <n v="279.86"/>
    <x v="4"/>
    <x v="1"/>
    <n v="0.24549122807017545"/>
  </r>
  <r>
    <n v="4005"/>
    <d v="2024-04-23T00:00:00"/>
    <x v="3"/>
    <x v="3"/>
    <x v="15"/>
    <x v="3"/>
    <n v="8"/>
    <n v="775"/>
    <n v="10"/>
    <n v="5580"/>
    <n v="3038.58"/>
    <n v="2541.42"/>
    <x v="10"/>
    <x v="0"/>
    <n v="0.45545161290322583"/>
  </r>
  <r>
    <n v="4006"/>
    <d v="2023-07-20T00:00:00"/>
    <x v="3"/>
    <x v="3"/>
    <x v="11"/>
    <x v="2"/>
    <n v="4"/>
    <n v="108"/>
    <n v="20"/>
    <n v="345.6"/>
    <n v="179.41"/>
    <n v="166.19"/>
    <x v="5"/>
    <x v="1"/>
    <n v="0.48087384259259258"/>
  </r>
  <r>
    <n v="4007"/>
    <d v="2024-07-19T00:00:00"/>
    <x v="0"/>
    <x v="1"/>
    <x v="16"/>
    <x v="1"/>
    <n v="10"/>
    <n v="723"/>
    <n v="5"/>
    <n v="6868.5"/>
    <n v="5348.87"/>
    <n v="1519.63"/>
    <x v="5"/>
    <x v="0"/>
    <n v="0.2212462691999709"/>
  </r>
  <r>
    <n v="4008"/>
    <d v="2024-11-07T00:00:00"/>
    <x v="3"/>
    <x v="1"/>
    <x v="5"/>
    <x v="5"/>
    <n v="4"/>
    <n v="141"/>
    <n v="5"/>
    <n v="535.79999999999995"/>
    <n v="309.27999999999997"/>
    <n v="226.52"/>
    <x v="3"/>
    <x v="0"/>
    <n v="0.42276969018290411"/>
  </r>
  <r>
    <n v="4009"/>
    <d v="2024-01-04T00:00:00"/>
    <x v="1"/>
    <x v="2"/>
    <x v="3"/>
    <x v="4"/>
    <n v="3"/>
    <n v="686"/>
    <n v="10"/>
    <n v="1852.2"/>
    <n v="1059.49"/>
    <n v="792.71"/>
    <x v="11"/>
    <x v="0"/>
    <n v="0.42798293920742903"/>
  </r>
  <r>
    <n v="4010"/>
    <d v="2023-02-07T00:00:00"/>
    <x v="0"/>
    <x v="1"/>
    <x v="16"/>
    <x v="5"/>
    <n v="6"/>
    <n v="74"/>
    <n v="5"/>
    <n v="421.8"/>
    <n v="268.11"/>
    <n v="153.69"/>
    <x v="9"/>
    <x v="1"/>
    <n v="0.36436699857752486"/>
  </r>
  <r>
    <n v="4011"/>
    <d v="2024-09-11T00:00:00"/>
    <x v="0"/>
    <x v="4"/>
    <x v="14"/>
    <x v="0"/>
    <n v="6"/>
    <n v="371"/>
    <n v="20"/>
    <n v="1780.8"/>
    <n v="1029.5"/>
    <n v="751.3"/>
    <x v="0"/>
    <x v="0"/>
    <n v="0.42188903863432164"/>
  </r>
  <r>
    <n v="4012"/>
    <d v="2024-03-29T00:00:00"/>
    <x v="2"/>
    <x v="1"/>
    <x v="16"/>
    <x v="4"/>
    <n v="9"/>
    <n v="788"/>
    <n v="10"/>
    <n v="6382.8"/>
    <n v="3763.54"/>
    <n v="2619.2600000000002"/>
    <x v="8"/>
    <x v="0"/>
    <n v="0.41036222347559065"/>
  </r>
  <r>
    <n v="4013"/>
    <d v="2024-08-05T00:00:00"/>
    <x v="3"/>
    <x v="0"/>
    <x v="0"/>
    <x v="5"/>
    <n v="9"/>
    <n v="373"/>
    <n v="0"/>
    <n v="3357"/>
    <n v="2053.75"/>
    <n v="1303.25"/>
    <x v="2"/>
    <x v="0"/>
    <n v="0.38821864760202562"/>
  </r>
  <r>
    <n v="4014"/>
    <d v="2023-01-22T00:00:00"/>
    <x v="2"/>
    <x v="2"/>
    <x v="17"/>
    <x v="4"/>
    <n v="3"/>
    <n v="570"/>
    <n v="15"/>
    <n v="1453.5"/>
    <n v="940.7"/>
    <n v="512.79999999999995"/>
    <x v="11"/>
    <x v="1"/>
    <n v="0.35280357757137942"/>
  </r>
  <r>
    <n v="4015"/>
    <d v="2023-11-14T00:00:00"/>
    <x v="2"/>
    <x v="0"/>
    <x v="1"/>
    <x v="4"/>
    <n v="7"/>
    <n v="496"/>
    <n v="5"/>
    <n v="3298.4"/>
    <n v="2122.63"/>
    <n v="1175.77"/>
    <x v="3"/>
    <x v="1"/>
    <n v="0.35646677176812996"/>
  </r>
  <r>
    <n v="4016"/>
    <d v="2024-07-01T00:00:00"/>
    <x v="0"/>
    <x v="4"/>
    <x v="18"/>
    <x v="1"/>
    <n v="5"/>
    <n v="61"/>
    <n v="0"/>
    <n v="305"/>
    <n v="170.61"/>
    <n v="134.38999999999999"/>
    <x v="5"/>
    <x v="0"/>
    <n v="0.44062295081967207"/>
  </r>
  <r>
    <n v="4017"/>
    <d v="2024-04-07T00:00:00"/>
    <x v="0"/>
    <x v="1"/>
    <x v="5"/>
    <x v="3"/>
    <n v="4"/>
    <n v="437"/>
    <n v="20"/>
    <n v="1398.4"/>
    <n v="1023.87"/>
    <n v="374.53"/>
    <x v="10"/>
    <x v="0"/>
    <n v="0.26782751716247138"/>
  </r>
  <r>
    <n v="4018"/>
    <d v="2024-04-07T00:00:00"/>
    <x v="2"/>
    <x v="0"/>
    <x v="0"/>
    <x v="4"/>
    <n v="8"/>
    <n v="994"/>
    <n v="5"/>
    <n v="7554.4"/>
    <n v="4289.08"/>
    <n v="3265.32"/>
    <x v="10"/>
    <x v="0"/>
    <n v="0.43224081330085784"/>
  </r>
  <r>
    <n v="4019"/>
    <d v="2023-05-27T00:00:00"/>
    <x v="3"/>
    <x v="4"/>
    <x v="14"/>
    <x v="0"/>
    <n v="10"/>
    <n v="837"/>
    <n v="5"/>
    <n v="7951.5"/>
    <n v="4924.1000000000004"/>
    <n v="3027.4"/>
    <x v="7"/>
    <x v="1"/>
    <n v="0.38073319499465513"/>
  </r>
  <r>
    <n v="4020"/>
    <d v="2023-08-26T00:00:00"/>
    <x v="3"/>
    <x v="3"/>
    <x v="4"/>
    <x v="1"/>
    <n v="7"/>
    <n v="687"/>
    <n v="5"/>
    <n v="4568.55"/>
    <n v="3081.78"/>
    <n v="1486.77"/>
    <x v="2"/>
    <x v="1"/>
    <n v="0.32543586039334144"/>
  </r>
  <r>
    <n v="4021"/>
    <d v="2023-07-25T00:00:00"/>
    <x v="3"/>
    <x v="4"/>
    <x v="8"/>
    <x v="3"/>
    <n v="2"/>
    <n v="736"/>
    <n v="5"/>
    <n v="1398.4"/>
    <n v="770.55"/>
    <n v="627.85"/>
    <x v="5"/>
    <x v="1"/>
    <n v="0.4489774027459954"/>
  </r>
  <r>
    <n v="4022"/>
    <d v="2023-02-21T00:00:00"/>
    <x v="3"/>
    <x v="1"/>
    <x v="2"/>
    <x v="5"/>
    <n v="8"/>
    <n v="267"/>
    <n v="15"/>
    <n v="1815.6"/>
    <n v="1314.08"/>
    <n v="501.52"/>
    <x v="9"/>
    <x v="1"/>
    <n v="0.27622824410663144"/>
  </r>
  <r>
    <n v="4023"/>
    <d v="2024-09-04T00:00:00"/>
    <x v="2"/>
    <x v="2"/>
    <x v="6"/>
    <x v="4"/>
    <n v="7"/>
    <n v="724"/>
    <n v="15"/>
    <n v="4307.8"/>
    <n v="2393.92"/>
    <n v="1913.88"/>
    <x v="0"/>
    <x v="0"/>
    <n v="0.44428246436696228"/>
  </r>
  <r>
    <n v="4024"/>
    <d v="2023-05-04T00:00:00"/>
    <x v="3"/>
    <x v="2"/>
    <x v="10"/>
    <x v="1"/>
    <n v="7"/>
    <n v="418"/>
    <n v="15"/>
    <n v="2487.1"/>
    <n v="1878.72"/>
    <n v="608.38"/>
    <x v="7"/>
    <x v="1"/>
    <n v="0.24461420932009167"/>
  </r>
  <r>
    <n v="4025"/>
    <d v="2023-11-29T00:00:00"/>
    <x v="2"/>
    <x v="4"/>
    <x v="8"/>
    <x v="3"/>
    <n v="7"/>
    <n v="940"/>
    <n v="5"/>
    <n v="6251"/>
    <n v="3644.48"/>
    <n v="2606.52"/>
    <x v="3"/>
    <x v="1"/>
    <n v="0.41697648376259799"/>
  </r>
  <r>
    <n v="4026"/>
    <d v="2023-03-11T00:00:00"/>
    <x v="2"/>
    <x v="3"/>
    <x v="11"/>
    <x v="1"/>
    <n v="2"/>
    <n v="735"/>
    <n v="15"/>
    <n v="1249.5"/>
    <n v="709.41"/>
    <n v="540.09"/>
    <x v="8"/>
    <x v="1"/>
    <n v="0.43224489795918369"/>
  </r>
  <r>
    <n v="4027"/>
    <d v="2023-09-04T00:00:00"/>
    <x v="1"/>
    <x v="1"/>
    <x v="2"/>
    <x v="4"/>
    <n v="5"/>
    <n v="694"/>
    <n v="0"/>
    <n v="3470"/>
    <n v="2048.71"/>
    <n v="1421.29"/>
    <x v="0"/>
    <x v="1"/>
    <n v="0.40959365994236308"/>
  </r>
  <r>
    <n v="4028"/>
    <d v="2024-03-19T00:00:00"/>
    <x v="0"/>
    <x v="3"/>
    <x v="15"/>
    <x v="0"/>
    <n v="8"/>
    <n v="966"/>
    <n v="10"/>
    <n v="6955.2"/>
    <n v="5273.62"/>
    <n v="1681.58"/>
    <x v="8"/>
    <x v="0"/>
    <n v="0.24177306188175754"/>
  </r>
  <r>
    <n v="4029"/>
    <d v="2024-09-06T00:00:00"/>
    <x v="3"/>
    <x v="0"/>
    <x v="1"/>
    <x v="2"/>
    <n v="1"/>
    <n v="421"/>
    <n v="0"/>
    <n v="421"/>
    <n v="225.13"/>
    <n v="195.87"/>
    <x v="0"/>
    <x v="0"/>
    <n v="0.46524940617577198"/>
  </r>
  <r>
    <n v="4030"/>
    <d v="2023-09-05T00:00:00"/>
    <x v="2"/>
    <x v="4"/>
    <x v="14"/>
    <x v="2"/>
    <n v="6"/>
    <n v="523"/>
    <n v="5"/>
    <n v="2981.1"/>
    <n v="2074.1"/>
    <n v="907"/>
    <x v="0"/>
    <x v="1"/>
    <n v="0.30425010902016036"/>
  </r>
  <r>
    <n v="4031"/>
    <d v="2023-12-29T00:00:00"/>
    <x v="1"/>
    <x v="4"/>
    <x v="9"/>
    <x v="0"/>
    <n v="9"/>
    <n v="608"/>
    <n v="0"/>
    <n v="5472"/>
    <n v="2736.7"/>
    <n v="2735.3"/>
    <x v="6"/>
    <x v="1"/>
    <n v="0.49987207602339184"/>
  </r>
  <r>
    <n v="4032"/>
    <d v="2024-09-06T00:00:00"/>
    <x v="0"/>
    <x v="4"/>
    <x v="9"/>
    <x v="2"/>
    <n v="2"/>
    <n v="831"/>
    <n v="10"/>
    <n v="1495.8"/>
    <n v="1068.08"/>
    <n v="427.72"/>
    <x v="0"/>
    <x v="0"/>
    <n v="0.28594731916031557"/>
  </r>
  <r>
    <n v="4033"/>
    <d v="2023-09-16T00:00:00"/>
    <x v="2"/>
    <x v="3"/>
    <x v="11"/>
    <x v="1"/>
    <n v="7"/>
    <n v="569"/>
    <n v="20"/>
    <n v="3186.4"/>
    <n v="1724.82"/>
    <n v="1461.58"/>
    <x v="0"/>
    <x v="1"/>
    <n v="0.45869319608335424"/>
  </r>
  <r>
    <n v="4034"/>
    <d v="2023-07-28T00:00:00"/>
    <x v="1"/>
    <x v="4"/>
    <x v="9"/>
    <x v="1"/>
    <n v="7"/>
    <n v="82"/>
    <n v="20"/>
    <n v="459.2"/>
    <n v="348.77"/>
    <n v="110.43"/>
    <x v="5"/>
    <x v="1"/>
    <n v="0.24048344947735192"/>
  </r>
  <r>
    <n v="4035"/>
    <d v="2023-03-05T00:00:00"/>
    <x v="3"/>
    <x v="3"/>
    <x v="11"/>
    <x v="1"/>
    <n v="5"/>
    <n v="874"/>
    <n v="5"/>
    <n v="4151.5"/>
    <n v="2941.44"/>
    <n v="1210.06"/>
    <x v="8"/>
    <x v="1"/>
    <n v="0.29147537034806698"/>
  </r>
  <r>
    <n v="4036"/>
    <d v="2023-11-19T00:00:00"/>
    <x v="2"/>
    <x v="2"/>
    <x v="6"/>
    <x v="4"/>
    <n v="10"/>
    <n v="207"/>
    <n v="20"/>
    <n v="1656"/>
    <n v="1037.29"/>
    <n v="618.71"/>
    <x v="3"/>
    <x v="1"/>
    <n v="0.37361714975845411"/>
  </r>
  <r>
    <n v="4037"/>
    <d v="2023-11-20T00:00:00"/>
    <x v="3"/>
    <x v="1"/>
    <x v="16"/>
    <x v="0"/>
    <n v="5"/>
    <n v="365"/>
    <n v="10"/>
    <n v="1642.5"/>
    <n v="1055.07"/>
    <n v="587.42999999999995"/>
    <x v="3"/>
    <x v="1"/>
    <n v="0.35764383561643831"/>
  </r>
  <r>
    <n v="4038"/>
    <d v="2023-05-20T00:00:00"/>
    <x v="3"/>
    <x v="1"/>
    <x v="5"/>
    <x v="4"/>
    <n v="2"/>
    <n v="930"/>
    <n v="5"/>
    <n v="1767"/>
    <n v="1299.8399999999999"/>
    <n v="467.16"/>
    <x v="7"/>
    <x v="1"/>
    <n v="0.26438030560271647"/>
  </r>
  <r>
    <n v="4039"/>
    <d v="2023-06-03T00:00:00"/>
    <x v="1"/>
    <x v="2"/>
    <x v="17"/>
    <x v="2"/>
    <n v="1"/>
    <n v="712"/>
    <n v="0"/>
    <n v="712"/>
    <n v="417.94"/>
    <n v="294.06"/>
    <x v="4"/>
    <x v="1"/>
    <n v="0.41300561797752811"/>
  </r>
  <r>
    <n v="4040"/>
    <d v="2024-09-01T00:00:00"/>
    <x v="3"/>
    <x v="1"/>
    <x v="5"/>
    <x v="2"/>
    <n v="2"/>
    <n v="315"/>
    <n v="5"/>
    <n v="598.5"/>
    <n v="315.08999999999997"/>
    <n v="283.41000000000003"/>
    <x v="0"/>
    <x v="0"/>
    <n v="0.4735338345864662"/>
  </r>
  <r>
    <n v="4041"/>
    <d v="2024-02-27T00:00:00"/>
    <x v="3"/>
    <x v="1"/>
    <x v="16"/>
    <x v="3"/>
    <n v="3"/>
    <n v="482"/>
    <n v="0"/>
    <n v="1446"/>
    <n v="960.96"/>
    <n v="485.04"/>
    <x v="9"/>
    <x v="0"/>
    <n v="0.33543568464730295"/>
  </r>
  <r>
    <n v="4042"/>
    <d v="2023-07-13T00:00:00"/>
    <x v="3"/>
    <x v="1"/>
    <x v="16"/>
    <x v="1"/>
    <n v="9"/>
    <n v="71"/>
    <n v="5"/>
    <n v="607.04999999999995"/>
    <n v="323.54000000000002"/>
    <n v="283.51"/>
    <x v="5"/>
    <x v="1"/>
    <n v="0.46702907503500535"/>
  </r>
  <r>
    <n v="4043"/>
    <d v="2024-04-01T00:00:00"/>
    <x v="3"/>
    <x v="2"/>
    <x v="3"/>
    <x v="3"/>
    <n v="6"/>
    <n v="982"/>
    <n v="20"/>
    <n v="4713.6000000000004"/>
    <n v="3036.97"/>
    <n v="1676.63"/>
    <x v="10"/>
    <x v="0"/>
    <n v="0.3557005261371351"/>
  </r>
  <r>
    <n v="4044"/>
    <d v="2024-09-21T00:00:00"/>
    <x v="0"/>
    <x v="0"/>
    <x v="1"/>
    <x v="3"/>
    <n v="7"/>
    <n v="876"/>
    <n v="10"/>
    <n v="5518.8"/>
    <n v="3232.99"/>
    <n v="2285.81"/>
    <x v="0"/>
    <x v="0"/>
    <n v="0.41418605493947958"/>
  </r>
  <r>
    <n v="4045"/>
    <d v="2024-05-28T00:00:00"/>
    <x v="2"/>
    <x v="1"/>
    <x v="7"/>
    <x v="1"/>
    <n v="8"/>
    <n v="656"/>
    <n v="15"/>
    <n v="4460.8"/>
    <n v="3563.83"/>
    <n v="896.97"/>
    <x v="7"/>
    <x v="0"/>
    <n v="0.20107828192252511"/>
  </r>
  <r>
    <n v="4046"/>
    <d v="2023-11-04T00:00:00"/>
    <x v="1"/>
    <x v="3"/>
    <x v="11"/>
    <x v="3"/>
    <n v="6"/>
    <n v="168"/>
    <n v="20"/>
    <n v="806.4"/>
    <n v="479.05"/>
    <n v="327.35000000000002"/>
    <x v="3"/>
    <x v="1"/>
    <n v="0.40593998015873017"/>
  </r>
  <r>
    <n v="4047"/>
    <d v="2024-01-29T00:00:00"/>
    <x v="2"/>
    <x v="3"/>
    <x v="4"/>
    <x v="5"/>
    <n v="8"/>
    <n v="426"/>
    <n v="0"/>
    <n v="3408"/>
    <n v="2033.04"/>
    <n v="1374.96"/>
    <x v="11"/>
    <x v="0"/>
    <n v="0.40345070422535212"/>
  </r>
  <r>
    <n v="4048"/>
    <d v="2024-12-24T00:00:00"/>
    <x v="0"/>
    <x v="3"/>
    <x v="15"/>
    <x v="2"/>
    <n v="7"/>
    <n v="510"/>
    <n v="5"/>
    <n v="3391.5"/>
    <n v="2546.44"/>
    <n v="845.06"/>
    <x v="6"/>
    <x v="0"/>
    <n v="0.24916998378298685"/>
  </r>
  <r>
    <n v="4049"/>
    <d v="2023-01-23T00:00:00"/>
    <x v="2"/>
    <x v="2"/>
    <x v="6"/>
    <x v="5"/>
    <n v="1"/>
    <n v="372"/>
    <n v="5"/>
    <n v="353.4"/>
    <n v="241.38"/>
    <n v="112.02"/>
    <x v="11"/>
    <x v="1"/>
    <n v="0.31697792869269947"/>
  </r>
  <r>
    <n v="4050"/>
    <d v="2024-01-07T00:00:00"/>
    <x v="1"/>
    <x v="3"/>
    <x v="15"/>
    <x v="5"/>
    <n v="5"/>
    <n v="362"/>
    <n v="10"/>
    <n v="1629"/>
    <n v="1109.56"/>
    <n v="519.44000000000005"/>
    <x v="11"/>
    <x v="0"/>
    <n v="0.31887047268262741"/>
  </r>
  <r>
    <n v="4051"/>
    <d v="2023-03-03T00:00:00"/>
    <x v="1"/>
    <x v="2"/>
    <x v="6"/>
    <x v="1"/>
    <n v="7"/>
    <n v="273"/>
    <n v="5"/>
    <n v="1815.45"/>
    <n v="1274.22"/>
    <n v="541.23"/>
    <x v="8"/>
    <x v="1"/>
    <n v="0.29812443195901844"/>
  </r>
  <r>
    <n v="4052"/>
    <d v="2023-04-08T00:00:00"/>
    <x v="0"/>
    <x v="2"/>
    <x v="10"/>
    <x v="4"/>
    <n v="1"/>
    <n v="585"/>
    <n v="20"/>
    <n v="468"/>
    <n v="277.08"/>
    <n v="190.92"/>
    <x v="10"/>
    <x v="1"/>
    <n v="0.4079487179487179"/>
  </r>
  <r>
    <n v="4053"/>
    <d v="2024-03-04T00:00:00"/>
    <x v="0"/>
    <x v="0"/>
    <x v="12"/>
    <x v="5"/>
    <n v="5"/>
    <n v="984"/>
    <n v="5"/>
    <n v="4674"/>
    <n v="3137.97"/>
    <n v="1536.03"/>
    <x v="8"/>
    <x v="0"/>
    <n v="0.32863286264441594"/>
  </r>
  <r>
    <n v="4054"/>
    <d v="2023-03-05T00:00:00"/>
    <x v="1"/>
    <x v="0"/>
    <x v="1"/>
    <x v="3"/>
    <n v="10"/>
    <n v="62"/>
    <n v="0"/>
    <n v="620"/>
    <n v="336.15"/>
    <n v="283.85000000000002"/>
    <x v="8"/>
    <x v="1"/>
    <n v="0.45782258064516135"/>
  </r>
  <r>
    <n v="4055"/>
    <d v="2024-01-16T00:00:00"/>
    <x v="3"/>
    <x v="2"/>
    <x v="3"/>
    <x v="0"/>
    <n v="10"/>
    <n v="172"/>
    <n v="0"/>
    <n v="1720"/>
    <n v="1346.29"/>
    <n v="373.71"/>
    <x v="11"/>
    <x v="0"/>
    <n v="0.21727325581395349"/>
  </r>
  <r>
    <n v="4056"/>
    <d v="2023-10-04T00:00:00"/>
    <x v="0"/>
    <x v="4"/>
    <x v="14"/>
    <x v="3"/>
    <n v="7"/>
    <n v="366"/>
    <n v="15"/>
    <n v="2177.6999999999998"/>
    <n v="1382.9"/>
    <n v="794.8"/>
    <x v="1"/>
    <x v="1"/>
    <n v="0.36497221839555494"/>
  </r>
  <r>
    <n v="4057"/>
    <d v="2024-06-15T00:00:00"/>
    <x v="1"/>
    <x v="1"/>
    <x v="5"/>
    <x v="1"/>
    <n v="4"/>
    <n v="586"/>
    <n v="20"/>
    <n v="1875.2"/>
    <n v="1136.71"/>
    <n v="738.49"/>
    <x v="4"/>
    <x v="0"/>
    <n v="0.39381932593856656"/>
  </r>
  <r>
    <n v="4058"/>
    <d v="2023-10-19T00:00:00"/>
    <x v="3"/>
    <x v="2"/>
    <x v="3"/>
    <x v="0"/>
    <n v="6"/>
    <n v="747"/>
    <n v="5"/>
    <n v="4257.8999999999996"/>
    <n v="2928.7"/>
    <n v="1329.2"/>
    <x v="1"/>
    <x v="1"/>
    <n v="0.31217266727729637"/>
  </r>
  <r>
    <n v="4059"/>
    <d v="2024-11-21T00:00:00"/>
    <x v="2"/>
    <x v="1"/>
    <x v="5"/>
    <x v="0"/>
    <n v="4"/>
    <n v="78"/>
    <n v="20"/>
    <n v="249.6"/>
    <n v="182.93"/>
    <n v="66.67"/>
    <x v="3"/>
    <x v="0"/>
    <n v="0.26710737179487182"/>
  </r>
  <r>
    <n v="4060"/>
    <d v="2024-09-11T00:00:00"/>
    <x v="2"/>
    <x v="4"/>
    <x v="9"/>
    <x v="3"/>
    <n v="1"/>
    <n v="399"/>
    <n v="20"/>
    <n v="319.2"/>
    <n v="219.34"/>
    <n v="99.86"/>
    <x v="0"/>
    <x v="0"/>
    <n v="0.31284461152882209"/>
  </r>
  <r>
    <n v="4061"/>
    <d v="2024-08-17T00:00:00"/>
    <x v="3"/>
    <x v="3"/>
    <x v="11"/>
    <x v="1"/>
    <n v="6"/>
    <n v="679"/>
    <n v="15"/>
    <n v="3462.9"/>
    <n v="2146.58"/>
    <n v="1316.32"/>
    <x v="2"/>
    <x v="0"/>
    <n v="0.38012070807704523"/>
  </r>
  <r>
    <n v="4062"/>
    <d v="2024-03-18T00:00:00"/>
    <x v="2"/>
    <x v="3"/>
    <x v="4"/>
    <x v="4"/>
    <n v="1"/>
    <n v="498"/>
    <n v="20"/>
    <n v="398.4"/>
    <n v="308.41000000000003"/>
    <n v="89.99"/>
    <x v="8"/>
    <x v="0"/>
    <n v="0.22587851405622489"/>
  </r>
  <r>
    <n v="4063"/>
    <d v="2023-10-09T00:00:00"/>
    <x v="2"/>
    <x v="3"/>
    <x v="19"/>
    <x v="1"/>
    <n v="10"/>
    <n v="423"/>
    <n v="20"/>
    <n v="3384"/>
    <n v="2683.62"/>
    <n v="700.38"/>
    <x v="1"/>
    <x v="1"/>
    <n v="0.20696808510638298"/>
  </r>
  <r>
    <n v="4064"/>
    <d v="2024-10-24T00:00:00"/>
    <x v="2"/>
    <x v="2"/>
    <x v="6"/>
    <x v="4"/>
    <n v="1"/>
    <n v="901"/>
    <n v="0"/>
    <n v="901"/>
    <n v="640.64"/>
    <n v="260.36"/>
    <x v="1"/>
    <x v="0"/>
    <n v="0.28896781354051054"/>
  </r>
  <r>
    <n v="4065"/>
    <d v="2024-07-27T00:00:00"/>
    <x v="1"/>
    <x v="3"/>
    <x v="15"/>
    <x v="2"/>
    <n v="10"/>
    <n v="221"/>
    <n v="5"/>
    <n v="2099.5"/>
    <n v="1138.0999999999999"/>
    <n v="961.4"/>
    <x v="5"/>
    <x v="0"/>
    <n v="0.45791855203619908"/>
  </r>
  <r>
    <n v="4066"/>
    <d v="2023-02-01T00:00:00"/>
    <x v="2"/>
    <x v="1"/>
    <x v="5"/>
    <x v="5"/>
    <n v="9"/>
    <n v="263"/>
    <n v="10"/>
    <n v="2130.3000000000002"/>
    <n v="1197.92"/>
    <n v="932.38"/>
    <x v="9"/>
    <x v="1"/>
    <n v="0.4376754447730366"/>
  </r>
  <r>
    <n v="4067"/>
    <d v="2024-01-19T00:00:00"/>
    <x v="0"/>
    <x v="1"/>
    <x v="5"/>
    <x v="4"/>
    <n v="2"/>
    <n v="238"/>
    <n v="0"/>
    <n v="476"/>
    <n v="368.88"/>
    <n v="107.12"/>
    <x v="11"/>
    <x v="0"/>
    <n v="0.2250420168067227"/>
  </r>
  <r>
    <n v="4068"/>
    <d v="2024-12-02T00:00:00"/>
    <x v="2"/>
    <x v="4"/>
    <x v="18"/>
    <x v="5"/>
    <n v="10"/>
    <n v="449"/>
    <n v="15"/>
    <n v="3816.5"/>
    <n v="2680.97"/>
    <n v="1135.53"/>
    <x v="6"/>
    <x v="0"/>
    <n v="0.29753176994628588"/>
  </r>
  <r>
    <n v="4069"/>
    <d v="2024-01-15T00:00:00"/>
    <x v="2"/>
    <x v="4"/>
    <x v="18"/>
    <x v="5"/>
    <n v="5"/>
    <n v="411"/>
    <n v="5"/>
    <n v="1952.25"/>
    <n v="1053.8"/>
    <n v="898.45"/>
    <x v="11"/>
    <x v="0"/>
    <n v="0.46021257523370473"/>
  </r>
  <r>
    <n v="4070"/>
    <d v="2024-02-09T00:00:00"/>
    <x v="0"/>
    <x v="3"/>
    <x v="11"/>
    <x v="1"/>
    <n v="9"/>
    <n v="321"/>
    <n v="5"/>
    <n v="2744.55"/>
    <n v="2134.69"/>
    <n v="609.86"/>
    <x v="9"/>
    <x v="0"/>
    <n v="0.22220764788398825"/>
  </r>
  <r>
    <n v="4071"/>
    <d v="2023-04-09T00:00:00"/>
    <x v="2"/>
    <x v="1"/>
    <x v="7"/>
    <x v="2"/>
    <n v="5"/>
    <n v="961"/>
    <n v="20"/>
    <n v="3844"/>
    <n v="2143.9699999999998"/>
    <n v="1700.03"/>
    <x v="10"/>
    <x v="1"/>
    <n v="0.44225546305931318"/>
  </r>
  <r>
    <n v="4072"/>
    <d v="2023-10-25T00:00:00"/>
    <x v="3"/>
    <x v="4"/>
    <x v="8"/>
    <x v="5"/>
    <n v="8"/>
    <n v="890"/>
    <n v="0"/>
    <n v="7120"/>
    <n v="4494.58"/>
    <n v="2625.42"/>
    <x v="1"/>
    <x v="1"/>
    <n v="0.36873876404494382"/>
  </r>
  <r>
    <n v="4073"/>
    <d v="2023-06-08T00:00:00"/>
    <x v="3"/>
    <x v="2"/>
    <x v="6"/>
    <x v="5"/>
    <n v="2"/>
    <n v="60"/>
    <n v="15"/>
    <n v="102"/>
    <n v="60.96"/>
    <n v="41.04"/>
    <x v="4"/>
    <x v="1"/>
    <n v="0.40235294117647058"/>
  </r>
  <r>
    <n v="4074"/>
    <d v="2023-07-07T00:00:00"/>
    <x v="2"/>
    <x v="3"/>
    <x v="19"/>
    <x v="0"/>
    <n v="4"/>
    <n v="564"/>
    <n v="10"/>
    <n v="2030.4"/>
    <n v="1105.69"/>
    <n v="924.71"/>
    <x v="5"/>
    <x v="1"/>
    <n v="0.455432427107959"/>
  </r>
  <r>
    <n v="4075"/>
    <d v="2024-09-29T00:00:00"/>
    <x v="2"/>
    <x v="3"/>
    <x v="11"/>
    <x v="3"/>
    <n v="7"/>
    <n v="374"/>
    <n v="20"/>
    <n v="2094.4"/>
    <n v="1193.69"/>
    <n v="900.71"/>
    <x v="0"/>
    <x v="0"/>
    <n v="0.43005634071810545"/>
  </r>
  <r>
    <n v="4076"/>
    <d v="2024-06-28T00:00:00"/>
    <x v="2"/>
    <x v="0"/>
    <x v="1"/>
    <x v="2"/>
    <n v="7"/>
    <n v="37"/>
    <n v="5"/>
    <n v="246.05"/>
    <n v="148.52000000000001"/>
    <n v="97.53"/>
    <x v="4"/>
    <x v="0"/>
    <n v="0.39638284901442794"/>
  </r>
  <r>
    <n v="4077"/>
    <d v="2023-12-13T00:00:00"/>
    <x v="1"/>
    <x v="2"/>
    <x v="3"/>
    <x v="5"/>
    <n v="4"/>
    <n v="689"/>
    <n v="0"/>
    <n v="2756"/>
    <n v="1723.9"/>
    <n v="1032.0999999999999"/>
    <x v="6"/>
    <x v="1"/>
    <n v="0.3744920174165457"/>
  </r>
  <r>
    <n v="4078"/>
    <d v="2024-06-20T00:00:00"/>
    <x v="3"/>
    <x v="1"/>
    <x v="5"/>
    <x v="1"/>
    <n v="9"/>
    <n v="454"/>
    <n v="0"/>
    <n v="4086"/>
    <n v="2355.59"/>
    <n v="1730.41"/>
    <x v="4"/>
    <x v="0"/>
    <n v="0.42349730788056783"/>
  </r>
  <r>
    <n v="4079"/>
    <d v="2024-05-25T00:00:00"/>
    <x v="3"/>
    <x v="1"/>
    <x v="7"/>
    <x v="1"/>
    <n v="8"/>
    <n v="700"/>
    <n v="5"/>
    <n v="5320"/>
    <n v="3690.66"/>
    <n v="1629.34"/>
    <x v="7"/>
    <x v="0"/>
    <n v="0.30626691729323308"/>
  </r>
  <r>
    <n v="4080"/>
    <d v="2024-05-25T00:00:00"/>
    <x v="3"/>
    <x v="3"/>
    <x v="4"/>
    <x v="1"/>
    <n v="9"/>
    <n v="376"/>
    <n v="20"/>
    <n v="2707.2"/>
    <n v="2044.64"/>
    <n v="662.56"/>
    <x v="7"/>
    <x v="0"/>
    <n v="0.24473995271867613"/>
  </r>
  <r>
    <n v="4081"/>
    <d v="2024-04-21T00:00:00"/>
    <x v="1"/>
    <x v="1"/>
    <x v="7"/>
    <x v="4"/>
    <n v="9"/>
    <n v="217"/>
    <n v="5"/>
    <n v="1855.35"/>
    <n v="1330.69"/>
    <n v="524.66"/>
    <x v="10"/>
    <x v="0"/>
    <n v="0.28278222437814965"/>
  </r>
  <r>
    <n v="4082"/>
    <d v="2023-06-24T00:00:00"/>
    <x v="1"/>
    <x v="2"/>
    <x v="6"/>
    <x v="4"/>
    <n v="2"/>
    <n v="338"/>
    <n v="5"/>
    <n v="642.20000000000005"/>
    <n v="346.24"/>
    <n v="295.95999999999998"/>
    <x v="4"/>
    <x v="1"/>
    <n v="0.46085331672376201"/>
  </r>
  <r>
    <n v="4083"/>
    <d v="2023-07-26T00:00:00"/>
    <x v="0"/>
    <x v="0"/>
    <x v="1"/>
    <x v="1"/>
    <n v="1"/>
    <n v="117"/>
    <n v="20"/>
    <n v="93.6"/>
    <n v="52.7"/>
    <n v="40.9"/>
    <x v="5"/>
    <x v="1"/>
    <n v="0.43696581196581197"/>
  </r>
  <r>
    <n v="4084"/>
    <d v="2024-07-07T00:00:00"/>
    <x v="3"/>
    <x v="0"/>
    <x v="13"/>
    <x v="1"/>
    <n v="5"/>
    <n v="331"/>
    <n v="10"/>
    <n v="1489.5"/>
    <n v="935.13"/>
    <n v="554.37"/>
    <x v="5"/>
    <x v="0"/>
    <n v="0.37218529707955689"/>
  </r>
  <r>
    <n v="4085"/>
    <d v="2024-07-30T00:00:00"/>
    <x v="0"/>
    <x v="3"/>
    <x v="15"/>
    <x v="0"/>
    <n v="8"/>
    <n v="293"/>
    <n v="20"/>
    <n v="1875.2"/>
    <n v="1022.73"/>
    <n v="852.47"/>
    <x v="5"/>
    <x v="0"/>
    <n v="0.45460217576791812"/>
  </r>
  <r>
    <n v="4086"/>
    <d v="2023-08-02T00:00:00"/>
    <x v="1"/>
    <x v="0"/>
    <x v="0"/>
    <x v="3"/>
    <n v="5"/>
    <n v="951"/>
    <n v="5"/>
    <n v="4517.25"/>
    <n v="3457.49"/>
    <n v="1059.76"/>
    <x v="2"/>
    <x v="1"/>
    <n v="0.23460291106314682"/>
  </r>
  <r>
    <n v="4087"/>
    <d v="2023-12-07T00:00:00"/>
    <x v="2"/>
    <x v="2"/>
    <x v="6"/>
    <x v="4"/>
    <n v="1"/>
    <n v="60"/>
    <n v="20"/>
    <n v="48"/>
    <n v="26.02"/>
    <n v="21.98"/>
    <x v="6"/>
    <x v="1"/>
    <n v="0.45791666666666669"/>
  </r>
  <r>
    <n v="4088"/>
    <d v="2024-06-20T00:00:00"/>
    <x v="1"/>
    <x v="0"/>
    <x v="12"/>
    <x v="5"/>
    <n v="6"/>
    <n v="934"/>
    <n v="10"/>
    <n v="5043.6000000000004"/>
    <n v="2653.68"/>
    <n v="2389.92"/>
    <x v="4"/>
    <x v="0"/>
    <n v="0.47385201046871278"/>
  </r>
  <r>
    <n v="4089"/>
    <d v="2023-12-27T00:00:00"/>
    <x v="0"/>
    <x v="4"/>
    <x v="9"/>
    <x v="0"/>
    <n v="8"/>
    <n v="604"/>
    <n v="5"/>
    <n v="4590.3999999999996"/>
    <n v="2887.46"/>
    <n v="1702.94"/>
    <x v="6"/>
    <x v="1"/>
    <n v="0.37097856395956785"/>
  </r>
  <r>
    <n v="4090"/>
    <d v="2023-01-29T00:00:00"/>
    <x v="3"/>
    <x v="2"/>
    <x v="10"/>
    <x v="2"/>
    <n v="8"/>
    <n v="763"/>
    <n v="15"/>
    <n v="5188.3999999999996"/>
    <n v="3025.32"/>
    <n v="2163.08"/>
    <x v="11"/>
    <x v="1"/>
    <n v="0.41690694626474445"/>
  </r>
  <r>
    <n v="4091"/>
    <d v="2024-01-20T00:00:00"/>
    <x v="0"/>
    <x v="3"/>
    <x v="4"/>
    <x v="3"/>
    <n v="2"/>
    <n v="866"/>
    <n v="5"/>
    <n v="1645.4"/>
    <n v="1160.55"/>
    <n v="484.85"/>
    <x v="11"/>
    <x v="0"/>
    <n v="0.29466998906041086"/>
  </r>
  <r>
    <n v="4092"/>
    <d v="2024-10-28T00:00:00"/>
    <x v="2"/>
    <x v="3"/>
    <x v="4"/>
    <x v="2"/>
    <n v="1"/>
    <n v="857"/>
    <n v="20"/>
    <n v="685.6"/>
    <n v="487.53"/>
    <n v="198.07"/>
    <x v="1"/>
    <x v="0"/>
    <n v="0.2889002333722287"/>
  </r>
  <r>
    <n v="4093"/>
    <d v="2023-09-04T00:00:00"/>
    <x v="0"/>
    <x v="1"/>
    <x v="16"/>
    <x v="3"/>
    <n v="6"/>
    <n v="278"/>
    <n v="10"/>
    <n v="1501.2"/>
    <n v="1131.8"/>
    <n v="369.4"/>
    <x v="0"/>
    <x v="1"/>
    <n v="0.24606981081801224"/>
  </r>
  <r>
    <n v="4094"/>
    <d v="2024-08-22T00:00:00"/>
    <x v="3"/>
    <x v="2"/>
    <x v="10"/>
    <x v="5"/>
    <n v="8"/>
    <n v="350"/>
    <n v="5"/>
    <n v="2660"/>
    <n v="1664.36"/>
    <n v="995.64"/>
    <x v="2"/>
    <x v="0"/>
    <n v="0.37430075187969924"/>
  </r>
  <r>
    <n v="4095"/>
    <d v="2024-07-22T00:00:00"/>
    <x v="3"/>
    <x v="3"/>
    <x v="19"/>
    <x v="5"/>
    <n v="7"/>
    <n v="751"/>
    <n v="10"/>
    <n v="4731.3"/>
    <n v="3111.64"/>
    <n v="1619.66"/>
    <x v="5"/>
    <x v="0"/>
    <n v="0.34232874685604381"/>
  </r>
  <r>
    <n v="4096"/>
    <d v="2024-12-05T00:00:00"/>
    <x v="3"/>
    <x v="1"/>
    <x v="7"/>
    <x v="4"/>
    <n v="8"/>
    <n v="952"/>
    <n v="20"/>
    <n v="6092.8"/>
    <n v="4353.8999999999996"/>
    <n v="1738.9"/>
    <x v="6"/>
    <x v="0"/>
    <n v="0.28540244222689076"/>
  </r>
  <r>
    <n v="4097"/>
    <d v="2023-07-27T00:00:00"/>
    <x v="1"/>
    <x v="3"/>
    <x v="11"/>
    <x v="4"/>
    <n v="4"/>
    <n v="917"/>
    <n v="20"/>
    <n v="2934.4"/>
    <n v="2201.36"/>
    <n v="733.04"/>
    <x v="5"/>
    <x v="1"/>
    <n v="0.2498091603053435"/>
  </r>
  <r>
    <n v="4098"/>
    <d v="2024-07-29T00:00:00"/>
    <x v="0"/>
    <x v="0"/>
    <x v="13"/>
    <x v="5"/>
    <n v="10"/>
    <n v="246"/>
    <n v="5"/>
    <n v="2337"/>
    <n v="1359.16"/>
    <n v="977.84"/>
    <x v="5"/>
    <x v="0"/>
    <n v="0.41841677364142066"/>
  </r>
  <r>
    <n v="4099"/>
    <d v="2023-11-27T00:00:00"/>
    <x v="1"/>
    <x v="1"/>
    <x v="16"/>
    <x v="2"/>
    <n v="10"/>
    <n v="122"/>
    <n v="10"/>
    <n v="1098"/>
    <n v="855.75"/>
    <n v="242.25"/>
    <x v="3"/>
    <x v="1"/>
    <n v="0.22062841530054644"/>
  </r>
  <r>
    <n v="4100"/>
    <d v="2023-11-10T00:00:00"/>
    <x v="0"/>
    <x v="4"/>
    <x v="18"/>
    <x v="4"/>
    <n v="10"/>
    <n v="961"/>
    <n v="0"/>
    <n v="9610"/>
    <n v="5424.04"/>
    <n v="4185.96"/>
    <x v="3"/>
    <x v="1"/>
    <n v="0.43558376690946932"/>
  </r>
  <r>
    <n v="4101"/>
    <d v="2023-06-03T00:00:00"/>
    <x v="3"/>
    <x v="4"/>
    <x v="14"/>
    <x v="4"/>
    <n v="1"/>
    <n v="467"/>
    <n v="10"/>
    <n v="420.3"/>
    <n v="305.98"/>
    <n v="114.32"/>
    <x v="4"/>
    <x v="1"/>
    <n v="0.27199619319533663"/>
  </r>
  <r>
    <n v="4102"/>
    <d v="2024-04-23T00:00:00"/>
    <x v="0"/>
    <x v="3"/>
    <x v="19"/>
    <x v="2"/>
    <n v="3"/>
    <n v="441"/>
    <n v="10"/>
    <n v="1190.7"/>
    <n v="616.62"/>
    <n v="574.08000000000004"/>
    <x v="10"/>
    <x v="0"/>
    <n v="0.48213655832703456"/>
  </r>
  <r>
    <n v="4103"/>
    <d v="2023-11-30T00:00:00"/>
    <x v="3"/>
    <x v="0"/>
    <x v="0"/>
    <x v="1"/>
    <n v="3"/>
    <n v="408"/>
    <n v="5"/>
    <n v="1162.8"/>
    <n v="730.96"/>
    <n v="431.84"/>
    <x v="3"/>
    <x v="1"/>
    <n v="0.37137942896456827"/>
  </r>
  <r>
    <n v="4104"/>
    <d v="2023-02-21T00:00:00"/>
    <x v="0"/>
    <x v="2"/>
    <x v="3"/>
    <x v="0"/>
    <n v="8"/>
    <n v="634"/>
    <n v="10"/>
    <n v="4564.8"/>
    <n v="3566.76"/>
    <n v="998.04"/>
    <x v="9"/>
    <x v="1"/>
    <n v="0.21863827549947423"/>
  </r>
  <r>
    <n v="4105"/>
    <d v="2023-08-18T00:00:00"/>
    <x v="0"/>
    <x v="3"/>
    <x v="15"/>
    <x v="1"/>
    <n v="6"/>
    <n v="876"/>
    <n v="15"/>
    <n v="4467.6000000000004"/>
    <n v="2757.5"/>
    <n v="1710.1"/>
    <x v="2"/>
    <x v="1"/>
    <n v="0.38277822544542928"/>
  </r>
  <r>
    <n v="4106"/>
    <d v="2023-05-26T00:00:00"/>
    <x v="2"/>
    <x v="4"/>
    <x v="14"/>
    <x v="2"/>
    <n v="9"/>
    <n v="164"/>
    <n v="20"/>
    <n v="1180.8"/>
    <n v="676.7"/>
    <n v="504.1"/>
    <x v="7"/>
    <x v="1"/>
    <n v="0.42691395663956644"/>
  </r>
  <r>
    <n v="4107"/>
    <d v="2024-03-17T00:00:00"/>
    <x v="0"/>
    <x v="0"/>
    <x v="0"/>
    <x v="5"/>
    <n v="1"/>
    <n v="36"/>
    <n v="5"/>
    <n v="34.200000000000003"/>
    <n v="19.59"/>
    <n v="14.61"/>
    <x v="8"/>
    <x v="0"/>
    <n v="0.42719298245614029"/>
  </r>
  <r>
    <n v="4108"/>
    <d v="2024-10-24T00:00:00"/>
    <x v="2"/>
    <x v="1"/>
    <x v="2"/>
    <x v="1"/>
    <n v="10"/>
    <n v="671"/>
    <n v="10"/>
    <n v="6039"/>
    <n v="4545.25"/>
    <n v="1493.75"/>
    <x v="1"/>
    <x v="0"/>
    <n v="0.24735055472760392"/>
  </r>
  <r>
    <n v="4109"/>
    <d v="2024-04-29T00:00:00"/>
    <x v="3"/>
    <x v="2"/>
    <x v="6"/>
    <x v="3"/>
    <n v="3"/>
    <n v="811"/>
    <n v="0"/>
    <n v="2433"/>
    <n v="1653.93"/>
    <n v="779.07"/>
    <x v="10"/>
    <x v="0"/>
    <n v="0.32020961775585699"/>
  </r>
  <r>
    <n v="4110"/>
    <d v="2024-05-02T00:00:00"/>
    <x v="0"/>
    <x v="2"/>
    <x v="6"/>
    <x v="1"/>
    <n v="7"/>
    <n v="341"/>
    <n v="5"/>
    <n v="2267.65"/>
    <n v="1285.01"/>
    <n v="982.64"/>
    <x v="7"/>
    <x v="0"/>
    <n v="0.43332965845699289"/>
  </r>
  <r>
    <n v="4111"/>
    <d v="2023-09-11T00:00:00"/>
    <x v="1"/>
    <x v="4"/>
    <x v="18"/>
    <x v="4"/>
    <n v="3"/>
    <n v="709"/>
    <n v="20"/>
    <n v="1701.6"/>
    <n v="943.51"/>
    <n v="758.09"/>
    <x v="0"/>
    <x v="1"/>
    <n v="0.44551598495533618"/>
  </r>
  <r>
    <n v="4112"/>
    <d v="2024-03-28T00:00:00"/>
    <x v="1"/>
    <x v="1"/>
    <x v="16"/>
    <x v="4"/>
    <n v="10"/>
    <n v="49"/>
    <n v="0"/>
    <n v="490"/>
    <n v="266.83"/>
    <n v="223.17"/>
    <x v="8"/>
    <x v="0"/>
    <n v="0.45544897959183672"/>
  </r>
  <r>
    <n v="4113"/>
    <d v="2024-03-09T00:00:00"/>
    <x v="3"/>
    <x v="3"/>
    <x v="19"/>
    <x v="4"/>
    <n v="5"/>
    <n v="28"/>
    <n v="0"/>
    <n v="140"/>
    <n v="111.25"/>
    <n v="28.75"/>
    <x v="8"/>
    <x v="0"/>
    <n v="0.20535714285714285"/>
  </r>
  <r>
    <n v="4114"/>
    <d v="2024-10-07T00:00:00"/>
    <x v="0"/>
    <x v="2"/>
    <x v="6"/>
    <x v="5"/>
    <n v="5"/>
    <n v="120"/>
    <n v="15"/>
    <n v="510"/>
    <n v="337.37"/>
    <n v="172.63"/>
    <x v="1"/>
    <x v="0"/>
    <n v="0.33849019607843134"/>
  </r>
  <r>
    <n v="4115"/>
    <d v="2024-04-07T00:00:00"/>
    <x v="1"/>
    <x v="1"/>
    <x v="16"/>
    <x v="1"/>
    <n v="2"/>
    <n v="520"/>
    <n v="10"/>
    <n v="936"/>
    <n v="577.08000000000004"/>
    <n v="358.92"/>
    <x v="10"/>
    <x v="0"/>
    <n v="0.38346153846153846"/>
  </r>
  <r>
    <n v="4116"/>
    <d v="2023-11-02T00:00:00"/>
    <x v="0"/>
    <x v="4"/>
    <x v="18"/>
    <x v="1"/>
    <n v="10"/>
    <n v="65"/>
    <n v="10"/>
    <n v="585"/>
    <n v="398.08"/>
    <n v="186.92"/>
    <x v="3"/>
    <x v="1"/>
    <n v="0.31952136752136751"/>
  </r>
  <r>
    <n v="4117"/>
    <d v="2024-01-28T00:00:00"/>
    <x v="0"/>
    <x v="0"/>
    <x v="1"/>
    <x v="4"/>
    <n v="5"/>
    <n v="404"/>
    <n v="0"/>
    <n v="2020"/>
    <n v="1292.26"/>
    <n v="727.74"/>
    <x v="11"/>
    <x v="0"/>
    <n v="0.36026732673267325"/>
  </r>
  <r>
    <n v="4118"/>
    <d v="2024-09-03T00:00:00"/>
    <x v="1"/>
    <x v="2"/>
    <x v="17"/>
    <x v="4"/>
    <n v="10"/>
    <n v="844"/>
    <n v="15"/>
    <n v="7174"/>
    <n v="4385.29"/>
    <n v="2788.71"/>
    <x v="0"/>
    <x v="0"/>
    <n v="0.38872456091441315"/>
  </r>
  <r>
    <n v="4119"/>
    <d v="2023-05-27T00:00:00"/>
    <x v="2"/>
    <x v="0"/>
    <x v="13"/>
    <x v="0"/>
    <n v="3"/>
    <n v="586"/>
    <n v="20"/>
    <n v="1406.4"/>
    <n v="752.43"/>
    <n v="653.97"/>
    <x v="7"/>
    <x v="1"/>
    <n v="0.46499573378839587"/>
  </r>
  <r>
    <n v="4120"/>
    <d v="2024-03-19T00:00:00"/>
    <x v="1"/>
    <x v="3"/>
    <x v="15"/>
    <x v="0"/>
    <n v="7"/>
    <n v="821"/>
    <n v="10"/>
    <n v="5172.3"/>
    <n v="3020.42"/>
    <n v="2151.88"/>
    <x v="8"/>
    <x v="0"/>
    <n v="0.4160392861976297"/>
  </r>
  <r>
    <n v="4121"/>
    <d v="2024-12-22T00:00:00"/>
    <x v="3"/>
    <x v="2"/>
    <x v="6"/>
    <x v="1"/>
    <n v="5"/>
    <n v="284"/>
    <n v="15"/>
    <n v="1207"/>
    <n v="816.73"/>
    <n v="390.27"/>
    <x v="6"/>
    <x v="0"/>
    <n v="0.3233388566694283"/>
  </r>
  <r>
    <n v="4122"/>
    <d v="2024-12-15T00:00:00"/>
    <x v="1"/>
    <x v="2"/>
    <x v="6"/>
    <x v="5"/>
    <n v="1"/>
    <n v="177"/>
    <n v="20"/>
    <n v="141.6"/>
    <n v="95.52"/>
    <n v="46.08"/>
    <x v="6"/>
    <x v="0"/>
    <n v="0.3254237288135593"/>
  </r>
  <r>
    <n v="4123"/>
    <d v="2024-02-11T00:00:00"/>
    <x v="2"/>
    <x v="0"/>
    <x v="1"/>
    <x v="2"/>
    <n v="8"/>
    <n v="178"/>
    <n v="20"/>
    <n v="1139.2"/>
    <n v="826.77"/>
    <n v="312.43"/>
    <x v="9"/>
    <x v="0"/>
    <n v="0.27425386235955057"/>
  </r>
  <r>
    <n v="4124"/>
    <d v="2024-04-06T00:00:00"/>
    <x v="3"/>
    <x v="0"/>
    <x v="1"/>
    <x v="3"/>
    <n v="7"/>
    <n v="325"/>
    <n v="5"/>
    <n v="2161.25"/>
    <n v="1688.8"/>
    <n v="472.45"/>
    <x v="10"/>
    <x v="0"/>
    <n v="0.21860034702139966"/>
  </r>
  <r>
    <n v="4125"/>
    <d v="2024-11-30T00:00:00"/>
    <x v="0"/>
    <x v="0"/>
    <x v="12"/>
    <x v="5"/>
    <n v="3"/>
    <n v="451"/>
    <n v="10"/>
    <n v="1217.7"/>
    <n v="929.42"/>
    <n v="288.27999999999997"/>
    <x v="3"/>
    <x v="0"/>
    <n v="0.23674139771700745"/>
  </r>
  <r>
    <n v="4126"/>
    <d v="2023-12-02T00:00:00"/>
    <x v="2"/>
    <x v="0"/>
    <x v="0"/>
    <x v="3"/>
    <n v="3"/>
    <n v="930"/>
    <n v="10"/>
    <n v="2511"/>
    <n v="1524.2"/>
    <n v="986.8"/>
    <x v="6"/>
    <x v="1"/>
    <n v="0.39299084030266823"/>
  </r>
  <r>
    <n v="4127"/>
    <d v="2024-01-04T00:00:00"/>
    <x v="0"/>
    <x v="1"/>
    <x v="16"/>
    <x v="0"/>
    <n v="10"/>
    <n v="717"/>
    <n v="0"/>
    <n v="7170"/>
    <n v="4013.74"/>
    <n v="3156.26"/>
    <x v="11"/>
    <x v="0"/>
    <n v="0.44020362622036263"/>
  </r>
  <r>
    <n v="4128"/>
    <d v="2024-06-01T00:00:00"/>
    <x v="1"/>
    <x v="0"/>
    <x v="1"/>
    <x v="1"/>
    <n v="1"/>
    <n v="555"/>
    <n v="0"/>
    <n v="555"/>
    <n v="281.07"/>
    <n v="273.93"/>
    <x v="4"/>
    <x v="0"/>
    <n v="0.49356756756756759"/>
  </r>
  <r>
    <n v="4129"/>
    <d v="2024-06-11T00:00:00"/>
    <x v="3"/>
    <x v="1"/>
    <x v="16"/>
    <x v="1"/>
    <n v="10"/>
    <n v="450"/>
    <n v="5"/>
    <n v="4275"/>
    <n v="2262.27"/>
    <n v="2012.73"/>
    <x v="4"/>
    <x v="0"/>
    <n v="0.4708140350877193"/>
  </r>
  <r>
    <n v="4130"/>
    <d v="2023-06-10T00:00:00"/>
    <x v="2"/>
    <x v="4"/>
    <x v="14"/>
    <x v="5"/>
    <n v="4"/>
    <n v="441"/>
    <n v="15"/>
    <n v="1499.4"/>
    <n v="1050.49"/>
    <n v="448.91"/>
    <x v="4"/>
    <x v="1"/>
    <n v="0.29939309056956115"/>
  </r>
  <r>
    <n v="4131"/>
    <d v="2023-03-29T00:00:00"/>
    <x v="2"/>
    <x v="1"/>
    <x v="7"/>
    <x v="0"/>
    <n v="3"/>
    <n v="327"/>
    <n v="10"/>
    <n v="882.9"/>
    <n v="568.44000000000005"/>
    <n v="314.45999999999998"/>
    <x v="8"/>
    <x v="1"/>
    <n v="0.35616717635066258"/>
  </r>
  <r>
    <n v="4132"/>
    <d v="2024-10-11T00:00:00"/>
    <x v="2"/>
    <x v="0"/>
    <x v="1"/>
    <x v="4"/>
    <n v="3"/>
    <n v="678"/>
    <n v="15"/>
    <n v="1728.9"/>
    <n v="1087.83"/>
    <n v="641.07000000000005"/>
    <x v="1"/>
    <x v="0"/>
    <n v="0.37079646017699114"/>
  </r>
  <r>
    <n v="4133"/>
    <d v="2023-12-22T00:00:00"/>
    <x v="3"/>
    <x v="2"/>
    <x v="3"/>
    <x v="3"/>
    <n v="9"/>
    <n v="396"/>
    <n v="10"/>
    <n v="3207.6"/>
    <n v="1886.93"/>
    <n v="1320.67"/>
    <x v="6"/>
    <x v="1"/>
    <n v="0.41173151265743863"/>
  </r>
  <r>
    <n v="4134"/>
    <d v="2023-07-11T00:00:00"/>
    <x v="3"/>
    <x v="2"/>
    <x v="17"/>
    <x v="0"/>
    <n v="9"/>
    <n v="723"/>
    <n v="0"/>
    <n v="6507"/>
    <n v="5053.33"/>
    <n v="1453.67"/>
    <x v="5"/>
    <x v="1"/>
    <n v="0.22340095282003997"/>
  </r>
  <r>
    <n v="4135"/>
    <d v="2023-10-24T00:00:00"/>
    <x v="0"/>
    <x v="2"/>
    <x v="3"/>
    <x v="3"/>
    <n v="2"/>
    <n v="337"/>
    <n v="0"/>
    <n v="674"/>
    <n v="525.49"/>
    <n v="148.51"/>
    <x v="1"/>
    <x v="1"/>
    <n v="0.22034124629080118"/>
  </r>
  <r>
    <n v="4136"/>
    <d v="2024-05-30T00:00:00"/>
    <x v="2"/>
    <x v="2"/>
    <x v="10"/>
    <x v="1"/>
    <n v="4"/>
    <n v="96"/>
    <n v="20"/>
    <n v="307.2"/>
    <n v="171.81"/>
    <n v="135.38999999999999"/>
    <x v="7"/>
    <x v="0"/>
    <n v="0.44072265624999996"/>
  </r>
  <r>
    <n v="4137"/>
    <d v="2024-01-21T00:00:00"/>
    <x v="2"/>
    <x v="1"/>
    <x v="2"/>
    <x v="4"/>
    <n v="8"/>
    <n v="14"/>
    <n v="15"/>
    <n v="95.2"/>
    <n v="53.27"/>
    <n v="41.93"/>
    <x v="11"/>
    <x v="0"/>
    <n v="0.44044117647058822"/>
  </r>
  <r>
    <n v="4138"/>
    <d v="2024-11-20T00:00:00"/>
    <x v="0"/>
    <x v="0"/>
    <x v="13"/>
    <x v="1"/>
    <n v="9"/>
    <n v="839"/>
    <n v="0"/>
    <n v="7551"/>
    <n v="5427.34"/>
    <n v="2123.66"/>
    <x v="3"/>
    <x v="0"/>
    <n v="0.28124221957356638"/>
  </r>
  <r>
    <n v="4139"/>
    <d v="2023-07-02T00:00:00"/>
    <x v="1"/>
    <x v="0"/>
    <x v="0"/>
    <x v="2"/>
    <n v="2"/>
    <n v="563"/>
    <n v="20"/>
    <n v="900.8"/>
    <n v="714.63"/>
    <n v="186.17"/>
    <x v="5"/>
    <x v="1"/>
    <n v="0.20667184724689164"/>
  </r>
  <r>
    <n v="4140"/>
    <d v="2023-08-18T00:00:00"/>
    <x v="1"/>
    <x v="4"/>
    <x v="8"/>
    <x v="1"/>
    <n v="6"/>
    <n v="206"/>
    <n v="5"/>
    <n v="1174.2"/>
    <n v="620.19000000000005"/>
    <n v="554.01"/>
    <x v="2"/>
    <x v="1"/>
    <n v="0.47181911088400613"/>
  </r>
  <r>
    <n v="4141"/>
    <d v="2024-12-12T00:00:00"/>
    <x v="3"/>
    <x v="1"/>
    <x v="2"/>
    <x v="2"/>
    <n v="8"/>
    <n v="39"/>
    <n v="20"/>
    <n v="249.6"/>
    <n v="153.6"/>
    <n v="96"/>
    <x v="6"/>
    <x v="0"/>
    <n v="0.38461538461538464"/>
  </r>
  <r>
    <n v="4142"/>
    <d v="2024-05-12T00:00:00"/>
    <x v="1"/>
    <x v="2"/>
    <x v="3"/>
    <x v="0"/>
    <n v="6"/>
    <n v="417"/>
    <n v="15"/>
    <n v="2126.6999999999998"/>
    <n v="1090.93"/>
    <n v="1035.77"/>
    <x v="7"/>
    <x v="0"/>
    <n v="0.48703155122960456"/>
  </r>
  <r>
    <n v="4143"/>
    <d v="2023-10-02T00:00:00"/>
    <x v="3"/>
    <x v="0"/>
    <x v="0"/>
    <x v="3"/>
    <n v="1"/>
    <n v="909"/>
    <n v="20"/>
    <n v="727.2"/>
    <n v="468.79"/>
    <n v="258.41000000000003"/>
    <x v="1"/>
    <x v="1"/>
    <n v="0.35534928492849288"/>
  </r>
  <r>
    <n v="4144"/>
    <d v="2024-11-20T00:00:00"/>
    <x v="1"/>
    <x v="3"/>
    <x v="15"/>
    <x v="3"/>
    <n v="6"/>
    <n v="777"/>
    <n v="20"/>
    <n v="3729.6"/>
    <n v="1981.52"/>
    <n v="1748.08"/>
    <x v="3"/>
    <x v="0"/>
    <n v="0.4687044187044187"/>
  </r>
  <r>
    <n v="4145"/>
    <d v="2024-09-14T00:00:00"/>
    <x v="0"/>
    <x v="4"/>
    <x v="18"/>
    <x v="3"/>
    <n v="2"/>
    <n v="456"/>
    <n v="0"/>
    <n v="912"/>
    <n v="670.72"/>
    <n v="241.28"/>
    <x v="0"/>
    <x v="0"/>
    <n v="0.26456140350877194"/>
  </r>
  <r>
    <n v="4146"/>
    <d v="2024-03-03T00:00:00"/>
    <x v="1"/>
    <x v="1"/>
    <x v="7"/>
    <x v="3"/>
    <n v="3"/>
    <n v="408"/>
    <n v="0"/>
    <n v="1224"/>
    <n v="968.7"/>
    <n v="255.3"/>
    <x v="8"/>
    <x v="0"/>
    <n v="0.20857843137254903"/>
  </r>
  <r>
    <n v="4147"/>
    <d v="2024-10-29T00:00:00"/>
    <x v="2"/>
    <x v="0"/>
    <x v="13"/>
    <x v="5"/>
    <n v="7"/>
    <n v="851"/>
    <n v="10"/>
    <n v="5361.3"/>
    <n v="3995.85"/>
    <n v="1365.45"/>
    <x v="1"/>
    <x v="0"/>
    <n v="0.25468636338201556"/>
  </r>
  <r>
    <n v="4148"/>
    <d v="2023-06-19T00:00:00"/>
    <x v="0"/>
    <x v="0"/>
    <x v="0"/>
    <x v="3"/>
    <n v="10"/>
    <n v="933"/>
    <n v="0"/>
    <n v="9330"/>
    <n v="4987.17"/>
    <n v="4342.83"/>
    <x v="4"/>
    <x v="1"/>
    <n v="0.46546945337620577"/>
  </r>
  <r>
    <n v="4149"/>
    <d v="2023-06-21T00:00:00"/>
    <x v="2"/>
    <x v="2"/>
    <x v="17"/>
    <x v="0"/>
    <n v="9"/>
    <n v="41"/>
    <n v="0"/>
    <n v="369"/>
    <n v="273.43"/>
    <n v="95.57"/>
    <x v="4"/>
    <x v="1"/>
    <n v="0.25899728997289972"/>
  </r>
  <r>
    <n v="4150"/>
    <d v="2024-09-02T00:00:00"/>
    <x v="2"/>
    <x v="3"/>
    <x v="19"/>
    <x v="2"/>
    <n v="3"/>
    <n v="317"/>
    <n v="15"/>
    <n v="808.35"/>
    <n v="552.66999999999996"/>
    <n v="255.68"/>
    <x v="0"/>
    <x v="0"/>
    <n v="0.31629863301787592"/>
  </r>
  <r>
    <n v="4151"/>
    <d v="2024-05-21T00:00:00"/>
    <x v="2"/>
    <x v="2"/>
    <x v="6"/>
    <x v="4"/>
    <n v="8"/>
    <n v="625"/>
    <n v="5"/>
    <n v="4750"/>
    <n v="3514.3"/>
    <n v="1235.7"/>
    <x v="7"/>
    <x v="0"/>
    <n v="0.26014736842105263"/>
  </r>
  <r>
    <n v="4152"/>
    <d v="2024-02-23T00:00:00"/>
    <x v="2"/>
    <x v="3"/>
    <x v="19"/>
    <x v="4"/>
    <n v="1"/>
    <n v="288"/>
    <n v="15"/>
    <n v="244.8"/>
    <n v="176.55"/>
    <n v="68.25"/>
    <x v="9"/>
    <x v="0"/>
    <n v="0.27879901960784315"/>
  </r>
  <r>
    <n v="4153"/>
    <d v="2023-10-23T00:00:00"/>
    <x v="3"/>
    <x v="2"/>
    <x v="17"/>
    <x v="3"/>
    <n v="2"/>
    <n v="564"/>
    <n v="0"/>
    <n v="1128"/>
    <n v="772.3"/>
    <n v="355.7"/>
    <x v="1"/>
    <x v="1"/>
    <n v="0.31533687943262412"/>
  </r>
  <r>
    <n v="4154"/>
    <d v="2024-01-31T00:00:00"/>
    <x v="0"/>
    <x v="3"/>
    <x v="19"/>
    <x v="5"/>
    <n v="10"/>
    <n v="451"/>
    <n v="5"/>
    <n v="4284.5"/>
    <n v="2449.25"/>
    <n v="1835.25"/>
    <x v="11"/>
    <x v="0"/>
    <n v="0.42834636480336097"/>
  </r>
  <r>
    <n v="4155"/>
    <d v="2023-08-01T00:00:00"/>
    <x v="2"/>
    <x v="2"/>
    <x v="6"/>
    <x v="0"/>
    <n v="4"/>
    <n v="340"/>
    <n v="10"/>
    <n v="1224"/>
    <n v="691.88"/>
    <n v="532.12"/>
    <x v="2"/>
    <x v="1"/>
    <n v="0.43473856209150324"/>
  </r>
  <r>
    <n v="4156"/>
    <d v="2024-03-31T00:00:00"/>
    <x v="0"/>
    <x v="0"/>
    <x v="0"/>
    <x v="4"/>
    <n v="3"/>
    <n v="834"/>
    <n v="15"/>
    <n v="2126.6999999999998"/>
    <n v="1653.9"/>
    <n v="472.8"/>
    <x v="8"/>
    <x v="0"/>
    <n v="0.22231626463535056"/>
  </r>
  <r>
    <n v="4157"/>
    <d v="2023-08-13T00:00:00"/>
    <x v="0"/>
    <x v="3"/>
    <x v="15"/>
    <x v="5"/>
    <n v="6"/>
    <n v="402"/>
    <n v="5"/>
    <n v="2291.4"/>
    <n v="1732.75"/>
    <n v="558.65"/>
    <x v="2"/>
    <x v="1"/>
    <n v="0.24380291524831979"/>
  </r>
  <r>
    <n v="4158"/>
    <d v="2024-04-11T00:00:00"/>
    <x v="2"/>
    <x v="3"/>
    <x v="4"/>
    <x v="2"/>
    <n v="1"/>
    <n v="967"/>
    <n v="10"/>
    <n v="870.3"/>
    <n v="517.13"/>
    <n v="353.17"/>
    <x v="10"/>
    <x v="0"/>
    <n v="0.40580259680569924"/>
  </r>
  <r>
    <n v="4159"/>
    <d v="2024-04-02T00:00:00"/>
    <x v="1"/>
    <x v="4"/>
    <x v="14"/>
    <x v="1"/>
    <n v="5"/>
    <n v="989"/>
    <n v="10"/>
    <n v="4450.5"/>
    <n v="3079.43"/>
    <n v="1371.07"/>
    <x v="10"/>
    <x v="0"/>
    <n v="0.30807100325806086"/>
  </r>
  <r>
    <n v="4160"/>
    <d v="2024-08-15T00:00:00"/>
    <x v="2"/>
    <x v="0"/>
    <x v="12"/>
    <x v="4"/>
    <n v="9"/>
    <n v="23"/>
    <n v="15"/>
    <n v="175.95"/>
    <n v="101.95"/>
    <n v="74"/>
    <x v="2"/>
    <x v="0"/>
    <n v="0.42057402671213417"/>
  </r>
  <r>
    <n v="4161"/>
    <d v="2023-08-24T00:00:00"/>
    <x v="1"/>
    <x v="0"/>
    <x v="0"/>
    <x v="1"/>
    <n v="10"/>
    <n v="710"/>
    <n v="5"/>
    <n v="6745"/>
    <n v="4188.43"/>
    <n v="2556.5700000000002"/>
    <x v="2"/>
    <x v="1"/>
    <n v="0.37903187546330619"/>
  </r>
  <r>
    <n v="4162"/>
    <d v="2024-03-18T00:00:00"/>
    <x v="2"/>
    <x v="2"/>
    <x v="10"/>
    <x v="1"/>
    <n v="6"/>
    <n v="526"/>
    <n v="5"/>
    <n v="2998.2"/>
    <n v="1904.91"/>
    <n v="1093.29"/>
    <x v="8"/>
    <x v="0"/>
    <n v="0.36464878927356414"/>
  </r>
  <r>
    <n v="4163"/>
    <d v="2024-08-19T00:00:00"/>
    <x v="3"/>
    <x v="4"/>
    <x v="9"/>
    <x v="4"/>
    <n v="8"/>
    <n v="848"/>
    <n v="15"/>
    <n v="5766.4"/>
    <n v="3341.29"/>
    <n v="2425.11"/>
    <x v="2"/>
    <x v="0"/>
    <n v="0.42055875416204225"/>
  </r>
  <r>
    <n v="4164"/>
    <d v="2023-09-18T00:00:00"/>
    <x v="2"/>
    <x v="3"/>
    <x v="19"/>
    <x v="2"/>
    <n v="10"/>
    <n v="866"/>
    <n v="0"/>
    <n v="8660"/>
    <n v="4349.1499999999996"/>
    <n v="4310.8500000000004"/>
    <x v="0"/>
    <x v="1"/>
    <n v="0.4977886836027714"/>
  </r>
  <r>
    <n v="4165"/>
    <d v="2024-06-28T00:00:00"/>
    <x v="2"/>
    <x v="3"/>
    <x v="19"/>
    <x v="3"/>
    <n v="9"/>
    <n v="748"/>
    <n v="5"/>
    <n v="6395.4"/>
    <n v="3444.84"/>
    <n v="2950.56"/>
    <x v="4"/>
    <x v="0"/>
    <n v="0.46135660005629048"/>
  </r>
  <r>
    <n v="4166"/>
    <d v="2024-08-08T00:00:00"/>
    <x v="1"/>
    <x v="3"/>
    <x v="15"/>
    <x v="5"/>
    <n v="3"/>
    <n v="672"/>
    <n v="20"/>
    <n v="1612.8"/>
    <n v="1227.6300000000001"/>
    <n v="385.17"/>
    <x v="2"/>
    <x v="0"/>
    <n v="0.23882068452380953"/>
  </r>
  <r>
    <n v="4167"/>
    <d v="2024-04-17T00:00:00"/>
    <x v="3"/>
    <x v="2"/>
    <x v="3"/>
    <x v="2"/>
    <n v="7"/>
    <n v="353"/>
    <n v="10"/>
    <n v="2223.9"/>
    <n v="1406.77"/>
    <n v="817.13"/>
    <x v="10"/>
    <x v="0"/>
    <n v="0.36743108952740677"/>
  </r>
  <r>
    <n v="4168"/>
    <d v="2024-07-04T00:00:00"/>
    <x v="1"/>
    <x v="1"/>
    <x v="16"/>
    <x v="5"/>
    <n v="4"/>
    <n v="425"/>
    <n v="15"/>
    <n v="1445"/>
    <n v="1058.8399999999999"/>
    <n v="386.16"/>
    <x v="5"/>
    <x v="0"/>
    <n v="0.26723875432525951"/>
  </r>
  <r>
    <n v="4169"/>
    <d v="2024-11-03T00:00:00"/>
    <x v="2"/>
    <x v="0"/>
    <x v="13"/>
    <x v="0"/>
    <n v="8"/>
    <n v="224"/>
    <n v="5"/>
    <n v="1702.4"/>
    <n v="1107.93"/>
    <n v="594.47"/>
    <x v="3"/>
    <x v="0"/>
    <n v="0.34919525375939847"/>
  </r>
  <r>
    <n v="4170"/>
    <d v="2023-02-09T00:00:00"/>
    <x v="3"/>
    <x v="2"/>
    <x v="6"/>
    <x v="5"/>
    <n v="5"/>
    <n v="828"/>
    <n v="5"/>
    <n v="3933"/>
    <n v="3009.65"/>
    <n v="923.35"/>
    <x v="9"/>
    <x v="1"/>
    <n v="0.23476989575387747"/>
  </r>
  <r>
    <n v="4171"/>
    <d v="2024-08-21T00:00:00"/>
    <x v="2"/>
    <x v="3"/>
    <x v="19"/>
    <x v="1"/>
    <n v="1"/>
    <n v="365"/>
    <n v="10"/>
    <n v="328.5"/>
    <n v="227.59"/>
    <n v="100.91"/>
    <x v="2"/>
    <x v="0"/>
    <n v="0.30718417047184171"/>
  </r>
  <r>
    <n v="4172"/>
    <d v="2024-08-28T00:00:00"/>
    <x v="3"/>
    <x v="4"/>
    <x v="8"/>
    <x v="0"/>
    <n v="3"/>
    <n v="321"/>
    <n v="5"/>
    <n v="914.85"/>
    <n v="503.47"/>
    <n v="411.38"/>
    <x v="2"/>
    <x v="0"/>
    <n v="0.44966934470131714"/>
  </r>
  <r>
    <n v="4173"/>
    <d v="2024-12-03T00:00:00"/>
    <x v="0"/>
    <x v="4"/>
    <x v="8"/>
    <x v="2"/>
    <n v="10"/>
    <n v="78"/>
    <n v="20"/>
    <n v="624"/>
    <n v="465.35"/>
    <n v="158.65"/>
    <x v="6"/>
    <x v="0"/>
    <n v="0.25424679487179486"/>
  </r>
  <r>
    <n v="4174"/>
    <d v="2024-06-20T00:00:00"/>
    <x v="0"/>
    <x v="1"/>
    <x v="5"/>
    <x v="4"/>
    <n v="1"/>
    <n v="465"/>
    <n v="20"/>
    <n v="372"/>
    <n v="215.18"/>
    <n v="156.82"/>
    <x v="4"/>
    <x v="0"/>
    <n v="0.42155913978494619"/>
  </r>
  <r>
    <n v="4175"/>
    <d v="2023-12-02T00:00:00"/>
    <x v="2"/>
    <x v="3"/>
    <x v="4"/>
    <x v="5"/>
    <n v="3"/>
    <n v="644"/>
    <n v="0"/>
    <n v="1932"/>
    <n v="1179.76"/>
    <n v="752.24"/>
    <x v="6"/>
    <x v="1"/>
    <n v="0.38935817805383022"/>
  </r>
  <r>
    <n v="4176"/>
    <d v="2023-02-13T00:00:00"/>
    <x v="2"/>
    <x v="4"/>
    <x v="18"/>
    <x v="4"/>
    <n v="1"/>
    <n v="270"/>
    <n v="20"/>
    <n v="216"/>
    <n v="151.86000000000001"/>
    <n v="64.14"/>
    <x v="9"/>
    <x v="1"/>
    <n v="0.29694444444444446"/>
  </r>
  <r>
    <n v="4177"/>
    <d v="2024-12-17T00:00:00"/>
    <x v="0"/>
    <x v="2"/>
    <x v="3"/>
    <x v="5"/>
    <n v="10"/>
    <n v="253"/>
    <n v="0"/>
    <n v="2530"/>
    <n v="1582.79"/>
    <n v="947.21"/>
    <x v="6"/>
    <x v="0"/>
    <n v="0.37439130434782608"/>
  </r>
  <r>
    <n v="4178"/>
    <d v="2023-10-31T00:00:00"/>
    <x v="0"/>
    <x v="2"/>
    <x v="10"/>
    <x v="2"/>
    <n v="3"/>
    <n v="467"/>
    <n v="0"/>
    <n v="1401"/>
    <n v="782.58"/>
    <n v="618.41999999999996"/>
    <x v="1"/>
    <x v="1"/>
    <n v="0.44141327623126336"/>
  </r>
  <r>
    <n v="4179"/>
    <d v="2024-12-10T00:00:00"/>
    <x v="2"/>
    <x v="1"/>
    <x v="2"/>
    <x v="2"/>
    <n v="10"/>
    <n v="338"/>
    <n v="20"/>
    <n v="2704"/>
    <n v="1515.87"/>
    <n v="1188.1300000000001"/>
    <x v="6"/>
    <x v="0"/>
    <n v="0.43939718934911248"/>
  </r>
  <r>
    <n v="4180"/>
    <d v="2024-07-02T00:00:00"/>
    <x v="0"/>
    <x v="2"/>
    <x v="3"/>
    <x v="1"/>
    <n v="9"/>
    <n v="172"/>
    <n v="15"/>
    <n v="1315.8"/>
    <n v="910.95"/>
    <n v="404.85"/>
    <x v="5"/>
    <x v="0"/>
    <n v="0.30768353853169178"/>
  </r>
  <r>
    <n v="4181"/>
    <d v="2023-07-27T00:00:00"/>
    <x v="1"/>
    <x v="1"/>
    <x v="16"/>
    <x v="3"/>
    <n v="8"/>
    <n v="563"/>
    <n v="20"/>
    <n v="3603.2"/>
    <n v="1922.13"/>
    <n v="1681.07"/>
    <x v="5"/>
    <x v="1"/>
    <n v="0.46654917850799288"/>
  </r>
  <r>
    <n v="4182"/>
    <d v="2023-06-09T00:00:00"/>
    <x v="2"/>
    <x v="1"/>
    <x v="5"/>
    <x v="0"/>
    <n v="1"/>
    <n v="367"/>
    <n v="20"/>
    <n v="293.60000000000002"/>
    <n v="200.22"/>
    <n v="93.38"/>
    <x v="4"/>
    <x v="1"/>
    <n v="0.31805177111716615"/>
  </r>
  <r>
    <n v="4183"/>
    <d v="2024-09-22T00:00:00"/>
    <x v="1"/>
    <x v="3"/>
    <x v="15"/>
    <x v="4"/>
    <n v="1"/>
    <n v="206"/>
    <n v="10"/>
    <n v="185.4"/>
    <n v="124.84"/>
    <n v="60.56"/>
    <x v="0"/>
    <x v="0"/>
    <n v="0.32664509169363537"/>
  </r>
  <r>
    <n v="4184"/>
    <d v="2024-10-06T00:00:00"/>
    <x v="0"/>
    <x v="0"/>
    <x v="13"/>
    <x v="5"/>
    <n v="4"/>
    <n v="265"/>
    <n v="10"/>
    <n v="954"/>
    <n v="671.08"/>
    <n v="282.92"/>
    <x v="1"/>
    <x v="0"/>
    <n v="0.29656184486373166"/>
  </r>
  <r>
    <n v="4185"/>
    <d v="2024-09-07T00:00:00"/>
    <x v="2"/>
    <x v="2"/>
    <x v="17"/>
    <x v="0"/>
    <n v="2"/>
    <n v="787"/>
    <n v="10"/>
    <n v="1416.6"/>
    <n v="718.45"/>
    <n v="698.15"/>
    <x v="0"/>
    <x v="0"/>
    <n v="0.49283495693915008"/>
  </r>
  <r>
    <n v="4186"/>
    <d v="2024-01-04T00:00:00"/>
    <x v="1"/>
    <x v="3"/>
    <x v="15"/>
    <x v="0"/>
    <n v="5"/>
    <n v="754"/>
    <n v="0"/>
    <n v="3770"/>
    <n v="2776.81"/>
    <n v="993.19"/>
    <x v="11"/>
    <x v="0"/>
    <n v="0.26344562334217508"/>
  </r>
  <r>
    <n v="4187"/>
    <d v="2024-09-25T00:00:00"/>
    <x v="3"/>
    <x v="4"/>
    <x v="9"/>
    <x v="4"/>
    <n v="4"/>
    <n v="66"/>
    <n v="10"/>
    <n v="237.6"/>
    <n v="138.47999999999999"/>
    <n v="99.12"/>
    <x v="0"/>
    <x v="0"/>
    <n v="0.41717171717171719"/>
  </r>
  <r>
    <n v="4188"/>
    <d v="2023-02-23T00:00:00"/>
    <x v="0"/>
    <x v="2"/>
    <x v="10"/>
    <x v="1"/>
    <n v="5"/>
    <n v="102"/>
    <n v="5"/>
    <n v="484.5"/>
    <n v="329.11"/>
    <n v="155.38999999999999"/>
    <x v="9"/>
    <x v="1"/>
    <n v="0.3207223942208462"/>
  </r>
  <r>
    <n v="4189"/>
    <d v="2024-01-19T00:00:00"/>
    <x v="2"/>
    <x v="2"/>
    <x v="3"/>
    <x v="3"/>
    <n v="7"/>
    <n v="330"/>
    <n v="20"/>
    <n v="1848"/>
    <n v="1451.7"/>
    <n v="396.3"/>
    <x v="11"/>
    <x v="0"/>
    <n v="0.21444805194805194"/>
  </r>
  <r>
    <n v="4190"/>
    <d v="2023-12-01T00:00:00"/>
    <x v="3"/>
    <x v="4"/>
    <x v="14"/>
    <x v="4"/>
    <n v="4"/>
    <n v="805"/>
    <n v="0"/>
    <n v="3220"/>
    <n v="2042.46"/>
    <n v="1177.54"/>
    <x v="6"/>
    <x v="1"/>
    <n v="0.36569565217391303"/>
  </r>
  <r>
    <n v="4191"/>
    <d v="2023-01-07T00:00:00"/>
    <x v="0"/>
    <x v="2"/>
    <x v="6"/>
    <x v="0"/>
    <n v="4"/>
    <n v="59"/>
    <n v="10"/>
    <n v="212.4"/>
    <n v="160.54"/>
    <n v="51.86"/>
    <x v="11"/>
    <x v="1"/>
    <n v="0.24416195856873821"/>
  </r>
  <r>
    <n v="4192"/>
    <d v="2023-07-26T00:00:00"/>
    <x v="1"/>
    <x v="3"/>
    <x v="19"/>
    <x v="5"/>
    <n v="4"/>
    <n v="42"/>
    <n v="10"/>
    <n v="151.19999999999999"/>
    <n v="93.38"/>
    <n v="57.82"/>
    <x v="5"/>
    <x v="1"/>
    <n v="0.38240740740740742"/>
  </r>
  <r>
    <n v="4193"/>
    <d v="2024-07-26T00:00:00"/>
    <x v="2"/>
    <x v="0"/>
    <x v="12"/>
    <x v="0"/>
    <n v="3"/>
    <n v="851"/>
    <n v="10"/>
    <n v="2297.6999999999998"/>
    <n v="1804.44"/>
    <n v="493.26"/>
    <x v="5"/>
    <x v="0"/>
    <n v="0.21467554511032774"/>
  </r>
  <r>
    <n v="4194"/>
    <d v="2024-12-03T00:00:00"/>
    <x v="0"/>
    <x v="1"/>
    <x v="5"/>
    <x v="3"/>
    <n v="9"/>
    <n v="286"/>
    <n v="0"/>
    <n v="2574"/>
    <n v="1520.31"/>
    <n v="1053.69"/>
    <x v="6"/>
    <x v="0"/>
    <n v="0.40935897435897439"/>
  </r>
  <r>
    <n v="4195"/>
    <d v="2023-04-04T00:00:00"/>
    <x v="1"/>
    <x v="3"/>
    <x v="19"/>
    <x v="5"/>
    <n v="8"/>
    <n v="732"/>
    <n v="0"/>
    <n v="5856"/>
    <n v="3361.25"/>
    <n v="2494.75"/>
    <x v="10"/>
    <x v="1"/>
    <n v="0.42601605191256831"/>
  </r>
  <r>
    <n v="4196"/>
    <d v="2024-02-13T00:00:00"/>
    <x v="2"/>
    <x v="4"/>
    <x v="18"/>
    <x v="4"/>
    <n v="5"/>
    <n v="285"/>
    <n v="0"/>
    <n v="1425"/>
    <n v="791.84"/>
    <n v="633.16"/>
    <x v="9"/>
    <x v="0"/>
    <n v="0.44432280701754384"/>
  </r>
  <r>
    <n v="4197"/>
    <d v="2023-06-10T00:00:00"/>
    <x v="0"/>
    <x v="1"/>
    <x v="5"/>
    <x v="1"/>
    <n v="5"/>
    <n v="372"/>
    <n v="5"/>
    <n v="1767"/>
    <n v="1382.83"/>
    <n v="384.17"/>
    <x v="4"/>
    <x v="1"/>
    <n v="0.21741369552914544"/>
  </r>
  <r>
    <n v="4198"/>
    <d v="2024-12-28T00:00:00"/>
    <x v="2"/>
    <x v="0"/>
    <x v="0"/>
    <x v="4"/>
    <n v="10"/>
    <n v="527"/>
    <n v="10"/>
    <n v="4743"/>
    <n v="2896.38"/>
    <n v="1846.62"/>
    <x v="6"/>
    <x v="0"/>
    <n v="0.38933586337760906"/>
  </r>
  <r>
    <n v="4199"/>
    <d v="2024-10-25T00:00:00"/>
    <x v="2"/>
    <x v="1"/>
    <x v="16"/>
    <x v="3"/>
    <n v="4"/>
    <n v="366"/>
    <n v="0"/>
    <n v="1464"/>
    <n v="1082.74"/>
    <n v="381.26"/>
    <x v="1"/>
    <x v="0"/>
    <n v="0.26042349726775954"/>
  </r>
  <r>
    <n v="4200"/>
    <d v="2024-01-29T00:00:00"/>
    <x v="3"/>
    <x v="3"/>
    <x v="19"/>
    <x v="2"/>
    <n v="8"/>
    <n v="793"/>
    <n v="5"/>
    <n v="6026.8"/>
    <n v="4358.83"/>
    <n v="1667.97"/>
    <x v="11"/>
    <x v="0"/>
    <n v="0.27675881064578217"/>
  </r>
  <r>
    <n v="4201"/>
    <d v="2023-02-07T00:00:00"/>
    <x v="2"/>
    <x v="4"/>
    <x v="18"/>
    <x v="5"/>
    <n v="3"/>
    <n v="324"/>
    <n v="5"/>
    <n v="923.4"/>
    <n v="700.93"/>
    <n v="222.47"/>
    <x v="9"/>
    <x v="1"/>
    <n v="0.24092484297162661"/>
  </r>
  <r>
    <n v="4202"/>
    <d v="2024-03-06T00:00:00"/>
    <x v="1"/>
    <x v="2"/>
    <x v="10"/>
    <x v="5"/>
    <n v="6"/>
    <n v="944"/>
    <n v="10"/>
    <n v="5097.6000000000004"/>
    <n v="3626.08"/>
    <n v="1471.52"/>
    <x v="8"/>
    <x v="0"/>
    <n v="0.28866917765222849"/>
  </r>
  <r>
    <n v="4203"/>
    <d v="2023-03-02T00:00:00"/>
    <x v="2"/>
    <x v="3"/>
    <x v="19"/>
    <x v="0"/>
    <n v="4"/>
    <n v="684"/>
    <n v="15"/>
    <n v="2325.6"/>
    <n v="1857.77"/>
    <n v="467.83"/>
    <x v="8"/>
    <x v="1"/>
    <n v="0.20116529067767458"/>
  </r>
  <r>
    <n v="4204"/>
    <d v="2023-02-18T00:00:00"/>
    <x v="2"/>
    <x v="1"/>
    <x v="7"/>
    <x v="1"/>
    <n v="3"/>
    <n v="549"/>
    <n v="15"/>
    <n v="1399.95"/>
    <n v="840.34"/>
    <n v="559.61"/>
    <x v="9"/>
    <x v="1"/>
    <n v="0.39973570484660165"/>
  </r>
  <r>
    <n v="4205"/>
    <d v="2023-10-01T00:00:00"/>
    <x v="2"/>
    <x v="0"/>
    <x v="13"/>
    <x v="5"/>
    <n v="9"/>
    <n v="520"/>
    <n v="0"/>
    <n v="4680"/>
    <n v="2953.97"/>
    <n v="1726.03"/>
    <x v="1"/>
    <x v="1"/>
    <n v="0.36880982905982906"/>
  </r>
  <r>
    <n v="4206"/>
    <d v="2024-01-06T00:00:00"/>
    <x v="3"/>
    <x v="0"/>
    <x v="1"/>
    <x v="3"/>
    <n v="2"/>
    <n v="421"/>
    <n v="5"/>
    <n v="799.9"/>
    <n v="511.29"/>
    <n v="288.61"/>
    <x v="11"/>
    <x v="0"/>
    <n v="0.36080760095011877"/>
  </r>
  <r>
    <n v="4207"/>
    <d v="2024-04-16T00:00:00"/>
    <x v="1"/>
    <x v="4"/>
    <x v="9"/>
    <x v="5"/>
    <n v="8"/>
    <n v="737"/>
    <n v="5"/>
    <n v="5601.2"/>
    <n v="4028.94"/>
    <n v="1572.26"/>
    <x v="10"/>
    <x v="0"/>
    <n v="0.28070056416482181"/>
  </r>
  <r>
    <n v="4208"/>
    <d v="2024-06-17T00:00:00"/>
    <x v="1"/>
    <x v="4"/>
    <x v="9"/>
    <x v="0"/>
    <n v="4"/>
    <n v="165"/>
    <n v="20"/>
    <n v="528"/>
    <n v="302.16000000000003"/>
    <n v="225.84"/>
    <x v="4"/>
    <x v="0"/>
    <n v="0.42772727272727273"/>
  </r>
  <r>
    <n v="4209"/>
    <d v="2024-06-06T00:00:00"/>
    <x v="1"/>
    <x v="1"/>
    <x v="5"/>
    <x v="5"/>
    <n v="5"/>
    <n v="358"/>
    <n v="15"/>
    <n v="1521.5"/>
    <n v="934.49"/>
    <n v="587.01"/>
    <x v="4"/>
    <x v="0"/>
    <n v="0.38581005586592176"/>
  </r>
  <r>
    <n v="4210"/>
    <d v="2024-02-03T00:00:00"/>
    <x v="2"/>
    <x v="4"/>
    <x v="9"/>
    <x v="5"/>
    <n v="7"/>
    <n v="650"/>
    <n v="0"/>
    <n v="4550"/>
    <n v="3499.53"/>
    <n v="1050.47"/>
    <x v="9"/>
    <x v="0"/>
    <n v="0.23087252747252748"/>
  </r>
  <r>
    <n v="4211"/>
    <d v="2024-10-10T00:00:00"/>
    <x v="2"/>
    <x v="1"/>
    <x v="5"/>
    <x v="4"/>
    <n v="9"/>
    <n v="620"/>
    <n v="5"/>
    <n v="5301"/>
    <n v="4176.79"/>
    <n v="1124.21"/>
    <x v="1"/>
    <x v="0"/>
    <n v="0.21207508017355217"/>
  </r>
  <r>
    <n v="4212"/>
    <d v="2024-05-03T00:00:00"/>
    <x v="2"/>
    <x v="0"/>
    <x v="13"/>
    <x v="3"/>
    <n v="3"/>
    <n v="823"/>
    <n v="15"/>
    <n v="2098.65"/>
    <n v="1226.9100000000001"/>
    <n v="871.74"/>
    <x v="7"/>
    <x v="0"/>
    <n v="0.41538131656064614"/>
  </r>
  <r>
    <n v="4213"/>
    <d v="2023-06-24T00:00:00"/>
    <x v="0"/>
    <x v="4"/>
    <x v="14"/>
    <x v="2"/>
    <n v="6"/>
    <n v="426"/>
    <n v="5"/>
    <n v="2428.1999999999998"/>
    <n v="1920.1"/>
    <n v="508.1"/>
    <x v="4"/>
    <x v="1"/>
    <n v="0.20924964994646242"/>
  </r>
  <r>
    <n v="4214"/>
    <d v="2023-01-11T00:00:00"/>
    <x v="0"/>
    <x v="3"/>
    <x v="15"/>
    <x v="3"/>
    <n v="9"/>
    <n v="709"/>
    <n v="15"/>
    <n v="5423.85"/>
    <n v="4046.71"/>
    <n v="1377.14"/>
    <x v="11"/>
    <x v="1"/>
    <n v="0.25390451432100813"/>
  </r>
  <r>
    <n v="4215"/>
    <d v="2024-10-18T00:00:00"/>
    <x v="1"/>
    <x v="0"/>
    <x v="0"/>
    <x v="1"/>
    <n v="3"/>
    <n v="294"/>
    <n v="15"/>
    <n v="749.7"/>
    <n v="531.48"/>
    <n v="218.22"/>
    <x v="1"/>
    <x v="0"/>
    <n v="0.29107643057222887"/>
  </r>
  <r>
    <n v="4216"/>
    <d v="2023-11-20T00:00:00"/>
    <x v="1"/>
    <x v="2"/>
    <x v="10"/>
    <x v="4"/>
    <n v="4"/>
    <n v="318"/>
    <n v="15"/>
    <n v="1081.2"/>
    <n v="700.39"/>
    <n v="380.81"/>
    <x v="3"/>
    <x v="1"/>
    <n v="0.3522105068442471"/>
  </r>
  <r>
    <n v="4217"/>
    <d v="2024-04-26T00:00:00"/>
    <x v="1"/>
    <x v="2"/>
    <x v="10"/>
    <x v="5"/>
    <n v="3"/>
    <n v="438"/>
    <n v="20"/>
    <n v="1051.2"/>
    <n v="741.47"/>
    <n v="309.73"/>
    <x v="10"/>
    <x v="0"/>
    <n v="0.29464421613394215"/>
  </r>
  <r>
    <n v="4218"/>
    <d v="2023-09-29T00:00:00"/>
    <x v="2"/>
    <x v="3"/>
    <x v="15"/>
    <x v="1"/>
    <n v="5"/>
    <n v="981"/>
    <n v="0"/>
    <n v="4905"/>
    <n v="3767.28"/>
    <n v="1137.72"/>
    <x v="0"/>
    <x v="1"/>
    <n v="0.23195107033639145"/>
  </r>
  <r>
    <n v="4219"/>
    <d v="2024-03-02T00:00:00"/>
    <x v="3"/>
    <x v="3"/>
    <x v="4"/>
    <x v="2"/>
    <n v="7"/>
    <n v="608"/>
    <n v="0"/>
    <n v="4256"/>
    <n v="2277"/>
    <n v="1979"/>
    <x v="8"/>
    <x v="0"/>
    <n v="0.46499060150375937"/>
  </r>
  <r>
    <n v="4220"/>
    <d v="2024-11-25T00:00:00"/>
    <x v="3"/>
    <x v="0"/>
    <x v="13"/>
    <x v="2"/>
    <n v="10"/>
    <n v="447"/>
    <n v="5"/>
    <n v="4246.5"/>
    <n v="2225.0100000000002"/>
    <n v="2021.49"/>
    <x v="3"/>
    <x v="0"/>
    <n v="0.47603673613564113"/>
  </r>
  <r>
    <n v="4221"/>
    <d v="2024-04-15T00:00:00"/>
    <x v="0"/>
    <x v="4"/>
    <x v="8"/>
    <x v="3"/>
    <n v="7"/>
    <n v="567"/>
    <n v="10"/>
    <n v="3572.1"/>
    <n v="2479.46"/>
    <n v="1092.6400000000001"/>
    <x v="10"/>
    <x v="0"/>
    <n v="0.30588169424148265"/>
  </r>
  <r>
    <n v="4222"/>
    <d v="2023-12-26T00:00:00"/>
    <x v="0"/>
    <x v="3"/>
    <x v="4"/>
    <x v="2"/>
    <n v="7"/>
    <n v="550"/>
    <n v="10"/>
    <n v="3465"/>
    <n v="2117.2600000000002"/>
    <n v="1347.74"/>
    <x v="6"/>
    <x v="1"/>
    <n v="0.38895815295815295"/>
  </r>
  <r>
    <n v="4223"/>
    <d v="2024-04-05T00:00:00"/>
    <x v="1"/>
    <x v="0"/>
    <x v="12"/>
    <x v="4"/>
    <n v="1"/>
    <n v="625"/>
    <n v="10"/>
    <n v="562.5"/>
    <n v="410.41"/>
    <n v="152.09"/>
    <x v="10"/>
    <x v="0"/>
    <n v="0.27038222222222225"/>
  </r>
  <r>
    <n v="4224"/>
    <d v="2024-10-25T00:00:00"/>
    <x v="1"/>
    <x v="4"/>
    <x v="9"/>
    <x v="0"/>
    <n v="6"/>
    <n v="764"/>
    <n v="10"/>
    <n v="4125.6000000000004"/>
    <n v="3060.11"/>
    <n v="1065.49"/>
    <x v="1"/>
    <x v="0"/>
    <n v="0.25826304052743843"/>
  </r>
  <r>
    <n v="4225"/>
    <d v="2024-05-13T00:00:00"/>
    <x v="1"/>
    <x v="1"/>
    <x v="2"/>
    <x v="4"/>
    <n v="9"/>
    <n v="269"/>
    <n v="15"/>
    <n v="2057.85"/>
    <n v="1253.26"/>
    <n v="804.59"/>
    <x v="7"/>
    <x v="0"/>
    <n v="0.39098573754160898"/>
  </r>
  <r>
    <n v="4226"/>
    <d v="2023-07-26T00:00:00"/>
    <x v="3"/>
    <x v="1"/>
    <x v="2"/>
    <x v="4"/>
    <n v="3"/>
    <n v="609"/>
    <n v="20"/>
    <n v="1461.6"/>
    <n v="755.92"/>
    <n v="705.68"/>
    <x v="5"/>
    <x v="1"/>
    <n v="0.4828133552271483"/>
  </r>
  <r>
    <n v="4227"/>
    <d v="2024-06-20T00:00:00"/>
    <x v="2"/>
    <x v="4"/>
    <x v="18"/>
    <x v="4"/>
    <n v="9"/>
    <n v="952"/>
    <n v="10"/>
    <n v="7711.2"/>
    <n v="5787.86"/>
    <n v="1923.34"/>
    <x v="4"/>
    <x v="0"/>
    <n v="0.24942162050005187"/>
  </r>
  <r>
    <n v="4228"/>
    <d v="2024-11-17T00:00:00"/>
    <x v="1"/>
    <x v="0"/>
    <x v="13"/>
    <x v="4"/>
    <n v="7"/>
    <n v="803"/>
    <n v="10"/>
    <n v="5058.8999999999996"/>
    <n v="2707.22"/>
    <n v="2351.6799999999998"/>
    <x v="3"/>
    <x v="0"/>
    <n v="0.46485994979145662"/>
  </r>
  <r>
    <n v="4229"/>
    <d v="2024-05-06T00:00:00"/>
    <x v="1"/>
    <x v="0"/>
    <x v="13"/>
    <x v="0"/>
    <n v="6"/>
    <n v="68"/>
    <n v="20"/>
    <n v="326.39999999999998"/>
    <n v="253.91"/>
    <n v="72.489999999999995"/>
    <x v="7"/>
    <x v="0"/>
    <n v="0.22208946078431371"/>
  </r>
  <r>
    <n v="4230"/>
    <d v="2023-04-20T00:00:00"/>
    <x v="1"/>
    <x v="1"/>
    <x v="7"/>
    <x v="1"/>
    <n v="2"/>
    <n v="894"/>
    <n v="15"/>
    <n v="1519.8"/>
    <n v="829.42"/>
    <n v="690.38"/>
    <x v="10"/>
    <x v="1"/>
    <n v="0.45425713909724963"/>
  </r>
  <r>
    <n v="4231"/>
    <d v="2024-09-13T00:00:00"/>
    <x v="3"/>
    <x v="4"/>
    <x v="9"/>
    <x v="1"/>
    <n v="4"/>
    <n v="21"/>
    <n v="20"/>
    <n v="67.2"/>
    <n v="44.64"/>
    <n v="22.56"/>
    <x v="0"/>
    <x v="0"/>
    <n v="0.33571428571428569"/>
  </r>
  <r>
    <n v="4232"/>
    <d v="2024-10-14T00:00:00"/>
    <x v="3"/>
    <x v="0"/>
    <x v="0"/>
    <x v="3"/>
    <n v="4"/>
    <n v="722"/>
    <n v="0"/>
    <n v="2888"/>
    <n v="2102.15"/>
    <n v="785.85"/>
    <x v="1"/>
    <x v="0"/>
    <n v="0.27210872576177286"/>
  </r>
  <r>
    <n v="4233"/>
    <d v="2023-10-30T00:00:00"/>
    <x v="1"/>
    <x v="4"/>
    <x v="9"/>
    <x v="4"/>
    <n v="1"/>
    <n v="590"/>
    <n v="20"/>
    <n v="472"/>
    <n v="294.86"/>
    <n v="177.14"/>
    <x v="1"/>
    <x v="1"/>
    <n v="0.37529661016949151"/>
  </r>
  <r>
    <n v="4234"/>
    <d v="2024-09-04T00:00:00"/>
    <x v="1"/>
    <x v="0"/>
    <x v="13"/>
    <x v="2"/>
    <n v="5"/>
    <n v="88"/>
    <n v="15"/>
    <n v="374"/>
    <n v="260.02999999999997"/>
    <n v="113.97"/>
    <x v="0"/>
    <x v="0"/>
    <n v="0.30473262032085563"/>
  </r>
  <r>
    <n v="4235"/>
    <d v="2023-04-29T00:00:00"/>
    <x v="0"/>
    <x v="0"/>
    <x v="0"/>
    <x v="4"/>
    <n v="8"/>
    <n v="617"/>
    <n v="5"/>
    <n v="4689.2"/>
    <n v="2962.53"/>
    <n v="1726.67"/>
    <x v="10"/>
    <x v="1"/>
    <n v="0.36822272455856014"/>
  </r>
  <r>
    <n v="4236"/>
    <d v="2024-02-08T00:00:00"/>
    <x v="3"/>
    <x v="2"/>
    <x v="6"/>
    <x v="1"/>
    <n v="4"/>
    <n v="525"/>
    <n v="5"/>
    <n v="1995"/>
    <n v="1180.46"/>
    <n v="814.54"/>
    <x v="9"/>
    <x v="0"/>
    <n v="0.40829072681704259"/>
  </r>
  <r>
    <n v="4237"/>
    <d v="2024-08-03T00:00:00"/>
    <x v="1"/>
    <x v="2"/>
    <x v="17"/>
    <x v="2"/>
    <n v="3"/>
    <n v="534"/>
    <n v="10"/>
    <n v="1441.8"/>
    <n v="974.37"/>
    <n v="467.43"/>
    <x v="2"/>
    <x v="0"/>
    <n v="0.32419891801914275"/>
  </r>
  <r>
    <n v="4238"/>
    <d v="2023-05-11T00:00:00"/>
    <x v="0"/>
    <x v="4"/>
    <x v="18"/>
    <x v="0"/>
    <n v="5"/>
    <n v="753"/>
    <n v="20"/>
    <n v="3012"/>
    <n v="1758.98"/>
    <n v="1253.02"/>
    <x v="7"/>
    <x v="1"/>
    <n v="0.41600929614873838"/>
  </r>
  <r>
    <n v="4239"/>
    <d v="2023-07-25T00:00:00"/>
    <x v="3"/>
    <x v="4"/>
    <x v="18"/>
    <x v="0"/>
    <n v="1"/>
    <n v="972"/>
    <n v="10"/>
    <n v="874.8"/>
    <n v="453.97"/>
    <n v="420.83"/>
    <x v="5"/>
    <x v="1"/>
    <n v="0.48105852766346596"/>
  </r>
  <r>
    <n v="4240"/>
    <d v="2023-06-26T00:00:00"/>
    <x v="0"/>
    <x v="4"/>
    <x v="8"/>
    <x v="1"/>
    <n v="5"/>
    <n v="42"/>
    <n v="15"/>
    <n v="178.5"/>
    <n v="141.97"/>
    <n v="36.53"/>
    <x v="4"/>
    <x v="1"/>
    <n v="0.20464985994397761"/>
  </r>
  <r>
    <n v="4241"/>
    <d v="2024-11-29T00:00:00"/>
    <x v="1"/>
    <x v="4"/>
    <x v="9"/>
    <x v="0"/>
    <n v="9"/>
    <n v="408"/>
    <n v="5"/>
    <n v="3488.4"/>
    <n v="1977.25"/>
    <n v="1511.15"/>
    <x v="3"/>
    <x v="0"/>
    <n v="0.43319286779039101"/>
  </r>
  <r>
    <n v="4242"/>
    <d v="2023-12-02T00:00:00"/>
    <x v="0"/>
    <x v="2"/>
    <x v="10"/>
    <x v="5"/>
    <n v="2"/>
    <n v="622"/>
    <n v="15"/>
    <n v="1057.4000000000001"/>
    <n v="674.83"/>
    <n v="382.57"/>
    <x v="6"/>
    <x v="1"/>
    <n v="0.36180253451863059"/>
  </r>
  <r>
    <n v="4243"/>
    <d v="2023-01-09T00:00:00"/>
    <x v="3"/>
    <x v="3"/>
    <x v="4"/>
    <x v="0"/>
    <n v="8"/>
    <n v="429"/>
    <n v="20"/>
    <n v="2745.6"/>
    <n v="1632.05"/>
    <n v="1113.55"/>
    <x v="11"/>
    <x v="1"/>
    <n v="0.40557619463869465"/>
  </r>
  <r>
    <n v="4244"/>
    <d v="2023-07-20T00:00:00"/>
    <x v="1"/>
    <x v="0"/>
    <x v="0"/>
    <x v="5"/>
    <n v="3"/>
    <n v="156"/>
    <n v="20"/>
    <n v="374.4"/>
    <n v="196.52"/>
    <n v="177.88"/>
    <x v="5"/>
    <x v="1"/>
    <n v="0.47510683760683764"/>
  </r>
  <r>
    <n v="4245"/>
    <d v="2024-01-30T00:00:00"/>
    <x v="0"/>
    <x v="4"/>
    <x v="8"/>
    <x v="4"/>
    <n v="7"/>
    <n v="561"/>
    <n v="10"/>
    <n v="3534.3"/>
    <n v="1803.03"/>
    <n v="1731.27"/>
    <x v="11"/>
    <x v="0"/>
    <n v="0.4898480604362957"/>
  </r>
  <r>
    <n v="4246"/>
    <d v="2024-06-30T00:00:00"/>
    <x v="2"/>
    <x v="0"/>
    <x v="0"/>
    <x v="3"/>
    <n v="6"/>
    <n v="270"/>
    <n v="20"/>
    <n v="1296"/>
    <n v="745.79"/>
    <n v="550.21"/>
    <x v="4"/>
    <x v="0"/>
    <n v="0.42454475308641976"/>
  </r>
  <r>
    <n v="4247"/>
    <d v="2024-04-22T00:00:00"/>
    <x v="0"/>
    <x v="1"/>
    <x v="5"/>
    <x v="3"/>
    <n v="6"/>
    <n v="938"/>
    <n v="15"/>
    <n v="4783.8"/>
    <n v="2932.96"/>
    <n v="1850.84"/>
    <x v="10"/>
    <x v="0"/>
    <n v="0.3868974455453823"/>
  </r>
  <r>
    <n v="4248"/>
    <d v="2023-08-05T00:00:00"/>
    <x v="2"/>
    <x v="0"/>
    <x v="1"/>
    <x v="5"/>
    <n v="2"/>
    <n v="490"/>
    <n v="20"/>
    <n v="784"/>
    <n v="604.34"/>
    <n v="179.66"/>
    <x v="2"/>
    <x v="1"/>
    <n v="0.22915816326530611"/>
  </r>
  <r>
    <n v="4249"/>
    <d v="2023-07-05T00:00:00"/>
    <x v="1"/>
    <x v="4"/>
    <x v="14"/>
    <x v="5"/>
    <n v="9"/>
    <n v="572"/>
    <n v="0"/>
    <n v="5148"/>
    <n v="2693.38"/>
    <n v="2454.62"/>
    <x v="5"/>
    <x v="1"/>
    <n v="0.47681041181041178"/>
  </r>
  <r>
    <n v="4250"/>
    <d v="2023-04-22T00:00:00"/>
    <x v="1"/>
    <x v="4"/>
    <x v="9"/>
    <x v="2"/>
    <n v="10"/>
    <n v="742"/>
    <n v="10"/>
    <n v="6678"/>
    <n v="3929.89"/>
    <n v="2748.11"/>
    <x v="10"/>
    <x v="1"/>
    <n v="0.41151692123390238"/>
  </r>
  <r>
    <n v="4251"/>
    <d v="2023-06-09T00:00:00"/>
    <x v="2"/>
    <x v="2"/>
    <x v="6"/>
    <x v="5"/>
    <n v="1"/>
    <n v="444"/>
    <n v="10"/>
    <n v="399.6"/>
    <n v="279.87"/>
    <n v="119.73"/>
    <x v="4"/>
    <x v="1"/>
    <n v="0.29962462462462464"/>
  </r>
  <r>
    <n v="4252"/>
    <d v="2023-05-14T00:00:00"/>
    <x v="1"/>
    <x v="1"/>
    <x v="5"/>
    <x v="4"/>
    <n v="1"/>
    <n v="939"/>
    <n v="5"/>
    <n v="892.05"/>
    <n v="515.83000000000004"/>
    <n v="376.22"/>
    <x v="7"/>
    <x v="1"/>
    <n v="0.42174765988453566"/>
  </r>
  <r>
    <n v="4253"/>
    <d v="2024-04-04T00:00:00"/>
    <x v="0"/>
    <x v="0"/>
    <x v="0"/>
    <x v="5"/>
    <n v="3"/>
    <n v="175"/>
    <n v="5"/>
    <n v="498.75"/>
    <n v="376.93"/>
    <n v="121.82"/>
    <x v="10"/>
    <x v="0"/>
    <n v="0.24425062656641602"/>
  </r>
  <r>
    <n v="4254"/>
    <d v="2023-07-02T00:00:00"/>
    <x v="1"/>
    <x v="2"/>
    <x v="3"/>
    <x v="4"/>
    <n v="4"/>
    <n v="51"/>
    <n v="20"/>
    <n v="163.19999999999999"/>
    <n v="120.78"/>
    <n v="42.42"/>
    <x v="5"/>
    <x v="1"/>
    <n v="0.25992647058823531"/>
  </r>
  <r>
    <n v="4255"/>
    <d v="2023-04-10T00:00:00"/>
    <x v="0"/>
    <x v="4"/>
    <x v="14"/>
    <x v="2"/>
    <n v="8"/>
    <n v="510"/>
    <n v="5"/>
    <n v="3876"/>
    <n v="1959.02"/>
    <n v="1916.98"/>
    <x v="10"/>
    <x v="1"/>
    <n v="0.49457688338493294"/>
  </r>
  <r>
    <n v="4256"/>
    <d v="2024-08-08T00:00:00"/>
    <x v="1"/>
    <x v="3"/>
    <x v="19"/>
    <x v="4"/>
    <n v="10"/>
    <n v="562"/>
    <n v="0"/>
    <n v="5620"/>
    <n v="3327.01"/>
    <n v="2292.9899999999998"/>
    <x v="2"/>
    <x v="0"/>
    <n v="0.40800533807829176"/>
  </r>
  <r>
    <n v="4257"/>
    <d v="2023-04-18T00:00:00"/>
    <x v="0"/>
    <x v="3"/>
    <x v="4"/>
    <x v="4"/>
    <n v="9"/>
    <n v="69"/>
    <n v="15"/>
    <n v="527.85"/>
    <n v="406.41"/>
    <n v="121.44"/>
    <x v="10"/>
    <x v="1"/>
    <n v="0.23006535947712417"/>
  </r>
  <r>
    <n v="4258"/>
    <d v="2023-12-21T00:00:00"/>
    <x v="0"/>
    <x v="2"/>
    <x v="10"/>
    <x v="4"/>
    <n v="2"/>
    <n v="265"/>
    <n v="20"/>
    <n v="424"/>
    <n v="338.28"/>
    <n v="85.72"/>
    <x v="6"/>
    <x v="1"/>
    <n v="0.20216981132075471"/>
  </r>
  <r>
    <n v="4259"/>
    <d v="2023-11-26T00:00:00"/>
    <x v="1"/>
    <x v="2"/>
    <x v="3"/>
    <x v="0"/>
    <n v="5"/>
    <n v="728"/>
    <n v="5"/>
    <n v="3458"/>
    <n v="2458.84"/>
    <n v="999.16"/>
    <x v="3"/>
    <x v="1"/>
    <n v="0.28894158473105841"/>
  </r>
  <r>
    <n v="4260"/>
    <d v="2023-01-11T00:00:00"/>
    <x v="1"/>
    <x v="0"/>
    <x v="1"/>
    <x v="5"/>
    <n v="7"/>
    <n v="42"/>
    <n v="5"/>
    <n v="279.3"/>
    <n v="210.88"/>
    <n v="68.42"/>
    <x v="11"/>
    <x v="1"/>
    <n v="0.24496956677407805"/>
  </r>
  <r>
    <n v="4261"/>
    <d v="2023-10-01T00:00:00"/>
    <x v="3"/>
    <x v="1"/>
    <x v="2"/>
    <x v="1"/>
    <n v="6"/>
    <n v="97"/>
    <n v="20"/>
    <n v="465.6"/>
    <n v="253.33"/>
    <n v="212.27"/>
    <x v="1"/>
    <x v="1"/>
    <n v="0.45590635738831614"/>
  </r>
  <r>
    <n v="4262"/>
    <d v="2023-01-26T00:00:00"/>
    <x v="1"/>
    <x v="2"/>
    <x v="10"/>
    <x v="1"/>
    <n v="8"/>
    <n v="319"/>
    <n v="20"/>
    <n v="2041.6"/>
    <n v="1370.06"/>
    <n v="671.54"/>
    <x v="11"/>
    <x v="1"/>
    <n v="0.32892829153605013"/>
  </r>
  <r>
    <n v="4263"/>
    <d v="2023-01-23T00:00:00"/>
    <x v="3"/>
    <x v="0"/>
    <x v="1"/>
    <x v="1"/>
    <n v="5"/>
    <n v="39"/>
    <n v="5"/>
    <n v="185.25"/>
    <n v="108.1"/>
    <n v="77.150000000000006"/>
    <x v="11"/>
    <x v="1"/>
    <n v="0.41646423751686912"/>
  </r>
  <r>
    <n v="4264"/>
    <d v="2024-01-30T00:00:00"/>
    <x v="2"/>
    <x v="3"/>
    <x v="4"/>
    <x v="4"/>
    <n v="5"/>
    <n v="188"/>
    <n v="15"/>
    <n v="799"/>
    <n v="420.35"/>
    <n v="378.65"/>
    <x v="11"/>
    <x v="0"/>
    <n v="0.47390488110137668"/>
  </r>
  <r>
    <n v="4265"/>
    <d v="2024-02-27T00:00:00"/>
    <x v="2"/>
    <x v="3"/>
    <x v="15"/>
    <x v="3"/>
    <n v="3"/>
    <n v="395"/>
    <n v="20"/>
    <n v="948"/>
    <n v="756.38"/>
    <n v="191.62"/>
    <x v="9"/>
    <x v="0"/>
    <n v="0.20213080168776371"/>
  </r>
  <r>
    <n v="4266"/>
    <d v="2024-11-12T00:00:00"/>
    <x v="0"/>
    <x v="3"/>
    <x v="19"/>
    <x v="2"/>
    <n v="1"/>
    <n v="619"/>
    <n v="10"/>
    <n v="557.1"/>
    <n v="417.8"/>
    <n v="139.30000000000001"/>
    <x v="3"/>
    <x v="0"/>
    <n v="0.25004487524681385"/>
  </r>
  <r>
    <n v="4267"/>
    <d v="2024-03-20T00:00:00"/>
    <x v="0"/>
    <x v="1"/>
    <x v="2"/>
    <x v="3"/>
    <n v="3"/>
    <n v="198"/>
    <n v="20"/>
    <n v="475.2"/>
    <n v="297.87"/>
    <n v="177.33"/>
    <x v="8"/>
    <x v="0"/>
    <n v="0.37316919191919196"/>
  </r>
  <r>
    <n v="4268"/>
    <d v="2023-04-30T00:00:00"/>
    <x v="3"/>
    <x v="3"/>
    <x v="11"/>
    <x v="4"/>
    <n v="1"/>
    <n v="250"/>
    <n v="20"/>
    <n v="200"/>
    <n v="141.75"/>
    <n v="58.25"/>
    <x v="10"/>
    <x v="1"/>
    <n v="0.29125000000000001"/>
  </r>
  <r>
    <n v="4269"/>
    <d v="2024-07-09T00:00:00"/>
    <x v="3"/>
    <x v="0"/>
    <x v="1"/>
    <x v="1"/>
    <n v="3"/>
    <n v="812"/>
    <n v="20"/>
    <n v="1948.8"/>
    <n v="1070.83"/>
    <n v="877.97"/>
    <x v="5"/>
    <x v="0"/>
    <n v="0.45051826765188835"/>
  </r>
  <r>
    <n v="4270"/>
    <d v="2024-04-07T00:00:00"/>
    <x v="1"/>
    <x v="0"/>
    <x v="13"/>
    <x v="1"/>
    <n v="3"/>
    <n v="397"/>
    <n v="5"/>
    <n v="1131.45"/>
    <n v="595.32000000000005"/>
    <n v="536.13"/>
    <x v="10"/>
    <x v="0"/>
    <n v="0.47384329842237832"/>
  </r>
  <r>
    <n v="4271"/>
    <d v="2023-08-14T00:00:00"/>
    <x v="1"/>
    <x v="4"/>
    <x v="14"/>
    <x v="4"/>
    <n v="3"/>
    <n v="380"/>
    <n v="0"/>
    <n v="1140"/>
    <n v="627.09"/>
    <n v="512.91"/>
    <x v="2"/>
    <x v="1"/>
    <n v="0.44992105263157894"/>
  </r>
  <r>
    <n v="4272"/>
    <d v="2024-09-06T00:00:00"/>
    <x v="3"/>
    <x v="3"/>
    <x v="4"/>
    <x v="5"/>
    <n v="1"/>
    <n v="347"/>
    <n v="5"/>
    <n v="329.65"/>
    <n v="227.74"/>
    <n v="101.91"/>
    <x v="0"/>
    <x v="0"/>
    <n v="0.30914606400728045"/>
  </r>
  <r>
    <n v="4273"/>
    <d v="2023-02-23T00:00:00"/>
    <x v="2"/>
    <x v="4"/>
    <x v="8"/>
    <x v="2"/>
    <n v="1"/>
    <n v="477"/>
    <n v="15"/>
    <n v="405.45"/>
    <n v="233.74"/>
    <n v="171.71"/>
    <x v="9"/>
    <x v="1"/>
    <n v="0.42350474781107417"/>
  </r>
  <r>
    <n v="4274"/>
    <d v="2023-09-07T00:00:00"/>
    <x v="3"/>
    <x v="0"/>
    <x v="13"/>
    <x v="3"/>
    <n v="3"/>
    <n v="154"/>
    <n v="10"/>
    <n v="415.8"/>
    <n v="288.93"/>
    <n v="126.87"/>
    <x v="0"/>
    <x v="1"/>
    <n v="0.30512265512265513"/>
  </r>
  <r>
    <n v="4275"/>
    <d v="2023-10-19T00:00:00"/>
    <x v="0"/>
    <x v="3"/>
    <x v="19"/>
    <x v="0"/>
    <n v="2"/>
    <n v="352"/>
    <n v="0"/>
    <n v="704"/>
    <n v="444.44"/>
    <n v="259.56"/>
    <x v="1"/>
    <x v="1"/>
    <n v="0.36869318181818184"/>
  </r>
  <r>
    <n v="4276"/>
    <d v="2024-03-27T00:00:00"/>
    <x v="2"/>
    <x v="4"/>
    <x v="14"/>
    <x v="3"/>
    <n v="5"/>
    <n v="708"/>
    <n v="20"/>
    <n v="2832"/>
    <n v="1726.09"/>
    <n v="1105.9100000000001"/>
    <x v="8"/>
    <x v="0"/>
    <n v="0.39050494350282489"/>
  </r>
  <r>
    <n v="4277"/>
    <d v="2024-12-11T00:00:00"/>
    <x v="0"/>
    <x v="2"/>
    <x v="6"/>
    <x v="3"/>
    <n v="10"/>
    <n v="212"/>
    <n v="10"/>
    <n v="1908"/>
    <n v="1114.76"/>
    <n v="793.24"/>
    <x v="6"/>
    <x v="0"/>
    <n v="0.41574423480083855"/>
  </r>
  <r>
    <n v="4278"/>
    <d v="2023-08-28T00:00:00"/>
    <x v="2"/>
    <x v="0"/>
    <x v="12"/>
    <x v="0"/>
    <n v="2"/>
    <n v="586"/>
    <n v="5"/>
    <n v="1113.4000000000001"/>
    <n v="587.04"/>
    <n v="526.36"/>
    <x v="2"/>
    <x v="1"/>
    <n v="0.47275013472247168"/>
  </r>
  <r>
    <n v="4279"/>
    <d v="2024-09-26T00:00:00"/>
    <x v="3"/>
    <x v="2"/>
    <x v="3"/>
    <x v="1"/>
    <n v="2"/>
    <n v="902"/>
    <n v="0"/>
    <n v="1804"/>
    <n v="1217.9000000000001"/>
    <n v="586.1"/>
    <x v="0"/>
    <x v="0"/>
    <n v="0.32488913525498891"/>
  </r>
  <r>
    <n v="4280"/>
    <d v="2023-03-10T00:00:00"/>
    <x v="3"/>
    <x v="2"/>
    <x v="10"/>
    <x v="5"/>
    <n v="7"/>
    <n v="305"/>
    <n v="5"/>
    <n v="2028.25"/>
    <n v="1102.6300000000001"/>
    <n v="925.62"/>
    <x v="8"/>
    <x v="1"/>
    <n v="0.45636386047084926"/>
  </r>
  <r>
    <n v="4281"/>
    <d v="2023-06-29T00:00:00"/>
    <x v="1"/>
    <x v="3"/>
    <x v="11"/>
    <x v="2"/>
    <n v="2"/>
    <n v="97"/>
    <n v="10"/>
    <n v="174.6"/>
    <n v="105.3"/>
    <n v="69.3"/>
    <x v="4"/>
    <x v="1"/>
    <n v="0.39690721649484534"/>
  </r>
  <r>
    <n v="4282"/>
    <d v="2024-05-20T00:00:00"/>
    <x v="1"/>
    <x v="0"/>
    <x v="12"/>
    <x v="0"/>
    <n v="8"/>
    <n v="950"/>
    <n v="0"/>
    <n v="7600"/>
    <n v="6015.09"/>
    <n v="1584.91"/>
    <x v="7"/>
    <x v="0"/>
    <n v="0.20854078947368423"/>
  </r>
  <r>
    <n v="4283"/>
    <d v="2024-10-14T00:00:00"/>
    <x v="1"/>
    <x v="1"/>
    <x v="5"/>
    <x v="3"/>
    <n v="10"/>
    <n v="225"/>
    <n v="10"/>
    <n v="2025"/>
    <n v="1485.03"/>
    <n v="539.97"/>
    <x v="1"/>
    <x v="0"/>
    <n v="0.26665185185185186"/>
  </r>
  <r>
    <n v="4284"/>
    <d v="2024-09-12T00:00:00"/>
    <x v="1"/>
    <x v="4"/>
    <x v="9"/>
    <x v="5"/>
    <n v="6"/>
    <n v="505"/>
    <n v="5"/>
    <n v="2878.5"/>
    <n v="2129.83"/>
    <n v="748.67"/>
    <x v="0"/>
    <x v="0"/>
    <n v="0.26009032482195588"/>
  </r>
  <r>
    <n v="4285"/>
    <d v="2023-06-05T00:00:00"/>
    <x v="1"/>
    <x v="3"/>
    <x v="19"/>
    <x v="0"/>
    <n v="3"/>
    <n v="625"/>
    <n v="0"/>
    <n v="1875"/>
    <n v="1019.67"/>
    <n v="855.33"/>
    <x v="4"/>
    <x v="1"/>
    <n v="0.45617600000000003"/>
  </r>
  <r>
    <n v="4286"/>
    <d v="2024-02-29T00:00:00"/>
    <x v="2"/>
    <x v="4"/>
    <x v="9"/>
    <x v="2"/>
    <n v="10"/>
    <n v="334"/>
    <n v="5"/>
    <n v="3173"/>
    <n v="2487.35"/>
    <n v="685.65"/>
    <x v="9"/>
    <x v="0"/>
    <n v="0.2160888748818153"/>
  </r>
  <r>
    <n v="4287"/>
    <d v="2023-08-18T00:00:00"/>
    <x v="3"/>
    <x v="1"/>
    <x v="5"/>
    <x v="3"/>
    <n v="3"/>
    <n v="479"/>
    <n v="20"/>
    <n v="1149.5999999999999"/>
    <n v="731.94"/>
    <n v="417.66"/>
    <x v="2"/>
    <x v="1"/>
    <n v="0.36330897703549064"/>
  </r>
  <r>
    <n v="4288"/>
    <d v="2023-07-28T00:00:00"/>
    <x v="2"/>
    <x v="0"/>
    <x v="0"/>
    <x v="4"/>
    <n v="3"/>
    <n v="649"/>
    <n v="15"/>
    <n v="1654.95"/>
    <n v="1215.31"/>
    <n v="439.64"/>
    <x v="5"/>
    <x v="1"/>
    <n v="0.26565153025771171"/>
  </r>
  <r>
    <n v="4289"/>
    <d v="2024-05-16T00:00:00"/>
    <x v="3"/>
    <x v="4"/>
    <x v="9"/>
    <x v="5"/>
    <n v="4"/>
    <n v="254"/>
    <n v="10"/>
    <n v="914.4"/>
    <n v="594.48"/>
    <n v="319.92"/>
    <x v="7"/>
    <x v="0"/>
    <n v="0.3498687664041995"/>
  </r>
  <r>
    <n v="4290"/>
    <d v="2023-08-18T00:00:00"/>
    <x v="0"/>
    <x v="3"/>
    <x v="15"/>
    <x v="1"/>
    <n v="3"/>
    <n v="763"/>
    <n v="20"/>
    <n v="1831.2"/>
    <n v="1217.5899999999999"/>
    <n v="613.61"/>
    <x v="2"/>
    <x v="1"/>
    <n v="0.33508628221930975"/>
  </r>
  <r>
    <n v="4291"/>
    <d v="2024-11-18T00:00:00"/>
    <x v="0"/>
    <x v="1"/>
    <x v="2"/>
    <x v="2"/>
    <n v="3"/>
    <n v="900"/>
    <n v="20"/>
    <n v="2160"/>
    <n v="1203.3599999999999"/>
    <n v="956.64"/>
    <x v="3"/>
    <x v="0"/>
    <n v="0.44288888888888889"/>
  </r>
  <r>
    <n v="4292"/>
    <d v="2024-08-31T00:00:00"/>
    <x v="1"/>
    <x v="0"/>
    <x v="13"/>
    <x v="1"/>
    <n v="10"/>
    <n v="851"/>
    <n v="15"/>
    <n v="7233.5"/>
    <n v="4489.2"/>
    <n v="2744.3"/>
    <x v="2"/>
    <x v="0"/>
    <n v="0.37938757171493748"/>
  </r>
  <r>
    <n v="4293"/>
    <d v="2024-06-11T00:00:00"/>
    <x v="2"/>
    <x v="4"/>
    <x v="9"/>
    <x v="4"/>
    <n v="7"/>
    <n v="85"/>
    <n v="10"/>
    <n v="535.5"/>
    <n v="355.56"/>
    <n v="179.94"/>
    <x v="4"/>
    <x v="0"/>
    <n v="0.33602240896358543"/>
  </r>
  <r>
    <n v="4294"/>
    <d v="2024-12-13T00:00:00"/>
    <x v="3"/>
    <x v="3"/>
    <x v="11"/>
    <x v="5"/>
    <n v="9"/>
    <n v="113"/>
    <n v="20"/>
    <n v="813.6"/>
    <n v="612.39"/>
    <n v="201.21"/>
    <x v="6"/>
    <x v="0"/>
    <n v="0.24730825958702066"/>
  </r>
  <r>
    <n v="4295"/>
    <d v="2024-01-03T00:00:00"/>
    <x v="2"/>
    <x v="1"/>
    <x v="16"/>
    <x v="0"/>
    <n v="9"/>
    <n v="41"/>
    <n v="10"/>
    <n v="332.1"/>
    <n v="256.20999999999998"/>
    <n v="75.89"/>
    <x v="11"/>
    <x v="0"/>
    <n v="0.22851550737729598"/>
  </r>
  <r>
    <n v="4296"/>
    <d v="2023-07-16T00:00:00"/>
    <x v="1"/>
    <x v="3"/>
    <x v="19"/>
    <x v="4"/>
    <n v="5"/>
    <n v="864"/>
    <n v="0"/>
    <n v="4320"/>
    <n v="2296.62"/>
    <n v="2023.38"/>
    <x v="5"/>
    <x v="1"/>
    <n v="0.46837500000000004"/>
  </r>
  <r>
    <n v="4297"/>
    <d v="2023-10-24T00:00:00"/>
    <x v="1"/>
    <x v="1"/>
    <x v="7"/>
    <x v="3"/>
    <n v="6"/>
    <n v="778"/>
    <n v="5"/>
    <n v="4434.6000000000004"/>
    <n v="3386.54"/>
    <n v="1048.06"/>
    <x v="1"/>
    <x v="1"/>
    <n v="0.2363369864249312"/>
  </r>
  <r>
    <n v="4298"/>
    <d v="2023-09-06T00:00:00"/>
    <x v="2"/>
    <x v="3"/>
    <x v="19"/>
    <x v="3"/>
    <n v="6"/>
    <n v="569"/>
    <n v="15"/>
    <n v="2901.9"/>
    <n v="1940.79"/>
    <n v="961.11"/>
    <x v="0"/>
    <x v="1"/>
    <n v="0.33120024811330506"/>
  </r>
  <r>
    <n v="4299"/>
    <d v="2023-10-13T00:00:00"/>
    <x v="0"/>
    <x v="1"/>
    <x v="2"/>
    <x v="3"/>
    <n v="2"/>
    <n v="823"/>
    <n v="20"/>
    <n v="1316.8"/>
    <n v="1027.08"/>
    <n v="289.72000000000003"/>
    <x v="1"/>
    <x v="1"/>
    <n v="0.22001822600243015"/>
  </r>
  <r>
    <n v="4300"/>
    <d v="2023-01-06T00:00:00"/>
    <x v="2"/>
    <x v="1"/>
    <x v="16"/>
    <x v="0"/>
    <n v="3"/>
    <n v="292"/>
    <n v="15"/>
    <n v="744.6"/>
    <n v="465.18"/>
    <n v="279.42"/>
    <x v="11"/>
    <x v="1"/>
    <n v="0.37526188557614826"/>
  </r>
  <r>
    <n v="4301"/>
    <d v="2023-06-25T00:00:00"/>
    <x v="1"/>
    <x v="0"/>
    <x v="1"/>
    <x v="3"/>
    <n v="8"/>
    <n v="748"/>
    <n v="5"/>
    <n v="5684.8"/>
    <n v="3402.47"/>
    <n v="2282.33"/>
    <x v="4"/>
    <x v="1"/>
    <n v="0.40147938361947649"/>
  </r>
  <r>
    <n v="4302"/>
    <d v="2024-03-28T00:00:00"/>
    <x v="0"/>
    <x v="0"/>
    <x v="12"/>
    <x v="5"/>
    <n v="6"/>
    <n v="902"/>
    <n v="15"/>
    <n v="4600.2"/>
    <n v="2586.3200000000002"/>
    <n v="2013.88"/>
    <x v="8"/>
    <x v="0"/>
    <n v="0.43778096604495459"/>
  </r>
  <r>
    <n v="4303"/>
    <d v="2024-12-05T00:00:00"/>
    <x v="1"/>
    <x v="2"/>
    <x v="3"/>
    <x v="1"/>
    <n v="9"/>
    <n v="623"/>
    <n v="20"/>
    <n v="4485.6000000000004"/>
    <n v="3304.1"/>
    <n v="1181.5"/>
    <x v="6"/>
    <x v="0"/>
    <n v="0.26339843053326195"/>
  </r>
  <r>
    <n v="4304"/>
    <d v="2024-08-11T00:00:00"/>
    <x v="0"/>
    <x v="2"/>
    <x v="17"/>
    <x v="5"/>
    <n v="4"/>
    <n v="457"/>
    <n v="20"/>
    <n v="1462.4"/>
    <n v="872.9"/>
    <n v="589.5"/>
    <x v="2"/>
    <x v="0"/>
    <n v="0.40310448577680524"/>
  </r>
  <r>
    <n v="4305"/>
    <d v="2024-04-22T00:00:00"/>
    <x v="1"/>
    <x v="0"/>
    <x v="0"/>
    <x v="0"/>
    <n v="2"/>
    <n v="476"/>
    <n v="0"/>
    <n v="952"/>
    <n v="511.83"/>
    <n v="440.17"/>
    <x v="10"/>
    <x v="0"/>
    <n v="0.46236344537815127"/>
  </r>
  <r>
    <n v="4306"/>
    <d v="2024-01-05T00:00:00"/>
    <x v="3"/>
    <x v="4"/>
    <x v="14"/>
    <x v="3"/>
    <n v="5"/>
    <n v="84"/>
    <n v="15"/>
    <n v="357"/>
    <n v="182.56"/>
    <n v="174.44"/>
    <x v="11"/>
    <x v="0"/>
    <n v="0.48862745098039218"/>
  </r>
  <r>
    <n v="4307"/>
    <d v="2024-06-21T00:00:00"/>
    <x v="2"/>
    <x v="0"/>
    <x v="13"/>
    <x v="3"/>
    <n v="1"/>
    <n v="804"/>
    <n v="5"/>
    <n v="763.8"/>
    <n v="385.46"/>
    <n v="378.34"/>
    <x v="4"/>
    <x v="0"/>
    <n v="0.49533909400366588"/>
  </r>
  <r>
    <n v="4308"/>
    <d v="2024-08-20T00:00:00"/>
    <x v="3"/>
    <x v="3"/>
    <x v="4"/>
    <x v="4"/>
    <n v="8"/>
    <n v="329"/>
    <n v="0"/>
    <n v="2632"/>
    <n v="1633.32"/>
    <n v="998.68"/>
    <x v="2"/>
    <x v="0"/>
    <n v="0.37943768996960486"/>
  </r>
  <r>
    <n v="4309"/>
    <d v="2024-02-05T00:00:00"/>
    <x v="0"/>
    <x v="1"/>
    <x v="2"/>
    <x v="2"/>
    <n v="9"/>
    <n v="278"/>
    <n v="15"/>
    <n v="2126.6999999999998"/>
    <n v="1244.5899999999999"/>
    <n v="882.11"/>
    <x v="9"/>
    <x v="0"/>
    <n v="0.41477876522311569"/>
  </r>
  <r>
    <n v="4310"/>
    <d v="2024-12-27T00:00:00"/>
    <x v="0"/>
    <x v="1"/>
    <x v="16"/>
    <x v="4"/>
    <n v="3"/>
    <n v="598"/>
    <n v="10"/>
    <n v="1614.6"/>
    <n v="819.59"/>
    <n v="795.01"/>
    <x v="6"/>
    <x v="0"/>
    <n v="0.49238820760559893"/>
  </r>
  <r>
    <n v="4311"/>
    <d v="2024-06-10T00:00:00"/>
    <x v="1"/>
    <x v="2"/>
    <x v="17"/>
    <x v="2"/>
    <n v="10"/>
    <n v="868"/>
    <n v="15"/>
    <n v="7378"/>
    <n v="4701.97"/>
    <n v="2676.03"/>
    <x v="4"/>
    <x v="0"/>
    <n v="0.36270398481973437"/>
  </r>
  <r>
    <n v="4312"/>
    <d v="2024-03-23T00:00:00"/>
    <x v="3"/>
    <x v="1"/>
    <x v="5"/>
    <x v="0"/>
    <n v="6"/>
    <n v="219"/>
    <n v="10"/>
    <n v="1182.5999999999999"/>
    <n v="686.92"/>
    <n v="495.68"/>
    <x v="8"/>
    <x v="0"/>
    <n v="0.41914425841366487"/>
  </r>
  <r>
    <n v="4313"/>
    <d v="2024-05-15T00:00:00"/>
    <x v="2"/>
    <x v="3"/>
    <x v="19"/>
    <x v="1"/>
    <n v="8"/>
    <n v="897"/>
    <n v="20"/>
    <n v="5740.8"/>
    <n v="3300.49"/>
    <n v="2440.31"/>
    <x v="7"/>
    <x v="0"/>
    <n v="0.42508187012263099"/>
  </r>
  <r>
    <n v="4314"/>
    <d v="2024-03-17T00:00:00"/>
    <x v="3"/>
    <x v="2"/>
    <x v="3"/>
    <x v="1"/>
    <n v="3"/>
    <n v="892"/>
    <n v="5"/>
    <n v="2542.1999999999998"/>
    <n v="1750.67"/>
    <n v="791.53"/>
    <x v="8"/>
    <x v="0"/>
    <n v="0.31135630556211158"/>
  </r>
  <r>
    <n v="4315"/>
    <d v="2023-04-18T00:00:00"/>
    <x v="0"/>
    <x v="2"/>
    <x v="3"/>
    <x v="4"/>
    <n v="10"/>
    <n v="634"/>
    <n v="15"/>
    <n v="5389"/>
    <n v="2819.87"/>
    <n v="2569.13"/>
    <x v="10"/>
    <x v="1"/>
    <n v="0.47673594358879201"/>
  </r>
  <r>
    <n v="4316"/>
    <d v="2023-11-18T00:00:00"/>
    <x v="0"/>
    <x v="0"/>
    <x v="0"/>
    <x v="1"/>
    <n v="5"/>
    <n v="138"/>
    <n v="10"/>
    <n v="621"/>
    <n v="370.05"/>
    <n v="250.95"/>
    <x v="3"/>
    <x v="1"/>
    <n v="0.40410628019323669"/>
  </r>
  <r>
    <n v="4317"/>
    <d v="2023-10-20T00:00:00"/>
    <x v="2"/>
    <x v="4"/>
    <x v="8"/>
    <x v="5"/>
    <n v="6"/>
    <n v="485"/>
    <n v="10"/>
    <n v="2619"/>
    <n v="1446.01"/>
    <n v="1172.99"/>
    <x v="1"/>
    <x v="1"/>
    <n v="0.44787705231004199"/>
  </r>
  <r>
    <n v="4318"/>
    <d v="2023-10-08T00:00:00"/>
    <x v="1"/>
    <x v="4"/>
    <x v="18"/>
    <x v="1"/>
    <n v="10"/>
    <n v="22"/>
    <n v="20"/>
    <n v="176"/>
    <n v="106.2"/>
    <n v="69.8"/>
    <x v="1"/>
    <x v="1"/>
    <n v="0.39659090909090905"/>
  </r>
  <r>
    <n v="4319"/>
    <d v="2024-04-02T00:00:00"/>
    <x v="0"/>
    <x v="4"/>
    <x v="14"/>
    <x v="0"/>
    <n v="3"/>
    <n v="125"/>
    <n v="20"/>
    <n v="300"/>
    <n v="236.05"/>
    <n v="63.95"/>
    <x v="10"/>
    <x v="0"/>
    <n v="0.21316666666666667"/>
  </r>
  <r>
    <n v="4320"/>
    <d v="2023-09-17T00:00:00"/>
    <x v="3"/>
    <x v="0"/>
    <x v="13"/>
    <x v="3"/>
    <n v="10"/>
    <n v="381"/>
    <n v="15"/>
    <n v="3238.5"/>
    <n v="1977.52"/>
    <n v="1260.98"/>
    <x v="0"/>
    <x v="1"/>
    <n v="0.38937162266481395"/>
  </r>
  <r>
    <n v="4321"/>
    <d v="2023-05-26T00:00:00"/>
    <x v="0"/>
    <x v="1"/>
    <x v="16"/>
    <x v="4"/>
    <n v="5"/>
    <n v="142"/>
    <n v="0"/>
    <n v="710"/>
    <n v="464.85"/>
    <n v="245.15"/>
    <x v="7"/>
    <x v="1"/>
    <n v="0.34528169014084509"/>
  </r>
  <r>
    <n v="4322"/>
    <d v="2023-09-22T00:00:00"/>
    <x v="3"/>
    <x v="2"/>
    <x v="10"/>
    <x v="3"/>
    <n v="9"/>
    <n v="967"/>
    <n v="5"/>
    <n v="8267.85"/>
    <n v="4623.32"/>
    <n v="3644.53"/>
    <x v="0"/>
    <x v="1"/>
    <n v="0.44080746506044499"/>
  </r>
  <r>
    <n v="4323"/>
    <d v="2024-02-09T00:00:00"/>
    <x v="1"/>
    <x v="2"/>
    <x v="3"/>
    <x v="3"/>
    <n v="10"/>
    <n v="378"/>
    <n v="5"/>
    <n v="3591"/>
    <n v="2850.93"/>
    <n v="740.07"/>
    <x v="9"/>
    <x v="0"/>
    <n v="0.2060902255639098"/>
  </r>
  <r>
    <n v="4324"/>
    <d v="2023-04-09T00:00:00"/>
    <x v="1"/>
    <x v="4"/>
    <x v="8"/>
    <x v="0"/>
    <n v="5"/>
    <n v="633"/>
    <n v="5"/>
    <n v="3006.75"/>
    <n v="2180.8200000000002"/>
    <n v="825.93"/>
    <x v="10"/>
    <x v="1"/>
    <n v="0.27469194312796208"/>
  </r>
  <r>
    <n v="4325"/>
    <d v="2024-03-10T00:00:00"/>
    <x v="0"/>
    <x v="3"/>
    <x v="19"/>
    <x v="5"/>
    <n v="7"/>
    <n v="149"/>
    <n v="0"/>
    <n v="1043"/>
    <n v="647.66999999999996"/>
    <n v="395.33"/>
    <x v="8"/>
    <x v="0"/>
    <n v="0.37903163950143814"/>
  </r>
  <r>
    <n v="4326"/>
    <d v="2023-08-19T00:00:00"/>
    <x v="3"/>
    <x v="2"/>
    <x v="3"/>
    <x v="4"/>
    <n v="5"/>
    <n v="945"/>
    <n v="10"/>
    <n v="4252.5"/>
    <n v="2746.79"/>
    <n v="1505.71"/>
    <x v="2"/>
    <x v="1"/>
    <n v="0.35407642563198122"/>
  </r>
  <r>
    <n v="4327"/>
    <d v="2024-03-29T00:00:00"/>
    <x v="3"/>
    <x v="4"/>
    <x v="14"/>
    <x v="2"/>
    <n v="10"/>
    <n v="994"/>
    <n v="10"/>
    <n v="8946"/>
    <n v="5247.07"/>
    <n v="3698.93"/>
    <x v="8"/>
    <x v="0"/>
    <n v="0.41347306058573663"/>
  </r>
  <r>
    <n v="4328"/>
    <d v="2024-05-29T00:00:00"/>
    <x v="0"/>
    <x v="3"/>
    <x v="15"/>
    <x v="3"/>
    <n v="10"/>
    <n v="80"/>
    <n v="5"/>
    <n v="760"/>
    <n v="599.73"/>
    <n v="160.27000000000001"/>
    <x v="7"/>
    <x v="0"/>
    <n v="0.21088157894736845"/>
  </r>
  <r>
    <n v="4329"/>
    <d v="2023-09-11T00:00:00"/>
    <x v="2"/>
    <x v="0"/>
    <x v="12"/>
    <x v="1"/>
    <n v="4"/>
    <n v="915"/>
    <n v="15"/>
    <n v="3111"/>
    <n v="2214.02"/>
    <n v="896.98"/>
    <x v="0"/>
    <x v="1"/>
    <n v="0.28832529733204759"/>
  </r>
  <r>
    <n v="4330"/>
    <d v="2024-01-04T00:00:00"/>
    <x v="2"/>
    <x v="0"/>
    <x v="0"/>
    <x v="1"/>
    <n v="3"/>
    <n v="188"/>
    <n v="10"/>
    <n v="507.6"/>
    <n v="329.71"/>
    <n v="177.89"/>
    <x v="11"/>
    <x v="0"/>
    <n v="0.35045311268715518"/>
  </r>
  <r>
    <n v="4331"/>
    <d v="2024-11-13T00:00:00"/>
    <x v="3"/>
    <x v="1"/>
    <x v="7"/>
    <x v="2"/>
    <n v="3"/>
    <n v="894"/>
    <n v="15"/>
    <n v="2279.6999999999998"/>
    <n v="1183.31"/>
    <n v="1096.3900000000001"/>
    <x v="3"/>
    <x v="0"/>
    <n v="0.48093608808176525"/>
  </r>
  <r>
    <n v="4332"/>
    <d v="2023-11-29T00:00:00"/>
    <x v="3"/>
    <x v="2"/>
    <x v="3"/>
    <x v="4"/>
    <n v="1"/>
    <n v="45"/>
    <n v="0"/>
    <n v="45"/>
    <n v="27.13"/>
    <n v="17.87"/>
    <x v="3"/>
    <x v="1"/>
    <n v="0.39711111111111114"/>
  </r>
  <r>
    <n v="4333"/>
    <d v="2023-01-31T00:00:00"/>
    <x v="1"/>
    <x v="4"/>
    <x v="14"/>
    <x v="1"/>
    <n v="4"/>
    <n v="687"/>
    <n v="20"/>
    <n v="2198.4"/>
    <n v="1646.81"/>
    <n v="551.59"/>
    <x v="11"/>
    <x v="1"/>
    <n v="0.2509052037845706"/>
  </r>
  <r>
    <n v="4334"/>
    <d v="2024-07-19T00:00:00"/>
    <x v="2"/>
    <x v="1"/>
    <x v="16"/>
    <x v="0"/>
    <n v="10"/>
    <n v="980"/>
    <n v="10"/>
    <n v="8820"/>
    <n v="5506.56"/>
    <n v="3313.44"/>
    <x v="5"/>
    <x v="0"/>
    <n v="0.37567346938775509"/>
  </r>
  <r>
    <n v="4335"/>
    <d v="2024-02-08T00:00:00"/>
    <x v="0"/>
    <x v="2"/>
    <x v="10"/>
    <x v="3"/>
    <n v="5"/>
    <n v="680"/>
    <n v="0"/>
    <n v="3400"/>
    <n v="1723.24"/>
    <n v="1676.76"/>
    <x v="9"/>
    <x v="0"/>
    <n v="0.49316470588235295"/>
  </r>
  <r>
    <n v="4336"/>
    <d v="2023-05-09T00:00:00"/>
    <x v="1"/>
    <x v="1"/>
    <x v="7"/>
    <x v="2"/>
    <n v="1"/>
    <n v="636"/>
    <n v="5"/>
    <n v="604.20000000000005"/>
    <n v="303.94"/>
    <n v="300.26"/>
    <x v="7"/>
    <x v="1"/>
    <n v="0.49695465077788809"/>
  </r>
  <r>
    <n v="4337"/>
    <d v="2023-02-17T00:00:00"/>
    <x v="0"/>
    <x v="1"/>
    <x v="7"/>
    <x v="1"/>
    <n v="9"/>
    <n v="77"/>
    <n v="10"/>
    <n v="623.70000000000005"/>
    <n v="371.8"/>
    <n v="251.9"/>
    <x v="9"/>
    <x v="1"/>
    <n v="0.40388007054673719"/>
  </r>
  <r>
    <n v="4338"/>
    <d v="2023-03-26T00:00:00"/>
    <x v="0"/>
    <x v="3"/>
    <x v="19"/>
    <x v="3"/>
    <n v="10"/>
    <n v="457"/>
    <n v="20"/>
    <n v="3656"/>
    <n v="2238.38"/>
    <n v="1417.62"/>
    <x v="8"/>
    <x v="1"/>
    <n v="0.38775164113785554"/>
  </r>
  <r>
    <n v="4339"/>
    <d v="2024-11-29T00:00:00"/>
    <x v="2"/>
    <x v="1"/>
    <x v="16"/>
    <x v="1"/>
    <n v="10"/>
    <n v="56"/>
    <n v="5"/>
    <n v="532"/>
    <n v="286.94"/>
    <n v="245.06"/>
    <x v="3"/>
    <x v="0"/>
    <n v="0.4606390977443609"/>
  </r>
  <r>
    <n v="4340"/>
    <d v="2023-06-24T00:00:00"/>
    <x v="2"/>
    <x v="1"/>
    <x v="7"/>
    <x v="4"/>
    <n v="5"/>
    <n v="456"/>
    <n v="15"/>
    <n v="1938"/>
    <n v="1042.6600000000001"/>
    <n v="895.34"/>
    <x v="4"/>
    <x v="1"/>
    <n v="0.46199174406604748"/>
  </r>
  <r>
    <n v="4341"/>
    <d v="2024-08-25T00:00:00"/>
    <x v="1"/>
    <x v="1"/>
    <x v="7"/>
    <x v="2"/>
    <n v="3"/>
    <n v="950"/>
    <n v="0"/>
    <n v="2850"/>
    <n v="1455.15"/>
    <n v="1394.85"/>
    <x v="2"/>
    <x v="0"/>
    <n v="0.48942105263157892"/>
  </r>
  <r>
    <n v="4342"/>
    <d v="2023-09-12T00:00:00"/>
    <x v="0"/>
    <x v="1"/>
    <x v="16"/>
    <x v="1"/>
    <n v="6"/>
    <n v="431"/>
    <n v="10"/>
    <n v="2327.4"/>
    <n v="1630.92"/>
    <n v="696.48"/>
    <x v="0"/>
    <x v="1"/>
    <n v="0.29925238463521525"/>
  </r>
  <r>
    <n v="4343"/>
    <d v="2024-07-14T00:00:00"/>
    <x v="1"/>
    <x v="2"/>
    <x v="10"/>
    <x v="3"/>
    <n v="3"/>
    <n v="582"/>
    <n v="10"/>
    <n v="1571.4"/>
    <n v="1115.06"/>
    <n v="456.34"/>
    <x v="5"/>
    <x v="0"/>
    <n v="0.29040346188112509"/>
  </r>
  <r>
    <n v="4344"/>
    <d v="2023-01-18T00:00:00"/>
    <x v="2"/>
    <x v="1"/>
    <x v="5"/>
    <x v="0"/>
    <n v="8"/>
    <n v="322"/>
    <n v="15"/>
    <n v="2189.6"/>
    <n v="1680.05"/>
    <n v="509.55"/>
    <x v="11"/>
    <x v="1"/>
    <n v="0.23271373766898065"/>
  </r>
  <r>
    <n v="4345"/>
    <d v="2023-12-29T00:00:00"/>
    <x v="0"/>
    <x v="4"/>
    <x v="14"/>
    <x v="5"/>
    <n v="10"/>
    <n v="323"/>
    <n v="5"/>
    <n v="3068.5"/>
    <n v="2333.37"/>
    <n v="735.13"/>
    <x v="6"/>
    <x v="1"/>
    <n v="0.23957308131008637"/>
  </r>
  <r>
    <n v="4346"/>
    <d v="2023-08-15T00:00:00"/>
    <x v="1"/>
    <x v="3"/>
    <x v="15"/>
    <x v="5"/>
    <n v="2"/>
    <n v="918"/>
    <n v="10"/>
    <n v="1652.4"/>
    <n v="1107.1600000000001"/>
    <n v="545.24"/>
    <x v="2"/>
    <x v="1"/>
    <n v="0.32996853062212539"/>
  </r>
  <r>
    <n v="4347"/>
    <d v="2024-07-02T00:00:00"/>
    <x v="3"/>
    <x v="1"/>
    <x v="7"/>
    <x v="1"/>
    <n v="9"/>
    <n v="46"/>
    <n v="15"/>
    <n v="351.9"/>
    <n v="258.77999999999997"/>
    <n v="93.12"/>
    <x v="5"/>
    <x v="0"/>
    <n v="0.2646206308610401"/>
  </r>
  <r>
    <n v="4348"/>
    <d v="2023-03-06T00:00:00"/>
    <x v="0"/>
    <x v="4"/>
    <x v="8"/>
    <x v="5"/>
    <n v="9"/>
    <n v="99"/>
    <n v="0"/>
    <n v="891"/>
    <n v="578.94000000000005"/>
    <n v="312.06"/>
    <x v="8"/>
    <x v="1"/>
    <n v="0.35023569023569023"/>
  </r>
  <r>
    <n v="4349"/>
    <d v="2024-03-17T00:00:00"/>
    <x v="3"/>
    <x v="2"/>
    <x v="6"/>
    <x v="1"/>
    <n v="9"/>
    <n v="275"/>
    <n v="20"/>
    <n v="1980"/>
    <n v="1116.45"/>
    <n v="863.55"/>
    <x v="8"/>
    <x v="0"/>
    <n v="0.4361363636363636"/>
  </r>
  <r>
    <n v="4350"/>
    <d v="2023-05-06T00:00:00"/>
    <x v="0"/>
    <x v="2"/>
    <x v="6"/>
    <x v="4"/>
    <n v="4"/>
    <n v="714"/>
    <n v="15"/>
    <n v="2427.6"/>
    <n v="1498.64"/>
    <n v="928.96"/>
    <x v="7"/>
    <x v="1"/>
    <n v="0.38266600757950242"/>
  </r>
  <r>
    <n v="4351"/>
    <d v="2023-09-09T00:00:00"/>
    <x v="1"/>
    <x v="3"/>
    <x v="4"/>
    <x v="3"/>
    <n v="6"/>
    <n v="500"/>
    <n v="10"/>
    <n v="2700"/>
    <n v="2078.52"/>
    <n v="621.48"/>
    <x v="0"/>
    <x v="1"/>
    <n v="0.23017777777777779"/>
  </r>
  <r>
    <n v="4352"/>
    <d v="2024-03-06T00:00:00"/>
    <x v="0"/>
    <x v="1"/>
    <x v="5"/>
    <x v="5"/>
    <n v="8"/>
    <n v="319"/>
    <n v="10"/>
    <n v="2296.8000000000002"/>
    <n v="1728.98"/>
    <n v="567.82000000000005"/>
    <x v="8"/>
    <x v="0"/>
    <n v="0.24722222222222223"/>
  </r>
  <r>
    <n v="4353"/>
    <d v="2024-01-08T00:00:00"/>
    <x v="1"/>
    <x v="2"/>
    <x v="3"/>
    <x v="3"/>
    <n v="2"/>
    <n v="518"/>
    <n v="0"/>
    <n v="1036"/>
    <n v="594.29999999999995"/>
    <n v="441.7"/>
    <x v="11"/>
    <x v="0"/>
    <n v="0.42635135135135133"/>
  </r>
  <r>
    <n v="4354"/>
    <d v="2024-07-17T00:00:00"/>
    <x v="3"/>
    <x v="3"/>
    <x v="4"/>
    <x v="4"/>
    <n v="10"/>
    <n v="128"/>
    <n v="0"/>
    <n v="1280"/>
    <n v="969.63"/>
    <n v="310.37"/>
    <x v="5"/>
    <x v="0"/>
    <n v="0.24247656249999999"/>
  </r>
  <r>
    <n v="4355"/>
    <d v="2023-12-08T00:00:00"/>
    <x v="3"/>
    <x v="1"/>
    <x v="7"/>
    <x v="3"/>
    <n v="5"/>
    <n v="55"/>
    <n v="10"/>
    <n v="247.5"/>
    <n v="140.6"/>
    <n v="106.9"/>
    <x v="6"/>
    <x v="1"/>
    <n v="0.43191919191919192"/>
  </r>
  <r>
    <n v="4356"/>
    <d v="2023-12-30T00:00:00"/>
    <x v="3"/>
    <x v="1"/>
    <x v="5"/>
    <x v="1"/>
    <n v="9"/>
    <n v="187"/>
    <n v="5"/>
    <n v="1598.85"/>
    <n v="1121.27"/>
    <n v="477.58"/>
    <x v="6"/>
    <x v="1"/>
    <n v="0.2987021922006442"/>
  </r>
  <r>
    <n v="4357"/>
    <d v="2024-09-25T00:00:00"/>
    <x v="2"/>
    <x v="4"/>
    <x v="14"/>
    <x v="2"/>
    <n v="6"/>
    <n v="104"/>
    <n v="10"/>
    <n v="561.6"/>
    <n v="324.82"/>
    <n v="236.78"/>
    <x v="0"/>
    <x v="0"/>
    <n v="0.4216168091168091"/>
  </r>
  <r>
    <n v="4358"/>
    <d v="2023-06-22T00:00:00"/>
    <x v="3"/>
    <x v="4"/>
    <x v="18"/>
    <x v="3"/>
    <n v="4"/>
    <n v="551"/>
    <n v="5"/>
    <n v="2093.8000000000002"/>
    <n v="1138.05"/>
    <n v="955.75"/>
    <x v="4"/>
    <x v="1"/>
    <n v="0.45646671124271654"/>
  </r>
  <r>
    <n v="4359"/>
    <d v="2023-05-21T00:00:00"/>
    <x v="2"/>
    <x v="4"/>
    <x v="9"/>
    <x v="5"/>
    <n v="8"/>
    <n v="480"/>
    <n v="20"/>
    <n v="3072"/>
    <n v="1979.15"/>
    <n v="1092.8499999999999"/>
    <x v="7"/>
    <x v="1"/>
    <n v="0.3557454427083333"/>
  </r>
  <r>
    <n v="4360"/>
    <d v="2023-05-11T00:00:00"/>
    <x v="0"/>
    <x v="1"/>
    <x v="7"/>
    <x v="0"/>
    <n v="2"/>
    <n v="374"/>
    <n v="15"/>
    <n v="635.79999999999995"/>
    <n v="498.39"/>
    <n v="137.41"/>
    <x v="7"/>
    <x v="1"/>
    <n v="0.21612142183076441"/>
  </r>
  <r>
    <n v="4361"/>
    <d v="2024-06-05T00:00:00"/>
    <x v="3"/>
    <x v="3"/>
    <x v="15"/>
    <x v="0"/>
    <n v="1"/>
    <n v="42"/>
    <n v="15"/>
    <n v="35.700000000000003"/>
    <n v="24.87"/>
    <n v="10.83"/>
    <x v="4"/>
    <x v="0"/>
    <n v="0.3033613445378151"/>
  </r>
  <r>
    <n v="4362"/>
    <d v="2024-11-18T00:00:00"/>
    <x v="3"/>
    <x v="3"/>
    <x v="4"/>
    <x v="2"/>
    <n v="10"/>
    <n v="750"/>
    <n v="5"/>
    <n v="7125"/>
    <n v="5123.28"/>
    <n v="2001.72"/>
    <x v="3"/>
    <x v="0"/>
    <n v="0.28094315789473684"/>
  </r>
  <r>
    <n v="4363"/>
    <d v="2023-08-26T00:00:00"/>
    <x v="2"/>
    <x v="4"/>
    <x v="8"/>
    <x v="5"/>
    <n v="5"/>
    <n v="868"/>
    <n v="20"/>
    <n v="3472"/>
    <n v="1987.91"/>
    <n v="1484.09"/>
    <x v="2"/>
    <x v="1"/>
    <n v="0.42744527649769581"/>
  </r>
  <r>
    <n v="4364"/>
    <d v="2023-05-02T00:00:00"/>
    <x v="3"/>
    <x v="0"/>
    <x v="1"/>
    <x v="1"/>
    <n v="7"/>
    <n v="98"/>
    <n v="0"/>
    <n v="686"/>
    <n v="475.06"/>
    <n v="210.94"/>
    <x v="7"/>
    <x v="1"/>
    <n v="0.30749271137026241"/>
  </r>
  <r>
    <n v="4365"/>
    <d v="2023-04-27T00:00:00"/>
    <x v="2"/>
    <x v="4"/>
    <x v="18"/>
    <x v="3"/>
    <n v="5"/>
    <n v="935"/>
    <n v="5"/>
    <n v="4441.25"/>
    <n v="3342.54"/>
    <n v="1098.71"/>
    <x v="10"/>
    <x v="1"/>
    <n v="0.24738755980861246"/>
  </r>
  <r>
    <n v="4366"/>
    <d v="2023-10-11T00:00:00"/>
    <x v="3"/>
    <x v="4"/>
    <x v="18"/>
    <x v="2"/>
    <n v="7"/>
    <n v="585"/>
    <n v="10"/>
    <n v="3685.5"/>
    <n v="2498.2399999999998"/>
    <n v="1187.26"/>
    <x v="1"/>
    <x v="1"/>
    <n v="0.3221435354768688"/>
  </r>
  <r>
    <n v="4367"/>
    <d v="2023-08-12T00:00:00"/>
    <x v="0"/>
    <x v="2"/>
    <x v="3"/>
    <x v="0"/>
    <n v="5"/>
    <n v="924"/>
    <n v="10"/>
    <n v="4158"/>
    <n v="2513.89"/>
    <n v="1644.11"/>
    <x v="2"/>
    <x v="1"/>
    <n v="0.39540885040885038"/>
  </r>
  <r>
    <n v="4368"/>
    <d v="2023-10-05T00:00:00"/>
    <x v="3"/>
    <x v="0"/>
    <x v="12"/>
    <x v="2"/>
    <n v="3"/>
    <n v="503"/>
    <n v="10"/>
    <n v="1358.1"/>
    <n v="948.9"/>
    <n v="409.2"/>
    <x v="1"/>
    <x v="1"/>
    <n v="0.30130329136293355"/>
  </r>
  <r>
    <n v="4369"/>
    <d v="2024-07-02T00:00:00"/>
    <x v="0"/>
    <x v="3"/>
    <x v="19"/>
    <x v="3"/>
    <n v="4"/>
    <n v="996"/>
    <n v="15"/>
    <n v="3386.4"/>
    <n v="2057.08"/>
    <n v="1329.32"/>
    <x v="5"/>
    <x v="0"/>
    <n v="0.39254665721710369"/>
  </r>
  <r>
    <n v="4370"/>
    <d v="2023-07-30T00:00:00"/>
    <x v="1"/>
    <x v="3"/>
    <x v="15"/>
    <x v="0"/>
    <n v="4"/>
    <n v="141"/>
    <n v="5"/>
    <n v="535.79999999999995"/>
    <n v="365.42"/>
    <n v="170.38"/>
    <x v="5"/>
    <x v="1"/>
    <n v="0.3179917879805898"/>
  </r>
  <r>
    <n v="4371"/>
    <d v="2024-12-30T00:00:00"/>
    <x v="3"/>
    <x v="2"/>
    <x v="3"/>
    <x v="1"/>
    <n v="1"/>
    <n v="412"/>
    <n v="20"/>
    <n v="329.6"/>
    <n v="183.48"/>
    <n v="146.12"/>
    <x v="6"/>
    <x v="0"/>
    <n v="0.44332524271844659"/>
  </r>
  <r>
    <n v="4372"/>
    <d v="2023-05-22T00:00:00"/>
    <x v="1"/>
    <x v="0"/>
    <x v="1"/>
    <x v="0"/>
    <n v="9"/>
    <n v="11"/>
    <n v="10"/>
    <n v="89.1"/>
    <n v="67.31"/>
    <n v="21.79"/>
    <x v="7"/>
    <x v="1"/>
    <n v="0.24455667789001123"/>
  </r>
  <r>
    <n v="4373"/>
    <d v="2023-11-14T00:00:00"/>
    <x v="2"/>
    <x v="0"/>
    <x v="1"/>
    <x v="3"/>
    <n v="8"/>
    <n v="820"/>
    <n v="15"/>
    <n v="5576"/>
    <n v="3432.74"/>
    <n v="2143.2600000000002"/>
    <x v="3"/>
    <x v="1"/>
    <n v="0.38437230989956961"/>
  </r>
  <r>
    <n v="4374"/>
    <d v="2024-04-10T00:00:00"/>
    <x v="2"/>
    <x v="3"/>
    <x v="19"/>
    <x v="1"/>
    <n v="7"/>
    <n v="398"/>
    <n v="10"/>
    <n v="2507.4"/>
    <n v="1874.81"/>
    <n v="632.59"/>
    <x v="10"/>
    <x v="0"/>
    <n v="0.2522892238972641"/>
  </r>
  <r>
    <n v="4375"/>
    <d v="2024-10-20T00:00:00"/>
    <x v="3"/>
    <x v="1"/>
    <x v="5"/>
    <x v="5"/>
    <n v="6"/>
    <n v="620"/>
    <n v="0"/>
    <n v="3720"/>
    <n v="2403.7800000000002"/>
    <n v="1316.22"/>
    <x v="1"/>
    <x v="0"/>
    <n v="0.35382258064516131"/>
  </r>
  <r>
    <n v="4376"/>
    <d v="2024-03-07T00:00:00"/>
    <x v="2"/>
    <x v="4"/>
    <x v="9"/>
    <x v="3"/>
    <n v="7"/>
    <n v="511"/>
    <n v="0"/>
    <n v="3577"/>
    <n v="2472.5700000000002"/>
    <n v="1104.43"/>
    <x v="8"/>
    <x v="0"/>
    <n v="0.30875873637126083"/>
  </r>
  <r>
    <n v="4377"/>
    <d v="2024-07-30T00:00:00"/>
    <x v="1"/>
    <x v="4"/>
    <x v="18"/>
    <x v="3"/>
    <n v="7"/>
    <n v="444"/>
    <n v="5"/>
    <n v="2952.6"/>
    <n v="2129.48"/>
    <n v="823.12"/>
    <x v="5"/>
    <x v="0"/>
    <n v="0.2787780261464472"/>
  </r>
  <r>
    <n v="4378"/>
    <d v="2023-05-08T00:00:00"/>
    <x v="2"/>
    <x v="2"/>
    <x v="17"/>
    <x v="3"/>
    <n v="6"/>
    <n v="212"/>
    <n v="0"/>
    <n v="1272"/>
    <n v="829.4"/>
    <n v="442.6"/>
    <x v="7"/>
    <x v="1"/>
    <n v="0.3479559748427673"/>
  </r>
  <r>
    <n v="4379"/>
    <d v="2023-03-12T00:00:00"/>
    <x v="1"/>
    <x v="2"/>
    <x v="10"/>
    <x v="1"/>
    <n v="9"/>
    <n v="554"/>
    <n v="10"/>
    <n v="4487.3999999999996"/>
    <n v="2358.9899999999998"/>
    <n v="2128.41"/>
    <x v="8"/>
    <x v="1"/>
    <n v="0.47430806257521058"/>
  </r>
  <r>
    <n v="4380"/>
    <d v="2023-02-26T00:00:00"/>
    <x v="2"/>
    <x v="2"/>
    <x v="3"/>
    <x v="5"/>
    <n v="8"/>
    <n v="545"/>
    <n v="0"/>
    <n v="4360"/>
    <n v="2440.11"/>
    <n v="1919.89"/>
    <x v="9"/>
    <x v="1"/>
    <n v="0.4403417431192661"/>
  </r>
  <r>
    <n v="4381"/>
    <d v="2024-06-12T00:00:00"/>
    <x v="0"/>
    <x v="0"/>
    <x v="12"/>
    <x v="5"/>
    <n v="3"/>
    <n v="421"/>
    <n v="0"/>
    <n v="1263"/>
    <n v="871.54"/>
    <n v="391.46"/>
    <x v="4"/>
    <x v="0"/>
    <n v="0.30994457640538398"/>
  </r>
  <r>
    <n v="4382"/>
    <d v="2024-12-25T00:00:00"/>
    <x v="2"/>
    <x v="1"/>
    <x v="16"/>
    <x v="5"/>
    <n v="9"/>
    <n v="17"/>
    <n v="0"/>
    <n v="153"/>
    <n v="93.28"/>
    <n v="59.72"/>
    <x v="6"/>
    <x v="0"/>
    <n v="0.39032679738562093"/>
  </r>
  <r>
    <n v="4383"/>
    <d v="2024-04-05T00:00:00"/>
    <x v="0"/>
    <x v="4"/>
    <x v="18"/>
    <x v="5"/>
    <n v="8"/>
    <n v="984"/>
    <n v="0"/>
    <n v="7872"/>
    <n v="6176.87"/>
    <n v="1695.13"/>
    <x v="10"/>
    <x v="0"/>
    <n v="0.21533663617886181"/>
  </r>
  <r>
    <n v="4384"/>
    <d v="2023-03-15T00:00:00"/>
    <x v="0"/>
    <x v="4"/>
    <x v="18"/>
    <x v="4"/>
    <n v="6"/>
    <n v="509"/>
    <n v="0"/>
    <n v="3054"/>
    <n v="1797.67"/>
    <n v="1256.33"/>
    <x v="8"/>
    <x v="1"/>
    <n v="0.4113719711853307"/>
  </r>
  <r>
    <n v="4385"/>
    <d v="2024-12-05T00:00:00"/>
    <x v="3"/>
    <x v="1"/>
    <x v="5"/>
    <x v="0"/>
    <n v="4"/>
    <n v="248"/>
    <n v="0"/>
    <n v="992"/>
    <n v="540.75"/>
    <n v="451.25"/>
    <x v="6"/>
    <x v="0"/>
    <n v="0.45488911290322581"/>
  </r>
  <r>
    <n v="4386"/>
    <d v="2023-05-01T00:00:00"/>
    <x v="2"/>
    <x v="2"/>
    <x v="3"/>
    <x v="3"/>
    <n v="7"/>
    <n v="123"/>
    <n v="15"/>
    <n v="731.85"/>
    <n v="392.75"/>
    <n v="339.1"/>
    <x v="7"/>
    <x v="1"/>
    <n v="0.46334631413541028"/>
  </r>
  <r>
    <n v="4387"/>
    <d v="2024-03-20T00:00:00"/>
    <x v="1"/>
    <x v="0"/>
    <x v="13"/>
    <x v="5"/>
    <n v="5"/>
    <n v="575"/>
    <n v="10"/>
    <n v="2587.5"/>
    <n v="1849.51"/>
    <n v="737.99"/>
    <x v="8"/>
    <x v="0"/>
    <n v="0.28521352657004834"/>
  </r>
  <r>
    <n v="4388"/>
    <d v="2023-04-30T00:00:00"/>
    <x v="2"/>
    <x v="2"/>
    <x v="10"/>
    <x v="4"/>
    <n v="3"/>
    <n v="657"/>
    <n v="20"/>
    <n v="1576.8"/>
    <n v="1149.46"/>
    <n v="427.34"/>
    <x v="10"/>
    <x v="1"/>
    <n v="0.27101725012683914"/>
  </r>
  <r>
    <n v="4389"/>
    <d v="2023-11-25T00:00:00"/>
    <x v="0"/>
    <x v="0"/>
    <x v="12"/>
    <x v="0"/>
    <n v="1"/>
    <n v="176"/>
    <n v="15"/>
    <n v="149.6"/>
    <n v="99.85"/>
    <n v="49.75"/>
    <x v="3"/>
    <x v="1"/>
    <n v="0.3325534759358289"/>
  </r>
  <r>
    <n v="4390"/>
    <d v="2023-01-11T00:00:00"/>
    <x v="2"/>
    <x v="4"/>
    <x v="9"/>
    <x v="4"/>
    <n v="7"/>
    <n v="287"/>
    <n v="10"/>
    <n v="1808.1"/>
    <n v="981.75"/>
    <n v="826.35"/>
    <x v="11"/>
    <x v="1"/>
    <n v="0.45702671312427412"/>
  </r>
  <r>
    <n v="4391"/>
    <d v="2023-08-18T00:00:00"/>
    <x v="1"/>
    <x v="2"/>
    <x v="10"/>
    <x v="2"/>
    <n v="10"/>
    <n v="615"/>
    <n v="5"/>
    <n v="5842.5"/>
    <n v="4492.99"/>
    <n v="1349.51"/>
    <x v="2"/>
    <x v="1"/>
    <n v="0.23098160034231921"/>
  </r>
  <r>
    <n v="4392"/>
    <d v="2024-11-09T00:00:00"/>
    <x v="2"/>
    <x v="4"/>
    <x v="14"/>
    <x v="5"/>
    <n v="7"/>
    <n v="480"/>
    <n v="10"/>
    <n v="3024"/>
    <n v="1904.98"/>
    <n v="1119.02"/>
    <x v="3"/>
    <x v="0"/>
    <n v="0.37004629629629632"/>
  </r>
  <r>
    <n v="4393"/>
    <d v="2023-08-06T00:00:00"/>
    <x v="1"/>
    <x v="3"/>
    <x v="4"/>
    <x v="1"/>
    <n v="9"/>
    <n v="479"/>
    <n v="10"/>
    <n v="3879.9"/>
    <n v="2424.89"/>
    <n v="1455.01"/>
    <x v="2"/>
    <x v="1"/>
    <n v="0.37501224258357174"/>
  </r>
  <r>
    <n v="4394"/>
    <d v="2024-06-17T00:00:00"/>
    <x v="3"/>
    <x v="3"/>
    <x v="4"/>
    <x v="1"/>
    <n v="1"/>
    <n v="169"/>
    <n v="0"/>
    <n v="169"/>
    <n v="107.53"/>
    <n v="61.47"/>
    <x v="4"/>
    <x v="0"/>
    <n v="0.36372781065088755"/>
  </r>
  <r>
    <n v="4395"/>
    <d v="2023-01-12T00:00:00"/>
    <x v="3"/>
    <x v="0"/>
    <x v="13"/>
    <x v="4"/>
    <n v="6"/>
    <n v="86"/>
    <n v="5"/>
    <n v="490.2"/>
    <n v="359.48"/>
    <n v="130.72"/>
    <x v="11"/>
    <x v="1"/>
    <n v="0.26666666666666666"/>
  </r>
  <r>
    <n v="4396"/>
    <d v="2023-07-15T00:00:00"/>
    <x v="3"/>
    <x v="0"/>
    <x v="1"/>
    <x v="3"/>
    <n v="6"/>
    <n v="645"/>
    <n v="15"/>
    <n v="3289.5"/>
    <n v="2394.5300000000002"/>
    <n v="894.97"/>
    <x v="5"/>
    <x v="1"/>
    <n v="0.27206870345037243"/>
  </r>
  <r>
    <n v="4397"/>
    <d v="2023-12-23T00:00:00"/>
    <x v="2"/>
    <x v="0"/>
    <x v="13"/>
    <x v="2"/>
    <n v="7"/>
    <n v="611"/>
    <n v="15"/>
    <n v="3635.45"/>
    <n v="2482.62"/>
    <n v="1152.83"/>
    <x v="6"/>
    <x v="1"/>
    <n v="0.31710792336574561"/>
  </r>
  <r>
    <n v="4398"/>
    <d v="2023-09-17T00:00:00"/>
    <x v="0"/>
    <x v="2"/>
    <x v="3"/>
    <x v="4"/>
    <n v="5"/>
    <n v="277"/>
    <n v="5"/>
    <n v="1315.75"/>
    <n v="1045.02"/>
    <n v="270.73"/>
    <x v="0"/>
    <x v="1"/>
    <n v="0.2057609728291849"/>
  </r>
  <r>
    <n v="4399"/>
    <d v="2024-12-13T00:00:00"/>
    <x v="1"/>
    <x v="0"/>
    <x v="1"/>
    <x v="5"/>
    <n v="2"/>
    <n v="301"/>
    <n v="20"/>
    <n v="481.6"/>
    <n v="302.57"/>
    <n v="179.03"/>
    <x v="6"/>
    <x v="0"/>
    <n v="0.37174003322259136"/>
  </r>
  <r>
    <n v="4400"/>
    <d v="2023-06-03T00:00:00"/>
    <x v="1"/>
    <x v="0"/>
    <x v="0"/>
    <x v="1"/>
    <n v="2"/>
    <n v="583"/>
    <n v="15"/>
    <n v="991.1"/>
    <n v="784.65"/>
    <n v="206.45"/>
    <x v="4"/>
    <x v="1"/>
    <n v="0.2083039047522954"/>
  </r>
  <r>
    <n v="4401"/>
    <d v="2023-07-04T00:00:00"/>
    <x v="2"/>
    <x v="4"/>
    <x v="18"/>
    <x v="5"/>
    <n v="6"/>
    <n v="606"/>
    <n v="10"/>
    <n v="3272.4"/>
    <n v="2215.14"/>
    <n v="1057.26"/>
    <x v="5"/>
    <x v="1"/>
    <n v="0.32308397506417308"/>
  </r>
  <r>
    <n v="4402"/>
    <d v="2024-12-28T00:00:00"/>
    <x v="2"/>
    <x v="3"/>
    <x v="19"/>
    <x v="5"/>
    <n v="8"/>
    <n v="884"/>
    <n v="10"/>
    <n v="6364.8"/>
    <n v="4553.13"/>
    <n v="1811.67"/>
    <x v="6"/>
    <x v="0"/>
    <n v="0.28463895173453996"/>
  </r>
  <r>
    <n v="4403"/>
    <d v="2024-07-17T00:00:00"/>
    <x v="0"/>
    <x v="3"/>
    <x v="11"/>
    <x v="3"/>
    <n v="4"/>
    <n v="515"/>
    <n v="5"/>
    <n v="1957"/>
    <n v="1155.83"/>
    <n v="801.17"/>
    <x v="5"/>
    <x v="0"/>
    <n v="0.40938681655595299"/>
  </r>
  <r>
    <n v="4404"/>
    <d v="2024-06-20T00:00:00"/>
    <x v="3"/>
    <x v="0"/>
    <x v="0"/>
    <x v="3"/>
    <n v="6"/>
    <n v="267"/>
    <n v="15"/>
    <n v="1361.7"/>
    <n v="747.5"/>
    <n v="614.20000000000005"/>
    <x v="4"/>
    <x v="0"/>
    <n v="0.45105382977160902"/>
  </r>
  <r>
    <n v="4405"/>
    <d v="2024-04-16T00:00:00"/>
    <x v="0"/>
    <x v="2"/>
    <x v="10"/>
    <x v="1"/>
    <n v="4"/>
    <n v="78"/>
    <n v="20"/>
    <n v="249.6"/>
    <n v="127.46"/>
    <n v="122.14"/>
    <x v="10"/>
    <x v="0"/>
    <n v="0.48934294871794876"/>
  </r>
  <r>
    <n v="4406"/>
    <d v="2023-02-15T00:00:00"/>
    <x v="3"/>
    <x v="2"/>
    <x v="17"/>
    <x v="4"/>
    <n v="7"/>
    <n v="606"/>
    <n v="10"/>
    <n v="3817.8"/>
    <n v="2234.7800000000002"/>
    <n v="1583.02"/>
    <x v="9"/>
    <x v="1"/>
    <n v="0.41464194038451463"/>
  </r>
  <r>
    <n v="4407"/>
    <d v="2023-09-07T00:00:00"/>
    <x v="3"/>
    <x v="0"/>
    <x v="0"/>
    <x v="5"/>
    <n v="5"/>
    <n v="279"/>
    <n v="5"/>
    <n v="1325.25"/>
    <n v="733.35"/>
    <n v="591.9"/>
    <x v="0"/>
    <x v="1"/>
    <n v="0.44663271080928124"/>
  </r>
  <r>
    <n v="4408"/>
    <d v="2024-08-19T00:00:00"/>
    <x v="2"/>
    <x v="4"/>
    <x v="18"/>
    <x v="4"/>
    <n v="4"/>
    <n v="487"/>
    <n v="10"/>
    <n v="1753.2"/>
    <n v="1200.7"/>
    <n v="552.5"/>
    <x v="2"/>
    <x v="0"/>
    <n v="0.31513803331051793"/>
  </r>
  <r>
    <n v="4409"/>
    <d v="2023-04-04T00:00:00"/>
    <x v="2"/>
    <x v="0"/>
    <x v="12"/>
    <x v="1"/>
    <n v="7"/>
    <n v="711"/>
    <n v="5"/>
    <n v="4728.1499999999996"/>
    <n v="3545.87"/>
    <n v="1182.28"/>
    <x v="10"/>
    <x v="1"/>
    <n v="0.25005128855895015"/>
  </r>
  <r>
    <n v="4410"/>
    <d v="2023-07-15T00:00:00"/>
    <x v="0"/>
    <x v="4"/>
    <x v="9"/>
    <x v="3"/>
    <n v="9"/>
    <n v="765"/>
    <n v="0"/>
    <n v="6885"/>
    <n v="3553.82"/>
    <n v="3331.18"/>
    <x v="5"/>
    <x v="1"/>
    <n v="0.4838315177923021"/>
  </r>
  <r>
    <n v="4411"/>
    <d v="2023-11-30T00:00:00"/>
    <x v="3"/>
    <x v="3"/>
    <x v="15"/>
    <x v="2"/>
    <n v="7"/>
    <n v="306"/>
    <n v="0"/>
    <n v="2142"/>
    <n v="1644.04"/>
    <n v="497.96"/>
    <x v="3"/>
    <x v="1"/>
    <n v="0.23247432306255836"/>
  </r>
  <r>
    <n v="4412"/>
    <d v="2024-12-25T00:00:00"/>
    <x v="1"/>
    <x v="0"/>
    <x v="0"/>
    <x v="3"/>
    <n v="6"/>
    <n v="492"/>
    <n v="0"/>
    <n v="2952"/>
    <n v="2170.5100000000002"/>
    <n v="781.49"/>
    <x v="6"/>
    <x v="0"/>
    <n v="0.26473238482384825"/>
  </r>
  <r>
    <n v="4413"/>
    <d v="2023-09-01T00:00:00"/>
    <x v="3"/>
    <x v="0"/>
    <x v="12"/>
    <x v="3"/>
    <n v="4"/>
    <n v="270"/>
    <n v="15"/>
    <n v="918"/>
    <n v="695.7"/>
    <n v="222.3"/>
    <x v="0"/>
    <x v="1"/>
    <n v="0.24215686274509804"/>
  </r>
  <r>
    <n v="4414"/>
    <d v="2024-06-05T00:00:00"/>
    <x v="2"/>
    <x v="1"/>
    <x v="5"/>
    <x v="5"/>
    <n v="8"/>
    <n v="105"/>
    <n v="15"/>
    <n v="714"/>
    <n v="472.7"/>
    <n v="241.3"/>
    <x v="4"/>
    <x v="0"/>
    <n v="0.33795518207282915"/>
  </r>
  <r>
    <n v="4415"/>
    <d v="2023-02-13T00:00:00"/>
    <x v="2"/>
    <x v="1"/>
    <x v="5"/>
    <x v="4"/>
    <n v="8"/>
    <n v="845"/>
    <n v="15"/>
    <n v="5746"/>
    <n v="2956.23"/>
    <n v="2789.77"/>
    <x v="9"/>
    <x v="1"/>
    <n v="0.48551514096762965"/>
  </r>
  <r>
    <n v="4416"/>
    <d v="2024-01-03T00:00:00"/>
    <x v="0"/>
    <x v="1"/>
    <x v="2"/>
    <x v="5"/>
    <n v="4"/>
    <n v="52"/>
    <n v="5"/>
    <n v="197.6"/>
    <n v="99.18"/>
    <n v="98.42"/>
    <x v="11"/>
    <x v="0"/>
    <n v="0.49807692307692308"/>
  </r>
  <r>
    <n v="4417"/>
    <d v="2024-03-18T00:00:00"/>
    <x v="3"/>
    <x v="1"/>
    <x v="2"/>
    <x v="4"/>
    <n v="6"/>
    <n v="879"/>
    <n v="10"/>
    <n v="4746.6000000000004"/>
    <n v="3552.01"/>
    <n v="1194.5899999999999"/>
    <x v="8"/>
    <x v="0"/>
    <n v="0.25167277630303792"/>
  </r>
  <r>
    <n v="4418"/>
    <d v="2024-11-03T00:00:00"/>
    <x v="3"/>
    <x v="4"/>
    <x v="8"/>
    <x v="5"/>
    <n v="9"/>
    <n v="426"/>
    <n v="20"/>
    <n v="3067.2"/>
    <n v="2109.8200000000002"/>
    <n v="957.38"/>
    <x v="3"/>
    <x v="0"/>
    <n v="0.31213484611371939"/>
  </r>
  <r>
    <n v="4419"/>
    <d v="2024-06-01T00:00:00"/>
    <x v="3"/>
    <x v="0"/>
    <x v="12"/>
    <x v="2"/>
    <n v="9"/>
    <n v="133"/>
    <n v="5"/>
    <n v="1137.1500000000001"/>
    <n v="611.30999999999995"/>
    <n v="525.84"/>
    <x v="4"/>
    <x v="0"/>
    <n v="0.46241920590951063"/>
  </r>
  <r>
    <n v="4420"/>
    <d v="2024-09-25T00:00:00"/>
    <x v="0"/>
    <x v="0"/>
    <x v="12"/>
    <x v="0"/>
    <n v="6"/>
    <n v="660"/>
    <n v="0"/>
    <n v="3960"/>
    <n v="2744.48"/>
    <n v="1215.52"/>
    <x v="0"/>
    <x v="0"/>
    <n v="0.30694949494949497"/>
  </r>
  <r>
    <n v="4421"/>
    <d v="2024-08-01T00:00:00"/>
    <x v="0"/>
    <x v="0"/>
    <x v="0"/>
    <x v="1"/>
    <n v="3"/>
    <n v="48"/>
    <n v="10"/>
    <n v="129.6"/>
    <n v="69.739999999999995"/>
    <n v="59.86"/>
    <x v="2"/>
    <x v="0"/>
    <n v="0.46188271604938275"/>
  </r>
  <r>
    <n v="4422"/>
    <d v="2023-03-25T00:00:00"/>
    <x v="2"/>
    <x v="3"/>
    <x v="15"/>
    <x v="3"/>
    <n v="2"/>
    <n v="492"/>
    <n v="10"/>
    <n v="885.6"/>
    <n v="607.49"/>
    <n v="278.11"/>
    <x v="8"/>
    <x v="1"/>
    <n v="0.31403568202348692"/>
  </r>
  <r>
    <n v="4423"/>
    <d v="2023-10-13T00:00:00"/>
    <x v="3"/>
    <x v="4"/>
    <x v="9"/>
    <x v="1"/>
    <n v="5"/>
    <n v="251"/>
    <n v="10"/>
    <n v="1129.5"/>
    <n v="856.84"/>
    <n v="272.66000000000003"/>
    <x v="1"/>
    <x v="1"/>
    <n v="0.24139884904825146"/>
  </r>
  <r>
    <n v="4424"/>
    <d v="2024-07-15T00:00:00"/>
    <x v="3"/>
    <x v="3"/>
    <x v="15"/>
    <x v="5"/>
    <n v="2"/>
    <n v="858"/>
    <n v="20"/>
    <n v="1372.8"/>
    <n v="795.61"/>
    <n v="577.19000000000005"/>
    <x v="5"/>
    <x v="0"/>
    <n v="0.4204472610722611"/>
  </r>
  <r>
    <n v="4425"/>
    <d v="2024-06-25T00:00:00"/>
    <x v="2"/>
    <x v="2"/>
    <x v="3"/>
    <x v="3"/>
    <n v="9"/>
    <n v="846"/>
    <n v="0"/>
    <n v="7614"/>
    <n v="5217.96"/>
    <n v="2396.04"/>
    <x v="4"/>
    <x v="0"/>
    <n v="0.31468873128447594"/>
  </r>
  <r>
    <n v="4426"/>
    <d v="2023-11-19T00:00:00"/>
    <x v="2"/>
    <x v="2"/>
    <x v="3"/>
    <x v="0"/>
    <n v="8"/>
    <n v="340"/>
    <n v="15"/>
    <n v="2312"/>
    <n v="1694.32"/>
    <n v="617.67999999999995"/>
    <x v="3"/>
    <x v="1"/>
    <n v="0.26716262975778543"/>
  </r>
  <r>
    <n v="4427"/>
    <d v="2024-11-16T00:00:00"/>
    <x v="0"/>
    <x v="4"/>
    <x v="14"/>
    <x v="3"/>
    <n v="1"/>
    <n v="511"/>
    <n v="20"/>
    <n v="408.8"/>
    <n v="221.38"/>
    <n v="187.42"/>
    <x v="3"/>
    <x v="0"/>
    <n v="0.45846379647749508"/>
  </r>
  <r>
    <n v="4428"/>
    <d v="2024-06-13T00:00:00"/>
    <x v="1"/>
    <x v="1"/>
    <x v="2"/>
    <x v="4"/>
    <n v="2"/>
    <n v="547"/>
    <n v="20"/>
    <n v="875.2"/>
    <n v="582.04999999999995"/>
    <n v="293.14999999999998"/>
    <x v="4"/>
    <x v="0"/>
    <n v="0.33495201096892135"/>
  </r>
  <r>
    <n v="4429"/>
    <d v="2024-07-23T00:00:00"/>
    <x v="0"/>
    <x v="1"/>
    <x v="16"/>
    <x v="0"/>
    <n v="7"/>
    <n v="618"/>
    <n v="10"/>
    <n v="3893.4"/>
    <n v="2043.57"/>
    <n v="1849.83"/>
    <x v="5"/>
    <x v="0"/>
    <n v="0.47511943288642317"/>
  </r>
  <r>
    <n v="4430"/>
    <d v="2024-09-18T00:00:00"/>
    <x v="2"/>
    <x v="2"/>
    <x v="3"/>
    <x v="3"/>
    <n v="5"/>
    <n v="174"/>
    <n v="20"/>
    <n v="696"/>
    <n v="521.54"/>
    <n v="174.46"/>
    <x v="0"/>
    <x v="0"/>
    <n v="0.2506609195402299"/>
  </r>
  <r>
    <n v="4431"/>
    <d v="2023-09-18T00:00:00"/>
    <x v="0"/>
    <x v="2"/>
    <x v="10"/>
    <x v="4"/>
    <n v="5"/>
    <n v="342"/>
    <n v="5"/>
    <n v="1624.5"/>
    <n v="913.45"/>
    <n v="711.05"/>
    <x v="0"/>
    <x v="1"/>
    <n v="0.43770390889504462"/>
  </r>
  <r>
    <n v="4432"/>
    <d v="2023-05-15T00:00:00"/>
    <x v="2"/>
    <x v="2"/>
    <x v="3"/>
    <x v="2"/>
    <n v="7"/>
    <n v="34"/>
    <n v="5"/>
    <n v="226.1"/>
    <n v="118.84"/>
    <n v="107.26"/>
    <x v="7"/>
    <x v="1"/>
    <n v="0.47439186200796113"/>
  </r>
  <r>
    <n v="4433"/>
    <d v="2024-08-08T00:00:00"/>
    <x v="1"/>
    <x v="2"/>
    <x v="6"/>
    <x v="3"/>
    <n v="4"/>
    <n v="766"/>
    <n v="0"/>
    <n v="3064"/>
    <n v="1796.25"/>
    <n v="1267.75"/>
    <x v="2"/>
    <x v="0"/>
    <n v="0.41375652741514363"/>
  </r>
  <r>
    <n v="4434"/>
    <d v="2024-01-03T00:00:00"/>
    <x v="0"/>
    <x v="2"/>
    <x v="10"/>
    <x v="3"/>
    <n v="8"/>
    <n v="937"/>
    <n v="10"/>
    <n v="6746.4"/>
    <n v="5192.76"/>
    <n v="1553.64"/>
    <x v="11"/>
    <x v="0"/>
    <n v="0.23029171113482749"/>
  </r>
  <r>
    <n v="4435"/>
    <d v="2024-10-24T00:00:00"/>
    <x v="3"/>
    <x v="0"/>
    <x v="13"/>
    <x v="4"/>
    <n v="7"/>
    <n v="364"/>
    <n v="15"/>
    <n v="2165.8000000000002"/>
    <n v="1706.5"/>
    <n v="459.3"/>
    <x v="1"/>
    <x v="0"/>
    <n v="0.21206944316188012"/>
  </r>
  <r>
    <n v="4436"/>
    <d v="2023-05-05T00:00:00"/>
    <x v="3"/>
    <x v="1"/>
    <x v="7"/>
    <x v="2"/>
    <n v="1"/>
    <n v="925"/>
    <n v="5"/>
    <n v="878.75"/>
    <n v="554.12"/>
    <n v="324.63"/>
    <x v="7"/>
    <x v="1"/>
    <n v="0.36942247510668563"/>
  </r>
  <r>
    <n v="4437"/>
    <d v="2023-04-15T00:00:00"/>
    <x v="1"/>
    <x v="4"/>
    <x v="18"/>
    <x v="4"/>
    <n v="9"/>
    <n v="604"/>
    <n v="15"/>
    <n v="4620.6000000000004"/>
    <n v="3628.4"/>
    <n v="992.2"/>
    <x v="10"/>
    <x v="1"/>
    <n v="0.21473401722719992"/>
  </r>
  <r>
    <n v="4438"/>
    <d v="2023-11-30T00:00:00"/>
    <x v="0"/>
    <x v="4"/>
    <x v="8"/>
    <x v="0"/>
    <n v="3"/>
    <n v="522"/>
    <n v="15"/>
    <n v="1331.1"/>
    <n v="711.79"/>
    <n v="619.30999999999995"/>
    <x v="3"/>
    <x v="1"/>
    <n v="0.46526181353767559"/>
  </r>
  <r>
    <n v="4439"/>
    <d v="2024-04-28T00:00:00"/>
    <x v="0"/>
    <x v="3"/>
    <x v="15"/>
    <x v="5"/>
    <n v="1"/>
    <n v="545"/>
    <n v="15"/>
    <n v="463.25"/>
    <n v="369.92"/>
    <n v="93.33"/>
    <x v="10"/>
    <x v="0"/>
    <n v="0.20146788990825687"/>
  </r>
  <r>
    <n v="4440"/>
    <d v="2024-08-31T00:00:00"/>
    <x v="2"/>
    <x v="2"/>
    <x v="3"/>
    <x v="0"/>
    <n v="9"/>
    <n v="935"/>
    <n v="0"/>
    <n v="8415"/>
    <n v="4502.16"/>
    <n v="3912.84"/>
    <x v="2"/>
    <x v="0"/>
    <n v="0.46498395721925134"/>
  </r>
  <r>
    <n v="4441"/>
    <d v="2023-12-19T00:00:00"/>
    <x v="1"/>
    <x v="2"/>
    <x v="6"/>
    <x v="1"/>
    <n v="1"/>
    <n v="180"/>
    <n v="10"/>
    <n v="162"/>
    <n v="102.48"/>
    <n v="59.52"/>
    <x v="6"/>
    <x v="1"/>
    <n v="0.3674074074074074"/>
  </r>
  <r>
    <n v="4442"/>
    <d v="2023-12-30T00:00:00"/>
    <x v="3"/>
    <x v="1"/>
    <x v="7"/>
    <x v="5"/>
    <n v="3"/>
    <n v="519"/>
    <n v="20"/>
    <n v="1245.5999999999999"/>
    <n v="875.56"/>
    <n v="370.04"/>
    <x v="6"/>
    <x v="1"/>
    <n v="0.29707771355170204"/>
  </r>
  <r>
    <n v="4443"/>
    <d v="2023-12-27T00:00:00"/>
    <x v="2"/>
    <x v="1"/>
    <x v="2"/>
    <x v="5"/>
    <n v="1"/>
    <n v="27"/>
    <n v="15"/>
    <n v="22.95"/>
    <n v="14.76"/>
    <n v="8.19"/>
    <x v="6"/>
    <x v="1"/>
    <n v="0.35686274509803922"/>
  </r>
  <r>
    <n v="4444"/>
    <d v="2024-08-28T00:00:00"/>
    <x v="1"/>
    <x v="4"/>
    <x v="9"/>
    <x v="5"/>
    <n v="7"/>
    <n v="965"/>
    <n v="0"/>
    <n v="6755"/>
    <n v="5390.43"/>
    <n v="1364.57"/>
    <x v="2"/>
    <x v="0"/>
    <n v="0.20200888230940042"/>
  </r>
  <r>
    <n v="4445"/>
    <d v="2023-09-11T00:00:00"/>
    <x v="3"/>
    <x v="1"/>
    <x v="5"/>
    <x v="5"/>
    <n v="7"/>
    <n v="954"/>
    <n v="0"/>
    <n v="6678"/>
    <n v="4060.1"/>
    <n v="2617.9"/>
    <x v="0"/>
    <x v="1"/>
    <n v="0.39201856843366278"/>
  </r>
  <r>
    <n v="4446"/>
    <d v="2023-04-25T00:00:00"/>
    <x v="1"/>
    <x v="2"/>
    <x v="10"/>
    <x v="5"/>
    <n v="9"/>
    <n v="209"/>
    <n v="5"/>
    <n v="1786.95"/>
    <n v="1033.55"/>
    <n v="753.4"/>
    <x v="10"/>
    <x v="1"/>
    <n v="0.42161224432692573"/>
  </r>
  <r>
    <n v="4447"/>
    <d v="2023-01-12T00:00:00"/>
    <x v="3"/>
    <x v="3"/>
    <x v="4"/>
    <x v="1"/>
    <n v="8"/>
    <n v="543"/>
    <n v="5"/>
    <n v="4126.8"/>
    <n v="3281.29"/>
    <n v="845.51"/>
    <x v="11"/>
    <x v="1"/>
    <n v="0.20488271784433459"/>
  </r>
  <r>
    <n v="4448"/>
    <d v="2024-05-17T00:00:00"/>
    <x v="0"/>
    <x v="3"/>
    <x v="11"/>
    <x v="5"/>
    <n v="4"/>
    <n v="351"/>
    <n v="0"/>
    <n v="1404"/>
    <n v="772.79"/>
    <n v="631.21"/>
    <x v="7"/>
    <x v="0"/>
    <n v="0.44957977207977212"/>
  </r>
  <r>
    <n v="4449"/>
    <d v="2024-10-26T00:00:00"/>
    <x v="0"/>
    <x v="3"/>
    <x v="15"/>
    <x v="1"/>
    <n v="9"/>
    <n v="554"/>
    <n v="0"/>
    <n v="4986"/>
    <n v="3923.46"/>
    <n v="1062.54"/>
    <x v="1"/>
    <x v="0"/>
    <n v="0.21310469314079422"/>
  </r>
  <r>
    <n v="4450"/>
    <d v="2023-04-13T00:00:00"/>
    <x v="2"/>
    <x v="0"/>
    <x v="0"/>
    <x v="3"/>
    <n v="2"/>
    <n v="264"/>
    <n v="15"/>
    <n v="448.8"/>
    <n v="305.87"/>
    <n v="142.93"/>
    <x v="10"/>
    <x v="1"/>
    <n v="0.31847147950089127"/>
  </r>
  <r>
    <n v="4451"/>
    <d v="2024-05-03T00:00:00"/>
    <x v="0"/>
    <x v="3"/>
    <x v="19"/>
    <x v="3"/>
    <n v="7"/>
    <n v="371"/>
    <n v="0"/>
    <n v="2597"/>
    <n v="1897.26"/>
    <n v="699.74"/>
    <x v="7"/>
    <x v="0"/>
    <n v="0.26944166345783599"/>
  </r>
  <r>
    <n v="4452"/>
    <d v="2023-05-28T00:00:00"/>
    <x v="2"/>
    <x v="2"/>
    <x v="10"/>
    <x v="3"/>
    <n v="5"/>
    <n v="309"/>
    <n v="0"/>
    <n v="1545"/>
    <n v="993.22"/>
    <n v="551.78"/>
    <x v="7"/>
    <x v="1"/>
    <n v="0.35713915857605177"/>
  </r>
  <r>
    <n v="4453"/>
    <d v="2023-09-03T00:00:00"/>
    <x v="0"/>
    <x v="4"/>
    <x v="14"/>
    <x v="3"/>
    <n v="3"/>
    <n v="439"/>
    <n v="10"/>
    <n v="1185.3"/>
    <n v="924.57"/>
    <n v="260.73"/>
    <x v="0"/>
    <x v="1"/>
    <n v="0.21996962794229311"/>
  </r>
  <r>
    <n v="4454"/>
    <d v="2023-06-09T00:00:00"/>
    <x v="1"/>
    <x v="4"/>
    <x v="8"/>
    <x v="2"/>
    <n v="5"/>
    <n v="163"/>
    <n v="10"/>
    <n v="733.5"/>
    <n v="439.35"/>
    <n v="294.14999999999998"/>
    <x v="4"/>
    <x v="1"/>
    <n v="0.4010224948875255"/>
  </r>
  <r>
    <n v="4455"/>
    <d v="2023-12-07T00:00:00"/>
    <x v="0"/>
    <x v="1"/>
    <x v="5"/>
    <x v="0"/>
    <n v="4"/>
    <n v="868"/>
    <n v="20"/>
    <n v="2777.6"/>
    <n v="1851.76"/>
    <n v="925.84"/>
    <x v="6"/>
    <x v="1"/>
    <n v="0.33332373271889404"/>
  </r>
  <r>
    <n v="4456"/>
    <d v="2023-06-15T00:00:00"/>
    <x v="3"/>
    <x v="0"/>
    <x v="13"/>
    <x v="3"/>
    <n v="4"/>
    <n v="578"/>
    <n v="0"/>
    <n v="2312"/>
    <n v="1827.38"/>
    <n v="484.62"/>
    <x v="4"/>
    <x v="1"/>
    <n v="0.20961072664359862"/>
  </r>
  <r>
    <n v="4457"/>
    <d v="2024-01-28T00:00:00"/>
    <x v="1"/>
    <x v="0"/>
    <x v="13"/>
    <x v="1"/>
    <n v="5"/>
    <n v="16"/>
    <n v="20"/>
    <n v="64"/>
    <n v="39.590000000000003"/>
    <n v="24.41"/>
    <x v="11"/>
    <x v="0"/>
    <n v="0.38140625"/>
  </r>
  <r>
    <n v="4458"/>
    <d v="2023-01-16T00:00:00"/>
    <x v="3"/>
    <x v="0"/>
    <x v="12"/>
    <x v="3"/>
    <n v="8"/>
    <n v="521"/>
    <n v="0"/>
    <n v="4168"/>
    <n v="2517.87"/>
    <n v="1650.13"/>
    <x v="11"/>
    <x v="1"/>
    <n v="0.3959045105566219"/>
  </r>
  <r>
    <n v="4459"/>
    <d v="2023-05-08T00:00:00"/>
    <x v="1"/>
    <x v="2"/>
    <x v="10"/>
    <x v="1"/>
    <n v="9"/>
    <n v="301"/>
    <n v="20"/>
    <n v="2167.1999999999998"/>
    <n v="1382.54"/>
    <n v="784.66"/>
    <x v="7"/>
    <x v="1"/>
    <n v="0.36206164636397198"/>
  </r>
  <r>
    <n v="4460"/>
    <d v="2024-06-24T00:00:00"/>
    <x v="3"/>
    <x v="1"/>
    <x v="5"/>
    <x v="2"/>
    <n v="7"/>
    <n v="121"/>
    <n v="5"/>
    <n v="804.65"/>
    <n v="484.65"/>
    <n v="320"/>
    <x v="4"/>
    <x v="0"/>
    <n v="0.39768843596594794"/>
  </r>
  <r>
    <n v="4461"/>
    <d v="2023-06-02T00:00:00"/>
    <x v="2"/>
    <x v="0"/>
    <x v="0"/>
    <x v="3"/>
    <n v="8"/>
    <n v="274"/>
    <n v="15"/>
    <n v="1863.2"/>
    <n v="1426.78"/>
    <n v="436.42"/>
    <x v="4"/>
    <x v="1"/>
    <n v="0.23423142979819667"/>
  </r>
  <r>
    <n v="4462"/>
    <d v="2024-11-18T00:00:00"/>
    <x v="2"/>
    <x v="0"/>
    <x v="13"/>
    <x v="1"/>
    <n v="6"/>
    <n v="841"/>
    <n v="15"/>
    <n v="4289.1000000000004"/>
    <n v="2635.19"/>
    <n v="1653.91"/>
    <x v="3"/>
    <x v="0"/>
    <n v="0.38560770324776761"/>
  </r>
  <r>
    <n v="4463"/>
    <d v="2024-03-22T00:00:00"/>
    <x v="3"/>
    <x v="3"/>
    <x v="11"/>
    <x v="2"/>
    <n v="4"/>
    <n v="474"/>
    <n v="0"/>
    <n v="1896"/>
    <n v="1296.3800000000001"/>
    <n v="599.62"/>
    <x v="8"/>
    <x v="0"/>
    <n v="0.31625527426160338"/>
  </r>
  <r>
    <n v="4464"/>
    <d v="2024-10-14T00:00:00"/>
    <x v="2"/>
    <x v="2"/>
    <x v="3"/>
    <x v="4"/>
    <n v="7"/>
    <n v="254"/>
    <n v="5"/>
    <n v="1689.1"/>
    <n v="1107.99"/>
    <n v="581.11"/>
    <x v="1"/>
    <x v="0"/>
    <n v="0.34403528506305137"/>
  </r>
  <r>
    <n v="4465"/>
    <d v="2023-10-30T00:00:00"/>
    <x v="0"/>
    <x v="3"/>
    <x v="4"/>
    <x v="2"/>
    <n v="2"/>
    <n v="511"/>
    <n v="5"/>
    <n v="970.9"/>
    <n v="487.15"/>
    <n v="483.75"/>
    <x v="1"/>
    <x v="1"/>
    <n v="0.49824904727572356"/>
  </r>
  <r>
    <n v="4466"/>
    <d v="2024-09-16T00:00:00"/>
    <x v="0"/>
    <x v="2"/>
    <x v="6"/>
    <x v="4"/>
    <n v="10"/>
    <n v="719"/>
    <n v="0"/>
    <n v="7190"/>
    <n v="4770.3599999999997"/>
    <n v="2419.64"/>
    <x v="0"/>
    <x v="0"/>
    <n v="0.33652851182197496"/>
  </r>
  <r>
    <n v="4467"/>
    <d v="2024-02-18T00:00:00"/>
    <x v="0"/>
    <x v="4"/>
    <x v="9"/>
    <x v="4"/>
    <n v="1"/>
    <n v="54"/>
    <n v="20"/>
    <n v="43.2"/>
    <n v="28.57"/>
    <n v="14.63"/>
    <x v="9"/>
    <x v="0"/>
    <n v="0.33865740740740741"/>
  </r>
  <r>
    <n v="4468"/>
    <d v="2023-04-21T00:00:00"/>
    <x v="0"/>
    <x v="3"/>
    <x v="19"/>
    <x v="3"/>
    <n v="1"/>
    <n v="352"/>
    <n v="15"/>
    <n v="299.2"/>
    <n v="229.2"/>
    <n v="70"/>
    <x v="10"/>
    <x v="1"/>
    <n v="0.23395721925133692"/>
  </r>
  <r>
    <n v="4469"/>
    <d v="2023-03-16T00:00:00"/>
    <x v="1"/>
    <x v="0"/>
    <x v="13"/>
    <x v="3"/>
    <n v="10"/>
    <n v="616"/>
    <n v="0"/>
    <n v="6160"/>
    <n v="3538.46"/>
    <n v="2621.54"/>
    <x v="8"/>
    <x v="1"/>
    <n v="0.4255746753246753"/>
  </r>
  <r>
    <n v="4470"/>
    <d v="2023-05-11T00:00:00"/>
    <x v="0"/>
    <x v="3"/>
    <x v="11"/>
    <x v="5"/>
    <n v="3"/>
    <n v="28"/>
    <n v="15"/>
    <n v="71.400000000000006"/>
    <n v="52.73"/>
    <n v="18.670000000000002"/>
    <x v="7"/>
    <x v="1"/>
    <n v="0.26148459383753503"/>
  </r>
  <r>
    <n v="4471"/>
    <d v="2023-12-02T00:00:00"/>
    <x v="0"/>
    <x v="4"/>
    <x v="14"/>
    <x v="1"/>
    <n v="4"/>
    <n v="500"/>
    <n v="15"/>
    <n v="1700"/>
    <n v="985.5"/>
    <n v="714.5"/>
    <x v="6"/>
    <x v="1"/>
    <n v="0.42029411764705882"/>
  </r>
  <r>
    <n v="4472"/>
    <d v="2024-12-23T00:00:00"/>
    <x v="2"/>
    <x v="4"/>
    <x v="9"/>
    <x v="4"/>
    <n v="8"/>
    <n v="123"/>
    <n v="15"/>
    <n v="836.4"/>
    <n v="551.91"/>
    <n v="284.49"/>
    <x v="6"/>
    <x v="0"/>
    <n v="0.34013629842180776"/>
  </r>
  <r>
    <n v="4473"/>
    <d v="2024-03-22T00:00:00"/>
    <x v="0"/>
    <x v="1"/>
    <x v="16"/>
    <x v="2"/>
    <n v="5"/>
    <n v="575"/>
    <n v="10"/>
    <n v="2587.5"/>
    <n v="2062.7399999999998"/>
    <n v="524.76"/>
    <x v="8"/>
    <x v="0"/>
    <n v="0.20280579710144928"/>
  </r>
  <r>
    <n v="4474"/>
    <d v="2023-11-20T00:00:00"/>
    <x v="2"/>
    <x v="2"/>
    <x v="10"/>
    <x v="0"/>
    <n v="5"/>
    <n v="263"/>
    <n v="15"/>
    <n v="1117.75"/>
    <n v="667.26"/>
    <n v="450.49"/>
    <x v="3"/>
    <x v="1"/>
    <n v="0.40303287855065983"/>
  </r>
  <r>
    <n v="4475"/>
    <d v="2023-11-30T00:00:00"/>
    <x v="2"/>
    <x v="0"/>
    <x v="12"/>
    <x v="3"/>
    <n v="10"/>
    <n v="629"/>
    <n v="10"/>
    <n v="5661"/>
    <n v="3419.5"/>
    <n v="2241.5"/>
    <x v="3"/>
    <x v="1"/>
    <n v="0.39595477830771947"/>
  </r>
  <r>
    <n v="4476"/>
    <d v="2023-10-24T00:00:00"/>
    <x v="3"/>
    <x v="1"/>
    <x v="5"/>
    <x v="0"/>
    <n v="3"/>
    <n v="940"/>
    <n v="20"/>
    <n v="2256"/>
    <n v="1603.7"/>
    <n v="652.29999999999995"/>
    <x v="1"/>
    <x v="1"/>
    <n v="0.28914007092198579"/>
  </r>
  <r>
    <n v="4477"/>
    <d v="2024-01-16T00:00:00"/>
    <x v="2"/>
    <x v="3"/>
    <x v="15"/>
    <x v="2"/>
    <n v="2"/>
    <n v="152"/>
    <n v="5"/>
    <n v="288.8"/>
    <n v="212.09"/>
    <n v="76.709999999999994"/>
    <x v="11"/>
    <x v="0"/>
    <n v="0.26561634349030466"/>
  </r>
  <r>
    <n v="4478"/>
    <d v="2023-12-29T00:00:00"/>
    <x v="1"/>
    <x v="3"/>
    <x v="19"/>
    <x v="2"/>
    <n v="10"/>
    <n v="448"/>
    <n v="5"/>
    <n v="4256"/>
    <n v="2418.06"/>
    <n v="1837.94"/>
    <x v="6"/>
    <x v="1"/>
    <n v="0.43184680451127821"/>
  </r>
  <r>
    <n v="4479"/>
    <d v="2024-07-31T00:00:00"/>
    <x v="1"/>
    <x v="1"/>
    <x v="7"/>
    <x v="0"/>
    <n v="8"/>
    <n v="142"/>
    <n v="0"/>
    <n v="1136"/>
    <n v="569.19000000000005"/>
    <n v="566.80999999999995"/>
    <x v="5"/>
    <x v="0"/>
    <n v="0.49895246478873234"/>
  </r>
  <r>
    <n v="4480"/>
    <d v="2023-08-20T00:00:00"/>
    <x v="1"/>
    <x v="3"/>
    <x v="19"/>
    <x v="5"/>
    <n v="2"/>
    <n v="726"/>
    <n v="5"/>
    <n v="1379.4"/>
    <n v="707.95"/>
    <n v="671.45"/>
    <x v="2"/>
    <x v="1"/>
    <n v="0.48676960997535162"/>
  </r>
  <r>
    <n v="4481"/>
    <d v="2024-01-14T00:00:00"/>
    <x v="3"/>
    <x v="3"/>
    <x v="4"/>
    <x v="4"/>
    <n v="8"/>
    <n v="412"/>
    <n v="5"/>
    <n v="3131.2"/>
    <n v="2458.31"/>
    <n v="672.89"/>
    <x v="11"/>
    <x v="0"/>
    <n v="0.21489844149207973"/>
  </r>
  <r>
    <n v="4482"/>
    <d v="2023-11-18T00:00:00"/>
    <x v="1"/>
    <x v="3"/>
    <x v="15"/>
    <x v="4"/>
    <n v="8"/>
    <n v="226"/>
    <n v="5"/>
    <n v="1717.6"/>
    <n v="1327.36"/>
    <n v="390.24"/>
    <x v="3"/>
    <x v="1"/>
    <n v="0.22720074522589662"/>
  </r>
  <r>
    <n v="4483"/>
    <d v="2024-11-01T00:00:00"/>
    <x v="2"/>
    <x v="0"/>
    <x v="0"/>
    <x v="0"/>
    <n v="1"/>
    <n v="668"/>
    <n v="10"/>
    <n v="601.20000000000005"/>
    <n v="375.66"/>
    <n v="225.54"/>
    <x v="3"/>
    <x v="0"/>
    <n v="0.37514970059880237"/>
  </r>
  <r>
    <n v="4484"/>
    <d v="2023-03-25T00:00:00"/>
    <x v="1"/>
    <x v="2"/>
    <x v="10"/>
    <x v="0"/>
    <n v="2"/>
    <n v="268"/>
    <n v="5"/>
    <n v="509.2"/>
    <n v="296.43"/>
    <n v="212.77"/>
    <x v="8"/>
    <x v="1"/>
    <n v="0.41785153181461121"/>
  </r>
  <r>
    <n v="4485"/>
    <d v="2023-03-13T00:00:00"/>
    <x v="0"/>
    <x v="3"/>
    <x v="11"/>
    <x v="3"/>
    <n v="1"/>
    <n v="681"/>
    <n v="5"/>
    <n v="646.95000000000005"/>
    <n v="411.38"/>
    <n v="235.57"/>
    <x v="8"/>
    <x v="1"/>
    <n v="0.3641239663034237"/>
  </r>
  <r>
    <n v="4486"/>
    <d v="2023-05-31T00:00:00"/>
    <x v="3"/>
    <x v="2"/>
    <x v="17"/>
    <x v="4"/>
    <n v="1"/>
    <n v="334"/>
    <n v="15"/>
    <n v="283.89999999999998"/>
    <n v="158.66999999999999"/>
    <n v="125.23"/>
    <x v="7"/>
    <x v="1"/>
    <n v="0.44110602324762244"/>
  </r>
  <r>
    <n v="4487"/>
    <d v="2024-05-31T00:00:00"/>
    <x v="1"/>
    <x v="3"/>
    <x v="11"/>
    <x v="1"/>
    <n v="3"/>
    <n v="916"/>
    <n v="0"/>
    <n v="2748"/>
    <n v="2092.35"/>
    <n v="655.65"/>
    <x v="7"/>
    <x v="0"/>
    <n v="0.23859170305676855"/>
  </r>
  <r>
    <n v="4488"/>
    <d v="2024-10-05T00:00:00"/>
    <x v="3"/>
    <x v="0"/>
    <x v="0"/>
    <x v="5"/>
    <n v="10"/>
    <n v="909"/>
    <n v="20"/>
    <n v="7272"/>
    <n v="4735.37"/>
    <n v="2536.63"/>
    <x v="1"/>
    <x v="0"/>
    <n v="0.34882150715071508"/>
  </r>
  <r>
    <n v="4489"/>
    <d v="2024-02-01T00:00:00"/>
    <x v="1"/>
    <x v="3"/>
    <x v="15"/>
    <x v="3"/>
    <n v="2"/>
    <n v="268"/>
    <n v="20"/>
    <n v="428.8"/>
    <n v="262.02"/>
    <n v="166.78"/>
    <x v="9"/>
    <x v="0"/>
    <n v="0.38894589552238806"/>
  </r>
  <r>
    <n v="4490"/>
    <d v="2024-10-13T00:00:00"/>
    <x v="0"/>
    <x v="1"/>
    <x v="7"/>
    <x v="4"/>
    <n v="3"/>
    <n v="760"/>
    <n v="10"/>
    <n v="2052"/>
    <n v="1036.03"/>
    <n v="1015.97"/>
    <x v="1"/>
    <x v="0"/>
    <n v="0.4951120857699805"/>
  </r>
  <r>
    <n v="4491"/>
    <d v="2024-08-31T00:00:00"/>
    <x v="3"/>
    <x v="2"/>
    <x v="17"/>
    <x v="4"/>
    <n v="7"/>
    <n v="378"/>
    <n v="20"/>
    <n v="2116.8000000000002"/>
    <n v="1107.43"/>
    <n v="1009.37"/>
    <x v="2"/>
    <x v="0"/>
    <n v="0.47683767951625089"/>
  </r>
  <r>
    <n v="4492"/>
    <d v="2023-01-21T00:00:00"/>
    <x v="2"/>
    <x v="2"/>
    <x v="17"/>
    <x v="2"/>
    <n v="1"/>
    <n v="128"/>
    <n v="5"/>
    <n v="121.6"/>
    <n v="63.29"/>
    <n v="58.31"/>
    <x v="11"/>
    <x v="1"/>
    <n v="0.47952302631578952"/>
  </r>
  <r>
    <n v="4493"/>
    <d v="2024-08-11T00:00:00"/>
    <x v="2"/>
    <x v="1"/>
    <x v="16"/>
    <x v="0"/>
    <n v="8"/>
    <n v="345"/>
    <n v="20"/>
    <n v="2208"/>
    <n v="1501.9"/>
    <n v="706.1"/>
    <x v="2"/>
    <x v="0"/>
    <n v="0.3197916666666667"/>
  </r>
  <r>
    <n v="4494"/>
    <d v="2023-11-12T00:00:00"/>
    <x v="1"/>
    <x v="1"/>
    <x v="7"/>
    <x v="2"/>
    <n v="7"/>
    <n v="857"/>
    <n v="15"/>
    <n v="5099.1499999999996"/>
    <n v="3480.48"/>
    <n v="1618.67"/>
    <x v="3"/>
    <x v="1"/>
    <n v="0.31743918103997731"/>
  </r>
  <r>
    <n v="4495"/>
    <d v="2024-02-28T00:00:00"/>
    <x v="0"/>
    <x v="2"/>
    <x v="3"/>
    <x v="5"/>
    <n v="2"/>
    <n v="780"/>
    <n v="20"/>
    <n v="1248"/>
    <n v="986.69"/>
    <n v="261.31"/>
    <x v="9"/>
    <x v="0"/>
    <n v="0.20938301282051283"/>
  </r>
  <r>
    <n v="4496"/>
    <d v="2023-04-12T00:00:00"/>
    <x v="3"/>
    <x v="1"/>
    <x v="7"/>
    <x v="1"/>
    <n v="7"/>
    <n v="803"/>
    <n v="10"/>
    <n v="5058.8999999999996"/>
    <n v="2631.22"/>
    <n v="2427.6799999999998"/>
    <x v="10"/>
    <x v="1"/>
    <n v="0.47988297851311551"/>
  </r>
  <r>
    <n v="4497"/>
    <d v="2024-09-06T00:00:00"/>
    <x v="0"/>
    <x v="1"/>
    <x v="7"/>
    <x v="3"/>
    <n v="6"/>
    <n v="884"/>
    <n v="15"/>
    <n v="4508.3999999999996"/>
    <n v="2513.75"/>
    <n v="1994.65"/>
    <x v="0"/>
    <x v="0"/>
    <n v="0.44242968680684946"/>
  </r>
  <r>
    <n v="4498"/>
    <d v="2023-09-12T00:00:00"/>
    <x v="2"/>
    <x v="0"/>
    <x v="12"/>
    <x v="2"/>
    <n v="2"/>
    <n v="639"/>
    <n v="0"/>
    <n v="1278"/>
    <n v="985.85"/>
    <n v="292.14999999999998"/>
    <x v="0"/>
    <x v="1"/>
    <n v="0.22859937402190922"/>
  </r>
  <r>
    <n v="4499"/>
    <d v="2023-06-24T00:00:00"/>
    <x v="0"/>
    <x v="3"/>
    <x v="11"/>
    <x v="5"/>
    <n v="10"/>
    <n v="878"/>
    <n v="10"/>
    <n v="7902"/>
    <n v="3976.1"/>
    <n v="3925.9"/>
    <x v="4"/>
    <x v="1"/>
    <n v="0.49682358896481904"/>
  </r>
  <r>
    <n v="4500"/>
    <d v="2024-09-03T00:00:00"/>
    <x v="0"/>
    <x v="3"/>
    <x v="19"/>
    <x v="5"/>
    <n v="1"/>
    <n v="558"/>
    <n v="0"/>
    <n v="558"/>
    <n v="340.54"/>
    <n v="217.46"/>
    <x v="0"/>
    <x v="0"/>
    <n v="0.38971326164874553"/>
  </r>
  <r>
    <n v="4501"/>
    <d v="2024-08-07T00:00:00"/>
    <x v="0"/>
    <x v="3"/>
    <x v="15"/>
    <x v="4"/>
    <n v="6"/>
    <n v="502"/>
    <n v="10"/>
    <n v="2710.8"/>
    <n v="1653.5"/>
    <n v="1057.3"/>
    <x v="2"/>
    <x v="0"/>
    <n v="0.39003246274162606"/>
  </r>
  <r>
    <n v="4502"/>
    <d v="2024-02-04T00:00:00"/>
    <x v="1"/>
    <x v="3"/>
    <x v="4"/>
    <x v="1"/>
    <n v="8"/>
    <n v="74"/>
    <n v="0"/>
    <n v="592"/>
    <n v="380.45"/>
    <n v="211.55"/>
    <x v="9"/>
    <x v="0"/>
    <n v="0.35734797297297299"/>
  </r>
  <r>
    <n v="4503"/>
    <d v="2023-08-01T00:00:00"/>
    <x v="3"/>
    <x v="0"/>
    <x v="13"/>
    <x v="3"/>
    <n v="10"/>
    <n v="511"/>
    <n v="10"/>
    <n v="4599"/>
    <n v="2558.66"/>
    <n v="2040.34"/>
    <x v="2"/>
    <x v="1"/>
    <n v="0.44364861926505761"/>
  </r>
  <r>
    <n v="4504"/>
    <d v="2024-01-13T00:00:00"/>
    <x v="2"/>
    <x v="1"/>
    <x v="7"/>
    <x v="3"/>
    <n v="3"/>
    <n v="619"/>
    <n v="20"/>
    <n v="1485.6"/>
    <n v="1156.6199999999999"/>
    <n v="328.98"/>
    <x v="11"/>
    <x v="0"/>
    <n v="0.22144588045234251"/>
  </r>
  <r>
    <n v="4505"/>
    <d v="2024-09-01T00:00:00"/>
    <x v="0"/>
    <x v="3"/>
    <x v="11"/>
    <x v="2"/>
    <n v="6"/>
    <n v="696"/>
    <n v="0"/>
    <n v="4176"/>
    <n v="2548.2199999999998"/>
    <n v="1627.78"/>
    <x v="0"/>
    <x v="0"/>
    <n v="0.38979406130268196"/>
  </r>
  <r>
    <n v="4506"/>
    <d v="2024-07-04T00:00:00"/>
    <x v="3"/>
    <x v="2"/>
    <x v="3"/>
    <x v="5"/>
    <n v="9"/>
    <n v="287"/>
    <n v="0"/>
    <n v="2583"/>
    <n v="1773.42"/>
    <n v="809.58"/>
    <x v="5"/>
    <x v="0"/>
    <n v="0.31342624854819978"/>
  </r>
  <r>
    <n v="4507"/>
    <d v="2023-10-15T00:00:00"/>
    <x v="2"/>
    <x v="1"/>
    <x v="5"/>
    <x v="3"/>
    <n v="7"/>
    <n v="582"/>
    <n v="5"/>
    <n v="3870.3"/>
    <n v="2119.81"/>
    <n v="1750.49"/>
    <x v="1"/>
    <x v="1"/>
    <n v="0.45228793633568454"/>
  </r>
  <r>
    <n v="4508"/>
    <d v="2024-08-30T00:00:00"/>
    <x v="3"/>
    <x v="2"/>
    <x v="3"/>
    <x v="1"/>
    <n v="4"/>
    <n v="984"/>
    <n v="15"/>
    <n v="3345.6"/>
    <n v="2015.81"/>
    <n v="1329.79"/>
    <x v="2"/>
    <x v="0"/>
    <n v="0.39747429459588712"/>
  </r>
  <r>
    <n v="4509"/>
    <d v="2024-10-16T00:00:00"/>
    <x v="3"/>
    <x v="3"/>
    <x v="4"/>
    <x v="0"/>
    <n v="10"/>
    <n v="268"/>
    <n v="15"/>
    <n v="2278"/>
    <n v="1232.53"/>
    <n v="1045.47"/>
    <x v="1"/>
    <x v="0"/>
    <n v="0.45894205443371378"/>
  </r>
  <r>
    <n v="4510"/>
    <d v="2023-09-04T00:00:00"/>
    <x v="0"/>
    <x v="1"/>
    <x v="2"/>
    <x v="3"/>
    <n v="7"/>
    <n v="933"/>
    <n v="0"/>
    <n v="6531"/>
    <n v="3598.56"/>
    <n v="2932.44"/>
    <x v="0"/>
    <x v="1"/>
    <n v="0.44900321543408361"/>
  </r>
  <r>
    <n v="4511"/>
    <d v="2023-03-05T00:00:00"/>
    <x v="3"/>
    <x v="3"/>
    <x v="15"/>
    <x v="1"/>
    <n v="7"/>
    <n v="960"/>
    <n v="5"/>
    <n v="6384"/>
    <n v="5057.0200000000004"/>
    <n v="1326.98"/>
    <x v="8"/>
    <x v="1"/>
    <n v="0.20786027568922305"/>
  </r>
  <r>
    <n v="4512"/>
    <d v="2024-12-03T00:00:00"/>
    <x v="1"/>
    <x v="2"/>
    <x v="6"/>
    <x v="4"/>
    <n v="8"/>
    <n v="280"/>
    <n v="0"/>
    <n v="2240"/>
    <n v="1781.31"/>
    <n v="458.69"/>
    <x v="6"/>
    <x v="0"/>
    <n v="0.20477232142857144"/>
  </r>
  <r>
    <n v="4513"/>
    <d v="2023-01-26T00:00:00"/>
    <x v="3"/>
    <x v="4"/>
    <x v="8"/>
    <x v="1"/>
    <n v="7"/>
    <n v="981"/>
    <n v="0"/>
    <n v="6867"/>
    <n v="3734.05"/>
    <n v="3132.95"/>
    <x v="11"/>
    <x v="1"/>
    <n v="0.45623270715013831"/>
  </r>
  <r>
    <n v="4514"/>
    <d v="2023-10-18T00:00:00"/>
    <x v="3"/>
    <x v="4"/>
    <x v="8"/>
    <x v="5"/>
    <n v="3"/>
    <n v="228"/>
    <n v="0"/>
    <n v="684"/>
    <n v="466.25"/>
    <n v="217.75"/>
    <x v="1"/>
    <x v="1"/>
    <n v="0.31834795321637427"/>
  </r>
  <r>
    <n v="4515"/>
    <d v="2023-09-13T00:00:00"/>
    <x v="3"/>
    <x v="3"/>
    <x v="19"/>
    <x v="4"/>
    <n v="6"/>
    <n v="890"/>
    <n v="15"/>
    <n v="4539"/>
    <n v="2516.17"/>
    <n v="2022.83"/>
    <x v="0"/>
    <x v="1"/>
    <n v="0.44565543071161046"/>
  </r>
  <r>
    <n v="4516"/>
    <d v="2024-05-28T00:00:00"/>
    <x v="2"/>
    <x v="0"/>
    <x v="13"/>
    <x v="1"/>
    <n v="9"/>
    <n v="533"/>
    <n v="10"/>
    <n v="4317.3"/>
    <n v="2570.85"/>
    <n v="1746.45"/>
    <x v="7"/>
    <x v="0"/>
    <n v="0.40452366062122158"/>
  </r>
  <r>
    <n v="4517"/>
    <d v="2024-08-02T00:00:00"/>
    <x v="3"/>
    <x v="1"/>
    <x v="2"/>
    <x v="2"/>
    <n v="4"/>
    <n v="551"/>
    <n v="10"/>
    <n v="1983.6"/>
    <n v="1243.0999999999999"/>
    <n v="740.5"/>
    <x v="2"/>
    <x v="0"/>
    <n v="0.37331115144182297"/>
  </r>
  <r>
    <n v="4518"/>
    <d v="2023-08-02T00:00:00"/>
    <x v="3"/>
    <x v="1"/>
    <x v="7"/>
    <x v="3"/>
    <n v="3"/>
    <n v="545"/>
    <n v="20"/>
    <n v="1308"/>
    <n v="884.34"/>
    <n v="423.66"/>
    <x v="2"/>
    <x v="1"/>
    <n v="0.32389908256880734"/>
  </r>
  <r>
    <n v="4519"/>
    <d v="2024-03-10T00:00:00"/>
    <x v="3"/>
    <x v="4"/>
    <x v="9"/>
    <x v="4"/>
    <n v="3"/>
    <n v="860"/>
    <n v="5"/>
    <n v="2451"/>
    <n v="1400.65"/>
    <n v="1050.3499999999999"/>
    <x v="8"/>
    <x v="0"/>
    <n v="0.42853937168502648"/>
  </r>
  <r>
    <n v="4520"/>
    <d v="2024-12-19T00:00:00"/>
    <x v="0"/>
    <x v="2"/>
    <x v="17"/>
    <x v="3"/>
    <n v="3"/>
    <n v="300"/>
    <n v="10"/>
    <n v="810"/>
    <n v="579.1"/>
    <n v="230.9"/>
    <x v="6"/>
    <x v="0"/>
    <n v="0.28506172839506172"/>
  </r>
  <r>
    <n v="4521"/>
    <d v="2024-03-24T00:00:00"/>
    <x v="2"/>
    <x v="1"/>
    <x v="5"/>
    <x v="2"/>
    <n v="10"/>
    <n v="464"/>
    <n v="5"/>
    <n v="4408"/>
    <n v="3514.26"/>
    <n v="893.74"/>
    <x v="8"/>
    <x v="0"/>
    <n v="0.20275408348457349"/>
  </r>
  <r>
    <n v="4522"/>
    <d v="2024-05-27T00:00:00"/>
    <x v="3"/>
    <x v="4"/>
    <x v="18"/>
    <x v="3"/>
    <n v="4"/>
    <n v="829"/>
    <n v="0"/>
    <n v="3316"/>
    <n v="1900.82"/>
    <n v="1415.18"/>
    <x v="7"/>
    <x v="0"/>
    <n v="0.42677322074788904"/>
  </r>
  <r>
    <n v="4523"/>
    <d v="2024-04-22T00:00:00"/>
    <x v="1"/>
    <x v="3"/>
    <x v="4"/>
    <x v="0"/>
    <n v="5"/>
    <n v="779"/>
    <n v="10"/>
    <n v="3505.5"/>
    <n v="2340.6799999999998"/>
    <n v="1164.82"/>
    <x v="10"/>
    <x v="0"/>
    <n v="0.33228355441449148"/>
  </r>
  <r>
    <n v="4524"/>
    <d v="2024-04-15T00:00:00"/>
    <x v="0"/>
    <x v="2"/>
    <x v="3"/>
    <x v="5"/>
    <n v="7"/>
    <n v="71"/>
    <n v="10"/>
    <n v="447.3"/>
    <n v="291.89"/>
    <n v="155.41"/>
    <x v="10"/>
    <x v="0"/>
    <n v="0.34744019673597137"/>
  </r>
  <r>
    <n v="4525"/>
    <d v="2023-10-05T00:00:00"/>
    <x v="3"/>
    <x v="0"/>
    <x v="12"/>
    <x v="3"/>
    <n v="3"/>
    <n v="340"/>
    <n v="5"/>
    <n v="969"/>
    <n v="603.02"/>
    <n v="365.98"/>
    <x v="1"/>
    <x v="1"/>
    <n v="0.37768833849329209"/>
  </r>
  <r>
    <n v="4526"/>
    <d v="2024-11-16T00:00:00"/>
    <x v="0"/>
    <x v="1"/>
    <x v="16"/>
    <x v="4"/>
    <n v="2"/>
    <n v="287"/>
    <n v="0"/>
    <n v="574"/>
    <n v="367.71"/>
    <n v="206.29"/>
    <x v="3"/>
    <x v="0"/>
    <n v="0.35939024390243901"/>
  </r>
  <r>
    <n v="4527"/>
    <d v="2024-07-20T00:00:00"/>
    <x v="2"/>
    <x v="2"/>
    <x v="17"/>
    <x v="3"/>
    <n v="1"/>
    <n v="174"/>
    <n v="0"/>
    <n v="174"/>
    <n v="131.41"/>
    <n v="42.59"/>
    <x v="5"/>
    <x v="0"/>
    <n v="0.24477011494252876"/>
  </r>
  <r>
    <n v="4528"/>
    <d v="2023-05-14T00:00:00"/>
    <x v="3"/>
    <x v="3"/>
    <x v="19"/>
    <x v="3"/>
    <n v="10"/>
    <n v="752"/>
    <n v="5"/>
    <n v="7144"/>
    <n v="5258.99"/>
    <n v="1885.01"/>
    <x v="7"/>
    <x v="1"/>
    <n v="0.26385918253079504"/>
  </r>
  <r>
    <n v="4529"/>
    <d v="2023-05-21T00:00:00"/>
    <x v="3"/>
    <x v="0"/>
    <x v="0"/>
    <x v="5"/>
    <n v="1"/>
    <n v="708"/>
    <n v="20"/>
    <n v="566.4"/>
    <n v="427.74"/>
    <n v="138.66"/>
    <x v="7"/>
    <x v="1"/>
    <n v="0.2448093220338983"/>
  </r>
  <r>
    <n v="4530"/>
    <d v="2024-02-04T00:00:00"/>
    <x v="2"/>
    <x v="3"/>
    <x v="11"/>
    <x v="1"/>
    <n v="7"/>
    <n v="61"/>
    <n v="10"/>
    <n v="384.3"/>
    <n v="307.24"/>
    <n v="77.06"/>
    <x v="9"/>
    <x v="0"/>
    <n v="0.20052042674993495"/>
  </r>
  <r>
    <n v="4531"/>
    <d v="2023-09-07T00:00:00"/>
    <x v="3"/>
    <x v="0"/>
    <x v="12"/>
    <x v="1"/>
    <n v="10"/>
    <n v="991"/>
    <n v="5"/>
    <n v="9414.5"/>
    <n v="6184.23"/>
    <n v="3230.27"/>
    <x v="0"/>
    <x v="1"/>
    <n v="0.34311646927611661"/>
  </r>
  <r>
    <n v="4532"/>
    <d v="2023-07-15T00:00:00"/>
    <x v="3"/>
    <x v="2"/>
    <x v="6"/>
    <x v="4"/>
    <n v="2"/>
    <n v="209"/>
    <n v="20"/>
    <n v="334.4"/>
    <n v="212.66"/>
    <n v="121.74"/>
    <x v="5"/>
    <x v="1"/>
    <n v="0.36405502392344496"/>
  </r>
  <r>
    <n v="4533"/>
    <d v="2024-04-25T00:00:00"/>
    <x v="1"/>
    <x v="3"/>
    <x v="15"/>
    <x v="1"/>
    <n v="7"/>
    <n v="762"/>
    <n v="0"/>
    <n v="5334"/>
    <n v="3086.66"/>
    <n v="2247.34"/>
    <x v="10"/>
    <x v="0"/>
    <n v="0.42132358455193103"/>
  </r>
  <r>
    <n v="4534"/>
    <d v="2024-03-12T00:00:00"/>
    <x v="3"/>
    <x v="3"/>
    <x v="11"/>
    <x v="4"/>
    <n v="1"/>
    <n v="403"/>
    <n v="0"/>
    <n v="403"/>
    <n v="227.88"/>
    <n v="175.12"/>
    <x v="8"/>
    <x v="0"/>
    <n v="0.43454094292803969"/>
  </r>
  <r>
    <n v="4535"/>
    <d v="2023-10-20T00:00:00"/>
    <x v="3"/>
    <x v="3"/>
    <x v="19"/>
    <x v="3"/>
    <n v="10"/>
    <n v="472"/>
    <n v="15"/>
    <n v="4012"/>
    <n v="2534.2600000000002"/>
    <n v="1477.74"/>
    <x v="1"/>
    <x v="1"/>
    <n v="0.36833000997008974"/>
  </r>
  <r>
    <n v="4536"/>
    <d v="2024-10-25T00:00:00"/>
    <x v="0"/>
    <x v="4"/>
    <x v="18"/>
    <x v="2"/>
    <n v="4"/>
    <n v="467"/>
    <n v="0"/>
    <n v="1868"/>
    <n v="1418.59"/>
    <n v="449.41"/>
    <x v="1"/>
    <x v="0"/>
    <n v="0.24058351177730194"/>
  </r>
  <r>
    <n v="4537"/>
    <d v="2023-07-13T00:00:00"/>
    <x v="2"/>
    <x v="2"/>
    <x v="3"/>
    <x v="5"/>
    <n v="1"/>
    <n v="364"/>
    <n v="15"/>
    <n v="309.39999999999998"/>
    <n v="220.56"/>
    <n v="88.84"/>
    <x v="5"/>
    <x v="1"/>
    <n v="0.28713639301874599"/>
  </r>
  <r>
    <n v="4538"/>
    <d v="2024-03-28T00:00:00"/>
    <x v="0"/>
    <x v="0"/>
    <x v="13"/>
    <x v="3"/>
    <n v="8"/>
    <n v="960"/>
    <n v="0"/>
    <n v="7680"/>
    <n v="4435.84"/>
    <n v="3244.16"/>
    <x v="8"/>
    <x v="0"/>
    <n v="0.42241666666666666"/>
  </r>
  <r>
    <n v="4539"/>
    <d v="2023-09-20T00:00:00"/>
    <x v="0"/>
    <x v="4"/>
    <x v="9"/>
    <x v="2"/>
    <n v="2"/>
    <n v="398"/>
    <n v="5"/>
    <n v="756.2"/>
    <n v="471.2"/>
    <n v="285"/>
    <x v="0"/>
    <x v="1"/>
    <n v="0.37688442211055273"/>
  </r>
  <r>
    <n v="4540"/>
    <d v="2023-03-14T00:00:00"/>
    <x v="3"/>
    <x v="2"/>
    <x v="3"/>
    <x v="4"/>
    <n v="2"/>
    <n v="905"/>
    <n v="5"/>
    <n v="1719.5"/>
    <n v="1341.25"/>
    <n v="378.25"/>
    <x v="8"/>
    <x v="1"/>
    <n v="0.21997673742366966"/>
  </r>
  <r>
    <n v="4541"/>
    <d v="2024-07-07T00:00:00"/>
    <x v="2"/>
    <x v="3"/>
    <x v="19"/>
    <x v="2"/>
    <n v="1"/>
    <n v="770"/>
    <n v="20"/>
    <n v="616"/>
    <n v="361.85"/>
    <n v="254.15"/>
    <x v="5"/>
    <x v="0"/>
    <n v="0.41258116883116885"/>
  </r>
  <r>
    <n v="4542"/>
    <d v="2024-02-17T00:00:00"/>
    <x v="2"/>
    <x v="3"/>
    <x v="11"/>
    <x v="4"/>
    <n v="7"/>
    <n v="839"/>
    <n v="20"/>
    <n v="4698.3999999999996"/>
    <n v="3487.85"/>
    <n v="1210.55"/>
    <x v="9"/>
    <x v="0"/>
    <n v="0.25765154095011067"/>
  </r>
  <r>
    <n v="4543"/>
    <d v="2023-12-24T00:00:00"/>
    <x v="1"/>
    <x v="1"/>
    <x v="16"/>
    <x v="3"/>
    <n v="1"/>
    <n v="666"/>
    <n v="15"/>
    <n v="566.1"/>
    <n v="325.5"/>
    <n v="240.6"/>
    <x v="6"/>
    <x v="1"/>
    <n v="0.42501324854266026"/>
  </r>
  <r>
    <n v="4544"/>
    <d v="2023-05-15T00:00:00"/>
    <x v="0"/>
    <x v="2"/>
    <x v="10"/>
    <x v="2"/>
    <n v="4"/>
    <n v="542"/>
    <n v="15"/>
    <n v="1842.8"/>
    <n v="1068.68"/>
    <n v="774.12"/>
    <x v="7"/>
    <x v="1"/>
    <n v="0.42007814195789017"/>
  </r>
  <r>
    <n v="4545"/>
    <d v="2023-08-02T00:00:00"/>
    <x v="2"/>
    <x v="2"/>
    <x v="6"/>
    <x v="1"/>
    <n v="9"/>
    <n v="284"/>
    <n v="0"/>
    <n v="2556"/>
    <n v="1594.23"/>
    <n v="961.77"/>
    <x v="2"/>
    <x v="1"/>
    <n v="0.37627934272300467"/>
  </r>
  <r>
    <n v="4546"/>
    <d v="2023-06-12T00:00:00"/>
    <x v="3"/>
    <x v="1"/>
    <x v="7"/>
    <x v="0"/>
    <n v="1"/>
    <n v="679"/>
    <n v="5"/>
    <n v="645.04999999999995"/>
    <n v="396.95"/>
    <n v="248.1"/>
    <x v="4"/>
    <x v="1"/>
    <n v="0.384621347182389"/>
  </r>
  <r>
    <n v="4547"/>
    <d v="2024-01-23T00:00:00"/>
    <x v="1"/>
    <x v="2"/>
    <x v="3"/>
    <x v="3"/>
    <n v="5"/>
    <n v="441"/>
    <n v="5"/>
    <n v="2094.75"/>
    <n v="1087.73"/>
    <n v="1007.02"/>
    <x v="11"/>
    <x v="0"/>
    <n v="0.48073517126148702"/>
  </r>
  <r>
    <n v="4548"/>
    <d v="2023-12-04T00:00:00"/>
    <x v="0"/>
    <x v="4"/>
    <x v="18"/>
    <x v="2"/>
    <n v="2"/>
    <n v="425"/>
    <n v="10"/>
    <n v="765"/>
    <n v="472.51"/>
    <n v="292.49"/>
    <x v="6"/>
    <x v="1"/>
    <n v="0.38233986928104574"/>
  </r>
  <r>
    <n v="4549"/>
    <d v="2024-09-12T00:00:00"/>
    <x v="2"/>
    <x v="1"/>
    <x v="5"/>
    <x v="4"/>
    <n v="6"/>
    <n v="353"/>
    <n v="20"/>
    <n v="1694.4"/>
    <n v="1078.78"/>
    <n v="615.62"/>
    <x v="0"/>
    <x v="0"/>
    <n v="0.36332625118035883"/>
  </r>
  <r>
    <n v="4550"/>
    <d v="2024-04-24T00:00:00"/>
    <x v="2"/>
    <x v="0"/>
    <x v="13"/>
    <x v="1"/>
    <n v="7"/>
    <n v="241"/>
    <n v="10"/>
    <n v="1518.3"/>
    <n v="1139.48"/>
    <n v="378.82"/>
    <x v="10"/>
    <x v="0"/>
    <n v="0.24950273332016071"/>
  </r>
  <r>
    <n v="4551"/>
    <d v="2023-07-23T00:00:00"/>
    <x v="3"/>
    <x v="3"/>
    <x v="11"/>
    <x v="3"/>
    <n v="5"/>
    <n v="371"/>
    <n v="15"/>
    <n v="1576.75"/>
    <n v="1116.78"/>
    <n v="459.97"/>
    <x v="5"/>
    <x v="1"/>
    <n v="0.29172031076581578"/>
  </r>
  <r>
    <n v="4552"/>
    <d v="2023-02-09T00:00:00"/>
    <x v="1"/>
    <x v="0"/>
    <x v="1"/>
    <x v="1"/>
    <n v="8"/>
    <n v="857"/>
    <n v="5"/>
    <n v="6513.2"/>
    <n v="3296.62"/>
    <n v="3216.58"/>
    <x v="9"/>
    <x v="1"/>
    <n v="0.49385555487318061"/>
  </r>
  <r>
    <n v="4553"/>
    <d v="2024-10-18T00:00:00"/>
    <x v="0"/>
    <x v="3"/>
    <x v="19"/>
    <x v="2"/>
    <n v="8"/>
    <n v="146"/>
    <n v="0"/>
    <n v="1168"/>
    <n v="901.15"/>
    <n v="266.85000000000002"/>
    <x v="1"/>
    <x v="0"/>
    <n v="0.22846746575342466"/>
  </r>
  <r>
    <n v="4554"/>
    <d v="2024-11-06T00:00:00"/>
    <x v="1"/>
    <x v="1"/>
    <x v="2"/>
    <x v="3"/>
    <n v="1"/>
    <n v="589"/>
    <n v="15"/>
    <n v="500.65"/>
    <n v="269.3"/>
    <n v="231.35"/>
    <x v="3"/>
    <x v="0"/>
    <n v="0.46209927094776793"/>
  </r>
  <r>
    <n v="4555"/>
    <d v="2023-12-24T00:00:00"/>
    <x v="0"/>
    <x v="4"/>
    <x v="14"/>
    <x v="0"/>
    <n v="9"/>
    <n v="732"/>
    <n v="5"/>
    <n v="6258.6"/>
    <n v="4299.38"/>
    <n v="1959.22"/>
    <x v="6"/>
    <x v="1"/>
    <n v="0.31304445083565013"/>
  </r>
  <r>
    <n v="4556"/>
    <d v="2024-08-16T00:00:00"/>
    <x v="3"/>
    <x v="3"/>
    <x v="4"/>
    <x v="3"/>
    <n v="5"/>
    <n v="622"/>
    <n v="10"/>
    <n v="2799"/>
    <n v="1832.57"/>
    <n v="966.43"/>
    <x v="2"/>
    <x v="0"/>
    <n v="0.34527688460164341"/>
  </r>
  <r>
    <n v="4557"/>
    <d v="2024-10-07T00:00:00"/>
    <x v="3"/>
    <x v="0"/>
    <x v="0"/>
    <x v="4"/>
    <n v="8"/>
    <n v="520"/>
    <n v="15"/>
    <n v="3536"/>
    <n v="1923.37"/>
    <n v="1612.63"/>
    <x v="1"/>
    <x v="0"/>
    <n v="0.45606052036199096"/>
  </r>
  <r>
    <n v="4558"/>
    <d v="2023-09-08T00:00:00"/>
    <x v="3"/>
    <x v="3"/>
    <x v="19"/>
    <x v="3"/>
    <n v="3"/>
    <n v="328"/>
    <n v="20"/>
    <n v="787.2"/>
    <n v="521.67999999999995"/>
    <n v="265.52"/>
    <x v="0"/>
    <x v="1"/>
    <n v="0.33729674796747966"/>
  </r>
  <r>
    <n v="4559"/>
    <d v="2024-01-21T00:00:00"/>
    <x v="1"/>
    <x v="0"/>
    <x v="13"/>
    <x v="3"/>
    <n v="9"/>
    <n v="539"/>
    <n v="0"/>
    <n v="4851"/>
    <n v="2611.48"/>
    <n v="2239.52"/>
    <x v="11"/>
    <x v="0"/>
    <n v="0.46166151309008452"/>
  </r>
  <r>
    <n v="4560"/>
    <d v="2024-02-24T00:00:00"/>
    <x v="2"/>
    <x v="2"/>
    <x v="10"/>
    <x v="4"/>
    <n v="5"/>
    <n v="348"/>
    <n v="15"/>
    <n v="1479"/>
    <n v="764.73"/>
    <n v="714.27"/>
    <x v="9"/>
    <x v="0"/>
    <n v="0.48294117647058821"/>
  </r>
  <r>
    <n v="4561"/>
    <d v="2023-07-02T00:00:00"/>
    <x v="2"/>
    <x v="4"/>
    <x v="9"/>
    <x v="4"/>
    <n v="1"/>
    <n v="818"/>
    <n v="10"/>
    <n v="736.2"/>
    <n v="378.32"/>
    <n v="357.88"/>
    <x v="5"/>
    <x v="1"/>
    <n v="0.48611790274381955"/>
  </r>
  <r>
    <n v="4562"/>
    <d v="2024-08-13T00:00:00"/>
    <x v="2"/>
    <x v="4"/>
    <x v="8"/>
    <x v="3"/>
    <n v="2"/>
    <n v="174"/>
    <n v="10"/>
    <n v="313.2"/>
    <n v="165.49"/>
    <n v="147.71"/>
    <x v="2"/>
    <x v="0"/>
    <n v="0.47161558109833979"/>
  </r>
  <r>
    <n v="4563"/>
    <d v="2024-06-13T00:00:00"/>
    <x v="2"/>
    <x v="1"/>
    <x v="2"/>
    <x v="1"/>
    <n v="4"/>
    <n v="892"/>
    <n v="0"/>
    <n v="3568"/>
    <n v="1984.62"/>
    <n v="1583.38"/>
    <x v="4"/>
    <x v="0"/>
    <n v="0.44377242152466373"/>
  </r>
  <r>
    <n v="4564"/>
    <d v="2024-09-11T00:00:00"/>
    <x v="0"/>
    <x v="0"/>
    <x v="12"/>
    <x v="1"/>
    <n v="2"/>
    <n v="290"/>
    <n v="20"/>
    <n v="464"/>
    <n v="348.33"/>
    <n v="115.67"/>
    <x v="0"/>
    <x v="0"/>
    <n v="0.24928879310344829"/>
  </r>
  <r>
    <n v="4565"/>
    <d v="2024-04-25T00:00:00"/>
    <x v="0"/>
    <x v="3"/>
    <x v="11"/>
    <x v="0"/>
    <n v="5"/>
    <n v="103"/>
    <n v="0"/>
    <n v="515"/>
    <n v="378.65"/>
    <n v="136.35"/>
    <x v="10"/>
    <x v="0"/>
    <n v="0.26475728155339806"/>
  </r>
  <r>
    <n v="4566"/>
    <d v="2023-11-05T00:00:00"/>
    <x v="2"/>
    <x v="0"/>
    <x v="1"/>
    <x v="2"/>
    <n v="9"/>
    <n v="431"/>
    <n v="10"/>
    <n v="3491.1"/>
    <n v="2610.75"/>
    <n v="880.35"/>
    <x v="3"/>
    <x v="1"/>
    <n v="0.25216980321388677"/>
  </r>
  <r>
    <n v="4567"/>
    <d v="2023-04-10T00:00:00"/>
    <x v="3"/>
    <x v="4"/>
    <x v="9"/>
    <x v="5"/>
    <n v="4"/>
    <n v="78"/>
    <n v="5"/>
    <n v="296.39999999999998"/>
    <n v="175.48"/>
    <n v="120.92"/>
    <x v="10"/>
    <x v="1"/>
    <n v="0.40796221322537118"/>
  </r>
  <r>
    <n v="4568"/>
    <d v="2023-05-16T00:00:00"/>
    <x v="3"/>
    <x v="3"/>
    <x v="15"/>
    <x v="1"/>
    <n v="6"/>
    <n v="612"/>
    <n v="10"/>
    <n v="3304.8"/>
    <n v="2330.14"/>
    <n v="974.66"/>
    <x v="7"/>
    <x v="1"/>
    <n v="0.29492253691600095"/>
  </r>
  <r>
    <n v="4569"/>
    <d v="2024-07-16T00:00:00"/>
    <x v="0"/>
    <x v="1"/>
    <x v="16"/>
    <x v="2"/>
    <n v="6"/>
    <n v="137"/>
    <n v="5"/>
    <n v="780.9"/>
    <n v="395.93"/>
    <n v="384.97"/>
    <x v="5"/>
    <x v="0"/>
    <n v="0.49298245614035091"/>
  </r>
  <r>
    <n v="4570"/>
    <d v="2023-08-10T00:00:00"/>
    <x v="0"/>
    <x v="3"/>
    <x v="15"/>
    <x v="4"/>
    <n v="9"/>
    <n v="323"/>
    <n v="0"/>
    <n v="2907"/>
    <n v="1629.58"/>
    <n v="1277.42"/>
    <x v="2"/>
    <x v="1"/>
    <n v="0.43942896456828345"/>
  </r>
  <r>
    <n v="4571"/>
    <d v="2024-06-11T00:00:00"/>
    <x v="0"/>
    <x v="0"/>
    <x v="1"/>
    <x v="0"/>
    <n v="7"/>
    <n v="918"/>
    <n v="15"/>
    <n v="5462.1"/>
    <n v="3666.71"/>
    <n v="1795.39"/>
    <x v="4"/>
    <x v="0"/>
    <n v="0.32869958440892699"/>
  </r>
  <r>
    <n v="4572"/>
    <d v="2023-10-18T00:00:00"/>
    <x v="0"/>
    <x v="1"/>
    <x v="7"/>
    <x v="3"/>
    <n v="4"/>
    <n v="340"/>
    <n v="5"/>
    <n v="1292"/>
    <n v="651.29"/>
    <n v="640.71"/>
    <x v="1"/>
    <x v="1"/>
    <n v="0.49590557275541797"/>
  </r>
  <r>
    <n v="4573"/>
    <d v="2024-12-15T00:00:00"/>
    <x v="0"/>
    <x v="2"/>
    <x v="6"/>
    <x v="0"/>
    <n v="3"/>
    <n v="214"/>
    <n v="0"/>
    <n v="642"/>
    <n v="341.86"/>
    <n v="300.14"/>
    <x v="6"/>
    <x v="0"/>
    <n v="0.46750778816199373"/>
  </r>
  <r>
    <n v="4574"/>
    <d v="2023-10-25T00:00:00"/>
    <x v="1"/>
    <x v="1"/>
    <x v="16"/>
    <x v="2"/>
    <n v="6"/>
    <n v="863"/>
    <n v="5"/>
    <n v="4919.1000000000004"/>
    <n v="3130.38"/>
    <n v="1788.72"/>
    <x v="1"/>
    <x v="1"/>
    <n v="0.36362749283405499"/>
  </r>
  <r>
    <n v="4575"/>
    <d v="2023-06-12T00:00:00"/>
    <x v="1"/>
    <x v="4"/>
    <x v="14"/>
    <x v="0"/>
    <n v="6"/>
    <n v="98"/>
    <n v="10"/>
    <n v="529.20000000000005"/>
    <n v="332.95"/>
    <n v="196.25"/>
    <x v="4"/>
    <x v="1"/>
    <n v="0.37084278155706724"/>
  </r>
  <r>
    <n v="4576"/>
    <d v="2023-09-09T00:00:00"/>
    <x v="3"/>
    <x v="0"/>
    <x v="12"/>
    <x v="3"/>
    <n v="5"/>
    <n v="45"/>
    <n v="0"/>
    <n v="225"/>
    <n v="158.28"/>
    <n v="66.72"/>
    <x v="0"/>
    <x v="1"/>
    <n v="0.29653333333333332"/>
  </r>
  <r>
    <n v="4577"/>
    <d v="2023-07-31T00:00:00"/>
    <x v="2"/>
    <x v="2"/>
    <x v="3"/>
    <x v="0"/>
    <n v="10"/>
    <n v="970"/>
    <n v="5"/>
    <n v="9215"/>
    <n v="5672.65"/>
    <n v="3542.35"/>
    <x v="5"/>
    <x v="1"/>
    <n v="0.38441128594682583"/>
  </r>
  <r>
    <n v="4578"/>
    <d v="2023-07-23T00:00:00"/>
    <x v="1"/>
    <x v="0"/>
    <x v="12"/>
    <x v="5"/>
    <n v="9"/>
    <n v="102"/>
    <n v="15"/>
    <n v="780.3"/>
    <n v="434.29"/>
    <n v="346.01"/>
    <x v="5"/>
    <x v="1"/>
    <n v="0.44343201332820709"/>
  </r>
  <r>
    <n v="4579"/>
    <d v="2024-09-26T00:00:00"/>
    <x v="0"/>
    <x v="2"/>
    <x v="17"/>
    <x v="0"/>
    <n v="1"/>
    <n v="377"/>
    <n v="10"/>
    <n v="339.3"/>
    <n v="228.64"/>
    <n v="110.66"/>
    <x v="0"/>
    <x v="0"/>
    <n v="0.32614205717653993"/>
  </r>
  <r>
    <n v="4580"/>
    <d v="2023-10-06T00:00:00"/>
    <x v="3"/>
    <x v="2"/>
    <x v="3"/>
    <x v="1"/>
    <n v="2"/>
    <n v="501"/>
    <n v="20"/>
    <n v="801.6"/>
    <n v="634.23"/>
    <n v="167.37"/>
    <x v="1"/>
    <x v="1"/>
    <n v="0.20879491017964072"/>
  </r>
  <r>
    <n v="4581"/>
    <d v="2023-06-09T00:00:00"/>
    <x v="0"/>
    <x v="3"/>
    <x v="19"/>
    <x v="0"/>
    <n v="5"/>
    <n v="572"/>
    <n v="0"/>
    <n v="2860"/>
    <n v="1566.6"/>
    <n v="1293.4000000000001"/>
    <x v="4"/>
    <x v="1"/>
    <n v="0.45223776223776224"/>
  </r>
  <r>
    <n v="4582"/>
    <d v="2024-12-09T00:00:00"/>
    <x v="1"/>
    <x v="2"/>
    <x v="17"/>
    <x v="2"/>
    <n v="8"/>
    <n v="795"/>
    <n v="10"/>
    <n v="5724"/>
    <n v="3172.62"/>
    <n v="2551.38"/>
    <x v="6"/>
    <x v="0"/>
    <n v="0.4457337526205451"/>
  </r>
  <r>
    <n v="4583"/>
    <d v="2023-01-04T00:00:00"/>
    <x v="2"/>
    <x v="1"/>
    <x v="7"/>
    <x v="2"/>
    <n v="7"/>
    <n v="982"/>
    <n v="20"/>
    <n v="5499.2"/>
    <n v="4357.68"/>
    <n v="1141.52"/>
    <x v="11"/>
    <x v="1"/>
    <n v="0.20757928425952865"/>
  </r>
  <r>
    <n v="4584"/>
    <d v="2023-07-09T00:00:00"/>
    <x v="3"/>
    <x v="1"/>
    <x v="2"/>
    <x v="4"/>
    <n v="7"/>
    <n v="247"/>
    <n v="15"/>
    <n v="1469.65"/>
    <n v="1047.78"/>
    <n v="421.87"/>
    <x v="5"/>
    <x v="1"/>
    <n v="0.28705474092470995"/>
  </r>
  <r>
    <n v="4585"/>
    <d v="2023-07-15T00:00:00"/>
    <x v="3"/>
    <x v="4"/>
    <x v="8"/>
    <x v="1"/>
    <n v="7"/>
    <n v="623"/>
    <n v="15"/>
    <n v="3706.85"/>
    <n v="2693.58"/>
    <n v="1013.27"/>
    <x v="5"/>
    <x v="1"/>
    <n v="0.27335068859004275"/>
  </r>
  <r>
    <n v="4586"/>
    <d v="2023-07-16T00:00:00"/>
    <x v="0"/>
    <x v="3"/>
    <x v="19"/>
    <x v="0"/>
    <n v="9"/>
    <n v="649"/>
    <n v="10"/>
    <n v="5256.9"/>
    <n v="3757.84"/>
    <n v="1499.06"/>
    <x v="5"/>
    <x v="1"/>
    <n v="0.28516045578192473"/>
  </r>
  <r>
    <n v="4587"/>
    <d v="2023-07-17T00:00:00"/>
    <x v="2"/>
    <x v="1"/>
    <x v="5"/>
    <x v="5"/>
    <n v="6"/>
    <n v="972"/>
    <n v="15"/>
    <n v="4957.2"/>
    <n v="3286.75"/>
    <n v="1670.45"/>
    <x v="5"/>
    <x v="1"/>
    <n v="0.33697450173485033"/>
  </r>
  <r>
    <n v="4588"/>
    <d v="2023-09-10T00:00:00"/>
    <x v="2"/>
    <x v="3"/>
    <x v="15"/>
    <x v="5"/>
    <n v="10"/>
    <n v="747"/>
    <n v="15"/>
    <n v="6349.5"/>
    <n v="3372.45"/>
    <n v="2977.05"/>
    <x v="0"/>
    <x v="1"/>
    <n v="0.46886369005433504"/>
  </r>
  <r>
    <n v="4589"/>
    <d v="2023-04-16T00:00:00"/>
    <x v="2"/>
    <x v="3"/>
    <x v="15"/>
    <x v="0"/>
    <n v="10"/>
    <n v="798"/>
    <n v="0"/>
    <n v="7980"/>
    <n v="4701.4799999999996"/>
    <n v="3278.52"/>
    <x v="10"/>
    <x v="1"/>
    <n v="0.4108421052631579"/>
  </r>
  <r>
    <n v="4590"/>
    <d v="2023-05-30T00:00:00"/>
    <x v="2"/>
    <x v="4"/>
    <x v="8"/>
    <x v="5"/>
    <n v="8"/>
    <n v="321"/>
    <n v="15"/>
    <n v="2182.8000000000002"/>
    <n v="1222.5899999999999"/>
    <n v="960.21"/>
    <x v="7"/>
    <x v="1"/>
    <n v="0.43989829576690487"/>
  </r>
  <r>
    <n v="4591"/>
    <d v="2024-11-03T00:00:00"/>
    <x v="3"/>
    <x v="3"/>
    <x v="15"/>
    <x v="4"/>
    <n v="8"/>
    <n v="875"/>
    <n v="20"/>
    <n v="5600"/>
    <n v="3805.7"/>
    <n v="1794.3"/>
    <x v="3"/>
    <x v="0"/>
    <n v="0.32041071428571427"/>
  </r>
  <r>
    <n v="4592"/>
    <d v="2024-12-29T00:00:00"/>
    <x v="1"/>
    <x v="2"/>
    <x v="6"/>
    <x v="1"/>
    <n v="4"/>
    <n v="592"/>
    <n v="5"/>
    <n v="2249.6"/>
    <n v="1676.07"/>
    <n v="573.53"/>
    <x v="6"/>
    <x v="0"/>
    <n v="0.25494754623044097"/>
  </r>
  <r>
    <n v="4593"/>
    <d v="2023-03-09T00:00:00"/>
    <x v="0"/>
    <x v="2"/>
    <x v="3"/>
    <x v="0"/>
    <n v="3"/>
    <n v="33"/>
    <n v="20"/>
    <n v="79.2"/>
    <n v="57.76"/>
    <n v="21.44"/>
    <x v="8"/>
    <x v="1"/>
    <n v="0.27070707070707073"/>
  </r>
  <r>
    <n v="4594"/>
    <d v="2023-11-07T00:00:00"/>
    <x v="1"/>
    <x v="0"/>
    <x v="0"/>
    <x v="4"/>
    <n v="6"/>
    <n v="503"/>
    <n v="20"/>
    <n v="2414.4"/>
    <n v="1912.64"/>
    <n v="501.76"/>
    <x v="3"/>
    <x v="1"/>
    <n v="0.20781974817760104"/>
  </r>
  <r>
    <n v="4595"/>
    <d v="2023-05-26T00:00:00"/>
    <x v="0"/>
    <x v="0"/>
    <x v="0"/>
    <x v="2"/>
    <n v="9"/>
    <n v="619"/>
    <n v="0"/>
    <n v="5571"/>
    <n v="3230.85"/>
    <n v="2340.15"/>
    <x v="7"/>
    <x v="1"/>
    <n v="0.42005923532579431"/>
  </r>
  <r>
    <n v="4596"/>
    <d v="2024-01-10T00:00:00"/>
    <x v="0"/>
    <x v="4"/>
    <x v="14"/>
    <x v="5"/>
    <n v="2"/>
    <n v="943"/>
    <n v="15"/>
    <n v="1603.1"/>
    <n v="1032.31"/>
    <n v="570.79"/>
    <x v="11"/>
    <x v="0"/>
    <n v="0.35605389557731892"/>
  </r>
  <r>
    <n v="4597"/>
    <d v="2023-11-26T00:00:00"/>
    <x v="3"/>
    <x v="3"/>
    <x v="19"/>
    <x v="2"/>
    <n v="7"/>
    <n v="634"/>
    <n v="5"/>
    <n v="4216.1000000000004"/>
    <n v="2953.94"/>
    <n v="1262.1600000000001"/>
    <x v="3"/>
    <x v="1"/>
    <n v="0.2993667133132516"/>
  </r>
  <r>
    <n v="4598"/>
    <d v="2024-12-19T00:00:00"/>
    <x v="0"/>
    <x v="4"/>
    <x v="9"/>
    <x v="4"/>
    <n v="9"/>
    <n v="294"/>
    <n v="0"/>
    <n v="2646"/>
    <n v="2025.8"/>
    <n v="620.20000000000005"/>
    <x v="6"/>
    <x v="0"/>
    <n v="0.2343915343915344"/>
  </r>
  <r>
    <n v="4599"/>
    <d v="2024-04-19T00:00:00"/>
    <x v="2"/>
    <x v="2"/>
    <x v="17"/>
    <x v="3"/>
    <n v="6"/>
    <n v="582"/>
    <n v="15"/>
    <n v="2968.2"/>
    <n v="2328.94"/>
    <n v="639.26"/>
    <x v="10"/>
    <x v="0"/>
    <n v="0.21536958425982078"/>
  </r>
  <r>
    <n v="4600"/>
    <d v="2023-05-20T00:00:00"/>
    <x v="2"/>
    <x v="3"/>
    <x v="19"/>
    <x v="5"/>
    <n v="3"/>
    <n v="19"/>
    <n v="0"/>
    <n v="57"/>
    <n v="39.78"/>
    <n v="17.22"/>
    <x v="7"/>
    <x v="1"/>
    <n v="0.30210526315789471"/>
  </r>
  <r>
    <n v="4601"/>
    <d v="2023-07-12T00:00:00"/>
    <x v="0"/>
    <x v="0"/>
    <x v="0"/>
    <x v="5"/>
    <n v="7"/>
    <n v="22"/>
    <n v="0"/>
    <n v="154"/>
    <n v="107.12"/>
    <n v="46.88"/>
    <x v="5"/>
    <x v="1"/>
    <n v="0.30441558441558442"/>
  </r>
  <r>
    <n v="4602"/>
    <d v="2024-04-28T00:00:00"/>
    <x v="1"/>
    <x v="1"/>
    <x v="7"/>
    <x v="4"/>
    <n v="10"/>
    <n v="886"/>
    <n v="15"/>
    <n v="7531"/>
    <n v="4059.52"/>
    <n v="3471.48"/>
    <x v="10"/>
    <x v="0"/>
    <n v="0.46095870402337008"/>
  </r>
  <r>
    <n v="4603"/>
    <d v="2024-01-03T00:00:00"/>
    <x v="2"/>
    <x v="4"/>
    <x v="9"/>
    <x v="4"/>
    <n v="6"/>
    <n v="330"/>
    <n v="10"/>
    <n v="1782"/>
    <n v="968.48"/>
    <n v="813.52"/>
    <x v="11"/>
    <x v="0"/>
    <n v="0.45652076318742985"/>
  </r>
  <r>
    <n v="4604"/>
    <d v="2023-06-21T00:00:00"/>
    <x v="0"/>
    <x v="4"/>
    <x v="9"/>
    <x v="0"/>
    <n v="8"/>
    <n v="318"/>
    <n v="20"/>
    <n v="2035.2"/>
    <n v="1468.9"/>
    <n v="566.29999999999995"/>
    <x v="4"/>
    <x v="1"/>
    <n v="0.27825275157232704"/>
  </r>
  <r>
    <n v="4605"/>
    <d v="2024-03-14T00:00:00"/>
    <x v="2"/>
    <x v="4"/>
    <x v="14"/>
    <x v="2"/>
    <n v="5"/>
    <n v="117"/>
    <n v="10"/>
    <n v="526.5"/>
    <n v="284.20999999999998"/>
    <n v="242.29"/>
    <x v="8"/>
    <x v="0"/>
    <n v="0.46018993352326681"/>
  </r>
  <r>
    <n v="4606"/>
    <d v="2023-11-16T00:00:00"/>
    <x v="0"/>
    <x v="4"/>
    <x v="18"/>
    <x v="0"/>
    <n v="8"/>
    <n v="883"/>
    <n v="0"/>
    <n v="7064"/>
    <n v="5373.38"/>
    <n v="1690.62"/>
    <x v="3"/>
    <x v="1"/>
    <n v="0.23932899207248018"/>
  </r>
  <r>
    <n v="4607"/>
    <d v="2024-05-28T00:00:00"/>
    <x v="2"/>
    <x v="1"/>
    <x v="5"/>
    <x v="3"/>
    <n v="6"/>
    <n v="20"/>
    <n v="0"/>
    <n v="120"/>
    <n v="93.22"/>
    <n v="26.78"/>
    <x v="7"/>
    <x v="0"/>
    <n v="0.22316666666666668"/>
  </r>
  <r>
    <n v="4608"/>
    <d v="2023-07-04T00:00:00"/>
    <x v="2"/>
    <x v="4"/>
    <x v="14"/>
    <x v="5"/>
    <n v="8"/>
    <n v="176"/>
    <n v="10"/>
    <n v="1267.2"/>
    <n v="679.9"/>
    <n v="587.29999999999995"/>
    <x v="5"/>
    <x v="1"/>
    <n v="0.46346275252525249"/>
  </r>
  <r>
    <n v="4609"/>
    <d v="2023-11-10T00:00:00"/>
    <x v="0"/>
    <x v="2"/>
    <x v="6"/>
    <x v="2"/>
    <n v="5"/>
    <n v="122"/>
    <n v="15"/>
    <n v="518.5"/>
    <n v="398.88"/>
    <n v="119.62"/>
    <x v="3"/>
    <x v="1"/>
    <n v="0.23070395371263261"/>
  </r>
  <r>
    <n v="4610"/>
    <d v="2024-12-23T00:00:00"/>
    <x v="1"/>
    <x v="0"/>
    <x v="13"/>
    <x v="5"/>
    <n v="10"/>
    <n v="961"/>
    <n v="0"/>
    <n v="9610"/>
    <n v="4979.3599999999997"/>
    <n v="4630.6400000000003"/>
    <x v="6"/>
    <x v="0"/>
    <n v="0.48185639958376697"/>
  </r>
  <r>
    <n v="4611"/>
    <d v="2024-01-27T00:00:00"/>
    <x v="0"/>
    <x v="3"/>
    <x v="15"/>
    <x v="0"/>
    <n v="9"/>
    <n v="865"/>
    <n v="5"/>
    <n v="7395.75"/>
    <n v="5753.71"/>
    <n v="1642.04"/>
    <x v="11"/>
    <x v="0"/>
    <n v="0.22202481154717235"/>
  </r>
  <r>
    <n v="4612"/>
    <d v="2023-04-11T00:00:00"/>
    <x v="2"/>
    <x v="2"/>
    <x v="17"/>
    <x v="0"/>
    <n v="3"/>
    <n v="932"/>
    <n v="0"/>
    <n v="2796"/>
    <n v="1566.01"/>
    <n v="1229.99"/>
    <x v="10"/>
    <x v="1"/>
    <n v="0.43991058655221743"/>
  </r>
  <r>
    <n v="4613"/>
    <d v="2023-05-10T00:00:00"/>
    <x v="0"/>
    <x v="2"/>
    <x v="6"/>
    <x v="3"/>
    <n v="9"/>
    <n v="345"/>
    <n v="20"/>
    <n v="2484"/>
    <n v="1934"/>
    <n v="550"/>
    <x v="7"/>
    <x v="1"/>
    <n v="0.22141706924315621"/>
  </r>
  <r>
    <n v="4614"/>
    <d v="2023-07-23T00:00:00"/>
    <x v="3"/>
    <x v="2"/>
    <x v="10"/>
    <x v="1"/>
    <n v="1"/>
    <n v="181"/>
    <n v="0"/>
    <n v="181"/>
    <n v="101.47"/>
    <n v="79.53"/>
    <x v="5"/>
    <x v="1"/>
    <n v="0.43939226519337016"/>
  </r>
  <r>
    <n v="4615"/>
    <d v="2024-04-15T00:00:00"/>
    <x v="3"/>
    <x v="4"/>
    <x v="18"/>
    <x v="2"/>
    <n v="7"/>
    <n v="709"/>
    <n v="10"/>
    <n v="4466.7"/>
    <n v="2746.34"/>
    <n v="1720.36"/>
    <x v="10"/>
    <x v="0"/>
    <n v="0.38515234960933126"/>
  </r>
  <r>
    <n v="4616"/>
    <d v="2024-03-21T00:00:00"/>
    <x v="0"/>
    <x v="1"/>
    <x v="7"/>
    <x v="3"/>
    <n v="8"/>
    <n v="599"/>
    <n v="15"/>
    <n v="4073.2"/>
    <n v="3077.75"/>
    <n v="995.45"/>
    <x v="8"/>
    <x v="0"/>
    <n v="0.2443901600707061"/>
  </r>
  <r>
    <n v="4617"/>
    <d v="2023-09-26T00:00:00"/>
    <x v="3"/>
    <x v="3"/>
    <x v="11"/>
    <x v="5"/>
    <n v="5"/>
    <n v="444"/>
    <n v="0"/>
    <n v="2220"/>
    <n v="1431.37"/>
    <n v="788.63"/>
    <x v="0"/>
    <x v="1"/>
    <n v="0.35523873873873874"/>
  </r>
  <r>
    <n v="4618"/>
    <d v="2024-06-30T00:00:00"/>
    <x v="0"/>
    <x v="0"/>
    <x v="1"/>
    <x v="5"/>
    <n v="1"/>
    <n v="129"/>
    <n v="20"/>
    <n v="103.2"/>
    <n v="75.040000000000006"/>
    <n v="28.16"/>
    <x v="4"/>
    <x v="0"/>
    <n v="0.27286821705426356"/>
  </r>
  <r>
    <n v="4619"/>
    <d v="2024-03-08T00:00:00"/>
    <x v="0"/>
    <x v="2"/>
    <x v="3"/>
    <x v="4"/>
    <n v="1"/>
    <n v="22"/>
    <n v="10"/>
    <n v="19.8"/>
    <n v="15.29"/>
    <n v="4.51"/>
    <x v="8"/>
    <x v="0"/>
    <n v="0.22777777777777775"/>
  </r>
  <r>
    <n v="4620"/>
    <d v="2024-07-24T00:00:00"/>
    <x v="3"/>
    <x v="4"/>
    <x v="14"/>
    <x v="0"/>
    <n v="3"/>
    <n v="409"/>
    <n v="5"/>
    <n v="1165.6500000000001"/>
    <n v="668.35"/>
    <n v="497.3"/>
    <x v="5"/>
    <x v="0"/>
    <n v="0.42662891948698151"/>
  </r>
  <r>
    <n v="4621"/>
    <d v="2024-11-22T00:00:00"/>
    <x v="3"/>
    <x v="1"/>
    <x v="5"/>
    <x v="1"/>
    <n v="4"/>
    <n v="704"/>
    <n v="20"/>
    <n v="2252.8000000000002"/>
    <n v="1637.36"/>
    <n v="615.44000000000005"/>
    <x v="3"/>
    <x v="0"/>
    <n v="0.27318892045454546"/>
  </r>
  <r>
    <n v="4622"/>
    <d v="2024-03-24T00:00:00"/>
    <x v="0"/>
    <x v="3"/>
    <x v="11"/>
    <x v="4"/>
    <n v="8"/>
    <n v="312"/>
    <n v="20"/>
    <n v="1996.8"/>
    <n v="1485.32"/>
    <n v="511.48"/>
    <x v="8"/>
    <x v="0"/>
    <n v="0.25614983974358974"/>
  </r>
  <r>
    <n v="4623"/>
    <d v="2023-07-05T00:00:00"/>
    <x v="1"/>
    <x v="3"/>
    <x v="4"/>
    <x v="0"/>
    <n v="3"/>
    <n v="588"/>
    <n v="20"/>
    <n v="1411.2"/>
    <n v="873.05"/>
    <n v="538.15"/>
    <x v="5"/>
    <x v="1"/>
    <n v="0.38134212018140584"/>
  </r>
  <r>
    <n v="4624"/>
    <d v="2023-02-27T00:00:00"/>
    <x v="2"/>
    <x v="4"/>
    <x v="9"/>
    <x v="3"/>
    <n v="7"/>
    <n v="119"/>
    <n v="10"/>
    <n v="749.7"/>
    <n v="485.9"/>
    <n v="263.8"/>
    <x v="9"/>
    <x v="1"/>
    <n v="0.35187408296651995"/>
  </r>
  <r>
    <n v="4625"/>
    <d v="2023-10-24T00:00:00"/>
    <x v="2"/>
    <x v="1"/>
    <x v="7"/>
    <x v="3"/>
    <n v="5"/>
    <n v="601"/>
    <n v="0"/>
    <n v="3005"/>
    <n v="1510.59"/>
    <n v="1494.41"/>
    <x v="1"/>
    <x v="1"/>
    <n v="0.49730782029950088"/>
  </r>
  <r>
    <n v="4626"/>
    <d v="2024-10-17T00:00:00"/>
    <x v="2"/>
    <x v="3"/>
    <x v="11"/>
    <x v="4"/>
    <n v="5"/>
    <n v="424"/>
    <n v="10"/>
    <n v="1908"/>
    <n v="1063.74"/>
    <n v="844.26"/>
    <x v="1"/>
    <x v="0"/>
    <n v="0.44248427672955976"/>
  </r>
  <r>
    <n v="4627"/>
    <d v="2024-10-11T00:00:00"/>
    <x v="3"/>
    <x v="1"/>
    <x v="5"/>
    <x v="1"/>
    <n v="4"/>
    <n v="25"/>
    <n v="15"/>
    <n v="85"/>
    <n v="66.23"/>
    <n v="18.77"/>
    <x v="1"/>
    <x v="0"/>
    <n v="0.2208235294117647"/>
  </r>
  <r>
    <n v="4628"/>
    <d v="2023-09-12T00:00:00"/>
    <x v="0"/>
    <x v="0"/>
    <x v="0"/>
    <x v="4"/>
    <n v="5"/>
    <n v="134"/>
    <n v="5"/>
    <n v="636.5"/>
    <n v="416.15"/>
    <n v="220.35"/>
    <x v="0"/>
    <x v="1"/>
    <n v="0.34619010212097406"/>
  </r>
  <r>
    <n v="4629"/>
    <d v="2024-04-20T00:00:00"/>
    <x v="1"/>
    <x v="1"/>
    <x v="7"/>
    <x v="2"/>
    <n v="2"/>
    <n v="13"/>
    <n v="20"/>
    <n v="20.8"/>
    <n v="16.63"/>
    <n v="4.17"/>
    <x v="10"/>
    <x v="0"/>
    <n v="0.20048076923076921"/>
  </r>
  <r>
    <n v="4630"/>
    <d v="2024-07-27T00:00:00"/>
    <x v="1"/>
    <x v="4"/>
    <x v="14"/>
    <x v="0"/>
    <n v="8"/>
    <n v="345"/>
    <n v="5"/>
    <n v="2622"/>
    <n v="1658.58"/>
    <n v="963.42"/>
    <x v="5"/>
    <x v="0"/>
    <n v="0.36743707093821509"/>
  </r>
  <r>
    <n v="4631"/>
    <d v="2024-06-14T00:00:00"/>
    <x v="3"/>
    <x v="0"/>
    <x v="1"/>
    <x v="2"/>
    <n v="1"/>
    <n v="287"/>
    <n v="10"/>
    <n v="258.3"/>
    <n v="165.82"/>
    <n v="92.48"/>
    <x v="4"/>
    <x v="0"/>
    <n v="0.35803329461866046"/>
  </r>
  <r>
    <n v="4632"/>
    <d v="2023-10-06T00:00:00"/>
    <x v="1"/>
    <x v="2"/>
    <x v="17"/>
    <x v="2"/>
    <n v="5"/>
    <n v="228"/>
    <n v="10"/>
    <n v="1026"/>
    <n v="545.80999999999995"/>
    <n v="480.19"/>
    <x v="1"/>
    <x v="1"/>
    <n v="0.46802144249512673"/>
  </r>
  <r>
    <n v="4633"/>
    <d v="2023-09-22T00:00:00"/>
    <x v="1"/>
    <x v="4"/>
    <x v="9"/>
    <x v="3"/>
    <n v="2"/>
    <n v="593"/>
    <n v="10"/>
    <n v="1067.4000000000001"/>
    <n v="629.76"/>
    <n v="437.64"/>
    <x v="0"/>
    <x v="1"/>
    <n v="0.41000562113546934"/>
  </r>
  <r>
    <n v="4634"/>
    <d v="2023-12-07T00:00:00"/>
    <x v="2"/>
    <x v="3"/>
    <x v="15"/>
    <x v="0"/>
    <n v="8"/>
    <n v="578"/>
    <n v="0"/>
    <n v="4624"/>
    <n v="3246.74"/>
    <n v="1377.26"/>
    <x v="6"/>
    <x v="1"/>
    <n v="0.29785034602076127"/>
  </r>
  <r>
    <n v="4635"/>
    <d v="2023-12-28T00:00:00"/>
    <x v="1"/>
    <x v="2"/>
    <x v="10"/>
    <x v="2"/>
    <n v="4"/>
    <n v="267"/>
    <n v="15"/>
    <n v="907.8"/>
    <n v="609.66"/>
    <n v="298.14"/>
    <x v="6"/>
    <x v="1"/>
    <n v="0.32842035690680765"/>
  </r>
  <r>
    <n v="4636"/>
    <d v="2024-09-14T00:00:00"/>
    <x v="1"/>
    <x v="3"/>
    <x v="15"/>
    <x v="5"/>
    <n v="2"/>
    <n v="328"/>
    <n v="10"/>
    <n v="590.4"/>
    <n v="442.14"/>
    <n v="148.26"/>
    <x v="0"/>
    <x v="0"/>
    <n v="0.25111788617886177"/>
  </r>
  <r>
    <n v="4637"/>
    <d v="2024-02-12T00:00:00"/>
    <x v="2"/>
    <x v="2"/>
    <x v="6"/>
    <x v="2"/>
    <n v="5"/>
    <n v="229"/>
    <n v="10"/>
    <n v="1030.5"/>
    <n v="552.9"/>
    <n v="477.6"/>
    <x v="9"/>
    <x v="0"/>
    <n v="0.46346433770014556"/>
  </r>
  <r>
    <n v="4638"/>
    <d v="2024-09-08T00:00:00"/>
    <x v="2"/>
    <x v="2"/>
    <x v="6"/>
    <x v="2"/>
    <n v="6"/>
    <n v="280"/>
    <n v="5"/>
    <n v="1596"/>
    <n v="1198.82"/>
    <n v="397.18"/>
    <x v="0"/>
    <x v="0"/>
    <n v="0.24885964912280703"/>
  </r>
  <r>
    <n v="4639"/>
    <d v="2024-02-17T00:00:00"/>
    <x v="1"/>
    <x v="1"/>
    <x v="2"/>
    <x v="5"/>
    <n v="4"/>
    <n v="371"/>
    <n v="15"/>
    <n v="1261.4000000000001"/>
    <n v="833.69"/>
    <n v="427.71"/>
    <x v="9"/>
    <x v="0"/>
    <n v="0.3390756302521008"/>
  </r>
  <r>
    <n v="4640"/>
    <d v="2024-11-13T00:00:00"/>
    <x v="1"/>
    <x v="0"/>
    <x v="13"/>
    <x v="4"/>
    <n v="9"/>
    <n v="29"/>
    <n v="0"/>
    <n v="261"/>
    <n v="131.66999999999999"/>
    <n v="129.33000000000001"/>
    <x v="3"/>
    <x v="0"/>
    <n v="0.49551724137931041"/>
  </r>
  <r>
    <n v="4641"/>
    <d v="2023-02-11T00:00:00"/>
    <x v="3"/>
    <x v="4"/>
    <x v="9"/>
    <x v="1"/>
    <n v="1"/>
    <n v="884"/>
    <n v="5"/>
    <n v="839.8"/>
    <n v="486.23"/>
    <n v="353.57"/>
    <x v="9"/>
    <x v="1"/>
    <n v="0.42101690878780662"/>
  </r>
  <r>
    <n v="4642"/>
    <d v="2024-10-25T00:00:00"/>
    <x v="1"/>
    <x v="1"/>
    <x v="5"/>
    <x v="4"/>
    <n v="10"/>
    <n v="522"/>
    <n v="15"/>
    <n v="4437"/>
    <n v="3152.46"/>
    <n v="1284.54"/>
    <x v="1"/>
    <x v="0"/>
    <n v="0.28950642325895876"/>
  </r>
  <r>
    <n v="4643"/>
    <d v="2024-12-23T00:00:00"/>
    <x v="3"/>
    <x v="2"/>
    <x v="6"/>
    <x v="2"/>
    <n v="3"/>
    <n v="574"/>
    <n v="5"/>
    <n v="1635.9"/>
    <n v="1242.6099999999999"/>
    <n v="393.29"/>
    <x v="6"/>
    <x v="0"/>
    <n v="0.24041200562381562"/>
  </r>
  <r>
    <n v="4644"/>
    <d v="2023-11-03T00:00:00"/>
    <x v="1"/>
    <x v="4"/>
    <x v="8"/>
    <x v="2"/>
    <n v="9"/>
    <n v="769"/>
    <n v="5"/>
    <n v="6574.95"/>
    <n v="3379.87"/>
    <n v="3195.08"/>
    <x v="3"/>
    <x v="1"/>
    <n v="0.48594742165339661"/>
  </r>
  <r>
    <n v="4645"/>
    <d v="2023-08-14T00:00:00"/>
    <x v="3"/>
    <x v="2"/>
    <x v="3"/>
    <x v="0"/>
    <n v="3"/>
    <n v="140"/>
    <n v="5"/>
    <n v="399"/>
    <n v="243.15"/>
    <n v="155.85"/>
    <x v="2"/>
    <x v="1"/>
    <n v="0.39060150375939851"/>
  </r>
  <r>
    <n v="4646"/>
    <d v="2023-07-13T00:00:00"/>
    <x v="0"/>
    <x v="0"/>
    <x v="1"/>
    <x v="1"/>
    <n v="2"/>
    <n v="358"/>
    <n v="20"/>
    <n v="572.79999999999995"/>
    <n v="332.35"/>
    <n v="240.45"/>
    <x v="5"/>
    <x v="1"/>
    <n v="0.41978002793296093"/>
  </r>
  <r>
    <n v="4647"/>
    <d v="2023-05-11T00:00:00"/>
    <x v="0"/>
    <x v="3"/>
    <x v="4"/>
    <x v="3"/>
    <n v="3"/>
    <n v="356"/>
    <n v="10"/>
    <n v="961.2"/>
    <n v="637.38"/>
    <n v="323.82"/>
    <x v="7"/>
    <x v="1"/>
    <n v="0.33689138576779026"/>
  </r>
  <r>
    <n v="4648"/>
    <d v="2024-10-24T00:00:00"/>
    <x v="0"/>
    <x v="4"/>
    <x v="14"/>
    <x v="3"/>
    <n v="1"/>
    <n v="794"/>
    <n v="15"/>
    <n v="674.9"/>
    <n v="495.5"/>
    <n v="179.4"/>
    <x v="1"/>
    <x v="0"/>
    <n v="0.26581715809749595"/>
  </r>
  <r>
    <n v="4649"/>
    <d v="2024-12-13T00:00:00"/>
    <x v="3"/>
    <x v="1"/>
    <x v="2"/>
    <x v="3"/>
    <n v="8"/>
    <n v="346"/>
    <n v="0"/>
    <n v="2768"/>
    <n v="2007.22"/>
    <n v="760.78"/>
    <x v="6"/>
    <x v="0"/>
    <n v="0.27484826589595374"/>
  </r>
  <r>
    <n v="4650"/>
    <d v="2024-02-14T00:00:00"/>
    <x v="2"/>
    <x v="2"/>
    <x v="10"/>
    <x v="0"/>
    <n v="8"/>
    <n v="403"/>
    <n v="20"/>
    <n v="2579.1999999999998"/>
    <n v="1434.6"/>
    <n v="1144.5999999999999"/>
    <x v="9"/>
    <x v="0"/>
    <n v="0.44378101736972703"/>
  </r>
  <r>
    <n v="4651"/>
    <d v="2024-08-08T00:00:00"/>
    <x v="0"/>
    <x v="4"/>
    <x v="14"/>
    <x v="1"/>
    <n v="9"/>
    <n v="598"/>
    <n v="10"/>
    <n v="4843.8"/>
    <n v="3743.97"/>
    <n v="1099.83"/>
    <x v="2"/>
    <x v="0"/>
    <n v="0.22705933358107269"/>
  </r>
  <r>
    <n v="4652"/>
    <d v="2023-11-28T00:00:00"/>
    <x v="0"/>
    <x v="1"/>
    <x v="16"/>
    <x v="2"/>
    <n v="1"/>
    <n v="763"/>
    <n v="20"/>
    <n v="610.4"/>
    <n v="471.38"/>
    <n v="139.02000000000001"/>
    <x v="3"/>
    <x v="1"/>
    <n v="0.22775229357798168"/>
  </r>
  <r>
    <n v="4653"/>
    <d v="2024-10-05T00:00:00"/>
    <x v="0"/>
    <x v="3"/>
    <x v="15"/>
    <x v="5"/>
    <n v="2"/>
    <n v="361"/>
    <n v="10"/>
    <n v="649.79999999999995"/>
    <n v="402.25"/>
    <n v="247.55"/>
    <x v="1"/>
    <x v="0"/>
    <n v="0.38096337334564484"/>
  </r>
  <r>
    <n v="4654"/>
    <d v="2024-09-10T00:00:00"/>
    <x v="1"/>
    <x v="0"/>
    <x v="12"/>
    <x v="1"/>
    <n v="6"/>
    <n v="252"/>
    <n v="0"/>
    <n v="1512"/>
    <n v="910.93"/>
    <n v="601.07000000000005"/>
    <x v="0"/>
    <x v="0"/>
    <n v="0.39753306878306882"/>
  </r>
  <r>
    <n v="4655"/>
    <d v="2024-06-18T00:00:00"/>
    <x v="0"/>
    <x v="1"/>
    <x v="16"/>
    <x v="1"/>
    <n v="1"/>
    <n v="953"/>
    <n v="5"/>
    <n v="905.35"/>
    <n v="526.45000000000005"/>
    <n v="378.9"/>
    <x v="4"/>
    <x v="0"/>
    <n v="0.41851217761086867"/>
  </r>
  <r>
    <n v="4656"/>
    <d v="2024-10-23T00:00:00"/>
    <x v="1"/>
    <x v="1"/>
    <x v="2"/>
    <x v="2"/>
    <n v="7"/>
    <n v="429"/>
    <n v="20"/>
    <n v="2402.4"/>
    <n v="1436"/>
    <n v="966.4"/>
    <x v="1"/>
    <x v="0"/>
    <n v="0.40226440226440224"/>
  </r>
  <r>
    <n v="4657"/>
    <d v="2023-06-25T00:00:00"/>
    <x v="2"/>
    <x v="3"/>
    <x v="4"/>
    <x v="2"/>
    <n v="7"/>
    <n v="633"/>
    <n v="5"/>
    <n v="4209.45"/>
    <n v="3071.79"/>
    <n v="1137.6600000000001"/>
    <x v="4"/>
    <x v="1"/>
    <n v="0.27026333606528175"/>
  </r>
  <r>
    <n v="4658"/>
    <d v="2024-07-03T00:00:00"/>
    <x v="3"/>
    <x v="4"/>
    <x v="18"/>
    <x v="4"/>
    <n v="5"/>
    <n v="882"/>
    <n v="0"/>
    <n v="4410"/>
    <n v="3445.08"/>
    <n v="964.92"/>
    <x v="5"/>
    <x v="0"/>
    <n v="0.21880272108843538"/>
  </r>
  <r>
    <n v="4659"/>
    <d v="2023-07-09T00:00:00"/>
    <x v="0"/>
    <x v="4"/>
    <x v="9"/>
    <x v="5"/>
    <n v="10"/>
    <n v="867"/>
    <n v="20"/>
    <n v="6936"/>
    <n v="4105.0600000000004"/>
    <n v="2830.94"/>
    <x v="5"/>
    <x v="1"/>
    <n v="0.40815167243367934"/>
  </r>
  <r>
    <n v="4660"/>
    <d v="2023-05-29T00:00:00"/>
    <x v="2"/>
    <x v="1"/>
    <x v="16"/>
    <x v="5"/>
    <n v="7"/>
    <n v="152"/>
    <n v="10"/>
    <n v="957.6"/>
    <n v="619.73"/>
    <n v="337.87"/>
    <x v="7"/>
    <x v="1"/>
    <n v="0.3528299916457811"/>
  </r>
  <r>
    <n v="4661"/>
    <d v="2023-06-21T00:00:00"/>
    <x v="0"/>
    <x v="1"/>
    <x v="16"/>
    <x v="5"/>
    <n v="7"/>
    <n v="822"/>
    <n v="15"/>
    <n v="4890.8999999999996"/>
    <n v="3316.16"/>
    <n v="1574.74"/>
    <x v="4"/>
    <x v="1"/>
    <n v="0.32197346091721363"/>
  </r>
  <r>
    <n v="4662"/>
    <d v="2024-01-23T00:00:00"/>
    <x v="3"/>
    <x v="3"/>
    <x v="19"/>
    <x v="3"/>
    <n v="3"/>
    <n v="776"/>
    <n v="15"/>
    <n v="1978.8"/>
    <n v="1469.46"/>
    <n v="509.34"/>
    <x v="11"/>
    <x v="0"/>
    <n v="0.25739842328684048"/>
  </r>
  <r>
    <n v="4663"/>
    <d v="2024-12-06T00:00:00"/>
    <x v="3"/>
    <x v="1"/>
    <x v="5"/>
    <x v="4"/>
    <n v="3"/>
    <n v="388"/>
    <n v="15"/>
    <n v="989.4"/>
    <n v="670.12"/>
    <n v="319.27999999999997"/>
    <x v="6"/>
    <x v="0"/>
    <n v="0.3227006266424095"/>
  </r>
  <r>
    <n v="4664"/>
    <d v="2024-02-23T00:00:00"/>
    <x v="2"/>
    <x v="1"/>
    <x v="16"/>
    <x v="5"/>
    <n v="7"/>
    <n v="452"/>
    <n v="10"/>
    <n v="2847.6"/>
    <n v="1448.1"/>
    <n v="1399.5"/>
    <x v="9"/>
    <x v="0"/>
    <n v="0.49146649810366627"/>
  </r>
  <r>
    <n v="4665"/>
    <d v="2023-07-13T00:00:00"/>
    <x v="2"/>
    <x v="3"/>
    <x v="15"/>
    <x v="3"/>
    <n v="6"/>
    <n v="223"/>
    <n v="0"/>
    <n v="1338"/>
    <n v="944.3"/>
    <n v="393.7"/>
    <x v="5"/>
    <x v="1"/>
    <n v="0.29424514200298951"/>
  </r>
  <r>
    <n v="4666"/>
    <d v="2023-08-25T00:00:00"/>
    <x v="0"/>
    <x v="0"/>
    <x v="1"/>
    <x v="0"/>
    <n v="7"/>
    <n v="163"/>
    <n v="10"/>
    <n v="1026.9000000000001"/>
    <n v="729.13"/>
    <n v="297.77"/>
    <x v="2"/>
    <x v="1"/>
    <n v="0.2899698120557016"/>
  </r>
  <r>
    <n v="4667"/>
    <d v="2024-01-23T00:00:00"/>
    <x v="2"/>
    <x v="2"/>
    <x v="10"/>
    <x v="0"/>
    <n v="10"/>
    <n v="292"/>
    <n v="15"/>
    <n v="2482"/>
    <n v="1383.1"/>
    <n v="1098.9000000000001"/>
    <x v="11"/>
    <x v="0"/>
    <n v="0.44274778404512494"/>
  </r>
  <r>
    <n v="4668"/>
    <d v="2024-01-21T00:00:00"/>
    <x v="3"/>
    <x v="3"/>
    <x v="19"/>
    <x v="5"/>
    <n v="2"/>
    <n v="834"/>
    <n v="10"/>
    <n v="1501.2"/>
    <n v="1137.75"/>
    <n v="363.45"/>
    <x v="11"/>
    <x v="0"/>
    <n v="0.24210631494804155"/>
  </r>
  <r>
    <n v="4669"/>
    <d v="2023-09-22T00:00:00"/>
    <x v="1"/>
    <x v="4"/>
    <x v="8"/>
    <x v="4"/>
    <n v="4"/>
    <n v="553"/>
    <n v="5"/>
    <n v="2101.4"/>
    <n v="1598.35"/>
    <n v="503.05"/>
    <x v="0"/>
    <x v="1"/>
    <n v="0.2393880270295993"/>
  </r>
  <r>
    <n v="4670"/>
    <d v="2024-06-07T00:00:00"/>
    <x v="0"/>
    <x v="4"/>
    <x v="9"/>
    <x v="5"/>
    <n v="5"/>
    <n v="642"/>
    <n v="20"/>
    <n v="2568"/>
    <n v="1885.22"/>
    <n v="682.78"/>
    <x v="4"/>
    <x v="0"/>
    <n v="0.26588006230529593"/>
  </r>
  <r>
    <n v="4671"/>
    <d v="2024-04-23T00:00:00"/>
    <x v="2"/>
    <x v="3"/>
    <x v="11"/>
    <x v="5"/>
    <n v="8"/>
    <n v="140"/>
    <n v="0"/>
    <n v="1120"/>
    <n v="592.9"/>
    <n v="527.1"/>
    <x v="10"/>
    <x v="0"/>
    <n v="0.47062500000000002"/>
  </r>
  <r>
    <n v="4672"/>
    <d v="2024-10-29T00:00:00"/>
    <x v="3"/>
    <x v="2"/>
    <x v="3"/>
    <x v="1"/>
    <n v="5"/>
    <n v="941"/>
    <n v="20"/>
    <n v="3764"/>
    <n v="2373.4499999999998"/>
    <n v="1390.55"/>
    <x v="1"/>
    <x v="0"/>
    <n v="0.36943411264612114"/>
  </r>
  <r>
    <n v="4673"/>
    <d v="2024-08-31T00:00:00"/>
    <x v="0"/>
    <x v="4"/>
    <x v="9"/>
    <x v="5"/>
    <n v="5"/>
    <n v="125"/>
    <n v="5"/>
    <n v="593.75"/>
    <n v="467.84"/>
    <n v="125.91"/>
    <x v="2"/>
    <x v="0"/>
    <n v="0.21205894736842104"/>
  </r>
  <r>
    <n v="4674"/>
    <d v="2024-04-26T00:00:00"/>
    <x v="1"/>
    <x v="2"/>
    <x v="3"/>
    <x v="4"/>
    <n v="5"/>
    <n v="387"/>
    <n v="0"/>
    <n v="1935"/>
    <n v="1469.1"/>
    <n v="465.9"/>
    <x v="10"/>
    <x v="0"/>
    <n v="0.24077519379844961"/>
  </r>
  <r>
    <n v="4675"/>
    <d v="2024-02-23T00:00:00"/>
    <x v="3"/>
    <x v="1"/>
    <x v="2"/>
    <x v="3"/>
    <n v="8"/>
    <n v="161"/>
    <n v="0"/>
    <n v="1288"/>
    <n v="784.01"/>
    <n v="503.99"/>
    <x v="9"/>
    <x v="0"/>
    <n v="0.39129658385093169"/>
  </r>
  <r>
    <n v="4676"/>
    <d v="2024-09-09T00:00:00"/>
    <x v="0"/>
    <x v="1"/>
    <x v="5"/>
    <x v="2"/>
    <n v="10"/>
    <n v="842"/>
    <n v="15"/>
    <n v="7157"/>
    <n v="3687.16"/>
    <n v="3469.84"/>
    <x v="0"/>
    <x v="0"/>
    <n v="0.48481766103115831"/>
  </r>
  <r>
    <n v="4677"/>
    <d v="2023-08-01T00:00:00"/>
    <x v="3"/>
    <x v="4"/>
    <x v="8"/>
    <x v="4"/>
    <n v="3"/>
    <n v="945"/>
    <n v="15"/>
    <n v="2409.75"/>
    <n v="1434.49"/>
    <n v="975.26"/>
    <x v="2"/>
    <x v="1"/>
    <n v="0.40471418196908393"/>
  </r>
  <r>
    <n v="4678"/>
    <d v="2023-09-15T00:00:00"/>
    <x v="0"/>
    <x v="4"/>
    <x v="8"/>
    <x v="2"/>
    <n v="3"/>
    <n v="981"/>
    <n v="0"/>
    <n v="2943"/>
    <n v="1524.85"/>
    <n v="1418.15"/>
    <x v="0"/>
    <x v="1"/>
    <n v="0.48187223921168876"/>
  </r>
  <r>
    <n v="4679"/>
    <d v="2023-01-17T00:00:00"/>
    <x v="3"/>
    <x v="2"/>
    <x v="17"/>
    <x v="1"/>
    <n v="4"/>
    <n v="502"/>
    <n v="0"/>
    <n v="2008"/>
    <n v="1385.09"/>
    <n v="622.91"/>
    <x v="11"/>
    <x v="1"/>
    <n v="0.31021414342629483"/>
  </r>
  <r>
    <n v="4680"/>
    <d v="2024-09-12T00:00:00"/>
    <x v="2"/>
    <x v="4"/>
    <x v="8"/>
    <x v="1"/>
    <n v="5"/>
    <n v="901"/>
    <n v="10"/>
    <n v="4054.5"/>
    <n v="2367.61"/>
    <n v="1686.89"/>
    <x v="0"/>
    <x v="0"/>
    <n v="0.41605376741891725"/>
  </r>
  <r>
    <n v="4681"/>
    <d v="2023-04-03T00:00:00"/>
    <x v="3"/>
    <x v="2"/>
    <x v="17"/>
    <x v="1"/>
    <n v="10"/>
    <n v="27"/>
    <n v="20"/>
    <n v="216"/>
    <n v="164.82"/>
    <n v="51.18"/>
    <x v="10"/>
    <x v="1"/>
    <n v="0.23694444444444443"/>
  </r>
  <r>
    <n v="4682"/>
    <d v="2023-08-14T00:00:00"/>
    <x v="0"/>
    <x v="4"/>
    <x v="8"/>
    <x v="0"/>
    <n v="2"/>
    <n v="228"/>
    <n v="15"/>
    <n v="387.6"/>
    <n v="280.11"/>
    <n v="107.49"/>
    <x v="2"/>
    <x v="1"/>
    <n v="0.2773219814241486"/>
  </r>
  <r>
    <n v="4683"/>
    <d v="2023-12-16T00:00:00"/>
    <x v="0"/>
    <x v="2"/>
    <x v="10"/>
    <x v="4"/>
    <n v="9"/>
    <n v="52"/>
    <n v="20"/>
    <n v="374.4"/>
    <n v="278.81"/>
    <n v="95.59"/>
    <x v="6"/>
    <x v="1"/>
    <n v="0.25531517094017098"/>
  </r>
  <r>
    <n v="4684"/>
    <d v="2024-07-10T00:00:00"/>
    <x v="1"/>
    <x v="1"/>
    <x v="2"/>
    <x v="3"/>
    <n v="2"/>
    <n v="310"/>
    <n v="5"/>
    <n v="589"/>
    <n v="397.78"/>
    <n v="191.22"/>
    <x v="5"/>
    <x v="0"/>
    <n v="0.32465195246179968"/>
  </r>
  <r>
    <n v="4685"/>
    <d v="2024-04-22T00:00:00"/>
    <x v="0"/>
    <x v="0"/>
    <x v="1"/>
    <x v="3"/>
    <n v="5"/>
    <n v="796"/>
    <n v="0"/>
    <n v="3980"/>
    <n v="2100.9699999999998"/>
    <n v="1879.03"/>
    <x v="10"/>
    <x v="0"/>
    <n v="0.47211809045226127"/>
  </r>
  <r>
    <n v="4686"/>
    <d v="2023-06-12T00:00:00"/>
    <x v="0"/>
    <x v="0"/>
    <x v="0"/>
    <x v="0"/>
    <n v="4"/>
    <n v="960"/>
    <n v="0"/>
    <n v="3840"/>
    <n v="3001.34"/>
    <n v="838.66"/>
    <x v="4"/>
    <x v="1"/>
    <n v="0.21840104166666666"/>
  </r>
  <r>
    <n v="4687"/>
    <d v="2024-01-29T00:00:00"/>
    <x v="3"/>
    <x v="1"/>
    <x v="16"/>
    <x v="5"/>
    <n v="3"/>
    <n v="951"/>
    <n v="15"/>
    <n v="2425.0500000000002"/>
    <n v="1779.85"/>
    <n v="645.20000000000005"/>
    <x v="11"/>
    <x v="0"/>
    <n v="0.26605636997175314"/>
  </r>
  <r>
    <n v="4688"/>
    <d v="2023-04-21T00:00:00"/>
    <x v="0"/>
    <x v="2"/>
    <x v="10"/>
    <x v="1"/>
    <n v="7"/>
    <n v="995"/>
    <n v="0"/>
    <n v="6965"/>
    <n v="4926.62"/>
    <n v="2038.38"/>
    <x v="10"/>
    <x v="1"/>
    <n v="0.29266044508255568"/>
  </r>
  <r>
    <n v="4689"/>
    <d v="2024-11-01T00:00:00"/>
    <x v="2"/>
    <x v="0"/>
    <x v="13"/>
    <x v="5"/>
    <n v="4"/>
    <n v="690"/>
    <n v="15"/>
    <n v="2346"/>
    <n v="1441.58"/>
    <n v="904.42"/>
    <x v="3"/>
    <x v="0"/>
    <n v="0.38551577152600169"/>
  </r>
  <r>
    <n v="4690"/>
    <d v="2023-01-17T00:00:00"/>
    <x v="3"/>
    <x v="4"/>
    <x v="8"/>
    <x v="0"/>
    <n v="4"/>
    <n v="254"/>
    <n v="15"/>
    <n v="863.6"/>
    <n v="467.84"/>
    <n v="395.76"/>
    <x v="11"/>
    <x v="1"/>
    <n v="0.45826771653543302"/>
  </r>
  <r>
    <n v="4691"/>
    <d v="2024-06-06T00:00:00"/>
    <x v="3"/>
    <x v="3"/>
    <x v="11"/>
    <x v="0"/>
    <n v="7"/>
    <n v="472"/>
    <n v="5"/>
    <n v="3138.8"/>
    <n v="2022.63"/>
    <n v="1116.17"/>
    <x v="4"/>
    <x v="0"/>
    <n v="0.35560405250414173"/>
  </r>
  <r>
    <n v="4692"/>
    <d v="2024-03-13T00:00:00"/>
    <x v="2"/>
    <x v="1"/>
    <x v="16"/>
    <x v="3"/>
    <n v="2"/>
    <n v="799"/>
    <n v="10"/>
    <n v="1438.2"/>
    <n v="1042.46"/>
    <n v="395.74"/>
    <x v="8"/>
    <x v="0"/>
    <n v="0.27516339869281048"/>
  </r>
  <r>
    <n v="4693"/>
    <d v="2024-07-17T00:00:00"/>
    <x v="3"/>
    <x v="1"/>
    <x v="7"/>
    <x v="1"/>
    <n v="2"/>
    <n v="124"/>
    <n v="15"/>
    <n v="210.8"/>
    <n v="139.66999999999999"/>
    <n v="71.13"/>
    <x v="5"/>
    <x v="0"/>
    <n v="0.33742884250474381"/>
  </r>
  <r>
    <n v="4694"/>
    <d v="2023-02-18T00:00:00"/>
    <x v="2"/>
    <x v="2"/>
    <x v="10"/>
    <x v="0"/>
    <n v="5"/>
    <n v="409"/>
    <n v="10"/>
    <n v="1840.5"/>
    <n v="1174.73"/>
    <n v="665.77"/>
    <x v="9"/>
    <x v="1"/>
    <n v="0.36173322466720997"/>
  </r>
  <r>
    <n v="4695"/>
    <d v="2024-07-02T00:00:00"/>
    <x v="0"/>
    <x v="1"/>
    <x v="16"/>
    <x v="1"/>
    <n v="10"/>
    <n v="77"/>
    <n v="5"/>
    <n v="731.5"/>
    <n v="426.43"/>
    <n v="305.07"/>
    <x v="5"/>
    <x v="0"/>
    <n v="0.41704716336295283"/>
  </r>
  <r>
    <n v="4696"/>
    <d v="2023-03-26T00:00:00"/>
    <x v="3"/>
    <x v="1"/>
    <x v="7"/>
    <x v="0"/>
    <n v="10"/>
    <n v="841"/>
    <n v="15"/>
    <n v="7148.5"/>
    <n v="3809.1"/>
    <n v="3339.4"/>
    <x v="8"/>
    <x v="1"/>
    <n v="0.46714695390641392"/>
  </r>
  <r>
    <n v="4697"/>
    <d v="2023-01-05T00:00:00"/>
    <x v="0"/>
    <x v="0"/>
    <x v="13"/>
    <x v="2"/>
    <n v="3"/>
    <n v="797"/>
    <n v="5"/>
    <n v="2271.4499999999998"/>
    <n v="1742.73"/>
    <n v="528.72"/>
    <x v="11"/>
    <x v="1"/>
    <n v="0.23276761539985474"/>
  </r>
  <r>
    <n v="4698"/>
    <d v="2023-06-08T00:00:00"/>
    <x v="3"/>
    <x v="2"/>
    <x v="17"/>
    <x v="3"/>
    <n v="1"/>
    <n v="249"/>
    <n v="5"/>
    <n v="236.55"/>
    <n v="159.88999999999999"/>
    <n v="76.66"/>
    <x v="4"/>
    <x v="1"/>
    <n v="0.32407524836186852"/>
  </r>
  <r>
    <n v="4699"/>
    <d v="2023-07-24T00:00:00"/>
    <x v="0"/>
    <x v="1"/>
    <x v="7"/>
    <x v="1"/>
    <n v="7"/>
    <n v="195"/>
    <n v="10"/>
    <n v="1228.5"/>
    <n v="778.04"/>
    <n v="450.46"/>
    <x v="5"/>
    <x v="1"/>
    <n v="0.36667480667480667"/>
  </r>
  <r>
    <n v="4700"/>
    <d v="2024-01-05T00:00:00"/>
    <x v="0"/>
    <x v="1"/>
    <x v="16"/>
    <x v="1"/>
    <n v="1"/>
    <n v="419"/>
    <n v="20"/>
    <n v="335.2"/>
    <n v="234.03"/>
    <n v="101.17"/>
    <x v="11"/>
    <x v="0"/>
    <n v="0.30181980906921241"/>
  </r>
  <r>
    <n v="4701"/>
    <d v="2024-07-07T00:00:00"/>
    <x v="3"/>
    <x v="3"/>
    <x v="4"/>
    <x v="2"/>
    <n v="2"/>
    <n v="771"/>
    <n v="0"/>
    <n v="1542"/>
    <n v="805.36"/>
    <n v="736.64"/>
    <x v="5"/>
    <x v="0"/>
    <n v="0.47771725032425422"/>
  </r>
  <r>
    <n v="4702"/>
    <d v="2023-11-23T00:00:00"/>
    <x v="2"/>
    <x v="2"/>
    <x v="17"/>
    <x v="5"/>
    <n v="6"/>
    <n v="879"/>
    <n v="10"/>
    <n v="4746.6000000000004"/>
    <n v="2924.31"/>
    <n v="1822.29"/>
    <x v="3"/>
    <x v="1"/>
    <n v="0.38391480217418783"/>
  </r>
  <r>
    <n v="4703"/>
    <d v="2024-12-03T00:00:00"/>
    <x v="0"/>
    <x v="0"/>
    <x v="0"/>
    <x v="2"/>
    <n v="4"/>
    <n v="799"/>
    <n v="0"/>
    <n v="3196"/>
    <n v="1815.5"/>
    <n v="1380.5"/>
    <x v="6"/>
    <x v="0"/>
    <n v="0.43194618272841051"/>
  </r>
  <r>
    <n v="4704"/>
    <d v="2024-02-01T00:00:00"/>
    <x v="0"/>
    <x v="3"/>
    <x v="19"/>
    <x v="2"/>
    <n v="6"/>
    <n v="137"/>
    <n v="0"/>
    <n v="822"/>
    <n v="577.17999999999995"/>
    <n v="244.82"/>
    <x v="9"/>
    <x v="0"/>
    <n v="0.29783454987834551"/>
  </r>
  <r>
    <n v="4705"/>
    <d v="2024-10-01T00:00:00"/>
    <x v="0"/>
    <x v="3"/>
    <x v="11"/>
    <x v="0"/>
    <n v="9"/>
    <n v="543"/>
    <n v="5"/>
    <n v="4642.6499999999996"/>
    <n v="2771.8"/>
    <n v="1870.85"/>
    <x v="1"/>
    <x v="0"/>
    <n v="0.40297028636662252"/>
  </r>
  <r>
    <n v="4706"/>
    <d v="2023-12-02T00:00:00"/>
    <x v="2"/>
    <x v="1"/>
    <x v="5"/>
    <x v="0"/>
    <n v="3"/>
    <n v="920"/>
    <n v="15"/>
    <n v="2346"/>
    <n v="1769.32"/>
    <n v="576.67999999999995"/>
    <x v="6"/>
    <x v="1"/>
    <n v="0.24581415174765556"/>
  </r>
  <r>
    <n v="4707"/>
    <d v="2024-09-18T00:00:00"/>
    <x v="1"/>
    <x v="1"/>
    <x v="7"/>
    <x v="3"/>
    <n v="8"/>
    <n v="866"/>
    <n v="10"/>
    <n v="6235.2"/>
    <n v="3697.88"/>
    <n v="2537.3200000000002"/>
    <x v="0"/>
    <x v="0"/>
    <n v="0.40693482165768546"/>
  </r>
  <r>
    <n v="4708"/>
    <d v="2024-12-14T00:00:00"/>
    <x v="1"/>
    <x v="3"/>
    <x v="19"/>
    <x v="4"/>
    <n v="5"/>
    <n v="900"/>
    <n v="15"/>
    <n v="3825"/>
    <n v="2529.6799999999998"/>
    <n v="1295.32"/>
    <x v="6"/>
    <x v="0"/>
    <n v="0.33864575163398691"/>
  </r>
  <r>
    <n v="4709"/>
    <d v="2023-06-12T00:00:00"/>
    <x v="2"/>
    <x v="3"/>
    <x v="15"/>
    <x v="0"/>
    <n v="3"/>
    <n v="296"/>
    <n v="5"/>
    <n v="843.6"/>
    <n v="505.53"/>
    <n v="338.07"/>
    <x v="4"/>
    <x v="1"/>
    <n v="0.40074679943100994"/>
  </r>
  <r>
    <n v="4710"/>
    <d v="2024-11-25T00:00:00"/>
    <x v="0"/>
    <x v="3"/>
    <x v="19"/>
    <x v="0"/>
    <n v="1"/>
    <n v="996"/>
    <n v="15"/>
    <n v="846.6"/>
    <n v="532.96"/>
    <n v="313.64"/>
    <x v="3"/>
    <x v="0"/>
    <n v="0.37047011575714622"/>
  </r>
  <r>
    <n v="4711"/>
    <d v="2024-02-17T00:00:00"/>
    <x v="2"/>
    <x v="2"/>
    <x v="10"/>
    <x v="2"/>
    <n v="8"/>
    <n v="214"/>
    <n v="15"/>
    <n v="1455.2"/>
    <n v="848.07"/>
    <n v="607.13"/>
    <x v="9"/>
    <x v="0"/>
    <n v="0.41721412864211105"/>
  </r>
  <r>
    <n v="4712"/>
    <d v="2023-10-05T00:00:00"/>
    <x v="1"/>
    <x v="1"/>
    <x v="16"/>
    <x v="0"/>
    <n v="8"/>
    <n v="418"/>
    <n v="15"/>
    <n v="2842.4"/>
    <n v="1561.68"/>
    <n v="1280.72"/>
    <x v="1"/>
    <x v="1"/>
    <n v="0.45057697720236417"/>
  </r>
  <r>
    <n v="4713"/>
    <d v="2024-12-09T00:00:00"/>
    <x v="3"/>
    <x v="1"/>
    <x v="7"/>
    <x v="2"/>
    <n v="7"/>
    <n v="151"/>
    <n v="15"/>
    <n v="898.45"/>
    <n v="703.72"/>
    <n v="194.73"/>
    <x v="6"/>
    <x v="0"/>
    <n v="0.21673994100951638"/>
  </r>
  <r>
    <n v="4714"/>
    <d v="2024-02-17T00:00:00"/>
    <x v="3"/>
    <x v="0"/>
    <x v="12"/>
    <x v="1"/>
    <n v="7"/>
    <n v="154"/>
    <n v="0"/>
    <n v="1078"/>
    <n v="651.71"/>
    <n v="426.29"/>
    <x v="9"/>
    <x v="0"/>
    <n v="0.39544526901669763"/>
  </r>
  <r>
    <n v="4715"/>
    <d v="2024-01-26T00:00:00"/>
    <x v="1"/>
    <x v="1"/>
    <x v="16"/>
    <x v="2"/>
    <n v="1"/>
    <n v="336"/>
    <n v="10"/>
    <n v="302.39999999999998"/>
    <n v="218.67"/>
    <n v="83.73"/>
    <x v="11"/>
    <x v="0"/>
    <n v="0.27688492063492065"/>
  </r>
  <r>
    <n v="4716"/>
    <d v="2023-03-20T00:00:00"/>
    <x v="3"/>
    <x v="2"/>
    <x v="3"/>
    <x v="2"/>
    <n v="10"/>
    <n v="767"/>
    <n v="0"/>
    <n v="7670"/>
    <n v="5628.75"/>
    <n v="2041.25"/>
    <x v="8"/>
    <x v="1"/>
    <n v="0.26613428943937417"/>
  </r>
  <r>
    <n v="4717"/>
    <d v="2024-05-12T00:00:00"/>
    <x v="0"/>
    <x v="4"/>
    <x v="8"/>
    <x v="2"/>
    <n v="9"/>
    <n v="670"/>
    <n v="20"/>
    <n v="4824"/>
    <n v="3807.79"/>
    <n v="1016.21"/>
    <x v="7"/>
    <x v="0"/>
    <n v="0.21065713101160863"/>
  </r>
  <r>
    <n v="4718"/>
    <d v="2023-08-24T00:00:00"/>
    <x v="2"/>
    <x v="1"/>
    <x v="2"/>
    <x v="2"/>
    <n v="9"/>
    <n v="72"/>
    <n v="0"/>
    <n v="648"/>
    <n v="352.38"/>
    <n v="295.62"/>
    <x v="2"/>
    <x v="1"/>
    <n v="0.45620370370370372"/>
  </r>
  <r>
    <n v="4719"/>
    <d v="2024-08-30T00:00:00"/>
    <x v="3"/>
    <x v="3"/>
    <x v="19"/>
    <x v="2"/>
    <n v="1"/>
    <n v="494"/>
    <n v="15"/>
    <n v="419.9"/>
    <n v="231.99"/>
    <n v="187.91"/>
    <x v="2"/>
    <x v="0"/>
    <n v="0.44751131221719459"/>
  </r>
  <r>
    <n v="4720"/>
    <d v="2023-09-08T00:00:00"/>
    <x v="0"/>
    <x v="3"/>
    <x v="11"/>
    <x v="1"/>
    <n v="6"/>
    <n v="385"/>
    <n v="15"/>
    <n v="1963.5"/>
    <n v="1144.49"/>
    <n v="819.01"/>
    <x v="0"/>
    <x v="1"/>
    <n v="0.41711739241151008"/>
  </r>
  <r>
    <n v="4721"/>
    <d v="2023-11-29T00:00:00"/>
    <x v="3"/>
    <x v="1"/>
    <x v="2"/>
    <x v="3"/>
    <n v="10"/>
    <n v="800"/>
    <n v="15"/>
    <n v="6800"/>
    <n v="4373.7299999999996"/>
    <n v="2426.27"/>
    <x v="3"/>
    <x v="1"/>
    <n v="0.3568044117647059"/>
  </r>
  <r>
    <n v="4722"/>
    <d v="2024-04-04T00:00:00"/>
    <x v="0"/>
    <x v="0"/>
    <x v="0"/>
    <x v="0"/>
    <n v="5"/>
    <n v="165"/>
    <n v="20"/>
    <n v="660"/>
    <n v="481.58"/>
    <n v="178.42"/>
    <x v="10"/>
    <x v="0"/>
    <n v="0.27033333333333331"/>
  </r>
  <r>
    <n v="4723"/>
    <d v="2023-06-12T00:00:00"/>
    <x v="3"/>
    <x v="3"/>
    <x v="15"/>
    <x v="5"/>
    <n v="8"/>
    <n v="208"/>
    <n v="20"/>
    <n v="1331.2"/>
    <n v="784.11"/>
    <n v="547.09"/>
    <x v="4"/>
    <x v="1"/>
    <n v="0.41097506009615387"/>
  </r>
  <r>
    <n v="4724"/>
    <d v="2023-08-28T00:00:00"/>
    <x v="1"/>
    <x v="0"/>
    <x v="1"/>
    <x v="2"/>
    <n v="1"/>
    <n v="739"/>
    <n v="15"/>
    <n v="628.15"/>
    <n v="428.07"/>
    <n v="200.08"/>
    <x v="2"/>
    <x v="1"/>
    <n v="0.31852264586484125"/>
  </r>
  <r>
    <n v="4725"/>
    <d v="2024-01-21T00:00:00"/>
    <x v="3"/>
    <x v="2"/>
    <x v="3"/>
    <x v="4"/>
    <n v="8"/>
    <n v="364"/>
    <n v="10"/>
    <n v="2620.8000000000002"/>
    <n v="1517.79"/>
    <n v="1103.01"/>
    <x v="11"/>
    <x v="0"/>
    <n v="0.42086767399267394"/>
  </r>
  <r>
    <n v="4726"/>
    <d v="2024-11-21T00:00:00"/>
    <x v="0"/>
    <x v="1"/>
    <x v="5"/>
    <x v="5"/>
    <n v="2"/>
    <n v="844"/>
    <n v="0"/>
    <n v="1688"/>
    <n v="1193.76"/>
    <n v="494.24"/>
    <x v="3"/>
    <x v="0"/>
    <n v="0.29279620853080568"/>
  </r>
  <r>
    <n v="4727"/>
    <d v="2023-07-31T00:00:00"/>
    <x v="1"/>
    <x v="3"/>
    <x v="15"/>
    <x v="0"/>
    <n v="8"/>
    <n v="193"/>
    <n v="10"/>
    <n v="1389.6"/>
    <n v="1091.97"/>
    <n v="297.63"/>
    <x v="5"/>
    <x v="1"/>
    <n v="0.21418393782383421"/>
  </r>
  <r>
    <n v="4728"/>
    <d v="2023-02-22T00:00:00"/>
    <x v="1"/>
    <x v="4"/>
    <x v="8"/>
    <x v="0"/>
    <n v="5"/>
    <n v="873"/>
    <n v="15"/>
    <n v="3710.25"/>
    <n v="2085.0300000000002"/>
    <n v="1625.22"/>
    <x v="9"/>
    <x v="1"/>
    <n v="0.43803517283201943"/>
  </r>
  <r>
    <n v="4729"/>
    <d v="2023-11-29T00:00:00"/>
    <x v="0"/>
    <x v="0"/>
    <x v="12"/>
    <x v="0"/>
    <n v="4"/>
    <n v="375"/>
    <n v="20"/>
    <n v="1200"/>
    <n v="758.38"/>
    <n v="441.62"/>
    <x v="3"/>
    <x v="1"/>
    <n v="0.36801666666666666"/>
  </r>
  <r>
    <n v="4730"/>
    <d v="2024-11-28T00:00:00"/>
    <x v="1"/>
    <x v="3"/>
    <x v="4"/>
    <x v="0"/>
    <n v="10"/>
    <n v="995"/>
    <n v="5"/>
    <n v="9452.5"/>
    <n v="6596.13"/>
    <n v="2856.37"/>
    <x v="3"/>
    <x v="0"/>
    <n v="0.30218143348320547"/>
  </r>
  <r>
    <n v="4731"/>
    <d v="2024-07-19T00:00:00"/>
    <x v="3"/>
    <x v="3"/>
    <x v="4"/>
    <x v="3"/>
    <n v="7"/>
    <n v="954"/>
    <n v="5"/>
    <n v="6344.1"/>
    <n v="4264.3599999999997"/>
    <n v="2079.7399999999998"/>
    <x v="5"/>
    <x v="0"/>
    <n v="0.327822701407607"/>
  </r>
  <r>
    <n v="4732"/>
    <d v="2023-04-12T00:00:00"/>
    <x v="0"/>
    <x v="3"/>
    <x v="15"/>
    <x v="4"/>
    <n v="1"/>
    <n v="51"/>
    <n v="10"/>
    <n v="45.9"/>
    <n v="25.11"/>
    <n v="20.79"/>
    <x v="10"/>
    <x v="1"/>
    <n v="0.45294117647058824"/>
  </r>
  <r>
    <n v="4733"/>
    <d v="2023-02-10T00:00:00"/>
    <x v="0"/>
    <x v="4"/>
    <x v="9"/>
    <x v="0"/>
    <n v="6"/>
    <n v="999"/>
    <n v="15"/>
    <n v="5094.8999999999996"/>
    <n v="3903.92"/>
    <n v="1190.98"/>
    <x v="9"/>
    <x v="1"/>
    <n v="0.23375924944552398"/>
  </r>
  <r>
    <n v="4734"/>
    <d v="2024-03-29T00:00:00"/>
    <x v="1"/>
    <x v="4"/>
    <x v="18"/>
    <x v="2"/>
    <n v="2"/>
    <n v="535"/>
    <n v="15"/>
    <n v="909.5"/>
    <n v="555.65"/>
    <n v="353.85"/>
    <x v="8"/>
    <x v="0"/>
    <n v="0.38905992303463444"/>
  </r>
  <r>
    <n v="4735"/>
    <d v="2023-03-23T00:00:00"/>
    <x v="1"/>
    <x v="4"/>
    <x v="8"/>
    <x v="2"/>
    <n v="8"/>
    <n v="108"/>
    <n v="20"/>
    <n v="691.2"/>
    <n v="432.58"/>
    <n v="258.62"/>
    <x v="8"/>
    <x v="1"/>
    <n v="0.37416087962962963"/>
  </r>
  <r>
    <n v="4736"/>
    <d v="2023-10-24T00:00:00"/>
    <x v="1"/>
    <x v="0"/>
    <x v="12"/>
    <x v="2"/>
    <n v="5"/>
    <n v="915"/>
    <n v="15"/>
    <n v="3888.75"/>
    <n v="2424.87"/>
    <n v="1463.88"/>
    <x v="1"/>
    <x v="1"/>
    <n v="0.37643972999035685"/>
  </r>
  <r>
    <n v="4737"/>
    <d v="2024-08-08T00:00:00"/>
    <x v="1"/>
    <x v="0"/>
    <x v="1"/>
    <x v="2"/>
    <n v="8"/>
    <n v="600"/>
    <n v="10"/>
    <n v="4320"/>
    <n v="2788.01"/>
    <n v="1531.99"/>
    <x v="2"/>
    <x v="0"/>
    <n v="0.3546273148148148"/>
  </r>
  <r>
    <n v="4738"/>
    <d v="2024-11-02T00:00:00"/>
    <x v="1"/>
    <x v="4"/>
    <x v="9"/>
    <x v="1"/>
    <n v="1"/>
    <n v="928"/>
    <n v="0"/>
    <n v="928"/>
    <n v="677.07"/>
    <n v="250.93"/>
    <x v="3"/>
    <x v="0"/>
    <n v="0.27039870689655171"/>
  </r>
  <r>
    <n v="4739"/>
    <d v="2024-08-31T00:00:00"/>
    <x v="1"/>
    <x v="2"/>
    <x v="3"/>
    <x v="4"/>
    <n v="1"/>
    <n v="109"/>
    <n v="5"/>
    <n v="103.55"/>
    <n v="76.19"/>
    <n v="27.36"/>
    <x v="2"/>
    <x v="0"/>
    <n v="0.26422018348623855"/>
  </r>
  <r>
    <n v="4740"/>
    <d v="2023-08-23T00:00:00"/>
    <x v="3"/>
    <x v="4"/>
    <x v="8"/>
    <x v="4"/>
    <n v="1"/>
    <n v="312"/>
    <n v="0"/>
    <n v="312"/>
    <n v="197.84"/>
    <n v="114.16"/>
    <x v="2"/>
    <x v="1"/>
    <n v="0.3658974358974359"/>
  </r>
  <r>
    <n v="4741"/>
    <d v="2024-07-05T00:00:00"/>
    <x v="1"/>
    <x v="3"/>
    <x v="19"/>
    <x v="0"/>
    <n v="1"/>
    <n v="883"/>
    <n v="5"/>
    <n v="838.85"/>
    <n v="628.07000000000005"/>
    <n v="210.78"/>
    <x v="5"/>
    <x v="0"/>
    <n v="0.25127257554985993"/>
  </r>
  <r>
    <n v="4742"/>
    <d v="2023-06-26T00:00:00"/>
    <x v="0"/>
    <x v="3"/>
    <x v="4"/>
    <x v="4"/>
    <n v="5"/>
    <n v="351"/>
    <n v="0"/>
    <n v="1755"/>
    <n v="886.32"/>
    <n v="868.68"/>
    <x v="4"/>
    <x v="1"/>
    <n v="0.49497435897435893"/>
  </r>
  <r>
    <n v="4743"/>
    <d v="2024-04-16T00:00:00"/>
    <x v="1"/>
    <x v="4"/>
    <x v="9"/>
    <x v="5"/>
    <n v="3"/>
    <n v="651"/>
    <n v="10"/>
    <n v="1757.7"/>
    <n v="986.02"/>
    <n v="771.68"/>
    <x v="10"/>
    <x v="0"/>
    <n v="0.43902827558741531"/>
  </r>
  <r>
    <n v="4744"/>
    <d v="2024-03-11T00:00:00"/>
    <x v="1"/>
    <x v="4"/>
    <x v="9"/>
    <x v="5"/>
    <n v="6"/>
    <n v="330"/>
    <n v="20"/>
    <n v="1584"/>
    <n v="1112.52"/>
    <n v="471.48"/>
    <x v="8"/>
    <x v="0"/>
    <n v="0.29765151515151517"/>
  </r>
  <r>
    <n v="4745"/>
    <d v="2023-10-10T00:00:00"/>
    <x v="0"/>
    <x v="1"/>
    <x v="16"/>
    <x v="2"/>
    <n v="7"/>
    <n v="67"/>
    <n v="15"/>
    <n v="398.65"/>
    <n v="248.19"/>
    <n v="150.46"/>
    <x v="1"/>
    <x v="1"/>
    <n v="0.37742380534303277"/>
  </r>
  <r>
    <n v="4746"/>
    <d v="2024-03-01T00:00:00"/>
    <x v="2"/>
    <x v="1"/>
    <x v="5"/>
    <x v="5"/>
    <n v="1"/>
    <n v="726"/>
    <n v="15"/>
    <n v="617.1"/>
    <n v="308.64"/>
    <n v="308.45999999999998"/>
    <x v="8"/>
    <x v="0"/>
    <n v="0.49985415653864845"/>
  </r>
  <r>
    <n v="4747"/>
    <d v="2024-02-29T00:00:00"/>
    <x v="1"/>
    <x v="3"/>
    <x v="11"/>
    <x v="2"/>
    <n v="10"/>
    <n v="866"/>
    <n v="5"/>
    <n v="8227"/>
    <n v="4397.83"/>
    <n v="3829.17"/>
    <x v="9"/>
    <x v="0"/>
    <n v="0.46543940683116569"/>
  </r>
  <r>
    <n v="4748"/>
    <d v="2024-08-31T00:00:00"/>
    <x v="3"/>
    <x v="2"/>
    <x v="10"/>
    <x v="0"/>
    <n v="8"/>
    <n v="42"/>
    <n v="20"/>
    <n v="268.8"/>
    <n v="210.33"/>
    <n v="58.47"/>
    <x v="2"/>
    <x v="0"/>
    <n v="0.21752232142857142"/>
  </r>
  <r>
    <n v="4749"/>
    <d v="2024-04-29T00:00:00"/>
    <x v="1"/>
    <x v="2"/>
    <x v="3"/>
    <x v="5"/>
    <n v="1"/>
    <n v="108"/>
    <n v="15"/>
    <n v="91.8"/>
    <n v="56.98"/>
    <n v="34.82"/>
    <x v="10"/>
    <x v="0"/>
    <n v="0.37930283224400874"/>
  </r>
  <r>
    <n v="4750"/>
    <d v="2024-12-30T00:00:00"/>
    <x v="2"/>
    <x v="1"/>
    <x v="7"/>
    <x v="0"/>
    <n v="6"/>
    <n v="375"/>
    <n v="5"/>
    <n v="2137.5"/>
    <n v="1406.74"/>
    <n v="730.76"/>
    <x v="6"/>
    <x v="0"/>
    <n v="0.34187602339181289"/>
  </r>
  <r>
    <n v="4751"/>
    <d v="2024-01-26T00:00:00"/>
    <x v="1"/>
    <x v="0"/>
    <x v="13"/>
    <x v="2"/>
    <n v="6"/>
    <n v="558"/>
    <n v="0"/>
    <n v="3348"/>
    <n v="2481.17"/>
    <n v="866.83"/>
    <x v="11"/>
    <x v="0"/>
    <n v="0.25890979689366789"/>
  </r>
  <r>
    <n v="4752"/>
    <d v="2024-06-01T00:00:00"/>
    <x v="0"/>
    <x v="3"/>
    <x v="19"/>
    <x v="0"/>
    <n v="4"/>
    <n v="897"/>
    <n v="0"/>
    <n v="3588"/>
    <n v="1851.11"/>
    <n v="1736.89"/>
    <x v="4"/>
    <x v="0"/>
    <n v="0.48408305462653289"/>
  </r>
  <r>
    <n v="4753"/>
    <d v="2023-04-12T00:00:00"/>
    <x v="2"/>
    <x v="2"/>
    <x v="3"/>
    <x v="5"/>
    <n v="6"/>
    <n v="76"/>
    <n v="20"/>
    <n v="364.8"/>
    <n v="206.95"/>
    <n v="157.85"/>
    <x v="10"/>
    <x v="1"/>
    <n v="0.43270285087719296"/>
  </r>
  <r>
    <n v="4754"/>
    <d v="2024-10-13T00:00:00"/>
    <x v="3"/>
    <x v="3"/>
    <x v="15"/>
    <x v="2"/>
    <n v="1"/>
    <n v="840"/>
    <n v="15"/>
    <n v="714"/>
    <n v="423.88"/>
    <n v="290.12"/>
    <x v="1"/>
    <x v="0"/>
    <n v="0.40633053221288518"/>
  </r>
  <r>
    <n v="4755"/>
    <d v="2023-04-23T00:00:00"/>
    <x v="3"/>
    <x v="4"/>
    <x v="14"/>
    <x v="0"/>
    <n v="9"/>
    <n v="345"/>
    <n v="10"/>
    <n v="2794.5"/>
    <n v="2160.09"/>
    <n v="634.41"/>
    <x v="10"/>
    <x v="1"/>
    <n v="0.22702093397745571"/>
  </r>
  <r>
    <n v="4756"/>
    <d v="2023-12-11T00:00:00"/>
    <x v="2"/>
    <x v="1"/>
    <x v="2"/>
    <x v="1"/>
    <n v="6"/>
    <n v="835"/>
    <n v="10"/>
    <n v="4509"/>
    <n v="2884.06"/>
    <n v="1624.94"/>
    <x v="6"/>
    <x v="1"/>
    <n v="0.36037702373031716"/>
  </r>
  <r>
    <n v="4757"/>
    <d v="2024-12-20T00:00:00"/>
    <x v="1"/>
    <x v="2"/>
    <x v="3"/>
    <x v="3"/>
    <n v="1"/>
    <n v="679"/>
    <n v="5"/>
    <n v="645.04999999999995"/>
    <n v="331.09"/>
    <n v="313.95999999999998"/>
    <x v="6"/>
    <x v="0"/>
    <n v="0.48672195953802033"/>
  </r>
  <r>
    <n v="4758"/>
    <d v="2023-06-07T00:00:00"/>
    <x v="1"/>
    <x v="0"/>
    <x v="12"/>
    <x v="2"/>
    <n v="6"/>
    <n v="24"/>
    <n v="15"/>
    <n v="122.4"/>
    <n v="70.849999999999994"/>
    <n v="51.55"/>
    <x v="4"/>
    <x v="1"/>
    <n v="0.4211601307189542"/>
  </r>
  <r>
    <n v="4759"/>
    <d v="2024-11-24T00:00:00"/>
    <x v="0"/>
    <x v="1"/>
    <x v="7"/>
    <x v="1"/>
    <n v="2"/>
    <n v="707"/>
    <n v="20"/>
    <n v="1131.2"/>
    <n v="849.69"/>
    <n v="281.51"/>
    <x v="3"/>
    <x v="0"/>
    <n v="0.24885961810466758"/>
  </r>
  <r>
    <n v="4760"/>
    <d v="2023-03-15T00:00:00"/>
    <x v="1"/>
    <x v="3"/>
    <x v="4"/>
    <x v="5"/>
    <n v="7"/>
    <n v="361"/>
    <n v="5"/>
    <n v="2400.65"/>
    <n v="1607.23"/>
    <n v="793.42"/>
    <x v="8"/>
    <x v="1"/>
    <n v="0.33050215566617369"/>
  </r>
  <r>
    <n v="4761"/>
    <d v="2024-04-25T00:00:00"/>
    <x v="2"/>
    <x v="2"/>
    <x v="17"/>
    <x v="4"/>
    <n v="6"/>
    <n v="827"/>
    <n v="15"/>
    <n v="4217.7"/>
    <n v="2998.38"/>
    <n v="1219.32"/>
    <x v="10"/>
    <x v="0"/>
    <n v="0.28909595277046729"/>
  </r>
  <r>
    <n v="4762"/>
    <d v="2024-03-09T00:00:00"/>
    <x v="2"/>
    <x v="2"/>
    <x v="17"/>
    <x v="2"/>
    <n v="8"/>
    <n v="653"/>
    <n v="15"/>
    <n v="4440.3999999999996"/>
    <n v="3408.6"/>
    <n v="1031.8"/>
    <x v="8"/>
    <x v="0"/>
    <n v="0.23236645347266013"/>
  </r>
  <r>
    <n v="4763"/>
    <d v="2024-08-23T00:00:00"/>
    <x v="1"/>
    <x v="3"/>
    <x v="19"/>
    <x v="0"/>
    <n v="4"/>
    <n v="780"/>
    <n v="5"/>
    <n v="2964"/>
    <n v="1714.34"/>
    <n v="1249.6600000000001"/>
    <x v="2"/>
    <x v="0"/>
    <n v="0.42161268556005399"/>
  </r>
  <r>
    <n v="4764"/>
    <d v="2023-11-24T00:00:00"/>
    <x v="0"/>
    <x v="1"/>
    <x v="7"/>
    <x v="1"/>
    <n v="7"/>
    <n v="285"/>
    <n v="10"/>
    <n v="1795.5"/>
    <n v="1095.29"/>
    <n v="700.21"/>
    <x v="3"/>
    <x v="1"/>
    <n v="0.38998050682261209"/>
  </r>
  <r>
    <n v="4765"/>
    <d v="2024-11-23T00:00:00"/>
    <x v="2"/>
    <x v="0"/>
    <x v="13"/>
    <x v="1"/>
    <n v="2"/>
    <n v="51"/>
    <n v="10"/>
    <n v="91.8"/>
    <n v="73.36"/>
    <n v="18.440000000000001"/>
    <x v="3"/>
    <x v="0"/>
    <n v="0.20087145969498912"/>
  </r>
  <r>
    <n v="4766"/>
    <d v="2023-11-09T00:00:00"/>
    <x v="1"/>
    <x v="3"/>
    <x v="11"/>
    <x v="1"/>
    <n v="4"/>
    <n v="921"/>
    <n v="15"/>
    <n v="3131.4"/>
    <n v="2226.59"/>
    <n v="904.81"/>
    <x v="3"/>
    <x v="1"/>
    <n v="0.2889474356517851"/>
  </r>
  <r>
    <n v="4767"/>
    <d v="2023-04-13T00:00:00"/>
    <x v="0"/>
    <x v="3"/>
    <x v="15"/>
    <x v="0"/>
    <n v="3"/>
    <n v="224"/>
    <n v="20"/>
    <n v="537.6"/>
    <n v="354.55"/>
    <n v="183.05"/>
    <x v="10"/>
    <x v="1"/>
    <n v="0.34049479166666669"/>
  </r>
  <r>
    <n v="4768"/>
    <d v="2024-05-16T00:00:00"/>
    <x v="3"/>
    <x v="3"/>
    <x v="4"/>
    <x v="1"/>
    <n v="10"/>
    <n v="566"/>
    <n v="0"/>
    <n v="5660"/>
    <n v="2866.04"/>
    <n v="2793.96"/>
    <x v="7"/>
    <x v="0"/>
    <n v="0.49363250883392229"/>
  </r>
  <r>
    <n v="4769"/>
    <d v="2023-10-28T00:00:00"/>
    <x v="1"/>
    <x v="4"/>
    <x v="8"/>
    <x v="1"/>
    <n v="9"/>
    <n v="546"/>
    <n v="15"/>
    <n v="4176.8999999999996"/>
    <n v="3111.75"/>
    <n v="1065.1500000000001"/>
    <x v="1"/>
    <x v="1"/>
    <n v="0.25500969618616681"/>
  </r>
  <r>
    <n v="4770"/>
    <d v="2024-06-28T00:00:00"/>
    <x v="2"/>
    <x v="2"/>
    <x v="10"/>
    <x v="3"/>
    <n v="2"/>
    <n v="781"/>
    <n v="20"/>
    <n v="1249.5999999999999"/>
    <n v="717.04"/>
    <n v="532.55999999999995"/>
    <x v="4"/>
    <x v="0"/>
    <n v="0.42618437900128042"/>
  </r>
  <r>
    <n v="4771"/>
    <d v="2024-11-15T00:00:00"/>
    <x v="1"/>
    <x v="1"/>
    <x v="7"/>
    <x v="3"/>
    <n v="2"/>
    <n v="522"/>
    <n v="0"/>
    <n v="1044"/>
    <n v="650.34"/>
    <n v="393.66"/>
    <x v="3"/>
    <x v="0"/>
    <n v="0.37706896551724139"/>
  </r>
  <r>
    <n v="4772"/>
    <d v="2023-01-28T00:00:00"/>
    <x v="2"/>
    <x v="4"/>
    <x v="9"/>
    <x v="1"/>
    <n v="1"/>
    <n v="644"/>
    <n v="20"/>
    <n v="515.20000000000005"/>
    <n v="314.91000000000003"/>
    <n v="200.29"/>
    <x v="11"/>
    <x v="1"/>
    <n v="0.38876164596273288"/>
  </r>
  <r>
    <n v="4773"/>
    <d v="2023-03-06T00:00:00"/>
    <x v="0"/>
    <x v="1"/>
    <x v="16"/>
    <x v="1"/>
    <n v="10"/>
    <n v="236"/>
    <n v="15"/>
    <n v="2006"/>
    <n v="1249.05"/>
    <n v="756.95"/>
    <x v="8"/>
    <x v="1"/>
    <n v="0.37734297108673981"/>
  </r>
  <r>
    <n v="4774"/>
    <d v="2024-01-20T00:00:00"/>
    <x v="3"/>
    <x v="1"/>
    <x v="16"/>
    <x v="3"/>
    <n v="9"/>
    <n v="720"/>
    <n v="5"/>
    <n v="6156"/>
    <n v="3299.83"/>
    <n v="2856.17"/>
    <x v="11"/>
    <x v="0"/>
    <n v="0.46396523716699156"/>
  </r>
  <r>
    <n v="4775"/>
    <d v="2024-11-27T00:00:00"/>
    <x v="2"/>
    <x v="0"/>
    <x v="12"/>
    <x v="3"/>
    <n v="7"/>
    <n v="82"/>
    <n v="5"/>
    <n v="545.29999999999995"/>
    <n v="318.45999999999998"/>
    <n v="226.84"/>
    <x v="3"/>
    <x v="0"/>
    <n v="0.41599119750596009"/>
  </r>
  <r>
    <n v="4776"/>
    <d v="2023-03-15T00:00:00"/>
    <x v="1"/>
    <x v="0"/>
    <x v="12"/>
    <x v="3"/>
    <n v="6"/>
    <n v="228"/>
    <n v="10"/>
    <n v="1231.2"/>
    <n v="745.91"/>
    <n v="485.29"/>
    <x v="8"/>
    <x v="1"/>
    <n v="0.39416016894087069"/>
  </r>
  <r>
    <n v="4777"/>
    <d v="2024-09-01T00:00:00"/>
    <x v="3"/>
    <x v="0"/>
    <x v="13"/>
    <x v="5"/>
    <n v="8"/>
    <n v="442"/>
    <n v="15"/>
    <n v="3005.6"/>
    <n v="1831.43"/>
    <n v="1174.17"/>
    <x v="0"/>
    <x v="0"/>
    <n v="0.39066076656907112"/>
  </r>
  <r>
    <n v="4778"/>
    <d v="2024-05-04T00:00:00"/>
    <x v="0"/>
    <x v="0"/>
    <x v="0"/>
    <x v="0"/>
    <n v="3"/>
    <n v="311"/>
    <n v="5"/>
    <n v="886.35"/>
    <n v="586.09"/>
    <n v="300.26"/>
    <x v="7"/>
    <x v="0"/>
    <n v="0.33876008348846393"/>
  </r>
  <r>
    <n v="4779"/>
    <d v="2024-01-16T00:00:00"/>
    <x v="0"/>
    <x v="2"/>
    <x v="3"/>
    <x v="3"/>
    <n v="3"/>
    <n v="477"/>
    <n v="15"/>
    <n v="1216.3499999999999"/>
    <n v="885.07"/>
    <n v="331.28"/>
    <x v="11"/>
    <x v="0"/>
    <n v="0.27235581863772762"/>
  </r>
  <r>
    <n v="4780"/>
    <d v="2023-02-28T00:00:00"/>
    <x v="2"/>
    <x v="3"/>
    <x v="15"/>
    <x v="4"/>
    <n v="9"/>
    <n v="190"/>
    <n v="10"/>
    <n v="1539"/>
    <n v="1042.78"/>
    <n v="496.22"/>
    <x v="9"/>
    <x v="1"/>
    <n v="0.32243014944769333"/>
  </r>
  <r>
    <n v="4781"/>
    <d v="2023-10-24T00:00:00"/>
    <x v="0"/>
    <x v="3"/>
    <x v="15"/>
    <x v="5"/>
    <n v="9"/>
    <n v="196"/>
    <n v="5"/>
    <n v="1675.8"/>
    <n v="908.48"/>
    <n v="767.32"/>
    <x v="1"/>
    <x v="1"/>
    <n v="0.45788280224370453"/>
  </r>
  <r>
    <n v="4782"/>
    <d v="2023-11-02T00:00:00"/>
    <x v="3"/>
    <x v="2"/>
    <x v="17"/>
    <x v="2"/>
    <n v="3"/>
    <n v="877"/>
    <n v="5"/>
    <n v="2499.4499999999998"/>
    <n v="1609.8"/>
    <n v="889.65"/>
    <x v="3"/>
    <x v="1"/>
    <n v="0.35593830642741403"/>
  </r>
  <r>
    <n v="4783"/>
    <d v="2023-07-04T00:00:00"/>
    <x v="3"/>
    <x v="2"/>
    <x v="17"/>
    <x v="0"/>
    <n v="5"/>
    <n v="212"/>
    <n v="0"/>
    <n v="1060"/>
    <n v="663.13"/>
    <n v="396.87"/>
    <x v="5"/>
    <x v="1"/>
    <n v="0.37440566037735851"/>
  </r>
  <r>
    <n v="4784"/>
    <d v="2023-01-04T00:00:00"/>
    <x v="3"/>
    <x v="0"/>
    <x v="12"/>
    <x v="2"/>
    <n v="1"/>
    <n v="147"/>
    <n v="20"/>
    <n v="117.6"/>
    <n v="79.42"/>
    <n v="38.18"/>
    <x v="11"/>
    <x v="1"/>
    <n v="0.32465986394557822"/>
  </r>
  <r>
    <n v="4785"/>
    <d v="2023-03-17T00:00:00"/>
    <x v="1"/>
    <x v="3"/>
    <x v="11"/>
    <x v="4"/>
    <n v="3"/>
    <n v="692"/>
    <n v="0"/>
    <n v="2076"/>
    <n v="1135.57"/>
    <n v="940.43"/>
    <x v="8"/>
    <x v="1"/>
    <n v="0.45300096339113677"/>
  </r>
  <r>
    <n v="4786"/>
    <d v="2024-01-17T00:00:00"/>
    <x v="1"/>
    <x v="0"/>
    <x v="13"/>
    <x v="4"/>
    <n v="9"/>
    <n v="944"/>
    <n v="0"/>
    <n v="8496"/>
    <n v="4995.9399999999996"/>
    <n v="3500.06"/>
    <x v="11"/>
    <x v="0"/>
    <n v="0.41196563088512239"/>
  </r>
  <r>
    <n v="4787"/>
    <d v="2024-08-26T00:00:00"/>
    <x v="3"/>
    <x v="0"/>
    <x v="12"/>
    <x v="4"/>
    <n v="9"/>
    <n v="12"/>
    <n v="15"/>
    <n v="91.8"/>
    <n v="48.09"/>
    <n v="43.71"/>
    <x v="2"/>
    <x v="0"/>
    <n v="0.47614379084967323"/>
  </r>
  <r>
    <n v="4788"/>
    <d v="2023-09-24T00:00:00"/>
    <x v="0"/>
    <x v="1"/>
    <x v="16"/>
    <x v="3"/>
    <n v="1"/>
    <n v="283"/>
    <n v="10"/>
    <n v="254.7"/>
    <n v="179.94"/>
    <n v="74.760000000000005"/>
    <x v="0"/>
    <x v="1"/>
    <n v="0.29352179034157838"/>
  </r>
  <r>
    <n v="4789"/>
    <d v="2024-07-22T00:00:00"/>
    <x v="2"/>
    <x v="4"/>
    <x v="14"/>
    <x v="2"/>
    <n v="7"/>
    <n v="902"/>
    <n v="0"/>
    <n v="6314"/>
    <n v="3336.82"/>
    <n v="2977.18"/>
    <x v="5"/>
    <x v="0"/>
    <n v="0.47152043078872347"/>
  </r>
  <r>
    <n v="4790"/>
    <d v="2024-06-14T00:00:00"/>
    <x v="3"/>
    <x v="0"/>
    <x v="0"/>
    <x v="1"/>
    <n v="1"/>
    <n v="91"/>
    <n v="5"/>
    <n v="86.45"/>
    <n v="63.85"/>
    <n v="22.6"/>
    <x v="4"/>
    <x v="0"/>
    <n v="0.26142278773857724"/>
  </r>
  <r>
    <n v="4791"/>
    <d v="2024-06-23T00:00:00"/>
    <x v="1"/>
    <x v="3"/>
    <x v="11"/>
    <x v="0"/>
    <n v="5"/>
    <n v="540"/>
    <n v="20"/>
    <n v="2160"/>
    <n v="1099.1199999999999"/>
    <n v="1060.8800000000001"/>
    <x v="4"/>
    <x v="0"/>
    <n v="0.49114814814814822"/>
  </r>
  <r>
    <n v="4792"/>
    <d v="2024-02-21T00:00:00"/>
    <x v="2"/>
    <x v="4"/>
    <x v="18"/>
    <x v="1"/>
    <n v="6"/>
    <n v="863"/>
    <n v="15"/>
    <n v="4401.3"/>
    <n v="2265.2800000000002"/>
    <n v="2136.02"/>
    <x v="9"/>
    <x v="0"/>
    <n v="0.48531570217890169"/>
  </r>
  <r>
    <n v="4793"/>
    <d v="2023-11-09T00:00:00"/>
    <x v="3"/>
    <x v="0"/>
    <x v="1"/>
    <x v="5"/>
    <n v="1"/>
    <n v="652"/>
    <n v="10"/>
    <n v="586.79999999999995"/>
    <n v="332.77"/>
    <n v="254.03"/>
    <x v="3"/>
    <x v="1"/>
    <n v="0.43290729379686438"/>
  </r>
  <r>
    <n v="4794"/>
    <d v="2023-09-14T00:00:00"/>
    <x v="3"/>
    <x v="3"/>
    <x v="19"/>
    <x v="2"/>
    <n v="3"/>
    <n v="501"/>
    <n v="5"/>
    <n v="1427.85"/>
    <n v="893.47"/>
    <n v="534.38"/>
    <x v="0"/>
    <x v="1"/>
    <n v="0.37425499877438106"/>
  </r>
  <r>
    <n v="4795"/>
    <d v="2023-01-29T00:00:00"/>
    <x v="3"/>
    <x v="0"/>
    <x v="13"/>
    <x v="2"/>
    <n v="8"/>
    <n v="583"/>
    <n v="0"/>
    <n v="4664"/>
    <n v="3531.31"/>
    <n v="1132.69"/>
    <x v="11"/>
    <x v="1"/>
    <n v="0.2428580617495712"/>
  </r>
  <r>
    <n v="4796"/>
    <d v="2024-01-15T00:00:00"/>
    <x v="1"/>
    <x v="2"/>
    <x v="3"/>
    <x v="3"/>
    <n v="4"/>
    <n v="608"/>
    <n v="15"/>
    <n v="2067.1999999999998"/>
    <n v="1044.5"/>
    <n v="1022.7"/>
    <x v="11"/>
    <x v="0"/>
    <n v="0.49472716718266263"/>
  </r>
  <r>
    <n v="4797"/>
    <d v="2023-08-03T00:00:00"/>
    <x v="3"/>
    <x v="4"/>
    <x v="18"/>
    <x v="0"/>
    <n v="4"/>
    <n v="546"/>
    <n v="20"/>
    <n v="1747.2"/>
    <n v="1145.9100000000001"/>
    <n v="601.29"/>
    <x v="2"/>
    <x v="1"/>
    <n v="0.34414491758241755"/>
  </r>
  <r>
    <n v="4798"/>
    <d v="2024-10-20T00:00:00"/>
    <x v="1"/>
    <x v="4"/>
    <x v="18"/>
    <x v="5"/>
    <n v="10"/>
    <n v="670"/>
    <n v="15"/>
    <n v="5695"/>
    <n v="3488.8"/>
    <n v="2206.1999999999998"/>
    <x v="1"/>
    <x v="0"/>
    <n v="0.38739244951712026"/>
  </r>
  <r>
    <n v="4799"/>
    <d v="2023-05-04T00:00:00"/>
    <x v="1"/>
    <x v="2"/>
    <x v="17"/>
    <x v="4"/>
    <n v="10"/>
    <n v="384"/>
    <n v="10"/>
    <n v="3456"/>
    <n v="2217.19"/>
    <n v="1238.81"/>
    <x v="7"/>
    <x v="1"/>
    <n v="0.35845196759259257"/>
  </r>
  <r>
    <n v="4800"/>
    <d v="2023-01-07T00:00:00"/>
    <x v="0"/>
    <x v="1"/>
    <x v="16"/>
    <x v="1"/>
    <n v="4"/>
    <n v="56"/>
    <n v="10"/>
    <n v="201.6"/>
    <n v="142.85"/>
    <n v="58.75"/>
    <x v="11"/>
    <x v="1"/>
    <n v="0.29141865079365081"/>
  </r>
  <r>
    <n v="4801"/>
    <d v="2024-01-25T00:00:00"/>
    <x v="3"/>
    <x v="1"/>
    <x v="5"/>
    <x v="3"/>
    <n v="3"/>
    <n v="919"/>
    <n v="0"/>
    <n v="2757"/>
    <n v="1394.38"/>
    <n v="1362.62"/>
    <x v="11"/>
    <x v="0"/>
    <n v="0.49424011606819002"/>
  </r>
  <r>
    <n v="4802"/>
    <d v="2024-02-06T00:00:00"/>
    <x v="2"/>
    <x v="1"/>
    <x v="16"/>
    <x v="5"/>
    <n v="1"/>
    <n v="878"/>
    <n v="10"/>
    <n v="790.2"/>
    <n v="469.06"/>
    <n v="321.14"/>
    <x v="9"/>
    <x v="0"/>
    <n v="0.40640344216654006"/>
  </r>
  <r>
    <n v="4803"/>
    <d v="2023-04-18T00:00:00"/>
    <x v="2"/>
    <x v="3"/>
    <x v="19"/>
    <x v="2"/>
    <n v="4"/>
    <n v="533"/>
    <n v="5"/>
    <n v="2025.4"/>
    <n v="1573.47"/>
    <n v="451.93"/>
    <x v="10"/>
    <x v="1"/>
    <n v="0.22313123333662485"/>
  </r>
  <r>
    <n v="4804"/>
    <d v="2024-06-17T00:00:00"/>
    <x v="3"/>
    <x v="3"/>
    <x v="19"/>
    <x v="0"/>
    <n v="8"/>
    <n v="547"/>
    <n v="15"/>
    <n v="3719.6"/>
    <n v="2082.5700000000002"/>
    <n v="1637.03"/>
    <x v="4"/>
    <x v="0"/>
    <n v="0.44010915152166902"/>
  </r>
  <r>
    <n v="4805"/>
    <d v="2023-01-07T00:00:00"/>
    <x v="2"/>
    <x v="3"/>
    <x v="19"/>
    <x v="4"/>
    <n v="4"/>
    <n v="690"/>
    <n v="5"/>
    <n v="2622"/>
    <n v="2027.24"/>
    <n v="594.76"/>
    <x v="11"/>
    <x v="1"/>
    <n v="0.22683447749809305"/>
  </r>
  <r>
    <n v="4806"/>
    <d v="2024-03-23T00:00:00"/>
    <x v="3"/>
    <x v="0"/>
    <x v="12"/>
    <x v="0"/>
    <n v="9"/>
    <n v="79"/>
    <n v="10"/>
    <n v="639.9"/>
    <n v="431.68"/>
    <n v="208.22"/>
    <x v="8"/>
    <x v="0"/>
    <n v="0.32539459290514144"/>
  </r>
  <r>
    <n v="4807"/>
    <d v="2024-11-25T00:00:00"/>
    <x v="3"/>
    <x v="2"/>
    <x v="6"/>
    <x v="0"/>
    <n v="6"/>
    <n v="162"/>
    <n v="20"/>
    <n v="777.6"/>
    <n v="571.66999999999996"/>
    <n v="205.93"/>
    <x v="3"/>
    <x v="0"/>
    <n v="0.26482767489711934"/>
  </r>
  <r>
    <n v="4808"/>
    <d v="2023-07-22T00:00:00"/>
    <x v="1"/>
    <x v="1"/>
    <x v="5"/>
    <x v="5"/>
    <n v="9"/>
    <n v="676"/>
    <n v="10"/>
    <n v="5475.6"/>
    <n v="3879.87"/>
    <n v="1595.73"/>
    <x v="5"/>
    <x v="1"/>
    <n v="0.29142559719482797"/>
  </r>
  <r>
    <n v="4809"/>
    <d v="2023-11-13T00:00:00"/>
    <x v="0"/>
    <x v="4"/>
    <x v="18"/>
    <x v="0"/>
    <n v="5"/>
    <n v="658"/>
    <n v="10"/>
    <n v="2961"/>
    <n v="1974.16"/>
    <n v="986.84"/>
    <x v="3"/>
    <x v="1"/>
    <n v="0.33327929753461671"/>
  </r>
  <r>
    <n v="4810"/>
    <d v="2024-08-13T00:00:00"/>
    <x v="0"/>
    <x v="0"/>
    <x v="1"/>
    <x v="1"/>
    <n v="3"/>
    <n v="614"/>
    <n v="20"/>
    <n v="1473.6"/>
    <n v="1144.73"/>
    <n v="328.87"/>
    <x v="2"/>
    <x v="0"/>
    <n v="0.22317453854505973"/>
  </r>
  <r>
    <n v="4811"/>
    <d v="2023-11-09T00:00:00"/>
    <x v="2"/>
    <x v="3"/>
    <x v="15"/>
    <x v="3"/>
    <n v="3"/>
    <n v="135"/>
    <n v="0"/>
    <n v="405"/>
    <n v="297.49"/>
    <n v="107.51"/>
    <x v="3"/>
    <x v="1"/>
    <n v="0.2654567901234568"/>
  </r>
  <r>
    <n v="4812"/>
    <d v="2024-05-10T00:00:00"/>
    <x v="3"/>
    <x v="2"/>
    <x v="10"/>
    <x v="1"/>
    <n v="2"/>
    <n v="575"/>
    <n v="15"/>
    <n v="977.5"/>
    <n v="532.26"/>
    <n v="445.24"/>
    <x v="7"/>
    <x v="0"/>
    <n v="0.45548849104859335"/>
  </r>
  <r>
    <n v="4813"/>
    <d v="2024-11-11T00:00:00"/>
    <x v="2"/>
    <x v="2"/>
    <x v="17"/>
    <x v="0"/>
    <n v="1"/>
    <n v="634"/>
    <n v="0"/>
    <n v="634"/>
    <n v="322.74"/>
    <n v="311.26"/>
    <x v="3"/>
    <x v="0"/>
    <n v="0.49094637223974763"/>
  </r>
  <r>
    <n v="4814"/>
    <d v="2024-04-22T00:00:00"/>
    <x v="3"/>
    <x v="1"/>
    <x v="7"/>
    <x v="5"/>
    <n v="7"/>
    <n v="679"/>
    <n v="15"/>
    <n v="4040.05"/>
    <n v="2034.08"/>
    <n v="2005.97"/>
    <x v="10"/>
    <x v="0"/>
    <n v="0.49652108265986805"/>
  </r>
  <r>
    <n v="4815"/>
    <d v="2024-08-10T00:00:00"/>
    <x v="0"/>
    <x v="0"/>
    <x v="0"/>
    <x v="0"/>
    <n v="2"/>
    <n v="827"/>
    <n v="0"/>
    <n v="1654"/>
    <n v="1173.5999999999999"/>
    <n v="480.4"/>
    <x v="2"/>
    <x v="0"/>
    <n v="0.29044740024183796"/>
  </r>
  <r>
    <n v="4816"/>
    <d v="2024-04-14T00:00:00"/>
    <x v="1"/>
    <x v="4"/>
    <x v="14"/>
    <x v="1"/>
    <n v="10"/>
    <n v="665"/>
    <n v="5"/>
    <n v="6317.5"/>
    <n v="3739.8"/>
    <n v="2577.6999999999998"/>
    <x v="10"/>
    <x v="0"/>
    <n v="0.40802532647407991"/>
  </r>
  <r>
    <n v="4817"/>
    <d v="2023-10-29T00:00:00"/>
    <x v="0"/>
    <x v="4"/>
    <x v="9"/>
    <x v="4"/>
    <n v="1"/>
    <n v="409"/>
    <n v="10"/>
    <n v="368.1"/>
    <n v="195.93"/>
    <n v="172.17"/>
    <x v="1"/>
    <x v="1"/>
    <n v="0.46772616136919309"/>
  </r>
  <r>
    <n v="4818"/>
    <d v="2023-07-14T00:00:00"/>
    <x v="2"/>
    <x v="4"/>
    <x v="9"/>
    <x v="5"/>
    <n v="10"/>
    <n v="425"/>
    <n v="20"/>
    <n v="3400"/>
    <n v="1966.86"/>
    <n v="1433.14"/>
    <x v="5"/>
    <x v="1"/>
    <n v="0.42151176470588236"/>
  </r>
  <r>
    <n v="4819"/>
    <d v="2023-11-27T00:00:00"/>
    <x v="1"/>
    <x v="4"/>
    <x v="14"/>
    <x v="2"/>
    <n v="9"/>
    <n v="835"/>
    <n v="5"/>
    <n v="7139.25"/>
    <n v="4791.74"/>
    <n v="2347.5100000000002"/>
    <x v="3"/>
    <x v="1"/>
    <n v="0.32881745281367092"/>
  </r>
  <r>
    <n v="4820"/>
    <d v="2024-09-13T00:00:00"/>
    <x v="1"/>
    <x v="0"/>
    <x v="1"/>
    <x v="3"/>
    <n v="7"/>
    <n v="600"/>
    <n v="5"/>
    <n v="3990"/>
    <n v="2406.25"/>
    <n v="1583.75"/>
    <x v="0"/>
    <x v="0"/>
    <n v="0.39692982456140352"/>
  </r>
  <r>
    <n v="4821"/>
    <d v="2023-04-05T00:00:00"/>
    <x v="2"/>
    <x v="0"/>
    <x v="0"/>
    <x v="0"/>
    <n v="3"/>
    <n v="575"/>
    <n v="15"/>
    <n v="1466.25"/>
    <n v="852.13"/>
    <n v="614.12"/>
    <x v="10"/>
    <x v="1"/>
    <n v="0.41883716965046891"/>
  </r>
  <r>
    <n v="4822"/>
    <d v="2024-04-04T00:00:00"/>
    <x v="3"/>
    <x v="3"/>
    <x v="4"/>
    <x v="5"/>
    <n v="8"/>
    <n v="662"/>
    <n v="20"/>
    <n v="4236.8"/>
    <n v="3389.28"/>
    <n v="847.52"/>
    <x v="10"/>
    <x v="0"/>
    <n v="0.20003776435045315"/>
  </r>
  <r>
    <n v="4823"/>
    <d v="2023-08-06T00:00:00"/>
    <x v="1"/>
    <x v="4"/>
    <x v="14"/>
    <x v="1"/>
    <n v="10"/>
    <n v="630"/>
    <n v="5"/>
    <n v="5985"/>
    <n v="3117.79"/>
    <n v="2867.21"/>
    <x v="2"/>
    <x v="1"/>
    <n v="0.47906599832915625"/>
  </r>
  <r>
    <n v="4824"/>
    <d v="2023-10-08T00:00:00"/>
    <x v="2"/>
    <x v="0"/>
    <x v="0"/>
    <x v="3"/>
    <n v="10"/>
    <n v="793"/>
    <n v="20"/>
    <n v="6344"/>
    <n v="3744.1"/>
    <n v="2599.9"/>
    <x v="1"/>
    <x v="1"/>
    <n v="0.40982030264817154"/>
  </r>
  <r>
    <n v="4825"/>
    <d v="2023-04-01T00:00:00"/>
    <x v="0"/>
    <x v="0"/>
    <x v="12"/>
    <x v="3"/>
    <n v="6"/>
    <n v="809"/>
    <n v="0"/>
    <n v="4854"/>
    <n v="3657.4"/>
    <n v="1196.5999999999999"/>
    <x v="10"/>
    <x v="1"/>
    <n v="0.24651833539348988"/>
  </r>
  <r>
    <n v="4826"/>
    <d v="2023-12-30T00:00:00"/>
    <x v="3"/>
    <x v="3"/>
    <x v="11"/>
    <x v="3"/>
    <n v="8"/>
    <n v="865"/>
    <n v="5"/>
    <n v="6574"/>
    <n v="4185.92"/>
    <n v="2388.08"/>
    <x v="6"/>
    <x v="1"/>
    <n v="0.36326133252205656"/>
  </r>
  <r>
    <n v="4827"/>
    <d v="2023-05-20T00:00:00"/>
    <x v="1"/>
    <x v="3"/>
    <x v="4"/>
    <x v="5"/>
    <n v="8"/>
    <n v="201"/>
    <n v="5"/>
    <n v="1527.6"/>
    <n v="1003.36"/>
    <n v="524.24"/>
    <x v="7"/>
    <x v="1"/>
    <n v="0.34317884262896048"/>
  </r>
  <r>
    <n v="4828"/>
    <d v="2024-06-14T00:00:00"/>
    <x v="3"/>
    <x v="4"/>
    <x v="8"/>
    <x v="3"/>
    <n v="3"/>
    <n v="20"/>
    <n v="10"/>
    <n v="54"/>
    <n v="28.98"/>
    <n v="25.02"/>
    <x v="4"/>
    <x v="0"/>
    <n v="0.46333333333333332"/>
  </r>
  <r>
    <n v="4829"/>
    <d v="2023-09-28T00:00:00"/>
    <x v="2"/>
    <x v="0"/>
    <x v="13"/>
    <x v="2"/>
    <n v="2"/>
    <n v="639"/>
    <n v="10"/>
    <n v="1150.2"/>
    <n v="785.47"/>
    <n v="364.73"/>
    <x v="0"/>
    <x v="1"/>
    <n v="0.31710137367414365"/>
  </r>
  <r>
    <n v="4830"/>
    <d v="2024-08-17T00:00:00"/>
    <x v="1"/>
    <x v="4"/>
    <x v="8"/>
    <x v="0"/>
    <n v="8"/>
    <n v="971"/>
    <n v="5"/>
    <n v="7379.6"/>
    <n v="5662.42"/>
    <n v="1717.18"/>
    <x v="2"/>
    <x v="0"/>
    <n v="0.23269282887961407"/>
  </r>
  <r>
    <n v="4831"/>
    <d v="2024-08-17T00:00:00"/>
    <x v="3"/>
    <x v="2"/>
    <x v="17"/>
    <x v="5"/>
    <n v="9"/>
    <n v="756"/>
    <n v="0"/>
    <n v="6804"/>
    <n v="3422.25"/>
    <n v="3381.75"/>
    <x v="2"/>
    <x v="0"/>
    <n v="0.49702380952380953"/>
  </r>
  <r>
    <n v="4832"/>
    <d v="2023-09-09T00:00:00"/>
    <x v="1"/>
    <x v="0"/>
    <x v="0"/>
    <x v="0"/>
    <n v="6"/>
    <n v="708"/>
    <n v="10"/>
    <n v="3823.2"/>
    <n v="2260.0300000000002"/>
    <n v="1563.17"/>
    <x v="0"/>
    <x v="1"/>
    <n v="0.40886430215526265"/>
  </r>
  <r>
    <n v="4833"/>
    <d v="2024-08-07T00:00:00"/>
    <x v="2"/>
    <x v="2"/>
    <x v="3"/>
    <x v="0"/>
    <n v="8"/>
    <n v="788"/>
    <n v="20"/>
    <n v="5043.2"/>
    <n v="3303.59"/>
    <n v="1739.61"/>
    <x v="2"/>
    <x v="0"/>
    <n v="0.34494170368020305"/>
  </r>
  <r>
    <n v="4834"/>
    <d v="2023-12-03T00:00:00"/>
    <x v="1"/>
    <x v="4"/>
    <x v="9"/>
    <x v="4"/>
    <n v="9"/>
    <n v="694"/>
    <n v="5"/>
    <n v="5933.7"/>
    <n v="3902.18"/>
    <n v="2031.52"/>
    <x v="6"/>
    <x v="1"/>
    <n v="0.34236985354837624"/>
  </r>
  <r>
    <n v="4835"/>
    <d v="2023-05-24T00:00:00"/>
    <x v="2"/>
    <x v="0"/>
    <x v="12"/>
    <x v="4"/>
    <n v="8"/>
    <n v="706"/>
    <n v="20"/>
    <n v="4518.3999999999996"/>
    <n v="3358.08"/>
    <n v="1160.32"/>
    <x v="7"/>
    <x v="1"/>
    <n v="0.25679886685552411"/>
  </r>
  <r>
    <n v="4836"/>
    <d v="2024-05-02T00:00:00"/>
    <x v="0"/>
    <x v="2"/>
    <x v="6"/>
    <x v="4"/>
    <n v="9"/>
    <n v="711"/>
    <n v="0"/>
    <n v="6399"/>
    <n v="4060.55"/>
    <n v="2338.4499999999998"/>
    <x v="7"/>
    <x v="0"/>
    <n v="0.36543991248632596"/>
  </r>
  <r>
    <n v="4837"/>
    <d v="2024-04-14T00:00:00"/>
    <x v="0"/>
    <x v="4"/>
    <x v="9"/>
    <x v="2"/>
    <n v="5"/>
    <n v="284"/>
    <n v="5"/>
    <n v="1349"/>
    <n v="784.88"/>
    <n v="564.12"/>
    <x v="10"/>
    <x v="0"/>
    <n v="0.41817642698295032"/>
  </r>
  <r>
    <n v="4838"/>
    <d v="2024-06-21T00:00:00"/>
    <x v="2"/>
    <x v="3"/>
    <x v="4"/>
    <x v="3"/>
    <n v="10"/>
    <n v="747"/>
    <n v="0"/>
    <n v="7470"/>
    <n v="5958.02"/>
    <n v="1511.98"/>
    <x v="4"/>
    <x v="0"/>
    <n v="0.20240696117804552"/>
  </r>
  <r>
    <n v="4839"/>
    <d v="2023-01-17T00:00:00"/>
    <x v="2"/>
    <x v="1"/>
    <x v="7"/>
    <x v="1"/>
    <n v="7"/>
    <n v="159"/>
    <n v="10"/>
    <n v="1001.7"/>
    <n v="547.88"/>
    <n v="453.82"/>
    <x v="11"/>
    <x v="1"/>
    <n v="0.45304981531396621"/>
  </r>
  <r>
    <n v="4840"/>
    <d v="2024-10-05T00:00:00"/>
    <x v="2"/>
    <x v="3"/>
    <x v="19"/>
    <x v="3"/>
    <n v="8"/>
    <n v="533"/>
    <n v="0"/>
    <n v="4264"/>
    <n v="2990"/>
    <n v="1274"/>
    <x v="1"/>
    <x v="0"/>
    <n v="0.29878048780487804"/>
  </r>
  <r>
    <n v="4841"/>
    <d v="2024-02-12T00:00:00"/>
    <x v="2"/>
    <x v="0"/>
    <x v="12"/>
    <x v="1"/>
    <n v="6"/>
    <n v="491"/>
    <n v="15"/>
    <n v="2504.1"/>
    <n v="1328.35"/>
    <n v="1175.75"/>
    <x v="9"/>
    <x v="0"/>
    <n v="0.46952997084780962"/>
  </r>
  <r>
    <n v="4842"/>
    <d v="2024-04-02T00:00:00"/>
    <x v="2"/>
    <x v="0"/>
    <x v="12"/>
    <x v="0"/>
    <n v="7"/>
    <n v="219"/>
    <n v="5"/>
    <n v="1456.35"/>
    <n v="845.89"/>
    <n v="610.46"/>
    <x v="10"/>
    <x v="0"/>
    <n v="0.41917121571050919"/>
  </r>
  <r>
    <n v="4843"/>
    <d v="2024-06-03T00:00:00"/>
    <x v="3"/>
    <x v="3"/>
    <x v="15"/>
    <x v="0"/>
    <n v="5"/>
    <n v="995"/>
    <n v="5"/>
    <n v="4726.25"/>
    <n v="3652.66"/>
    <n v="1073.5899999999999"/>
    <x v="4"/>
    <x v="0"/>
    <n v="0.22715472097328748"/>
  </r>
  <r>
    <n v="4844"/>
    <d v="2023-10-12T00:00:00"/>
    <x v="2"/>
    <x v="3"/>
    <x v="4"/>
    <x v="1"/>
    <n v="3"/>
    <n v="850"/>
    <n v="20"/>
    <n v="2040"/>
    <n v="1402.58"/>
    <n v="637.41999999999996"/>
    <x v="1"/>
    <x v="1"/>
    <n v="0.31246078431372548"/>
  </r>
  <r>
    <n v="4845"/>
    <d v="2024-05-28T00:00:00"/>
    <x v="2"/>
    <x v="0"/>
    <x v="1"/>
    <x v="1"/>
    <n v="3"/>
    <n v="616"/>
    <n v="20"/>
    <n v="1478.4"/>
    <n v="1121.07"/>
    <n v="357.33"/>
    <x v="7"/>
    <x v="0"/>
    <n v="0.24170048701298699"/>
  </r>
  <r>
    <n v="4846"/>
    <d v="2024-08-21T00:00:00"/>
    <x v="3"/>
    <x v="2"/>
    <x v="3"/>
    <x v="3"/>
    <n v="7"/>
    <n v="128"/>
    <n v="5"/>
    <n v="851.2"/>
    <n v="665.59"/>
    <n v="185.61"/>
    <x v="2"/>
    <x v="0"/>
    <n v="0.21805686090225565"/>
  </r>
  <r>
    <n v="4847"/>
    <d v="2023-06-08T00:00:00"/>
    <x v="1"/>
    <x v="1"/>
    <x v="5"/>
    <x v="4"/>
    <n v="4"/>
    <n v="87"/>
    <n v="15"/>
    <n v="295.8"/>
    <n v="191.75"/>
    <n v="104.05"/>
    <x v="4"/>
    <x v="1"/>
    <n v="0.35175794455713316"/>
  </r>
  <r>
    <n v="4848"/>
    <d v="2024-06-15T00:00:00"/>
    <x v="0"/>
    <x v="1"/>
    <x v="16"/>
    <x v="3"/>
    <n v="7"/>
    <n v="577"/>
    <n v="15"/>
    <n v="3433.15"/>
    <n v="2448.9899999999998"/>
    <n v="984.16"/>
    <x v="4"/>
    <x v="0"/>
    <n v="0.28666385098233399"/>
  </r>
  <r>
    <n v="4849"/>
    <d v="2024-03-12T00:00:00"/>
    <x v="1"/>
    <x v="0"/>
    <x v="12"/>
    <x v="5"/>
    <n v="4"/>
    <n v="509"/>
    <n v="0"/>
    <n v="2036"/>
    <n v="1088.6400000000001"/>
    <n v="947.36"/>
    <x v="8"/>
    <x v="0"/>
    <n v="0.46530451866404715"/>
  </r>
  <r>
    <n v="4850"/>
    <d v="2024-06-26T00:00:00"/>
    <x v="0"/>
    <x v="2"/>
    <x v="6"/>
    <x v="4"/>
    <n v="5"/>
    <n v="300"/>
    <n v="0"/>
    <n v="1500"/>
    <n v="750.07"/>
    <n v="749.93"/>
    <x v="4"/>
    <x v="0"/>
    <n v="0.49995333333333331"/>
  </r>
  <r>
    <n v="4851"/>
    <d v="2024-11-18T00:00:00"/>
    <x v="3"/>
    <x v="4"/>
    <x v="9"/>
    <x v="1"/>
    <n v="2"/>
    <n v="438"/>
    <n v="15"/>
    <n v="744.6"/>
    <n v="379.15"/>
    <n v="365.45"/>
    <x v="3"/>
    <x v="0"/>
    <n v="0.49080042976094546"/>
  </r>
  <r>
    <n v="4852"/>
    <d v="2024-09-01T00:00:00"/>
    <x v="3"/>
    <x v="2"/>
    <x v="3"/>
    <x v="4"/>
    <n v="4"/>
    <n v="210"/>
    <n v="5"/>
    <n v="798"/>
    <n v="546.14"/>
    <n v="251.86"/>
    <x v="0"/>
    <x v="0"/>
    <n v="0.31561403508771929"/>
  </r>
  <r>
    <n v="4853"/>
    <d v="2024-12-07T00:00:00"/>
    <x v="0"/>
    <x v="3"/>
    <x v="11"/>
    <x v="2"/>
    <n v="6"/>
    <n v="875"/>
    <n v="15"/>
    <n v="4462.5"/>
    <n v="2375.85"/>
    <n v="2086.65"/>
    <x v="6"/>
    <x v="0"/>
    <n v="0.46759663865546219"/>
  </r>
  <r>
    <n v="4854"/>
    <d v="2024-11-19T00:00:00"/>
    <x v="2"/>
    <x v="2"/>
    <x v="6"/>
    <x v="2"/>
    <n v="8"/>
    <n v="741"/>
    <n v="0"/>
    <n v="5928"/>
    <n v="4051.98"/>
    <n v="1876.02"/>
    <x v="3"/>
    <x v="0"/>
    <n v="0.31646761133603241"/>
  </r>
  <r>
    <n v="4855"/>
    <d v="2023-10-05T00:00:00"/>
    <x v="2"/>
    <x v="3"/>
    <x v="19"/>
    <x v="4"/>
    <n v="5"/>
    <n v="734"/>
    <n v="20"/>
    <n v="2936"/>
    <n v="1597.58"/>
    <n v="1338.42"/>
    <x v="1"/>
    <x v="1"/>
    <n v="0.45586512261580386"/>
  </r>
  <r>
    <n v="4856"/>
    <d v="2024-07-21T00:00:00"/>
    <x v="0"/>
    <x v="3"/>
    <x v="4"/>
    <x v="5"/>
    <n v="10"/>
    <n v="225"/>
    <n v="0"/>
    <n v="2250"/>
    <n v="1368.18"/>
    <n v="881.82"/>
    <x v="5"/>
    <x v="0"/>
    <n v="0.39192000000000005"/>
  </r>
  <r>
    <n v="4857"/>
    <d v="2023-08-02T00:00:00"/>
    <x v="0"/>
    <x v="1"/>
    <x v="5"/>
    <x v="2"/>
    <n v="6"/>
    <n v="277"/>
    <n v="5"/>
    <n v="1578.9"/>
    <n v="1139.52"/>
    <n v="439.38"/>
    <x v="2"/>
    <x v="1"/>
    <n v="0.27828234847045408"/>
  </r>
  <r>
    <n v="4858"/>
    <d v="2024-05-02T00:00:00"/>
    <x v="2"/>
    <x v="3"/>
    <x v="15"/>
    <x v="2"/>
    <n v="7"/>
    <n v="372"/>
    <n v="0"/>
    <n v="2604"/>
    <n v="1679.16"/>
    <n v="924.84"/>
    <x v="7"/>
    <x v="0"/>
    <n v="0.35516129032258065"/>
  </r>
  <r>
    <n v="4859"/>
    <d v="2023-04-24T00:00:00"/>
    <x v="3"/>
    <x v="2"/>
    <x v="17"/>
    <x v="4"/>
    <n v="8"/>
    <n v="285"/>
    <n v="15"/>
    <n v="1938"/>
    <n v="974.97"/>
    <n v="963.03"/>
    <x v="10"/>
    <x v="1"/>
    <n v="0.49691950464396284"/>
  </r>
  <r>
    <n v="4860"/>
    <d v="2024-04-07T00:00:00"/>
    <x v="2"/>
    <x v="1"/>
    <x v="2"/>
    <x v="2"/>
    <n v="9"/>
    <n v="394"/>
    <n v="0"/>
    <n v="3546"/>
    <n v="1790.19"/>
    <n v="1755.81"/>
    <x v="10"/>
    <x v="0"/>
    <n v="0.49515228426395935"/>
  </r>
  <r>
    <n v="4861"/>
    <d v="2024-09-13T00:00:00"/>
    <x v="2"/>
    <x v="3"/>
    <x v="11"/>
    <x v="1"/>
    <n v="1"/>
    <n v="887"/>
    <n v="10"/>
    <n v="798.3"/>
    <n v="553.4"/>
    <n v="244.9"/>
    <x v="0"/>
    <x v="0"/>
    <n v="0.30677690091444321"/>
  </r>
  <r>
    <n v="4862"/>
    <d v="2023-07-01T00:00:00"/>
    <x v="3"/>
    <x v="2"/>
    <x v="10"/>
    <x v="0"/>
    <n v="2"/>
    <n v="843"/>
    <n v="15"/>
    <n v="1433.1"/>
    <n v="856.65"/>
    <n v="576.45000000000005"/>
    <x v="5"/>
    <x v="1"/>
    <n v="0.40223989951852634"/>
  </r>
  <r>
    <n v="4863"/>
    <d v="2024-09-25T00:00:00"/>
    <x v="0"/>
    <x v="3"/>
    <x v="15"/>
    <x v="3"/>
    <n v="8"/>
    <n v="538"/>
    <n v="5"/>
    <n v="4088.8"/>
    <n v="3078.25"/>
    <n v="1010.55"/>
    <x v="0"/>
    <x v="0"/>
    <n v="0.24715075327724514"/>
  </r>
  <r>
    <n v="4864"/>
    <d v="2024-12-11T00:00:00"/>
    <x v="0"/>
    <x v="2"/>
    <x v="3"/>
    <x v="3"/>
    <n v="6"/>
    <n v="363"/>
    <n v="5"/>
    <n v="2069.1"/>
    <n v="1167.31"/>
    <n v="901.79"/>
    <x v="6"/>
    <x v="0"/>
    <n v="0.43583683727224398"/>
  </r>
  <r>
    <n v="4865"/>
    <d v="2023-09-24T00:00:00"/>
    <x v="2"/>
    <x v="2"/>
    <x v="6"/>
    <x v="4"/>
    <n v="1"/>
    <n v="370"/>
    <n v="20"/>
    <n v="296"/>
    <n v="173.39"/>
    <n v="122.61"/>
    <x v="0"/>
    <x v="1"/>
    <n v="0.41422297297297295"/>
  </r>
  <r>
    <n v="4866"/>
    <d v="2024-07-06T00:00:00"/>
    <x v="1"/>
    <x v="2"/>
    <x v="10"/>
    <x v="0"/>
    <n v="1"/>
    <n v="84"/>
    <n v="20"/>
    <n v="67.2"/>
    <n v="50.51"/>
    <n v="16.690000000000001"/>
    <x v="5"/>
    <x v="0"/>
    <n v="0.24836309523809524"/>
  </r>
  <r>
    <n v="4867"/>
    <d v="2023-06-15T00:00:00"/>
    <x v="3"/>
    <x v="4"/>
    <x v="18"/>
    <x v="1"/>
    <n v="5"/>
    <n v="958"/>
    <n v="20"/>
    <n v="3832"/>
    <n v="2594.52"/>
    <n v="1237.48"/>
    <x v="4"/>
    <x v="1"/>
    <n v="0.32293319415448851"/>
  </r>
  <r>
    <n v="4868"/>
    <d v="2024-02-09T00:00:00"/>
    <x v="3"/>
    <x v="4"/>
    <x v="14"/>
    <x v="3"/>
    <n v="9"/>
    <n v="91"/>
    <n v="0"/>
    <n v="819"/>
    <n v="643.25"/>
    <n v="175.75"/>
    <x v="9"/>
    <x v="0"/>
    <n v="0.21459096459096458"/>
  </r>
  <r>
    <n v="4869"/>
    <d v="2024-12-01T00:00:00"/>
    <x v="1"/>
    <x v="0"/>
    <x v="13"/>
    <x v="1"/>
    <n v="1"/>
    <n v="405"/>
    <n v="5"/>
    <n v="384.75"/>
    <n v="288.58999999999997"/>
    <n v="96.16"/>
    <x v="6"/>
    <x v="0"/>
    <n v="0.2499285250162443"/>
  </r>
  <r>
    <n v="4870"/>
    <d v="2024-01-01T00:00:00"/>
    <x v="3"/>
    <x v="3"/>
    <x v="4"/>
    <x v="4"/>
    <n v="1"/>
    <n v="27"/>
    <n v="0"/>
    <n v="27"/>
    <n v="16.010000000000002"/>
    <n v="10.99"/>
    <x v="11"/>
    <x v="0"/>
    <n v="0.40703703703703703"/>
  </r>
  <r>
    <n v="4871"/>
    <d v="2023-09-08T00:00:00"/>
    <x v="2"/>
    <x v="0"/>
    <x v="0"/>
    <x v="3"/>
    <n v="6"/>
    <n v="983"/>
    <n v="0"/>
    <n v="5898"/>
    <n v="4497.24"/>
    <n v="1400.76"/>
    <x v="0"/>
    <x v="1"/>
    <n v="0.23749745676500508"/>
  </r>
  <r>
    <n v="4872"/>
    <d v="2023-07-20T00:00:00"/>
    <x v="3"/>
    <x v="1"/>
    <x v="7"/>
    <x v="5"/>
    <n v="3"/>
    <n v="702"/>
    <n v="0"/>
    <n v="2106"/>
    <n v="1309.22"/>
    <n v="796.78"/>
    <x v="5"/>
    <x v="1"/>
    <n v="0.37833808167141497"/>
  </r>
  <r>
    <n v="4873"/>
    <d v="2023-09-27T00:00:00"/>
    <x v="3"/>
    <x v="3"/>
    <x v="15"/>
    <x v="3"/>
    <n v="10"/>
    <n v="827"/>
    <n v="20"/>
    <n v="6616"/>
    <n v="4343.4399999999996"/>
    <n v="2272.56"/>
    <x v="0"/>
    <x v="1"/>
    <n v="0.34349455864570738"/>
  </r>
  <r>
    <n v="4874"/>
    <d v="2024-08-09T00:00:00"/>
    <x v="1"/>
    <x v="3"/>
    <x v="19"/>
    <x v="0"/>
    <n v="6"/>
    <n v="740"/>
    <n v="15"/>
    <n v="3774"/>
    <n v="2404.35"/>
    <n v="1369.65"/>
    <x v="2"/>
    <x v="0"/>
    <n v="0.3629173290937997"/>
  </r>
  <r>
    <n v="4875"/>
    <d v="2023-03-11T00:00:00"/>
    <x v="3"/>
    <x v="2"/>
    <x v="6"/>
    <x v="0"/>
    <n v="2"/>
    <n v="777"/>
    <n v="5"/>
    <n v="1476.3"/>
    <n v="783.33"/>
    <n v="692.97"/>
    <x v="8"/>
    <x v="1"/>
    <n v="0.46939646413330627"/>
  </r>
  <r>
    <n v="4876"/>
    <d v="2023-05-10T00:00:00"/>
    <x v="1"/>
    <x v="3"/>
    <x v="15"/>
    <x v="1"/>
    <n v="2"/>
    <n v="600"/>
    <n v="15"/>
    <n v="1020"/>
    <n v="714.41"/>
    <n v="305.58999999999997"/>
    <x v="7"/>
    <x v="1"/>
    <n v="0.29959803921568623"/>
  </r>
  <r>
    <n v="4877"/>
    <d v="2024-01-26T00:00:00"/>
    <x v="2"/>
    <x v="1"/>
    <x v="16"/>
    <x v="3"/>
    <n v="6"/>
    <n v="691"/>
    <n v="15"/>
    <n v="3524.1"/>
    <n v="2165.6799999999998"/>
    <n v="1358.42"/>
    <x v="11"/>
    <x v="0"/>
    <n v="0.38546579268465708"/>
  </r>
  <r>
    <n v="4878"/>
    <d v="2023-05-28T00:00:00"/>
    <x v="1"/>
    <x v="1"/>
    <x v="5"/>
    <x v="1"/>
    <n v="5"/>
    <n v="606"/>
    <n v="5"/>
    <n v="2878.5"/>
    <n v="1801.4"/>
    <n v="1077.0999999999999"/>
    <x v="7"/>
    <x v="1"/>
    <n v="0.37418794511030046"/>
  </r>
  <r>
    <n v="4879"/>
    <d v="2023-04-10T00:00:00"/>
    <x v="2"/>
    <x v="0"/>
    <x v="0"/>
    <x v="1"/>
    <n v="8"/>
    <n v="648"/>
    <n v="20"/>
    <n v="4147.2"/>
    <n v="2088.62"/>
    <n v="2058.58"/>
    <x v="10"/>
    <x v="1"/>
    <n v="0.49637827932098766"/>
  </r>
  <r>
    <n v="4880"/>
    <d v="2023-05-25T00:00:00"/>
    <x v="3"/>
    <x v="4"/>
    <x v="18"/>
    <x v="0"/>
    <n v="5"/>
    <n v="606"/>
    <n v="10"/>
    <n v="2727"/>
    <n v="1400.28"/>
    <n v="1326.72"/>
    <x v="7"/>
    <x v="1"/>
    <n v="0.48651265126512655"/>
  </r>
  <r>
    <n v="4881"/>
    <d v="2023-03-15T00:00:00"/>
    <x v="2"/>
    <x v="1"/>
    <x v="5"/>
    <x v="4"/>
    <n v="6"/>
    <n v="997"/>
    <n v="0"/>
    <n v="5982"/>
    <n v="4317.8500000000004"/>
    <n v="1664.15"/>
    <x v="8"/>
    <x v="1"/>
    <n v="0.278192912069542"/>
  </r>
  <r>
    <n v="4882"/>
    <d v="2023-06-14T00:00:00"/>
    <x v="0"/>
    <x v="3"/>
    <x v="4"/>
    <x v="5"/>
    <n v="6"/>
    <n v="442"/>
    <n v="0"/>
    <n v="2652"/>
    <n v="1472.1"/>
    <n v="1179.9000000000001"/>
    <x v="4"/>
    <x v="1"/>
    <n v="0.44490950226244347"/>
  </r>
  <r>
    <n v="4883"/>
    <d v="2023-05-23T00:00:00"/>
    <x v="2"/>
    <x v="1"/>
    <x v="5"/>
    <x v="5"/>
    <n v="6"/>
    <n v="600"/>
    <n v="10"/>
    <n v="3240"/>
    <n v="2345.9"/>
    <n v="894.1"/>
    <x v="7"/>
    <x v="1"/>
    <n v="0.27595679012345681"/>
  </r>
  <r>
    <n v="4884"/>
    <d v="2023-11-16T00:00:00"/>
    <x v="3"/>
    <x v="3"/>
    <x v="19"/>
    <x v="5"/>
    <n v="9"/>
    <n v="839"/>
    <n v="5"/>
    <n v="7173.45"/>
    <n v="4319.7299999999996"/>
    <n v="2853.72"/>
    <x v="3"/>
    <x v="1"/>
    <n v="0.39781695000313655"/>
  </r>
  <r>
    <n v="4885"/>
    <d v="2023-10-30T00:00:00"/>
    <x v="1"/>
    <x v="4"/>
    <x v="18"/>
    <x v="0"/>
    <n v="5"/>
    <n v="67"/>
    <n v="0"/>
    <n v="335"/>
    <n v="204.35"/>
    <n v="130.65"/>
    <x v="1"/>
    <x v="1"/>
    <n v="0.39"/>
  </r>
  <r>
    <n v="4886"/>
    <d v="2024-12-25T00:00:00"/>
    <x v="3"/>
    <x v="0"/>
    <x v="0"/>
    <x v="3"/>
    <n v="2"/>
    <n v="374"/>
    <n v="0"/>
    <n v="748"/>
    <n v="397.15"/>
    <n v="350.85"/>
    <x v="6"/>
    <x v="0"/>
    <n v="0.46905080213903744"/>
  </r>
  <r>
    <n v="4887"/>
    <d v="2023-12-06T00:00:00"/>
    <x v="0"/>
    <x v="0"/>
    <x v="1"/>
    <x v="2"/>
    <n v="3"/>
    <n v="985"/>
    <n v="15"/>
    <n v="2511.75"/>
    <n v="1864.49"/>
    <n v="647.26"/>
    <x v="6"/>
    <x v="1"/>
    <n v="0.2576928436349159"/>
  </r>
  <r>
    <n v="4888"/>
    <d v="2023-08-14T00:00:00"/>
    <x v="0"/>
    <x v="3"/>
    <x v="4"/>
    <x v="0"/>
    <n v="5"/>
    <n v="480"/>
    <n v="10"/>
    <n v="2160"/>
    <n v="1642.29"/>
    <n v="517.71"/>
    <x v="2"/>
    <x v="1"/>
    <n v="0.23968055555555556"/>
  </r>
  <r>
    <n v="4889"/>
    <d v="2024-08-17T00:00:00"/>
    <x v="0"/>
    <x v="1"/>
    <x v="2"/>
    <x v="1"/>
    <n v="9"/>
    <n v="865"/>
    <n v="0"/>
    <n v="7785"/>
    <n v="6079.78"/>
    <n v="1705.22"/>
    <x v="2"/>
    <x v="0"/>
    <n v="0.21903917790622993"/>
  </r>
  <r>
    <n v="4890"/>
    <d v="2024-01-05T00:00:00"/>
    <x v="3"/>
    <x v="2"/>
    <x v="10"/>
    <x v="1"/>
    <n v="2"/>
    <n v="536"/>
    <n v="0"/>
    <n v="1072"/>
    <n v="786.23"/>
    <n v="285.77"/>
    <x v="11"/>
    <x v="0"/>
    <n v="0.26657649253731341"/>
  </r>
  <r>
    <n v="4891"/>
    <d v="2024-11-06T00:00:00"/>
    <x v="2"/>
    <x v="2"/>
    <x v="10"/>
    <x v="5"/>
    <n v="5"/>
    <n v="915"/>
    <n v="5"/>
    <n v="4346.25"/>
    <n v="2194.12"/>
    <n v="2152.13"/>
    <x v="3"/>
    <x v="0"/>
    <n v="0.49516939890710387"/>
  </r>
  <r>
    <n v="4892"/>
    <d v="2024-10-26T00:00:00"/>
    <x v="3"/>
    <x v="4"/>
    <x v="18"/>
    <x v="3"/>
    <n v="2"/>
    <n v="979"/>
    <n v="0"/>
    <n v="1958"/>
    <n v="1061.79"/>
    <n v="896.21"/>
    <x v="1"/>
    <x v="0"/>
    <n v="0.45771705822267622"/>
  </r>
  <r>
    <n v="4893"/>
    <d v="2024-06-12T00:00:00"/>
    <x v="0"/>
    <x v="2"/>
    <x v="6"/>
    <x v="4"/>
    <n v="7"/>
    <n v="117"/>
    <n v="20"/>
    <n v="655.20000000000005"/>
    <n v="414.13"/>
    <n v="241.07"/>
    <x v="4"/>
    <x v="0"/>
    <n v="0.3679334554334554"/>
  </r>
  <r>
    <n v="4894"/>
    <d v="2024-01-28T00:00:00"/>
    <x v="3"/>
    <x v="4"/>
    <x v="18"/>
    <x v="2"/>
    <n v="4"/>
    <n v="960"/>
    <n v="5"/>
    <n v="3648"/>
    <n v="2524.1"/>
    <n v="1123.9000000000001"/>
    <x v="11"/>
    <x v="0"/>
    <n v="0.3080866228070176"/>
  </r>
  <r>
    <n v="4895"/>
    <d v="2024-08-20T00:00:00"/>
    <x v="0"/>
    <x v="2"/>
    <x v="6"/>
    <x v="3"/>
    <n v="4"/>
    <n v="770"/>
    <n v="10"/>
    <n v="2772"/>
    <n v="1936.04"/>
    <n v="835.96"/>
    <x v="2"/>
    <x v="0"/>
    <n v="0.3015728715728716"/>
  </r>
  <r>
    <n v="4896"/>
    <d v="2023-05-16T00:00:00"/>
    <x v="2"/>
    <x v="2"/>
    <x v="3"/>
    <x v="2"/>
    <n v="4"/>
    <n v="731"/>
    <n v="15"/>
    <n v="2485.4"/>
    <n v="1452.44"/>
    <n v="1032.96"/>
    <x v="7"/>
    <x v="1"/>
    <n v="0.41561116922829322"/>
  </r>
  <r>
    <n v="4897"/>
    <d v="2023-11-07T00:00:00"/>
    <x v="0"/>
    <x v="1"/>
    <x v="2"/>
    <x v="1"/>
    <n v="4"/>
    <n v="838"/>
    <n v="5"/>
    <n v="3184.4"/>
    <n v="2039.83"/>
    <n v="1144.57"/>
    <x v="3"/>
    <x v="1"/>
    <n v="0.3594303479462379"/>
  </r>
  <r>
    <n v="4898"/>
    <d v="2024-07-16T00:00:00"/>
    <x v="2"/>
    <x v="4"/>
    <x v="18"/>
    <x v="4"/>
    <n v="4"/>
    <n v="514"/>
    <n v="20"/>
    <n v="1644.8"/>
    <n v="1236.8499999999999"/>
    <n v="407.95"/>
    <x v="5"/>
    <x v="0"/>
    <n v="0.24802407587548639"/>
  </r>
  <r>
    <n v="4899"/>
    <d v="2023-06-30T00:00:00"/>
    <x v="2"/>
    <x v="2"/>
    <x v="6"/>
    <x v="2"/>
    <n v="5"/>
    <n v="180"/>
    <n v="20"/>
    <n v="720"/>
    <n v="525.74"/>
    <n v="194.26"/>
    <x v="4"/>
    <x v="1"/>
    <n v="0.26980555555555552"/>
  </r>
  <r>
    <n v="4900"/>
    <d v="2024-11-20T00:00:00"/>
    <x v="3"/>
    <x v="1"/>
    <x v="7"/>
    <x v="4"/>
    <n v="10"/>
    <n v="998"/>
    <n v="15"/>
    <n v="8483"/>
    <n v="4810.6400000000003"/>
    <n v="3672.36"/>
    <x v="3"/>
    <x v="0"/>
    <n v="0.43290816927973597"/>
  </r>
  <r>
    <n v="4901"/>
    <d v="2024-05-21T00:00:00"/>
    <x v="2"/>
    <x v="1"/>
    <x v="2"/>
    <x v="5"/>
    <n v="2"/>
    <n v="807"/>
    <n v="20"/>
    <n v="1291.2"/>
    <n v="804.19"/>
    <n v="487.01"/>
    <x v="7"/>
    <x v="0"/>
    <n v="0.37717627013630728"/>
  </r>
  <r>
    <n v="4902"/>
    <d v="2024-03-11T00:00:00"/>
    <x v="3"/>
    <x v="2"/>
    <x v="3"/>
    <x v="3"/>
    <n v="4"/>
    <n v="46"/>
    <n v="0"/>
    <n v="184"/>
    <n v="116.43"/>
    <n v="67.569999999999993"/>
    <x v="8"/>
    <x v="0"/>
    <n v="0.36722826086956517"/>
  </r>
  <r>
    <n v="4903"/>
    <d v="2023-11-26T00:00:00"/>
    <x v="1"/>
    <x v="0"/>
    <x v="0"/>
    <x v="0"/>
    <n v="2"/>
    <n v="143"/>
    <n v="5"/>
    <n v="271.7"/>
    <n v="144.36000000000001"/>
    <n v="127.34"/>
    <x v="3"/>
    <x v="1"/>
    <n v="0.46867868973132132"/>
  </r>
  <r>
    <n v="4904"/>
    <d v="2024-11-03T00:00:00"/>
    <x v="0"/>
    <x v="4"/>
    <x v="9"/>
    <x v="5"/>
    <n v="10"/>
    <n v="821"/>
    <n v="5"/>
    <n v="7799.5"/>
    <n v="4080.23"/>
    <n v="3719.27"/>
    <x v="3"/>
    <x v="0"/>
    <n v="0.47686005513173924"/>
  </r>
  <r>
    <n v="4905"/>
    <d v="2024-09-10T00:00:00"/>
    <x v="1"/>
    <x v="3"/>
    <x v="19"/>
    <x v="2"/>
    <n v="6"/>
    <n v="829"/>
    <n v="10"/>
    <n v="4476.6000000000004"/>
    <n v="2738.08"/>
    <n v="1738.52"/>
    <x v="0"/>
    <x v="0"/>
    <n v="0.38835723540186745"/>
  </r>
  <r>
    <n v="4906"/>
    <d v="2023-09-03T00:00:00"/>
    <x v="1"/>
    <x v="2"/>
    <x v="17"/>
    <x v="5"/>
    <n v="2"/>
    <n v="670"/>
    <n v="0"/>
    <n v="1340"/>
    <n v="938.58"/>
    <n v="401.42"/>
    <x v="0"/>
    <x v="1"/>
    <n v="0.29956716417910451"/>
  </r>
  <r>
    <n v="4907"/>
    <d v="2023-04-15T00:00:00"/>
    <x v="0"/>
    <x v="0"/>
    <x v="0"/>
    <x v="4"/>
    <n v="3"/>
    <n v="683"/>
    <n v="0"/>
    <n v="2049"/>
    <n v="1631.93"/>
    <n v="417.07"/>
    <x v="10"/>
    <x v="1"/>
    <n v="0.20354807223035626"/>
  </r>
  <r>
    <n v="4908"/>
    <d v="2023-08-05T00:00:00"/>
    <x v="2"/>
    <x v="3"/>
    <x v="11"/>
    <x v="2"/>
    <n v="2"/>
    <n v="530"/>
    <n v="15"/>
    <n v="901"/>
    <n v="608.88"/>
    <n v="292.12"/>
    <x v="2"/>
    <x v="1"/>
    <n v="0.32421753607103221"/>
  </r>
  <r>
    <n v="4909"/>
    <d v="2024-01-22T00:00:00"/>
    <x v="1"/>
    <x v="2"/>
    <x v="17"/>
    <x v="2"/>
    <n v="2"/>
    <n v="86"/>
    <n v="0"/>
    <n v="172"/>
    <n v="86.48"/>
    <n v="85.52"/>
    <x v="11"/>
    <x v="0"/>
    <n v="0.49720930232558136"/>
  </r>
  <r>
    <n v="4910"/>
    <d v="2024-04-16T00:00:00"/>
    <x v="3"/>
    <x v="3"/>
    <x v="4"/>
    <x v="4"/>
    <n v="8"/>
    <n v="338"/>
    <n v="20"/>
    <n v="2163.1999999999998"/>
    <n v="1549.53"/>
    <n v="613.66999999999996"/>
    <x v="10"/>
    <x v="0"/>
    <n v="0.28368620562130176"/>
  </r>
  <r>
    <n v="4911"/>
    <d v="2023-06-16T00:00:00"/>
    <x v="2"/>
    <x v="1"/>
    <x v="5"/>
    <x v="0"/>
    <n v="10"/>
    <n v="789"/>
    <n v="10"/>
    <n v="7101"/>
    <n v="4937.5200000000004"/>
    <n v="2163.48"/>
    <x v="4"/>
    <x v="1"/>
    <n v="0.30467258132657371"/>
  </r>
  <r>
    <n v="4912"/>
    <d v="2024-07-13T00:00:00"/>
    <x v="1"/>
    <x v="3"/>
    <x v="4"/>
    <x v="3"/>
    <n v="3"/>
    <n v="230"/>
    <n v="10"/>
    <n v="621"/>
    <n v="456.32"/>
    <n v="164.68"/>
    <x v="5"/>
    <x v="0"/>
    <n v="0.26518518518518519"/>
  </r>
  <r>
    <n v="4913"/>
    <d v="2024-01-31T00:00:00"/>
    <x v="2"/>
    <x v="3"/>
    <x v="15"/>
    <x v="1"/>
    <n v="3"/>
    <n v="232"/>
    <n v="15"/>
    <n v="591.6"/>
    <n v="381.04"/>
    <n v="210.56"/>
    <x v="11"/>
    <x v="0"/>
    <n v="0.35591615956727518"/>
  </r>
  <r>
    <n v="4914"/>
    <d v="2023-01-30T00:00:00"/>
    <x v="0"/>
    <x v="3"/>
    <x v="4"/>
    <x v="4"/>
    <n v="5"/>
    <n v="270"/>
    <n v="15"/>
    <n v="1147.5"/>
    <n v="911.26"/>
    <n v="236.24"/>
    <x v="11"/>
    <x v="1"/>
    <n v="0.20587363834422659"/>
  </r>
  <r>
    <n v="4915"/>
    <d v="2023-11-27T00:00:00"/>
    <x v="3"/>
    <x v="1"/>
    <x v="5"/>
    <x v="5"/>
    <n v="8"/>
    <n v="477"/>
    <n v="5"/>
    <n v="3625.2"/>
    <n v="2809.35"/>
    <n v="815.85"/>
    <x v="3"/>
    <x v="1"/>
    <n v="0.22504965243296923"/>
  </r>
  <r>
    <n v="4916"/>
    <d v="2023-02-01T00:00:00"/>
    <x v="1"/>
    <x v="3"/>
    <x v="4"/>
    <x v="2"/>
    <n v="4"/>
    <n v="304"/>
    <n v="20"/>
    <n v="972.8"/>
    <n v="693.3"/>
    <n v="279.5"/>
    <x v="9"/>
    <x v="1"/>
    <n v="0.28731496710526316"/>
  </r>
  <r>
    <n v="4917"/>
    <d v="2024-09-01T00:00:00"/>
    <x v="1"/>
    <x v="1"/>
    <x v="16"/>
    <x v="5"/>
    <n v="8"/>
    <n v="307"/>
    <n v="15"/>
    <n v="2087.6"/>
    <n v="1442.23"/>
    <n v="645.37"/>
    <x v="0"/>
    <x v="0"/>
    <n v="0.30914447212109603"/>
  </r>
  <r>
    <n v="4918"/>
    <d v="2024-07-07T00:00:00"/>
    <x v="1"/>
    <x v="4"/>
    <x v="14"/>
    <x v="3"/>
    <n v="9"/>
    <n v="303"/>
    <n v="15"/>
    <n v="2317.9499999999998"/>
    <n v="1374.09"/>
    <n v="943.86"/>
    <x v="5"/>
    <x v="0"/>
    <n v="0.40719601371901898"/>
  </r>
  <r>
    <n v="4919"/>
    <d v="2024-01-10T00:00:00"/>
    <x v="2"/>
    <x v="2"/>
    <x v="6"/>
    <x v="5"/>
    <n v="6"/>
    <n v="611"/>
    <n v="5"/>
    <n v="3482.7"/>
    <n v="2417.86"/>
    <n v="1064.8399999999999"/>
    <x v="11"/>
    <x v="0"/>
    <n v="0.30575128492261749"/>
  </r>
  <r>
    <n v="4920"/>
    <d v="2024-08-15T00:00:00"/>
    <x v="3"/>
    <x v="4"/>
    <x v="9"/>
    <x v="0"/>
    <n v="2"/>
    <n v="59"/>
    <n v="5"/>
    <n v="112.1"/>
    <n v="65.150000000000006"/>
    <n v="46.95"/>
    <x v="2"/>
    <x v="0"/>
    <n v="0.41882247992863519"/>
  </r>
  <r>
    <n v="4921"/>
    <d v="2023-10-30T00:00:00"/>
    <x v="2"/>
    <x v="4"/>
    <x v="9"/>
    <x v="1"/>
    <n v="2"/>
    <n v="11"/>
    <n v="0"/>
    <n v="22"/>
    <n v="11.99"/>
    <n v="10.01"/>
    <x v="1"/>
    <x v="1"/>
    <n v="0.45500000000000002"/>
  </r>
  <r>
    <n v="4922"/>
    <d v="2024-03-25T00:00:00"/>
    <x v="3"/>
    <x v="0"/>
    <x v="12"/>
    <x v="0"/>
    <n v="3"/>
    <n v="864"/>
    <n v="15"/>
    <n v="2203.1999999999998"/>
    <n v="1391.82"/>
    <n v="811.38"/>
    <x v="8"/>
    <x v="0"/>
    <n v="0.36827342047930284"/>
  </r>
  <r>
    <n v="4923"/>
    <d v="2023-08-31T00:00:00"/>
    <x v="2"/>
    <x v="2"/>
    <x v="3"/>
    <x v="4"/>
    <n v="4"/>
    <n v="460"/>
    <n v="20"/>
    <n v="1472"/>
    <n v="1132.25"/>
    <n v="339.75"/>
    <x v="2"/>
    <x v="1"/>
    <n v="0.23080842391304349"/>
  </r>
  <r>
    <n v="4924"/>
    <d v="2024-05-18T00:00:00"/>
    <x v="0"/>
    <x v="4"/>
    <x v="18"/>
    <x v="2"/>
    <n v="10"/>
    <n v="553"/>
    <n v="0"/>
    <n v="5530"/>
    <n v="4063.14"/>
    <n v="1466.86"/>
    <x v="7"/>
    <x v="0"/>
    <n v="0.26525497287522604"/>
  </r>
  <r>
    <n v="4925"/>
    <d v="2023-06-19T00:00:00"/>
    <x v="1"/>
    <x v="4"/>
    <x v="18"/>
    <x v="4"/>
    <n v="5"/>
    <n v="891"/>
    <n v="15"/>
    <n v="3786.75"/>
    <n v="1902.36"/>
    <n v="1884.39"/>
    <x v="4"/>
    <x v="1"/>
    <n v="0.49762725292137061"/>
  </r>
  <r>
    <n v="4926"/>
    <d v="2023-02-21T00:00:00"/>
    <x v="1"/>
    <x v="0"/>
    <x v="12"/>
    <x v="1"/>
    <n v="1"/>
    <n v="586"/>
    <n v="20"/>
    <n v="468.8"/>
    <n v="324.5"/>
    <n v="144.30000000000001"/>
    <x v="9"/>
    <x v="1"/>
    <n v="0.30780716723549489"/>
  </r>
  <r>
    <n v="4927"/>
    <d v="2024-02-15T00:00:00"/>
    <x v="1"/>
    <x v="2"/>
    <x v="10"/>
    <x v="2"/>
    <n v="9"/>
    <n v="685"/>
    <n v="20"/>
    <n v="4932"/>
    <n v="2607.27"/>
    <n v="2324.73"/>
    <x v="9"/>
    <x v="0"/>
    <n v="0.47135644768856449"/>
  </r>
  <r>
    <n v="4928"/>
    <d v="2024-05-21T00:00:00"/>
    <x v="2"/>
    <x v="4"/>
    <x v="9"/>
    <x v="4"/>
    <n v="10"/>
    <n v="509"/>
    <n v="5"/>
    <n v="4835.5"/>
    <n v="3824.5"/>
    <n v="1011"/>
    <x v="7"/>
    <x v="0"/>
    <n v="0.20907868886361286"/>
  </r>
  <r>
    <n v="4929"/>
    <d v="2024-12-21T00:00:00"/>
    <x v="2"/>
    <x v="0"/>
    <x v="13"/>
    <x v="3"/>
    <n v="5"/>
    <n v="943"/>
    <n v="15"/>
    <n v="4007.75"/>
    <n v="2240.81"/>
    <n v="1766.94"/>
    <x v="6"/>
    <x v="0"/>
    <n v="0.44088079346266612"/>
  </r>
  <r>
    <n v="4930"/>
    <d v="2023-05-09T00:00:00"/>
    <x v="2"/>
    <x v="2"/>
    <x v="3"/>
    <x v="5"/>
    <n v="4"/>
    <n v="310"/>
    <n v="20"/>
    <n v="992"/>
    <n v="733.96"/>
    <n v="258.04000000000002"/>
    <x v="7"/>
    <x v="1"/>
    <n v="0.26012096774193549"/>
  </r>
  <r>
    <n v="4931"/>
    <d v="2024-03-03T00:00:00"/>
    <x v="3"/>
    <x v="1"/>
    <x v="7"/>
    <x v="1"/>
    <n v="6"/>
    <n v="952"/>
    <n v="15"/>
    <n v="4855.2"/>
    <n v="2885.86"/>
    <n v="1969.34"/>
    <x v="8"/>
    <x v="0"/>
    <n v="0.40561459878068873"/>
  </r>
  <r>
    <n v="4932"/>
    <d v="2024-11-03T00:00:00"/>
    <x v="3"/>
    <x v="2"/>
    <x v="3"/>
    <x v="5"/>
    <n v="10"/>
    <n v="399"/>
    <n v="20"/>
    <n v="3192"/>
    <n v="1806.12"/>
    <n v="1385.88"/>
    <x v="3"/>
    <x v="0"/>
    <n v="0.4341729323308271"/>
  </r>
  <r>
    <n v="4933"/>
    <d v="2024-06-09T00:00:00"/>
    <x v="2"/>
    <x v="2"/>
    <x v="3"/>
    <x v="3"/>
    <n v="5"/>
    <n v="921"/>
    <n v="10"/>
    <n v="4144.5"/>
    <n v="2340.83"/>
    <n v="1803.67"/>
    <x v="4"/>
    <x v="0"/>
    <n v="0.43519604294848596"/>
  </r>
  <r>
    <n v="4934"/>
    <d v="2023-12-08T00:00:00"/>
    <x v="0"/>
    <x v="2"/>
    <x v="3"/>
    <x v="5"/>
    <n v="4"/>
    <n v="832"/>
    <n v="0"/>
    <n v="3328"/>
    <n v="2034.93"/>
    <n v="1293.07"/>
    <x v="6"/>
    <x v="1"/>
    <n v="0.38854266826923073"/>
  </r>
  <r>
    <n v="4935"/>
    <d v="2023-11-29T00:00:00"/>
    <x v="3"/>
    <x v="1"/>
    <x v="2"/>
    <x v="2"/>
    <n v="4"/>
    <n v="570"/>
    <n v="15"/>
    <n v="1938"/>
    <n v="1263.78"/>
    <n v="674.22"/>
    <x v="3"/>
    <x v="1"/>
    <n v="0.34789473684210526"/>
  </r>
  <r>
    <n v="4936"/>
    <d v="2024-10-20T00:00:00"/>
    <x v="1"/>
    <x v="4"/>
    <x v="9"/>
    <x v="1"/>
    <n v="3"/>
    <n v="673"/>
    <n v="0"/>
    <n v="2019"/>
    <n v="1257.3399999999999"/>
    <n v="761.66"/>
    <x v="1"/>
    <x v="0"/>
    <n v="0.37724616146607232"/>
  </r>
  <r>
    <n v="4937"/>
    <d v="2023-11-30T00:00:00"/>
    <x v="2"/>
    <x v="2"/>
    <x v="3"/>
    <x v="1"/>
    <n v="9"/>
    <n v="966"/>
    <n v="15"/>
    <n v="7389.9"/>
    <n v="5326.26"/>
    <n v="2063.64"/>
    <x v="3"/>
    <x v="1"/>
    <n v="0.27925141070921122"/>
  </r>
  <r>
    <n v="4938"/>
    <d v="2023-07-28T00:00:00"/>
    <x v="0"/>
    <x v="4"/>
    <x v="9"/>
    <x v="0"/>
    <n v="1"/>
    <n v="49"/>
    <n v="10"/>
    <n v="44.1"/>
    <n v="29.69"/>
    <n v="14.41"/>
    <x v="5"/>
    <x v="1"/>
    <n v="0.32675736961451246"/>
  </r>
  <r>
    <n v="4939"/>
    <d v="2024-07-08T00:00:00"/>
    <x v="0"/>
    <x v="4"/>
    <x v="14"/>
    <x v="0"/>
    <n v="9"/>
    <n v="739"/>
    <n v="5"/>
    <n v="6318.45"/>
    <n v="3864.44"/>
    <n v="2454.0100000000002"/>
    <x v="5"/>
    <x v="0"/>
    <n v="0.3883879748989072"/>
  </r>
  <r>
    <n v="4940"/>
    <d v="2023-12-27T00:00:00"/>
    <x v="1"/>
    <x v="4"/>
    <x v="9"/>
    <x v="1"/>
    <n v="3"/>
    <n v="214"/>
    <n v="15"/>
    <n v="545.70000000000005"/>
    <n v="410.46"/>
    <n v="135.24"/>
    <x v="6"/>
    <x v="1"/>
    <n v="0.24782847718526663"/>
  </r>
  <r>
    <n v="4941"/>
    <d v="2024-03-27T00:00:00"/>
    <x v="2"/>
    <x v="3"/>
    <x v="4"/>
    <x v="3"/>
    <n v="2"/>
    <n v="751"/>
    <n v="0"/>
    <n v="1502"/>
    <n v="1063.95"/>
    <n v="438.05"/>
    <x v="8"/>
    <x v="0"/>
    <n v="0.29164447403462052"/>
  </r>
  <r>
    <n v="4942"/>
    <d v="2024-03-27T00:00:00"/>
    <x v="0"/>
    <x v="3"/>
    <x v="4"/>
    <x v="1"/>
    <n v="2"/>
    <n v="413"/>
    <n v="20"/>
    <n v="660.8"/>
    <n v="433.75"/>
    <n v="227.05"/>
    <x v="8"/>
    <x v="0"/>
    <n v="0.34359866828087171"/>
  </r>
  <r>
    <n v="4943"/>
    <d v="2023-02-19T00:00:00"/>
    <x v="0"/>
    <x v="1"/>
    <x v="7"/>
    <x v="4"/>
    <n v="7"/>
    <n v="498"/>
    <n v="5"/>
    <n v="3311.7"/>
    <n v="1794.8"/>
    <n v="1516.9"/>
    <x v="9"/>
    <x v="1"/>
    <n v="0.45804269710420636"/>
  </r>
  <r>
    <n v="4944"/>
    <d v="2023-05-30T00:00:00"/>
    <x v="0"/>
    <x v="0"/>
    <x v="1"/>
    <x v="2"/>
    <n v="7"/>
    <n v="769"/>
    <n v="5"/>
    <n v="5113.8500000000004"/>
    <n v="3804.66"/>
    <n v="1309.19"/>
    <x v="7"/>
    <x v="1"/>
    <n v="0.25600868230393931"/>
  </r>
  <r>
    <n v="4945"/>
    <d v="2023-03-15T00:00:00"/>
    <x v="0"/>
    <x v="3"/>
    <x v="19"/>
    <x v="0"/>
    <n v="9"/>
    <n v="254"/>
    <n v="10"/>
    <n v="2057.4"/>
    <n v="1419.99"/>
    <n v="637.41"/>
    <x v="8"/>
    <x v="1"/>
    <n v="0.30981335666375032"/>
  </r>
  <r>
    <n v="4946"/>
    <d v="2023-09-01T00:00:00"/>
    <x v="1"/>
    <x v="1"/>
    <x v="16"/>
    <x v="3"/>
    <n v="1"/>
    <n v="160"/>
    <n v="0"/>
    <n v="160"/>
    <n v="118.49"/>
    <n v="41.51"/>
    <x v="0"/>
    <x v="1"/>
    <n v="0.25943749999999999"/>
  </r>
  <r>
    <n v="4947"/>
    <d v="2023-02-10T00:00:00"/>
    <x v="3"/>
    <x v="1"/>
    <x v="2"/>
    <x v="4"/>
    <n v="6"/>
    <n v="704"/>
    <n v="5"/>
    <n v="4012.8"/>
    <n v="2415.21"/>
    <n v="1597.59"/>
    <x v="9"/>
    <x v="1"/>
    <n v="0.39812350478468894"/>
  </r>
  <r>
    <n v="4948"/>
    <d v="2023-12-31T00:00:00"/>
    <x v="1"/>
    <x v="0"/>
    <x v="1"/>
    <x v="3"/>
    <n v="7"/>
    <n v="973"/>
    <n v="20"/>
    <n v="5448.8"/>
    <n v="3800.65"/>
    <n v="1648.15"/>
    <x v="6"/>
    <x v="1"/>
    <n v="0.30247944501541624"/>
  </r>
  <r>
    <n v="4949"/>
    <d v="2024-01-16T00:00:00"/>
    <x v="2"/>
    <x v="3"/>
    <x v="19"/>
    <x v="1"/>
    <n v="6"/>
    <n v="340"/>
    <n v="5"/>
    <n v="1938"/>
    <n v="1079.46"/>
    <n v="858.54"/>
    <x v="11"/>
    <x v="0"/>
    <n v="0.44300309597523219"/>
  </r>
  <r>
    <n v="4950"/>
    <d v="2024-04-25T00:00:00"/>
    <x v="1"/>
    <x v="3"/>
    <x v="15"/>
    <x v="5"/>
    <n v="3"/>
    <n v="346"/>
    <n v="15"/>
    <n v="882.3"/>
    <n v="567.91"/>
    <n v="314.39"/>
    <x v="10"/>
    <x v="0"/>
    <n v="0.35633004646945482"/>
  </r>
  <r>
    <n v="4951"/>
    <d v="2023-01-27T00:00:00"/>
    <x v="0"/>
    <x v="1"/>
    <x v="5"/>
    <x v="2"/>
    <n v="7"/>
    <n v="994"/>
    <n v="0"/>
    <n v="6958"/>
    <n v="5431.36"/>
    <n v="1526.64"/>
    <x v="11"/>
    <x v="1"/>
    <n v="0.21940787582638691"/>
  </r>
  <r>
    <n v="4952"/>
    <d v="2023-08-29T00:00:00"/>
    <x v="2"/>
    <x v="3"/>
    <x v="11"/>
    <x v="5"/>
    <n v="8"/>
    <n v="361"/>
    <n v="20"/>
    <n v="2310.4"/>
    <n v="1462.7"/>
    <n v="847.7"/>
    <x v="2"/>
    <x v="1"/>
    <n v="0.36690616343490307"/>
  </r>
  <r>
    <n v="4953"/>
    <d v="2024-12-25T00:00:00"/>
    <x v="2"/>
    <x v="3"/>
    <x v="4"/>
    <x v="4"/>
    <n v="6"/>
    <n v="120"/>
    <n v="5"/>
    <n v="684"/>
    <n v="394.84"/>
    <n v="289.16000000000003"/>
    <x v="6"/>
    <x v="0"/>
    <n v="0.42274853801169593"/>
  </r>
  <r>
    <n v="4954"/>
    <d v="2023-01-31T00:00:00"/>
    <x v="1"/>
    <x v="2"/>
    <x v="17"/>
    <x v="2"/>
    <n v="6"/>
    <n v="507"/>
    <n v="10"/>
    <n v="2737.8"/>
    <n v="1417.72"/>
    <n v="1320.08"/>
    <x v="11"/>
    <x v="1"/>
    <n v="0.48216816421944619"/>
  </r>
  <r>
    <n v="4955"/>
    <d v="2024-01-18T00:00:00"/>
    <x v="0"/>
    <x v="2"/>
    <x v="17"/>
    <x v="5"/>
    <n v="4"/>
    <n v="297"/>
    <n v="20"/>
    <n v="950.4"/>
    <n v="480.98"/>
    <n v="469.42"/>
    <x v="11"/>
    <x v="0"/>
    <n v="0.49391835016835017"/>
  </r>
  <r>
    <n v="4956"/>
    <d v="2024-05-13T00:00:00"/>
    <x v="1"/>
    <x v="4"/>
    <x v="18"/>
    <x v="3"/>
    <n v="9"/>
    <n v="288"/>
    <n v="10"/>
    <n v="2332.8000000000002"/>
    <n v="1422.62"/>
    <n v="910.18"/>
    <x v="7"/>
    <x v="0"/>
    <n v="0.39016632373113852"/>
  </r>
  <r>
    <n v="4957"/>
    <d v="2024-09-02T00:00:00"/>
    <x v="1"/>
    <x v="3"/>
    <x v="11"/>
    <x v="4"/>
    <n v="3"/>
    <n v="525"/>
    <n v="10"/>
    <n v="1417.5"/>
    <n v="944.48"/>
    <n v="473.02"/>
    <x v="0"/>
    <x v="0"/>
    <n v="0.33370017636684302"/>
  </r>
  <r>
    <n v="4958"/>
    <d v="2023-04-24T00:00:00"/>
    <x v="0"/>
    <x v="1"/>
    <x v="2"/>
    <x v="2"/>
    <n v="6"/>
    <n v="533"/>
    <n v="10"/>
    <n v="2878.2"/>
    <n v="1959.53"/>
    <n v="918.67"/>
    <x v="10"/>
    <x v="1"/>
    <n v="0.31918212771871307"/>
  </r>
  <r>
    <n v="4959"/>
    <d v="2024-05-03T00:00:00"/>
    <x v="0"/>
    <x v="0"/>
    <x v="1"/>
    <x v="2"/>
    <n v="10"/>
    <n v="69"/>
    <n v="5"/>
    <n v="655.5"/>
    <n v="351.5"/>
    <n v="304"/>
    <x v="7"/>
    <x v="0"/>
    <n v="0.46376811594202899"/>
  </r>
  <r>
    <n v="4960"/>
    <d v="2023-06-24T00:00:00"/>
    <x v="1"/>
    <x v="0"/>
    <x v="12"/>
    <x v="2"/>
    <n v="6"/>
    <n v="178"/>
    <n v="0"/>
    <n v="1068"/>
    <n v="671.55"/>
    <n v="396.45"/>
    <x v="4"/>
    <x v="1"/>
    <n v="0.37120786516853932"/>
  </r>
  <r>
    <n v="4961"/>
    <d v="2024-04-02T00:00:00"/>
    <x v="3"/>
    <x v="1"/>
    <x v="16"/>
    <x v="5"/>
    <n v="7"/>
    <n v="741"/>
    <n v="5"/>
    <n v="4927.6499999999996"/>
    <n v="3337.99"/>
    <n v="1589.66"/>
    <x v="10"/>
    <x v="0"/>
    <n v="0.32260002232301405"/>
  </r>
  <r>
    <n v="4962"/>
    <d v="2023-09-25T00:00:00"/>
    <x v="1"/>
    <x v="1"/>
    <x v="7"/>
    <x v="1"/>
    <n v="1"/>
    <n v="35"/>
    <n v="15"/>
    <n v="29.75"/>
    <n v="20.98"/>
    <n v="8.77"/>
    <x v="0"/>
    <x v="1"/>
    <n v="0.29478991596638654"/>
  </r>
  <r>
    <n v="4963"/>
    <d v="2023-01-15T00:00:00"/>
    <x v="0"/>
    <x v="4"/>
    <x v="14"/>
    <x v="2"/>
    <n v="3"/>
    <n v="953"/>
    <n v="10"/>
    <n v="2573.1"/>
    <n v="2034.93"/>
    <n v="538.16999999999996"/>
    <x v="11"/>
    <x v="1"/>
    <n v="0.20915238428354901"/>
  </r>
  <r>
    <n v="4964"/>
    <d v="2024-04-26T00:00:00"/>
    <x v="1"/>
    <x v="2"/>
    <x v="17"/>
    <x v="0"/>
    <n v="3"/>
    <n v="923"/>
    <n v="5"/>
    <n v="2630.55"/>
    <n v="1539.36"/>
    <n v="1091.19"/>
    <x v="10"/>
    <x v="0"/>
    <n v="0.41481439242743912"/>
  </r>
  <r>
    <n v="4965"/>
    <d v="2023-08-07T00:00:00"/>
    <x v="2"/>
    <x v="0"/>
    <x v="13"/>
    <x v="0"/>
    <n v="10"/>
    <n v="285"/>
    <n v="20"/>
    <n v="2280"/>
    <n v="1642.21"/>
    <n v="637.79"/>
    <x v="2"/>
    <x v="1"/>
    <n v="0.27973245614035086"/>
  </r>
  <r>
    <n v="4966"/>
    <d v="2023-09-02T00:00:00"/>
    <x v="1"/>
    <x v="1"/>
    <x v="2"/>
    <x v="2"/>
    <n v="1"/>
    <n v="785"/>
    <n v="15"/>
    <n v="667.25"/>
    <n v="395.09"/>
    <n v="272.16000000000003"/>
    <x v="0"/>
    <x v="1"/>
    <n v="0.40788310228550023"/>
  </r>
  <r>
    <n v="4967"/>
    <d v="2024-09-02T00:00:00"/>
    <x v="0"/>
    <x v="0"/>
    <x v="12"/>
    <x v="1"/>
    <n v="6"/>
    <n v="404"/>
    <n v="5"/>
    <n v="2302.8000000000002"/>
    <n v="1505.73"/>
    <n v="797.07"/>
    <x v="0"/>
    <x v="0"/>
    <n v="0.34613079729025531"/>
  </r>
  <r>
    <n v="4968"/>
    <d v="2024-03-28T00:00:00"/>
    <x v="0"/>
    <x v="3"/>
    <x v="4"/>
    <x v="2"/>
    <n v="3"/>
    <n v="283"/>
    <n v="15"/>
    <n v="721.65"/>
    <n v="485.9"/>
    <n v="235.75"/>
    <x v="8"/>
    <x v="0"/>
    <n v="0.32668190951292181"/>
  </r>
  <r>
    <n v="4969"/>
    <d v="2024-07-04T00:00:00"/>
    <x v="2"/>
    <x v="4"/>
    <x v="9"/>
    <x v="5"/>
    <n v="6"/>
    <n v="828"/>
    <n v="15"/>
    <n v="4222.8"/>
    <n v="2438.35"/>
    <n v="1784.45"/>
    <x v="5"/>
    <x v="0"/>
    <n v="0.42257506867481293"/>
  </r>
  <r>
    <n v="4970"/>
    <d v="2024-10-10T00:00:00"/>
    <x v="2"/>
    <x v="4"/>
    <x v="8"/>
    <x v="2"/>
    <n v="8"/>
    <n v="638"/>
    <n v="10"/>
    <n v="4593.6000000000004"/>
    <n v="3555.67"/>
    <n v="1037.93"/>
    <x v="1"/>
    <x v="0"/>
    <n v="0.22595132358063391"/>
  </r>
  <r>
    <n v="4971"/>
    <d v="2023-03-02T00:00:00"/>
    <x v="2"/>
    <x v="2"/>
    <x v="3"/>
    <x v="5"/>
    <n v="9"/>
    <n v="278"/>
    <n v="0"/>
    <n v="2502"/>
    <n v="1908.61"/>
    <n v="593.39"/>
    <x v="8"/>
    <x v="1"/>
    <n v="0.23716626698641086"/>
  </r>
  <r>
    <n v="4972"/>
    <d v="2023-04-10T00:00:00"/>
    <x v="3"/>
    <x v="3"/>
    <x v="19"/>
    <x v="0"/>
    <n v="1"/>
    <n v="306"/>
    <n v="20"/>
    <n v="244.8"/>
    <n v="187.79"/>
    <n v="57.01"/>
    <x v="10"/>
    <x v="1"/>
    <n v="0.23288398692810455"/>
  </r>
  <r>
    <n v="4973"/>
    <d v="2024-07-21T00:00:00"/>
    <x v="3"/>
    <x v="1"/>
    <x v="7"/>
    <x v="3"/>
    <n v="1"/>
    <n v="522"/>
    <n v="15"/>
    <n v="443.7"/>
    <n v="279.27"/>
    <n v="164.43"/>
    <x v="5"/>
    <x v="0"/>
    <n v="0.37058823529411766"/>
  </r>
  <r>
    <n v="4974"/>
    <d v="2023-05-19T00:00:00"/>
    <x v="3"/>
    <x v="1"/>
    <x v="16"/>
    <x v="2"/>
    <n v="7"/>
    <n v="851"/>
    <n v="15"/>
    <n v="5063.45"/>
    <n v="3352.73"/>
    <n v="1710.72"/>
    <x v="7"/>
    <x v="1"/>
    <n v="0.33785659974918286"/>
  </r>
  <r>
    <n v="4975"/>
    <d v="2024-12-31T00:00:00"/>
    <x v="0"/>
    <x v="2"/>
    <x v="6"/>
    <x v="4"/>
    <n v="10"/>
    <n v="139"/>
    <n v="15"/>
    <n v="1181.5"/>
    <n v="889.11"/>
    <n v="292.39"/>
    <x v="6"/>
    <x v="0"/>
    <n v="0.24747355057130765"/>
  </r>
  <r>
    <n v="4976"/>
    <d v="2024-11-25T00:00:00"/>
    <x v="0"/>
    <x v="2"/>
    <x v="10"/>
    <x v="5"/>
    <n v="9"/>
    <n v="90"/>
    <n v="0"/>
    <n v="810"/>
    <n v="471.86"/>
    <n v="338.14"/>
    <x v="3"/>
    <x v="0"/>
    <n v="0.41745679012345677"/>
  </r>
  <r>
    <n v="4977"/>
    <d v="2023-08-28T00:00:00"/>
    <x v="2"/>
    <x v="0"/>
    <x v="1"/>
    <x v="5"/>
    <n v="9"/>
    <n v="106"/>
    <n v="5"/>
    <n v="906.3"/>
    <n v="507.54"/>
    <n v="398.76"/>
    <x v="2"/>
    <x v="1"/>
    <n v="0.43998675935120823"/>
  </r>
  <r>
    <n v="4978"/>
    <d v="2023-12-07T00:00:00"/>
    <x v="2"/>
    <x v="4"/>
    <x v="9"/>
    <x v="2"/>
    <n v="9"/>
    <n v="373"/>
    <n v="15"/>
    <n v="2853.45"/>
    <n v="1639.95"/>
    <n v="1213.5"/>
    <x v="6"/>
    <x v="1"/>
    <n v="0.42527466750775378"/>
  </r>
  <r>
    <n v="4979"/>
    <d v="2023-09-20T00:00:00"/>
    <x v="0"/>
    <x v="4"/>
    <x v="8"/>
    <x v="4"/>
    <n v="3"/>
    <n v="717"/>
    <n v="15"/>
    <n v="1828.35"/>
    <n v="920.35"/>
    <n v="908"/>
    <x v="0"/>
    <x v="1"/>
    <n v="0.49662263789755795"/>
  </r>
  <r>
    <n v="4980"/>
    <d v="2024-04-29T00:00:00"/>
    <x v="2"/>
    <x v="1"/>
    <x v="5"/>
    <x v="5"/>
    <n v="2"/>
    <n v="969"/>
    <n v="10"/>
    <n v="1744.2"/>
    <n v="1282.1600000000001"/>
    <n v="462.04"/>
    <x v="10"/>
    <x v="0"/>
    <n v="0.26490081412682032"/>
  </r>
  <r>
    <n v="4981"/>
    <d v="2023-04-22T00:00:00"/>
    <x v="1"/>
    <x v="4"/>
    <x v="18"/>
    <x v="4"/>
    <n v="6"/>
    <n v="361"/>
    <n v="0"/>
    <n v="2166"/>
    <n v="1512.92"/>
    <n v="653.08000000000004"/>
    <x v="10"/>
    <x v="1"/>
    <n v="0.30151431209602958"/>
  </r>
  <r>
    <n v="4982"/>
    <d v="2023-02-10T00:00:00"/>
    <x v="0"/>
    <x v="0"/>
    <x v="12"/>
    <x v="1"/>
    <n v="8"/>
    <n v="741"/>
    <n v="5"/>
    <n v="5631.6"/>
    <n v="3623.6"/>
    <n v="2008"/>
    <x v="9"/>
    <x v="1"/>
    <n v="0.35655941473115987"/>
  </r>
  <r>
    <n v="4983"/>
    <d v="2024-06-26T00:00:00"/>
    <x v="3"/>
    <x v="2"/>
    <x v="3"/>
    <x v="1"/>
    <n v="2"/>
    <n v="828"/>
    <n v="5"/>
    <n v="1573.2"/>
    <n v="841.8"/>
    <n v="731.4"/>
    <x v="4"/>
    <x v="0"/>
    <n v="0.46491228070175433"/>
  </r>
  <r>
    <n v="4984"/>
    <d v="2023-01-12T00:00:00"/>
    <x v="1"/>
    <x v="4"/>
    <x v="8"/>
    <x v="0"/>
    <n v="2"/>
    <n v="169"/>
    <n v="0"/>
    <n v="338"/>
    <n v="171.94"/>
    <n v="166.06"/>
    <x v="11"/>
    <x v="1"/>
    <n v="0.491301775147929"/>
  </r>
  <r>
    <n v="4985"/>
    <d v="2023-04-02T00:00:00"/>
    <x v="0"/>
    <x v="2"/>
    <x v="3"/>
    <x v="3"/>
    <n v="6"/>
    <n v="835"/>
    <n v="5"/>
    <n v="4759.5"/>
    <n v="3259.64"/>
    <n v="1499.86"/>
    <x v="10"/>
    <x v="1"/>
    <n v="0.31512974051896203"/>
  </r>
  <r>
    <n v="4986"/>
    <d v="2024-02-09T00:00:00"/>
    <x v="1"/>
    <x v="4"/>
    <x v="18"/>
    <x v="5"/>
    <n v="8"/>
    <n v="293"/>
    <n v="20"/>
    <n v="1875.2"/>
    <n v="1283.6199999999999"/>
    <n v="591.58000000000004"/>
    <x v="9"/>
    <x v="0"/>
    <n v="0.31547568259385667"/>
  </r>
  <r>
    <n v="4987"/>
    <d v="2024-08-20T00:00:00"/>
    <x v="2"/>
    <x v="3"/>
    <x v="4"/>
    <x v="4"/>
    <n v="9"/>
    <n v="619"/>
    <n v="10"/>
    <n v="5013.8999999999996"/>
    <n v="3145.36"/>
    <n v="1868.54"/>
    <x v="2"/>
    <x v="0"/>
    <n v="0.37267197191806778"/>
  </r>
  <r>
    <n v="4988"/>
    <d v="2024-10-14T00:00:00"/>
    <x v="2"/>
    <x v="2"/>
    <x v="6"/>
    <x v="4"/>
    <n v="7"/>
    <n v="845"/>
    <n v="10"/>
    <n v="5323.5"/>
    <n v="3196.32"/>
    <n v="2127.1799999999998"/>
    <x v="1"/>
    <x v="0"/>
    <n v="0.39958298112144264"/>
  </r>
  <r>
    <n v="4989"/>
    <d v="2023-07-26T00:00:00"/>
    <x v="0"/>
    <x v="4"/>
    <x v="18"/>
    <x v="2"/>
    <n v="3"/>
    <n v="737"/>
    <n v="10"/>
    <n v="1989.9"/>
    <n v="1427.7"/>
    <n v="562.20000000000005"/>
    <x v="5"/>
    <x v="1"/>
    <n v="0.28252676013870043"/>
  </r>
  <r>
    <n v="4990"/>
    <d v="2024-12-18T00:00:00"/>
    <x v="2"/>
    <x v="2"/>
    <x v="10"/>
    <x v="3"/>
    <n v="6"/>
    <n v="437"/>
    <n v="10"/>
    <n v="2359.8000000000002"/>
    <n v="1773.98"/>
    <n v="585.82000000000005"/>
    <x v="6"/>
    <x v="0"/>
    <n v="0.24824985168234595"/>
  </r>
  <r>
    <n v="4991"/>
    <d v="2024-03-28T00:00:00"/>
    <x v="3"/>
    <x v="4"/>
    <x v="8"/>
    <x v="3"/>
    <n v="6"/>
    <n v="551"/>
    <n v="10"/>
    <n v="2975.4"/>
    <n v="2211.6999999999998"/>
    <n v="763.7"/>
    <x v="8"/>
    <x v="0"/>
    <n v="0.25667137191638101"/>
  </r>
  <r>
    <n v="4992"/>
    <d v="2023-09-23T00:00:00"/>
    <x v="3"/>
    <x v="2"/>
    <x v="10"/>
    <x v="1"/>
    <n v="9"/>
    <n v="898"/>
    <n v="20"/>
    <n v="6465.6"/>
    <n v="3579.34"/>
    <n v="2886.26"/>
    <x v="0"/>
    <x v="1"/>
    <n v="0.44640249938134124"/>
  </r>
  <r>
    <n v="4993"/>
    <d v="2024-03-23T00:00:00"/>
    <x v="1"/>
    <x v="2"/>
    <x v="3"/>
    <x v="5"/>
    <n v="7"/>
    <n v="676"/>
    <n v="20"/>
    <n v="3785.6"/>
    <n v="1977.78"/>
    <n v="1807.82"/>
    <x v="8"/>
    <x v="0"/>
    <n v="0.47755177514792901"/>
  </r>
  <r>
    <n v="4994"/>
    <d v="2023-09-11T00:00:00"/>
    <x v="1"/>
    <x v="3"/>
    <x v="19"/>
    <x v="3"/>
    <n v="5"/>
    <n v="982"/>
    <n v="10"/>
    <n v="4419"/>
    <n v="2682.59"/>
    <n v="1736.41"/>
    <x v="0"/>
    <x v="1"/>
    <n v="0.3929418420457117"/>
  </r>
  <r>
    <n v="4995"/>
    <d v="2023-06-20T00:00:00"/>
    <x v="3"/>
    <x v="0"/>
    <x v="1"/>
    <x v="0"/>
    <n v="9"/>
    <n v="698"/>
    <n v="20"/>
    <n v="5025.6000000000004"/>
    <n v="2933.08"/>
    <n v="2092.52"/>
    <x v="4"/>
    <x v="1"/>
    <n v="0.4163721744667303"/>
  </r>
  <r>
    <n v="4996"/>
    <d v="2023-03-03T00:00:00"/>
    <x v="0"/>
    <x v="3"/>
    <x v="19"/>
    <x v="0"/>
    <n v="9"/>
    <n v="269"/>
    <n v="5"/>
    <n v="2299.9499999999998"/>
    <n v="1407.81"/>
    <n v="892.14"/>
    <x v="8"/>
    <x v="1"/>
    <n v="0.38789538903019632"/>
  </r>
  <r>
    <n v="4997"/>
    <d v="2023-12-10T00:00:00"/>
    <x v="0"/>
    <x v="3"/>
    <x v="15"/>
    <x v="4"/>
    <n v="3"/>
    <n v="380"/>
    <n v="15"/>
    <n v="969"/>
    <n v="574.94000000000005"/>
    <n v="394.06"/>
    <x v="6"/>
    <x v="1"/>
    <n v="0.40666666666666668"/>
  </r>
  <r>
    <n v="4998"/>
    <d v="2024-12-22T00:00:00"/>
    <x v="2"/>
    <x v="0"/>
    <x v="1"/>
    <x v="1"/>
    <n v="5"/>
    <n v="291"/>
    <n v="0"/>
    <n v="1455"/>
    <n v="771.72"/>
    <n v="683.28"/>
    <x v="6"/>
    <x v="0"/>
    <n v="0.46960824742268037"/>
  </r>
  <r>
    <n v="4999"/>
    <d v="2024-06-13T00:00:00"/>
    <x v="3"/>
    <x v="4"/>
    <x v="18"/>
    <x v="1"/>
    <n v="6"/>
    <n v="641"/>
    <n v="0"/>
    <n v="3846"/>
    <n v="3035.5"/>
    <n v="810.5"/>
    <x v="4"/>
    <x v="0"/>
    <n v="0.2107384295371815"/>
  </r>
  <r>
    <n v="5000"/>
    <d v="2023-08-09T00:00:00"/>
    <x v="2"/>
    <x v="0"/>
    <x v="12"/>
    <x v="0"/>
    <n v="10"/>
    <n v="804"/>
    <n v="10"/>
    <n v="7236"/>
    <n v="5157.4399999999996"/>
    <n v="2078.56"/>
    <x v="2"/>
    <x v="1"/>
    <n v="0.287252625760088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08BFEA-21F0-40EE-969F-BBFED720547A}" name="PivotTable6"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Category">
  <location ref="K23:L29" firstHeaderRow="1" firstDataRow="1" firstDataCol="1"/>
  <pivotFields count="15">
    <pivotField showAll="0"/>
    <pivotField numFmtId="14" showAll="0"/>
    <pivotField showAll="0"/>
    <pivotField axis="axisRow" showAll="0">
      <items count="6">
        <item x="4"/>
        <item x="1"/>
        <item x="3"/>
        <item x="0"/>
        <item x="2"/>
        <item t="default"/>
      </items>
    </pivotField>
    <pivotField showAll="0"/>
    <pivotField showAll="0"/>
    <pivotField showAll="0"/>
    <pivotField showAll="0"/>
    <pivotField showAll="0"/>
    <pivotField numFmtId="164" showAll="0"/>
    <pivotField numFmtId="164" showAll="0"/>
    <pivotField dataField="1" numFmtId="164" showAll="0"/>
    <pivotField showAll="0"/>
    <pivotField showAll="0">
      <items count="3">
        <item x="1"/>
        <item x="0"/>
        <item t="default"/>
      </items>
    </pivotField>
    <pivotField numFmtId="9" showAll="0"/>
  </pivotFields>
  <rowFields count="1">
    <field x="3"/>
  </rowFields>
  <rowItems count="6">
    <i>
      <x/>
    </i>
    <i>
      <x v="1"/>
    </i>
    <i>
      <x v="2"/>
    </i>
    <i>
      <x v="3"/>
    </i>
    <i>
      <x v="4"/>
    </i>
    <i t="grand">
      <x/>
    </i>
  </rowItems>
  <colItems count="1">
    <i/>
  </colItems>
  <dataFields count="1">
    <dataField name="Sum of Profit" fld="11" baseField="0" baseItem="0"/>
  </dataFields>
  <formats count="1">
    <format dxfId="17">
      <pivotArea outline="0" collapsedLevelsAreSubtotals="1" fieldPosition="0"/>
    </format>
  </format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
          </reference>
        </references>
      </pivotArea>
    </chartFormat>
    <chartFormat chart="3" format="10">
      <pivotArea type="data" outline="0" fieldPosition="0">
        <references count="2">
          <reference field="4294967294" count="1" selected="0">
            <x v="0"/>
          </reference>
          <reference field="3" count="1" selected="0">
            <x v="2"/>
          </reference>
        </references>
      </pivotArea>
    </chartFormat>
    <chartFormat chart="3" format="11">
      <pivotArea type="data" outline="0" fieldPosition="0">
        <references count="2">
          <reference field="4294967294" count="1" selected="0">
            <x v="0"/>
          </reference>
          <reference field="3" count="1" selected="0">
            <x v="3"/>
          </reference>
        </references>
      </pivotArea>
    </chartFormat>
    <chartFormat chart="3" format="12">
      <pivotArea type="data" outline="0" fieldPosition="0">
        <references count="2">
          <reference field="4294967294" count="1" selected="0">
            <x v="0"/>
          </reference>
          <reference field="3" count="1" selected="0">
            <x v="4"/>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6CD483-A069-41F6-A591-70D4B5D6A2C0}" name="PivotTable2"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rowHeaderCaption="Category">
  <location ref="H7:I13" firstHeaderRow="1" firstDataRow="1" firstDataCol="1"/>
  <pivotFields count="15">
    <pivotField showAll="0"/>
    <pivotField numFmtId="14" showAll="0"/>
    <pivotField showAll="0"/>
    <pivotField axis="axisRow" showAll="0">
      <items count="6">
        <item x="4"/>
        <item x="1"/>
        <item x="3"/>
        <item x="0"/>
        <item x="2"/>
        <item t="default"/>
      </items>
    </pivotField>
    <pivotField showAll="0"/>
    <pivotField showAll="0"/>
    <pivotField showAll="0"/>
    <pivotField showAll="0"/>
    <pivotField showAll="0"/>
    <pivotField dataField="1" numFmtId="164" showAll="0"/>
    <pivotField numFmtId="164" showAll="0"/>
    <pivotField numFmtId="164" showAll="0"/>
    <pivotField showAll="0"/>
    <pivotField showAll="0">
      <items count="3">
        <item x="1"/>
        <item x="0"/>
        <item t="default"/>
      </items>
    </pivotField>
    <pivotField numFmtId="9" showAll="0"/>
  </pivotFields>
  <rowFields count="1">
    <field x="3"/>
  </rowFields>
  <rowItems count="6">
    <i>
      <x/>
    </i>
    <i>
      <x v="1"/>
    </i>
    <i>
      <x v="2"/>
    </i>
    <i>
      <x v="3"/>
    </i>
    <i>
      <x v="4"/>
    </i>
    <i t="grand">
      <x/>
    </i>
  </rowItems>
  <colItems count="1">
    <i/>
  </colItems>
  <dataFields count="1">
    <dataField name="Sum of Total_Sales" fld="9" baseField="0" baseItem="0" numFmtId="1"/>
  </dataFields>
  <formats count="1">
    <format dxfId="18">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D6735A-F3EE-439F-B51F-C6C0934EBA14}" name="PivotTable3"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Months">
  <location ref="K7:L20" firstHeaderRow="1" firstDataRow="1" firstDataCol="1"/>
  <pivotFields count="15">
    <pivotField showAll="0"/>
    <pivotField numFmtId="14" showAll="0"/>
    <pivotField showAll="0"/>
    <pivotField showAll="0"/>
    <pivotField showAll="0"/>
    <pivotField showAll="0"/>
    <pivotField showAll="0"/>
    <pivotField showAll="0"/>
    <pivotField showAll="0"/>
    <pivotField dataField="1" numFmtId="164" showAll="0"/>
    <pivotField numFmtId="164" showAll="0"/>
    <pivotField numFmtId="164" showAll="0"/>
    <pivotField axis="axisRow" showAll="0">
      <items count="13">
        <item x="11"/>
        <item x="9"/>
        <item x="8"/>
        <item x="10"/>
        <item x="7"/>
        <item x="4"/>
        <item x="5"/>
        <item x="2"/>
        <item x="0"/>
        <item x="1"/>
        <item x="3"/>
        <item x="6"/>
        <item t="default"/>
      </items>
    </pivotField>
    <pivotField showAll="0">
      <items count="3">
        <item x="1"/>
        <item x="0"/>
        <item t="default"/>
      </items>
    </pivotField>
    <pivotField numFmtId="9" showAll="0"/>
  </pivotFields>
  <rowFields count="1">
    <field x="12"/>
  </rowFields>
  <rowItems count="13">
    <i>
      <x/>
    </i>
    <i>
      <x v="1"/>
    </i>
    <i>
      <x v="2"/>
    </i>
    <i>
      <x v="3"/>
    </i>
    <i>
      <x v="4"/>
    </i>
    <i>
      <x v="5"/>
    </i>
    <i>
      <x v="6"/>
    </i>
    <i>
      <x v="7"/>
    </i>
    <i>
      <x v="8"/>
    </i>
    <i>
      <x v="9"/>
    </i>
    <i>
      <x v="10"/>
    </i>
    <i>
      <x v="11"/>
    </i>
    <i t="grand">
      <x/>
    </i>
  </rowItems>
  <colItems count="1">
    <i/>
  </colItems>
  <dataFields count="1">
    <dataField name="Sum of Total_Sales" fld="9" baseField="0" baseItem="0" numFmtId="1"/>
  </dataFields>
  <formats count="1">
    <format dxfId="1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CCF50B-1A5B-4760-8DE3-6F51771331A6}" name="PivotTable7"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Year">
  <location ref="G28:I31" firstHeaderRow="0" firstDataRow="1" firstDataCol="1"/>
  <pivotFields count="15">
    <pivotField showAll="0"/>
    <pivotField numFmtId="14" showAll="0"/>
    <pivotField showAll="0"/>
    <pivotField showAll="0"/>
    <pivotField showAll="0"/>
    <pivotField showAll="0"/>
    <pivotField showAll="0"/>
    <pivotField showAll="0"/>
    <pivotField showAll="0"/>
    <pivotField dataField="1" numFmtId="164" showAll="0"/>
    <pivotField numFmtId="164" showAll="0"/>
    <pivotField dataField="1" numFmtId="164" showAll="0"/>
    <pivotField showAll="0"/>
    <pivotField axis="axisRow" showAll="0">
      <items count="3">
        <item x="1"/>
        <item x="0"/>
        <item t="default"/>
      </items>
    </pivotField>
    <pivotField numFmtId="9" showAll="0"/>
  </pivotFields>
  <rowFields count="1">
    <field x="13"/>
  </rowFields>
  <rowItems count="3">
    <i>
      <x/>
    </i>
    <i>
      <x v="1"/>
    </i>
    <i t="grand">
      <x/>
    </i>
  </rowItems>
  <colFields count="1">
    <field x="-2"/>
  </colFields>
  <colItems count="2">
    <i>
      <x/>
    </i>
    <i i="1">
      <x v="1"/>
    </i>
  </colItems>
  <dataFields count="2">
    <dataField name="Sum of Total_Sales" fld="9" baseField="0" baseItem="0"/>
    <dataField name="Sum of Profit" fld="11" baseField="0" baseItem="0"/>
  </dataFields>
  <formats count="1">
    <format dxfId="20">
      <pivotArea outline="0" collapsedLevelsAreSubtotals="1"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E16C8D-A66E-46A7-89D0-B73EDC105EC8}" name="PivotTable5"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Salespersons">
  <location ref="H15:I22" firstHeaderRow="1" firstDataRow="1" firstDataCol="1"/>
  <pivotFields count="15">
    <pivotField showAll="0"/>
    <pivotField numFmtId="14" showAll="0"/>
    <pivotField showAll="0"/>
    <pivotField showAll="0"/>
    <pivotField showAll="0"/>
    <pivotField axis="axisRow" showAll="0">
      <items count="7">
        <item x="1"/>
        <item x="0"/>
        <item x="3"/>
        <item x="4"/>
        <item x="2"/>
        <item x="5"/>
        <item t="default"/>
      </items>
    </pivotField>
    <pivotField showAll="0"/>
    <pivotField showAll="0"/>
    <pivotField showAll="0"/>
    <pivotField dataField="1" numFmtId="164" showAll="0"/>
    <pivotField numFmtId="164" showAll="0"/>
    <pivotField numFmtId="164" showAll="0"/>
    <pivotField showAll="0"/>
    <pivotField showAll="0">
      <items count="3">
        <item x="1"/>
        <item x="0"/>
        <item t="default"/>
      </items>
    </pivotField>
    <pivotField numFmtId="9" showAll="0"/>
  </pivotFields>
  <rowFields count="1">
    <field x="5"/>
  </rowFields>
  <rowItems count="7">
    <i>
      <x/>
    </i>
    <i>
      <x v="1"/>
    </i>
    <i>
      <x v="2"/>
    </i>
    <i>
      <x v="3"/>
    </i>
    <i>
      <x v="4"/>
    </i>
    <i>
      <x v="5"/>
    </i>
    <i t="grand">
      <x/>
    </i>
  </rowItems>
  <colItems count="1">
    <i/>
  </colItems>
  <dataFields count="1">
    <dataField name="Sum of Total_Sales" fld="9" baseField="0" baseItem="0" numFmtId="1"/>
  </dataFields>
  <formats count="1">
    <format dxfId="21">
      <pivotArea outline="0" collapsedLevelsAreSubtotals="1" fieldPosition="0"/>
    </format>
  </formats>
  <chartFormats count="7">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5" count="1" selected="0">
            <x v="0"/>
          </reference>
        </references>
      </pivotArea>
    </chartFormat>
    <chartFormat chart="3" format="4">
      <pivotArea type="data" outline="0" fieldPosition="0">
        <references count="2">
          <reference field="4294967294" count="1" selected="0">
            <x v="0"/>
          </reference>
          <reference field="5" count="1" selected="0">
            <x v="1"/>
          </reference>
        </references>
      </pivotArea>
    </chartFormat>
    <chartFormat chart="3" format="5">
      <pivotArea type="data" outline="0" fieldPosition="0">
        <references count="2">
          <reference field="4294967294" count="1" selected="0">
            <x v="0"/>
          </reference>
          <reference field="5" count="1" selected="0">
            <x v="2"/>
          </reference>
        </references>
      </pivotArea>
    </chartFormat>
    <chartFormat chart="3" format="6">
      <pivotArea type="data" outline="0" fieldPosition="0">
        <references count="2">
          <reference field="4294967294" count="1" selected="0">
            <x v="0"/>
          </reference>
          <reference field="5" count="1" selected="0">
            <x v="3"/>
          </reference>
        </references>
      </pivotArea>
    </chartFormat>
    <chartFormat chart="3" format="7">
      <pivotArea type="data" outline="0" fieldPosition="0">
        <references count="2">
          <reference field="4294967294" count="1" selected="0">
            <x v="0"/>
          </reference>
          <reference field="5" count="1" selected="0">
            <x v="4"/>
          </reference>
        </references>
      </pivotArea>
    </chartFormat>
    <chartFormat chart="3" format="8">
      <pivotArea type="data" outline="0" fieldPosition="0">
        <references count="2">
          <reference field="4294967294" count="1" selected="0">
            <x v="0"/>
          </reference>
          <reference field="5" count="1" selected="0">
            <x v="5"/>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CBBCB7-E885-49B1-B724-AD643C725DF8}" name="PivotTable1"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Region">
  <location ref="E7:F12" firstHeaderRow="1" firstDataRow="1" firstDataCol="1"/>
  <pivotFields count="15">
    <pivotField showAll="0"/>
    <pivotField numFmtId="14" showAll="0"/>
    <pivotField axis="axisRow" showAll="0">
      <items count="5">
        <item x="3"/>
        <item x="1"/>
        <item x="0"/>
        <item x="2"/>
        <item t="default"/>
      </items>
    </pivotField>
    <pivotField showAll="0"/>
    <pivotField showAll="0"/>
    <pivotField showAll="0"/>
    <pivotField showAll="0"/>
    <pivotField showAll="0"/>
    <pivotField showAll="0"/>
    <pivotField dataField="1" numFmtId="164" showAll="0"/>
    <pivotField numFmtId="164" showAll="0"/>
    <pivotField numFmtId="164" showAll="0"/>
    <pivotField showAll="0"/>
    <pivotField showAll="0">
      <items count="3">
        <item x="1"/>
        <item x="0"/>
        <item t="default"/>
      </items>
    </pivotField>
    <pivotField numFmtId="9" showAll="0"/>
  </pivotFields>
  <rowFields count="1">
    <field x="2"/>
  </rowFields>
  <rowItems count="5">
    <i>
      <x/>
    </i>
    <i>
      <x v="1"/>
    </i>
    <i>
      <x v="2"/>
    </i>
    <i>
      <x v="3"/>
    </i>
    <i t="grand">
      <x/>
    </i>
  </rowItems>
  <colItems count="1">
    <i/>
  </colItems>
  <dataFields count="1">
    <dataField name="Sum of Total_Sales" fld="9" baseField="0" baseItem="0" numFmtId="1"/>
  </dataFields>
  <formats count="1">
    <format dxfId="22">
      <pivotArea outline="0" collapsedLevelsAreSubtotals="1" fieldPosition="0"/>
    </format>
  </formats>
  <chartFormats count="5">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0"/>
          </reference>
        </references>
      </pivotArea>
    </chartFormat>
    <chartFormat chart="3" format="4">
      <pivotArea type="data" outline="0" fieldPosition="0">
        <references count="2">
          <reference field="4294967294" count="1" selected="0">
            <x v="0"/>
          </reference>
          <reference field="2" count="1" selected="0">
            <x v="1"/>
          </reference>
        </references>
      </pivotArea>
    </chartFormat>
    <chartFormat chart="3" format="5">
      <pivotArea type="data" outline="0" fieldPosition="0">
        <references count="2">
          <reference field="4294967294" count="1" selected="0">
            <x v="0"/>
          </reference>
          <reference field="2" count="1" selected="0">
            <x v="2"/>
          </reference>
        </references>
      </pivotArea>
    </chartFormat>
    <chartFormat chart="3" format="6">
      <pivotArea type="data" outline="0" fieldPosition="0">
        <references count="2">
          <reference field="4294967294" count="1" selected="0">
            <x v="0"/>
          </reference>
          <reference field="2" count="1" selected="0">
            <x v="3"/>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E95F6B-9E2B-4533-9521-36926E844507}" name="PivotTable4"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Product">
  <location ref="E15:F22" firstHeaderRow="1" firstDataRow="1" firstDataCol="1"/>
  <pivotFields count="15">
    <pivotField showAll="0"/>
    <pivotField numFmtId="14" showAll="0"/>
    <pivotField showAll="0"/>
    <pivotField showAll="0"/>
    <pivotField axis="axisRow" showAll="0" measureFilter="1">
      <items count="21">
        <item x="10"/>
        <item x="0"/>
        <item x="13"/>
        <item x="18"/>
        <item x="17"/>
        <item x="6"/>
        <item x="19"/>
        <item x="5"/>
        <item x="16"/>
        <item x="15"/>
        <item x="9"/>
        <item x="11"/>
        <item x="8"/>
        <item x="14"/>
        <item x="2"/>
        <item x="7"/>
        <item x="12"/>
        <item x="1"/>
        <item x="4"/>
        <item x="3"/>
        <item t="default"/>
      </items>
    </pivotField>
    <pivotField showAll="0"/>
    <pivotField showAll="0"/>
    <pivotField showAll="0"/>
    <pivotField showAll="0"/>
    <pivotField dataField="1" numFmtId="164" showAll="0"/>
    <pivotField numFmtId="164" showAll="0"/>
    <pivotField numFmtId="164" showAll="0"/>
    <pivotField showAll="0"/>
    <pivotField showAll="0">
      <items count="3">
        <item x="1"/>
        <item x="0"/>
        <item t="default"/>
      </items>
    </pivotField>
    <pivotField numFmtId="9" showAll="0"/>
  </pivotFields>
  <rowFields count="1">
    <field x="4"/>
  </rowFields>
  <rowItems count="7">
    <i>
      <x v="6"/>
    </i>
    <i>
      <x v="7"/>
    </i>
    <i>
      <x v="8"/>
    </i>
    <i>
      <x v="9"/>
    </i>
    <i>
      <x v="16"/>
    </i>
    <i>
      <x v="19"/>
    </i>
    <i t="grand">
      <x/>
    </i>
  </rowItems>
  <colItems count="1">
    <i/>
  </colItems>
  <dataFields count="1">
    <dataField name="Sum of Total_Sales" fld="9" baseField="0" baseItem="0" numFmtId="1"/>
  </dataFields>
  <formats count="1">
    <format dxfId="23">
      <pivotArea outline="0" collapsedLevelsAreSubtotals="1" fieldPosition="0"/>
    </format>
  </formats>
  <chartFormats count="7">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19"/>
          </reference>
        </references>
      </pivotArea>
    </chartFormat>
    <chartFormat chart="3" format="4">
      <pivotArea type="data" outline="0" fieldPosition="0">
        <references count="2">
          <reference field="4294967294" count="1" selected="0">
            <x v="0"/>
          </reference>
          <reference field="4" count="1" selected="0">
            <x v="16"/>
          </reference>
        </references>
      </pivotArea>
    </chartFormat>
    <chartFormat chart="3" format="5">
      <pivotArea type="data" outline="0" fieldPosition="0">
        <references count="2">
          <reference field="4294967294" count="1" selected="0">
            <x v="0"/>
          </reference>
          <reference field="4" count="1" selected="0">
            <x v="9"/>
          </reference>
        </references>
      </pivotArea>
    </chartFormat>
    <chartFormat chart="3" format="6">
      <pivotArea type="data" outline="0" fieldPosition="0">
        <references count="2">
          <reference field="4294967294" count="1" selected="0">
            <x v="0"/>
          </reference>
          <reference field="4" count="1" selected="0">
            <x v="8"/>
          </reference>
        </references>
      </pivotArea>
    </chartFormat>
    <chartFormat chart="3" format="7">
      <pivotArea type="data" outline="0" fieldPosition="0">
        <references count="2">
          <reference field="4294967294" count="1" selected="0">
            <x v="0"/>
          </reference>
          <reference field="4" count="1" selected="0">
            <x v="7"/>
          </reference>
        </references>
      </pivotArea>
    </chartFormat>
    <chartFormat chart="3" format="7">
      <pivotArea type="data" outline="0" fieldPosition="0">
        <references count="2">
          <reference field="4294967294" count="1" selected="0">
            <x v="0"/>
          </reference>
          <reference field="4" count="1" selected="0">
            <x v="6"/>
          </reference>
        </references>
      </pivotArea>
    </chartFormat>
  </chartFormats>
  <pivotTableStyleInfo name="PivotStyleLight19" showRowHeaders="1" showColHeaders="1" showRowStripes="0" showColStripes="0" showLastColumn="1"/>
  <filters count="1">
    <filter fld="4"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9C78117-7313-4106-9046-0E1019B1D31C}" sourceName="Years">
  <pivotTables>
    <pivotTable tabId="3" name="PivotTable4"/>
    <pivotTable tabId="3" name="PivotTable1"/>
    <pivotTable tabId="3" name="PivotTable2"/>
    <pivotTable tabId="3" name="PivotTable3"/>
    <pivotTable tabId="3" name="PivotTable5"/>
    <pivotTable tabId="3" name="PivotTable6"/>
    <pivotTable tabId="3" name="PivotTable7"/>
  </pivotTables>
  <data>
    <tabular pivotCacheId="27584356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8D62C440-EEE8-4BA0-BEFE-5ADF8D427EE2}" cache="Slicer_Years" caption="Years" columnCount="2" style="SlicerStyleLight1 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961924-18BD-4927-B37A-EBD11544F9B5}" name="Table1" displayName="Table1" ref="A1:O5001" totalsRowShown="0" headerRowDxfId="16" dataDxfId="15">
  <autoFilter ref="A1:O5001" xr:uid="{0C961924-18BD-4927-B37A-EBD11544F9B5}"/>
  <tableColumns count="15">
    <tableColumn id="1" xr3:uid="{27471A74-265F-472B-8679-6DF80A2D2E2F}" name="Order_ID" dataDxfId="14"/>
    <tableColumn id="2" xr3:uid="{4F2F64EF-66F3-4EAD-A552-70D045C3E0CA}" name="Order_Date" dataDxfId="13"/>
    <tableColumn id="3" xr3:uid="{4827E8B1-C111-4F0C-BB45-C2853CE50DEF}" name="Region" dataDxfId="12"/>
    <tableColumn id="4" xr3:uid="{51E9539B-99AD-4D76-A77D-EA5FEEEA54DA}" name="Category" dataDxfId="11"/>
    <tableColumn id="5" xr3:uid="{0781487A-AF0F-4ED5-987E-BF08B662E9AA}" name="Product" dataDxfId="10"/>
    <tableColumn id="6" xr3:uid="{9D7834C5-5F69-4087-AA7B-3D9F7319B3FD}" name="Salesperson" dataDxfId="9"/>
    <tableColumn id="7" xr3:uid="{971CC617-6F99-4EF1-8DC4-EFA7A3696332}" name="Quantity" dataDxfId="8"/>
    <tableColumn id="8" xr3:uid="{B87B35AE-7F44-4BAE-B52E-D7C65F66B007}" name="Unit_Price" dataDxfId="7"/>
    <tableColumn id="9" xr3:uid="{2979FACE-40B4-4629-94DA-4F14C9CED2D5}" name="Discount_%" dataDxfId="6"/>
    <tableColumn id="10" xr3:uid="{2A0AD918-945D-4B98-ABE3-9154CFCB1CBE}" name="Total_Sales" dataDxfId="5"/>
    <tableColumn id="11" xr3:uid="{AB95F8CF-6DE7-45BE-A954-950D5179CBAB}" name="Cost" dataDxfId="4"/>
    <tableColumn id="12" xr3:uid="{2E197EEF-C74E-433D-B0D8-6472E7D9916B}" name="Profit" dataDxfId="3"/>
    <tableColumn id="13" xr3:uid="{3252229D-CC05-46FB-9937-844CF5A8F241}" name="Month" dataDxfId="2">
      <calculatedColumnFormula>TEXT(Table1[[#This Row],[Order_Date]], "MMM")</calculatedColumnFormula>
    </tableColumn>
    <tableColumn id="14" xr3:uid="{A78E3F6D-87B5-412C-8813-5F842659CB68}" name="Years" dataDxfId="1">
      <calculatedColumnFormula>YEAR(Table1[[#This Row],[Order_Date]])</calculatedColumnFormula>
    </tableColumn>
    <tableColumn id="15" xr3:uid="{5B4CF24C-4D8C-454E-9FC5-CE68CDE2C31E}" name="Profit_margin%" dataDxfId="0" dataCellStyle="Percent">
      <calculatedColumnFormula>Table1[[#This Row],[Profit]]/Table1[[#This Row],[Total_Sales]]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A8F8-7E69-49DD-B6D6-210EF79FCA03}">
  <sheetPr codeName="Sheet1"/>
  <dimension ref="A7:L31"/>
  <sheetViews>
    <sheetView showGridLines="0" zoomScaleNormal="100" workbookViewId="0">
      <selection activeCell="C8" sqref="C8"/>
    </sheetView>
  </sheetViews>
  <sheetFormatPr defaultRowHeight="15" x14ac:dyDescent="0.25"/>
  <cols>
    <col min="1" max="1" width="19.85546875" bestFit="1" customWidth="1"/>
    <col min="2" max="2" width="16" bestFit="1" customWidth="1"/>
    <col min="3" max="3" width="17.85546875" bestFit="1" customWidth="1"/>
    <col min="5" max="5" width="11.28515625" bestFit="1" customWidth="1"/>
    <col min="6" max="6" width="17.85546875" bestFit="1" customWidth="1"/>
    <col min="7" max="7" width="11.28515625" bestFit="1" customWidth="1"/>
    <col min="8" max="8" width="17.85546875" bestFit="1" customWidth="1"/>
    <col min="9" max="10" width="12.5703125" bestFit="1" customWidth="1"/>
    <col min="11" max="11" width="11.28515625" bestFit="1" customWidth="1"/>
    <col min="12" max="12" width="12.5703125" bestFit="1" customWidth="1"/>
  </cols>
  <sheetData>
    <row r="7" spans="1:12" x14ac:dyDescent="0.25">
      <c r="A7" s="17" t="s">
        <v>73</v>
      </c>
      <c r="B7" s="19" t="s">
        <v>74</v>
      </c>
      <c r="E7" s="9" t="s">
        <v>2</v>
      </c>
      <c r="F7" t="s">
        <v>51</v>
      </c>
      <c r="H7" s="9" t="s">
        <v>3</v>
      </c>
      <c r="I7" t="s">
        <v>51</v>
      </c>
      <c r="K7" s="9" t="s">
        <v>64</v>
      </c>
      <c r="L7" t="s">
        <v>51</v>
      </c>
    </row>
    <row r="8" spans="1:12" x14ac:dyDescent="0.25">
      <c r="A8" s="16" t="s">
        <v>68</v>
      </c>
      <c r="B8" s="20">
        <f>SUM(Table1[Total_Sales])</f>
        <v>12368640.149999999</v>
      </c>
      <c r="E8" s="10" t="s">
        <v>25</v>
      </c>
      <c r="F8" s="11">
        <v>2998313.7499999972</v>
      </c>
      <c r="H8" s="10" t="s">
        <v>32</v>
      </c>
      <c r="I8" s="11">
        <v>2497272.4000000027</v>
      </c>
      <c r="K8" s="10" t="s">
        <v>52</v>
      </c>
      <c r="L8" s="11">
        <v>989674.99999999977</v>
      </c>
    </row>
    <row r="9" spans="1:12" x14ac:dyDescent="0.25">
      <c r="A9" s="16" t="s">
        <v>69</v>
      </c>
      <c r="B9" s="20">
        <f>SUM(Table1[Profit])</f>
        <v>4317890.3399999905</v>
      </c>
      <c r="E9" s="10" t="s">
        <v>16</v>
      </c>
      <c r="F9" s="11">
        <v>3029076.4500000016</v>
      </c>
      <c r="H9" s="10" t="s">
        <v>20</v>
      </c>
      <c r="I9" s="11">
        <v>2496614.1000000034</v>
      </c>
      <c r="K9" s="10" t="s">
        <v>53</v>
      </c>
      <c r="L9" s="11">
        <v>896855.94999999984</v>
      </c>
    </row>
    <row r="10" spans="1:12" x14ac:dyDescent="0.25">
      <c r="A10" s="16" t="s">
        <v>70</v>
      </c>
      <c r="B10" s="21">
        <f>B9/B8</f>
        <v>0.3490998434456023</v>
      </c>
      <c r="E10" s="10" t="s">
        <v>12</v>
      </c>
      <c r="F10" s="11">
        <v>3242128.7999999989</v>
      </c>
      <c r="H10" s="10" t="s">
        <v>26</v>
      </c>
      <c r="I10" s="11">
        <v>2564041.0999999987</v>
      </c>
      <c r="K10" s="10" t="s">
        <v>54</v>
      </c>
      <c r="L10" s="11">
        <v>1065313.2499999998</v>
      </c>
    </row>
    <row r="11" spans="1:12" x14ac:dyDescent="0.25">
      <c r="A11" s="16" t="s">
        <v>71</v>
      </c>
      <c r="B11" s="15">
        <f>COUNT(Table1[Order_ID])</f>
        <v>5000</v>
      </c>
      <c r="E11" s="10" t="s">
        <v>19</v>
      </c>
      <c r="F11" s="11">
        <v>3099121.1500000027</v>
      </c>
      <c r="H11" s="10" t="s">
        <v>13</v>
      </c>
      <c r="I11" s="11">
        <v>2405376.4499999997</v>
      </c>
      <c r="K11" s="10" t="s">
        <v>55</v>
      </c>
      <c r="L11" s="11">
        <v>965314.34999999986</v>
      </c>
    </row>
    <row r="12" spans="1:12" x14ac:dyDescent="0.25">
      <c r="A12" s="16" t="s">
        <v>72</v>
      </c>
      <c r="B12" s="20">
        <f>B8/B11</f>
        <v>2473.7280299999998</v>
      </c>
      <c r="E12" s="10" t="s">
        <v>50</v>
      </c>
      <c r="F12" s="11">
        <v>12368640.15</v>
      </c>
      <c r="H12" s="10" t="s">
        <v>22</v>
      </c>
      <c r="I12" s="11">
        <v>2405336.1000000015</v>
      </c>
      <c r="K12" s="10" t="s">
        <v>56</v>
      </c>
      <c r="L12" s="11">
        <v>994913.95000000042</v>
      </c>
    </row>
    <row r="13" spans="1:12" x14ac:dyDescent="0.25">
      <c r="A13" s="14" t="s">
        <v>75</v>
      </c>
      <c r="B13" s="18">
        <f>B8/B18</f>
        <v>453.16333809628486</v>
      </c>
      <c r="H13" s="10" t="s">
        <v>50</v>
      </c>
      <c r="I13" s="11">
        <v>12368640.150000006</v>
      </c>
      <c r="K13" s="10" t="s">
        <v>57</v>
      </c>
      <c r="L13" s="11">
        <v>920812.34999999974</v>
      </c>
    </row>
    <row r="14" spans="1:12" ht="18" customHeight="1" x14ac:dyDescent="0.25">
      <c r="A14" s="13"/>
      <c r="K14" s="10" t="s">
        <v>58</v>
      </c>
      <c r="L14" s="11">
        <v>1032372.9499999997</v>
      </c>
    </row>
    <row r="15" spans="1:12" x14ac:dyDescent="0.25">
      <c r="E15" s="9" t="s">
        <v>4</v>
      </c>
      <c r="F15" t="s">
        <v>51</v>
      </c>
      <c r="H15" s="9" t="s">
        <v>67</v>
      </c>
      <c r="I15" t="s">
        <v>51</v>
      </c>
      <c r="K15" s="10" t="s">
        <v>59</v>
      </c>
      <c r="L15" s="11">
        <v>1226499.0999999999</v>
      </c>
    </row>
    <row r="16" spans="1:12" x14ac:dyDescent="0.25">
      <c r="E16" s="10" t="s">
        <v>46</v>
      </c>
      <c r="F16" s="11">
        <v>680161.34999999986</v>
      </c>
      <c r="H16" s="10" t="s">
        <v>18</v>
      </c>
      <c r="I16" s="11">
        <v>2007792.2000000018</v>
      </c>
      <c r="K16" s="10" t="s">
        <v>60</v>
      </c>
      <c r="L16" s="11">
        <v>1098362.0500000012</v>
      </c>
    </row>
    <row r="17" spans="1:12" x14ac:dyDescent="0.25">
      <c r="E17" s="10" t="s">
        <v>28</v>
      </c>
      <c r="F17" s="11">
        <v>658663.79999999993</v>
      </c>
      <c r="H17" s="10" t="s">
        <v>15</v>
      </c>
      <c r="I17" s="11">
        <v>1954493.5000000019</v>
      </c>
      <c r="K17" s="10" t="s">
        <v>61</v>
      </c>
      <c r="L17" s="11">
        <v>1013120.3500000001</v>
      </c>
    </row>
    <row r="18" spans="1:12" x14ac:dyDescent="0.25">
      <c r="A18" t="s">
        <v>6</v>
      </c>
      <c r="B18">
        <f>SUM(Table1[Quantity])</f>
        <v>27294</v>
      </c>
      <c r="E18" s="10" t="s">
        <v>43</v>
      </c>
      <c r="F18" s="11">
        <v>683815.24999999977</v>
      </c>
      <c r="H18" s="10" t="s">
        <v>31</v>
      </c>
      <c r="I18" s="11">
        <v>2245122.7500000009</v>
      </c>
      <c r="K18" s="10" t="s">
        <v>62</v>
      </c>
      <c r="L18" s="11">
        <v>1093696.8999999992</v>
      </c>
    </row>
    <row r="19" spans="1:12" x14ac:dyDescent="0.25">
      <c r="E19" s="10" t="s">
        <v>42</v>
      </c>
      <c r="F19" s="11">
        <v>694412.75000000058</v>
      </c>
      <c r="H19" s="10" t="s">
        <v>35</v>
      </c>
      <c r="I19" s="11">
        <v>2044983.3999999985</v>
      </c>
      <c r="K19" s="10" t="s">
        <v>63</v>
      </c>
      <c r="L19" s="11">
        <v>1071703.9499999997</v>
      </c>
    </row>
    <row r="20" spans="1:12" x14ac:dyDescent="0.25">
      <c r="E20" s="10" t="s">
        <v>38</v>
      </c>
      <c r="F20" s="11">
        <v>656061.65</v>
      </c>
      <c r="H20" s="10" t="s">
        <v>24</v>
      </c>
      <c r="I20" s="11">
        <v>1957616.6999999993</v>
      </c>
      <c r="K20" s="10" t="s">
        <v>50</v>
      </c>
      <c r="L20" s="11">
        <v>12368640.149999997</v>
      </c>
    </row>
    <row r="21" spans="1:12" x14ac:dyDescent="0.25">
      <c r="E21" s="10" t="s">
        <v>23</v>
      </c>
      <c r="F21" s="11">
        <v>657867.79999999993</v>
      </c>
      <c r="H21" s="10" t="s">
        <v>40</v>
      </c>
      <c r="I21" s="11">
        <v>2158631.6000000015</v>
      </c>
    </row>
    <row r="22" spans="1:12" x14ac:dyDescent="0.25">
      <c r="E22" s="10" t="s">
        <v>50</v>
      </c>
      <c r="F22" s="11">
        <v>4030982.6</v>
      </c>
      <c r="H22" s="10" t="s">
        <v>50</v>
      </c>
      <c r="I22" s="11">
        <v>12368640.150000004</v>
      </c>
    </row>
    <row r="23" spans="1:12" x14ac:dyDescent="0.25">
      <c r="K23" s="9" t="s">
        <v>3</v>
      </c>
      <c r="L23" t="s">
        <v>65</v>
      </c>
    </row>
    <row r="24" spans="1:12" x14ac:dyDescent="0.25">
      <c r="K24" s="10" t="s">
        <v>32</v>
      </c>
      <c r="L24" s="11">
        <v>870761.4300000011</v>
      </c>
    </row>
    <row r="25" spans="1:12" x14ac:dyDescent="0.25">
      <c r="K25" s="10" t="s">
        <v>20</v>
      </c>
      <c r="L25" s="11">
        <v>876478.38999999908</v>
      </c>
    </row>
    <row r="26" spans="1:12" x14ac:dyDescent="0.25">
      <c r="K26" s="10" t="s">
        <v>26</v>
      </c>
      <c r="L26" s="11">
        <v>901999.57000000076</v>
      </c>
    </row>
    <row r="27" spans="1:12" x14ac:dyDescent="0.25">
      <c r="K27" s="10" t="s">
        <v>13</v>
      </c>
      <c r="L27" s="11">
        <v>836829.60000000033</v>
      </c>
    </row>
    <row r="28" spans="1:12" x14ac:dyDescent="0.25">
      <c r="G28" s="9" t="s">
        <v>66</v>
      </c>
      <c r="H28" t="s">
        <v>51</v>
      </c>
      <c r="I28" t="s">
        <v>65</v>
      </c>
      <c r="K28" s="10" t="s">
        <v>22</v>
      </c>
      <c r="L28" s="11">
        <v>831821.35000000009</v>
      </c>
    </row>
    <row r="29" spans="1:12" x14ac:dyDescent="0.25">
      <c r="G29" s="10">
        <v>2023</v>
      </c>
      <c r="H29" s="11">
        <v>6144715.6000000015</v>
      </c>
      <c r="I29" s="11">
        <v>2164801.2699999982</v>
      </c>
      <c r="K29" s="10" t="s">
        <v>50</v>
      </c>
      <c r="L29" s="11">
        <v>4317890.3400000017</v>
      </c>
    </row>
    <row r="30" spans="1:12" x14ac:dyDescent="0.25">
      <c r="G30" s="10">
        <v>2024</v>
      </c>
      <c r="H30" s="11">
        <v>6223924.5499999896</v>
      </c>
      <c r="I30" s="11">
        <v>2153089.0699999989</v>
      </c>
    </row>
    <row r="31" spans="1:12" x14ac:dyDescent="0.25">
      <c r="G31" s="10" t="s">
        <v>50</v>
      </c>
      <c r="H31" s="11">
        <v>12368640.149999991</v>
      </c>
      <c r="I31" s="11">
        <v>4317890.3399999971</v>
      </c>
    </row>
  </sheetData>
  <pageMargins left="0.7" right="0.7" top="0.75" bottom="0.75" header="0.3" footer="0.3"/>
  <pageSetup paperSize="9" orientation="portrait" horizontalDpi="300" verticalDpi="300"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E7C50-B6D3-4F59-A495-A22F89ECDB33}">
  <sheetPr codeName="Sheet2">
    <tabColor theme="4" tint="0.39997558519241921"/>
  </sheetPr>
  <dimension ref="X11:AI26"/>
  <sheetViews>
    <sheetView showGridLines="0" tabSelected="1" zoomScale="145" zoomScaleNormal="145" workbookViewId="0">
      <selection activeCell="T9" sqref="T9"/>
    </sheetView>
  </sheetViews>
  <sheetFormatPr defaultRowHeight="15" x14ac:dyDescent="0.25"/>
  <cols>
    <col min="27" max="27" width="9.140625" customWidth="1"/>
  </cols>
  <sheetData>
    <row r="11" spans="24:24" x14ac:dyDescent="0.25">
      <c r="X11" s="22"/>
    </row>
    <row r="26" spans="35:35" x14ac:dyDescent="0.25">
      <c r="AI26" t="s">
        <v>76</v>
      </c>
    </row>
  </sheetData>
  <pageMargins left="0.7" right="0.7" top="0.75" bottom="0.75" header="0.3" footer="0.3"/>
  <pageSetup paperSize="9" orientation="portrait" horizontalDpi="300" verticalDpi="300"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6506-05C2-4C17-ABA5-51731EB10732}">
  <sheetPr codeName="Sheet3"/>
  <dimension ref="A1:Q5001"/>
  <sheetViews>
    <sheetView topLeftCell="A15" zoomScale="115" zoomScaleNormal="115" workbookViewId="0">
      <selection activeCell="Q17" sqref="Q17"/>
    </sheetView>
  </sheetViews>
  <sheetFormatPr defaultRowHeight="15" x14ac:dyDescent="0.25"/>
  <cols>
    <col min="1" max="1" width="13.5703125" bestFit="1" customWidth="1"/>
    <col min="2" max="2" width="15.85546875" bestFit="1" customWidth="1"/>
    <col min="3" max="3" width="11.7109375" bestFit="1" customWidth="1"/>
    <col min="4" max="4" width="13.42578125" bestFit="1" customWidth="1"/>
    <col min="5" max="5" width="13.28515625" bestFit="1" customWidth="1"/>
    <col min="6" max="6" width="16.28515625" bestFit="1" customWidth="1"/>
    <col min="7" max="7" width="13.28515625" bestFit="1" customWidth="1"/>
    <col min="8" max="8" width="14.85546875" bestFit="1" customWidth="1"/>
    <col min="9" max="9" width="15.85546875" bestFit="1" customWidth="1"/>
    <col min="10" max="10" width="15.5703125" style="5" bestFit="1" customWidth="1"/>
    <col min="11" max="11" width="9.7109375" style="5" bestFit="1" customWidth="1"/>
    <col min="12" max="12" width="10.5703125" style="5" bestFit="1" customWidth="1"/>
    <col min="13" max="13" width="11.5703125" bestFit="1" customWidth="1"/>
    <col min="14" max="14" width="10.42578125" bestFit="1" customWidth="1"/>
    <col min="15" max="15" width="19.42578125" style="8" bestFit="1" customWidth="1"/>
  </cols>
  <sheetData>
    <row r="1" spans="1:15" x14ac:dyDescent="0.25">
      <c r="A1" s="1" t="s">
        <v>0</v>
      </c>
      <c r="B1" s="1" t="s">
        <v>1</v>
      </c>
      <c r="C1" s="1" t="s">
        <v>2</v>
      </c>
      <c r="D1" s="1" t="s">
        <v>3</v>
      </c>
      <c r="E1" s="1" t="s">
        <v>4</v>
      </c>
      <c r="F1" s="1" t="s">
        <v>5</v>
      </c>
      <c r="G1" s="1" t="s">
        <v>6</v>
      </c>
      <c r="H1" s="1" t="s">
        <v>7</v>
      </c>
      <c r="I1" s="1" t="s">
        <v>8</v>
      </c>
      <c r="J1" s="4" t="s">
        <v>9</v>
      </c>
      <c r="K1" s="4" t="s">
        <v>10</v>
      </c>
      <c r="L1" s="4" t="s">
        <v>11</v>
      </c>
      <c r="M1" s="3" t="s">
        <v>47</v>
      </c>
      <c r="N1" s="3" t="s">
        <v>48</v>
      </c>
      <c r="O1" s="6" t="s">
        <v>49</v>
      </c>
    </row>
    <row r="2" spans="1:15" x14ac:dyDescent="0.25">
      <c r="A2" s="1">
        <v>1</v>
      </c>
      <c r="B2" s="2">
        <v>45562</v>
      </c>
      <c r="C2" s="1" t="s">
        <v>12</v>
      </c>
      <c r="D2" s="1" t="s">
        <v>13</v>
      </c>
      <c r="E2" s="1" t="s">
        <v>14</v>
      </c>
      <c r="F2" s="1" t="s">
        <v>15</v>
      </c>
      <c r="G2" s="1">
        <v>3</v>
      </c>
      <c r="H2" s="1">
        <v>468</v>
      </c>
      <c r="I2" s="1">
        <v>20</v>
      </c>
      <c r="J2" s="4">
        <v>1123.2</v>
      </c>
      <c r="K2" s="4">
        <v>606.4</v>
      </c>
      <c r="L2" s="4">
        <v>516.79999999999995</v>
      </c>
      <c r="M2" s="1" t="str">
        <f>TEXT(Table1[[#This Row],[Order_Date]], "MMM")</f>
        <v>Sep</v>
      </c>
      <c r="N2" s="1">
        <f>YEAR(Table1[[#This Row],[Order_Date]])</f>
        <v>2024</v>
      </c>
      <c r="O2" s="7">
        <f>Table1[[#This Row],[Profit]]/Table1[[#This Row],[Total_Sales]]</f>
        <v>0.46011396011396005</v>
      </c>
    </row>
    <row r="3" spans="1:15" x14ac:dyDescent="0.25">
      <c r="A3" s="1">
        <v>2</v>
      </c>
      <c r="B3" s="2">
        <v>45585</v>
      </c>
      <c r="C3" s="1" t="s">
        <v>16</v>
      </c>
      <c r="D3" s="1" t="s">
        <v>13</v>
      </c>
      <c r="E3" s="1" t="s">
        <v>17</v>
      </c>
      <c r="F3" s="1" t="s">
        <v>18</v>
      </c>
      <c r="G3" s="1">
        <v>1</v>
      </c>
      <c r="H3" s="1">
        <v>907</v>
      </c>
      <c r="I3" s="1">
        <v>10</v>
      </c>
      <c r="J3" s="4">
        <v>816.3</v>
      </c>
      <c r="K3" s="4">
        <v>481.81</v>
      </c>
      <c r="L3" s="4">
        <v>334.49</v>
      </c>
      <c r="M3" s="1" t="str">
        <f>TEXT(Table1[[#This Row],[Order_Date]], "MMM")</f>
        <v>Oct</v>
      </c>
      <c r="N3" s="1">
        <f>YEAR(Table1[[#This Row],[Order_Date]])</f>
        <v>2024</v>
      </c>
      <c r="O3" s="7">
        <f>Table1[[#This Row],[Profit]]/Table1[[#This Row],[Total_Sales]]</f>
        <v>0.40976356731593783</v>
      </c>
    </row>
    <row r="4" spans="1:15" x14ac:dyDescent="0.25">
      <c r="A4" s="1">
        <v>3</v>
      </c>
      <c r="B4" s="2">
        <v>45148</v>
      </c>
      <c r="C4" s="1" t="s">
        <v>19</v>
      </c>
      <c r="D4" s="1" t="s">
        <v>20</v>
      </c>
      <c r="E4" s="1" t="s">
        <v>21</v>
      </c>
      <c r="F4" s="1" t="s">
        <v>15</v>
      </c>
      <c r="G4" s="1">
        <v>3</v>
      </c>
      <c r="H4" s="1">
        <v>991</v>
      </c>
      <c r="I4" s="1">
        <v>10</v>
      </c>
      <c r="J4" s="4">
        <v>2675.7</v>
      </c>
      <c r="K4" s="4">
        <v>1486.59</v>
      </c>
      <c r="L4" s="4">
        <v>1189.1099999999999</v>
      </c>
      <c r="M4" s="1" t="str">
        <f>TEXT(Table1[[#This Row],[Order_Date]], "MMM")</f>
        <v>Aug</v>
      </c>
      <c r="N4" s="1">
        <f>YEAR(Table1[[#This Row],[Order_Date]])</f>
        <v>2023</v>
      </c>
      <c r="O4" s="7">
        <f>Table1[[#This Row],[Profit]]/Table1[[#This Row],[Total_Sales]]</f>
        <v>0.44441080838659042</v>
      </c>
    </row>
    <row r="5" spans="1:15" x14ac:dyDescent="0.25">
      <c r="A5" s="1">
        <v>4</v>
      </c>
      <c r="B5" s="2">
        <v>45234</v>
      </c>
      <c r="C5" s="1" t="s">
        <v>12</v>
      </c>
      <c r="D5" s="1" t="s">
        <v>22</v>
      </c>
      <c r="E5" s="1" t="s">
        <v>23</v>
      </c>
      <c r="F5" s="1" t="s">
        <v>24</v>
      </c>
      <c r="G5" s="1">
        <v>5</v>
      </c>
      <c r="H5" s="1">
        <v>94</v>
      </c>
      <c r="I5" s="1">
        <v>20</v>
      </c>
      <c r="J5" s="4">
        <v>376</v>
      </c>
      <c r="K5" s="4">
        <v>269.62</v>
      </c>
      <c r="L5" s="4">
        <v>106.38</v>
      </c>
      <c r="M5" s="1" t="str">
        <f>TEXT(Table1[[#This Row],[Order_Date]], "MMM")</f>
        <v>Nov</v>
      </c>
      <c r="N5" s="1">
        <f>YEAR(Table1[[#This Row],[Order_Date]])</f>
        <v>2023</v>
      </c>
      <c r="O5" s="7">
        <f>Table1[[#This Row],[Profit]]/Table1[[#This Row],[Total_Sales]]</f>
        <v>0.28292553191489361</v>
      </c>
    </row>
    <row r="6" spans="1:15" x14ac:dyDescent="0.25">
      <c r="A6" s="1">
        <v>5</v>
      </c>
      <c r="B6" s="2">
        <v>45449</v>
      </c>
      <c r="C6" s="1" t="s">
        <v>25</v>
      </c>
      <c r="D6" s="1" t="s">
        <v>26</v>
      </c>
      <c r="E6" s="1" t="s">
        <v>27</v>
      </c>
      <c r="F6" s="1" t="s">
        <v>15</v>
      </c>
      <c r="G6" s="1">
        <v>1</v>
      </c>
      <c r="H6" s="1">
        <v>915</v>
      </c>
      <c r="I6" s="1">
        <v>15</v>
      </c>
      <c r="J6" s="4">
        <v>777.75</v>
      </c>
      <c r="K6" s="4">
        <v>610.99</v>
      </c>
      <c r="L6" s="4">
        <v>166.76</v>
      </c>
      <c r="M6" s="1" t="str">
        <f>TEXT(Table1[[#This Row],[Order_Date]], "MMM")</f>
        <v>Jun</v>
      </c>
      <c r="N6" s="1">
        <f>YEAR(Table1[[#This Row],[Order_Date]])</f>
        <v>2024</v>
      </c>
      <c r="O6" s="7">
        <f>Table1[[#This Row],[Profit]]/Table1[[#This Row],[Total_Sales]]</f>
        <v>0.21441337190613949</v>
      </c>
    </row>
    <row r="7" spans="1:15" x14ac:dyDescent="0.25">
      <c r="A7" s="1">
        <v>6</v>
      </c>
      <c r="B7" s="2">
        <v>45155</v>
      </c>
      <c r="C7" s="1" t="s">
        <v>12</v>
      </c>
      <c r="D7" s="1" t="s">
        <v>20</v>
      </c>
      <c r="E7" s="1" t="s">
        <v>28</v>
      </c>
      <c r="F7" s="1" t="s">
        <v>15</v>
      </c>
      <c r="G7" s="1">
        <v>10</v>
      </c>
      <c r="H7" s="1">
        <v>468</v>
      </c>
      <c r="I7" s="1">
        <v>0</v>
      </c>
      <c r="J7" s="4">
        <v>4680</v>
      </c>
      <c r="K7" s="4">
        <v>3724.12</v>
      </c>
      <c r="L7" s="4">
        <v>955.88</v>
      </c>
      <c r="M7" s="1" t="str">
        <f>TEXT(Table1[[#This Row],[Order_Date]], "MMM")</f>
        <v>Aug</v>
      </c>
      <c r="N7" s="1">
        <f>YEAR(Table1[[#This Row],[Order_Date]])</f>
        <v>2023</v>
      </c>
      <c r="O7" s="7">
        <f>Table1[[#This Row],[Profit]]/Table1[[#This Row],[Total_Sales]]</f>
        <v>0.20424786324786326</v>
      </c>
    </row>
    <row r="8" spans="1:15" x14ac:dyDescent="0.25">
      <c r="A8" s="1">
        <v>7</v>
      </c>
      <c r="B8" s="2">
        <v>45108</v>
      </c>
      <c r="C8" s="1" t="s">
        <v>16</v>
      </c>
      <c r="D8" s="1" t="s">
        <v>22</v>
      </c>
      <c r="E8" s="1" t="s">
        <v>29</v>
      </c>
      <c r="F8" s="1" t="s">
        <v>18</v>
      </c>
      <c r="G8" s="1">
        <v>3</v>
      </c>
      <c r="H8" s="1">
        <v>40</v>
      </c>
      <c r="I8" s="1">
        <v>20</v>
      </c>
      <c r="J8" s="4">
        <v>96</v>
      </c>
      <c r="K8" s="4">
        <v>64.87</v>
      </c>
      <c r="L8" s="4">
        <v>31.13</v>
      </c>
      <c r="M8" s="1" t="str">
        <f>TEXT(Table1[[#This Row],[Order_Date]], "MMM")</f>
        <v>Jul</v>
      </c>
      <c r="N8" s="1">
        <f>YEAR(Table1[[#This Row],[Order_Date]])</f>
        <v>2023</v>
      </c>
      <c r="O8" s="7">
        <f>Table1[[#This Row],[Profit]]/Table1[[#This Row],[Total_Sales]]</f>
        <v>0.32427083333333334</v>
      </c>
    </row>
    <row r="9" spans="1:15" x14ac:dyDescent="0.25">
      <c r="A9" s="1">
        <v>8</v>
      </c>
      <c r="B9" s="2">
        <v>45575</v>
      </c>
      <c r="C9" s="1" t="s">
        <v>12</v>
      </c>
      <c r="D9" s="1" t="s">
        <v>20</v>
      </c>
      <c r="E9" s="1" t="s">
        <v>30</v>
      </c>
      <c r="F9" s="1" t="s">
        <v>31</v>
      </c>
      <c r="G9" s="1">
        <v>3</v>
      </c>
      <c r="H9" s="1">
        <v>100</v>
      </c>
      <c r="I9" s="1">
        <v>10</v>
      </c>
      <c r="J9" s="4">
        <v>270</v>
      </c>
      <c r="K9" s="4">
        <v>144.29</v>
      </c>
      <c r="L9" s="4">
        <v>125.71</v>
      </c>
      <c r="M9" s="1" t="str">
        <f>TEXT(Table1[[#This Row],[Order_Date]], "MMM")</f>
        <v>Oct</v>
      </c>
      <c r="N9" s="1">
        <f>YEAR(Table1[[#This Row],[Order_Date]])</f>
        <v>2024</v>
      </c>
      <c r="O9" s="7">
        <f>Table1[[#This Row],[Profit]]/Table1[[#This Row],[Total_Sales]]</f>
        <v>0.46559259259259256</v>
      </c>
    </row>
    <row r="10" spans="1:15" x14ac:dyDescent="0.25">
      <c r="A10" s="1">
        <v>9</v>
      </c>
      <c r="B10" s="2">
        <v>45548</v>
      </c>
      <c r="C10" s="1" t="s">
        <v>16</v>
      </c>
      <c r="D10" s="1" t="s">
        <v>32</v>
      </c>
      <c r="E10" s="1" t="s">
        <v>33</v>
      </c>
      <c r="F10" s="1" t="s">
        <v>24</v>
      </c>
      <c r="G10" s="1">
        <v>1</v>
      </c>
      <c r="H10" s="1">
        <v>779</v>
      </c>
      <c r="I10" s="1">
        <v>5</v>
      </c>
      <c r="J10" s="4">
        <v>740.05</v>
      </c>
      <c r="K10" s="4">
        <v>415.03</v>
      </c>
      <c r="L10" s="4">
        <v>325.02</v>
      </c>
      <c r="M10" s="1" t="str">
        <f>TEXT(Table1[[#This Row],[Order_Date]], "MMM")</f>
        <v>Sep</v>
      </c>
      <c r="N10" s="1">
        <f>YEAR(Table1[[#This Row],[Order_Date]])</f>
        <v>2024</v>
      </c>
      <c r="O10" s="7">
        <f>Table1[[#This Row],[Profit]]/Table1[[#This Row],[Total_Sales]]</f>
        <v>0.43918654144990205</v>
      </c>
    </row>
    <row r="11" spans="1:15" x14ac:dyDescent="0.25">
      <c r="A11" s="1">
        <v>10</v>
      </c>
      <c r="B11" s="2">
        <v>45288</v>
      </c>
      <c r="C11" s="1" t="s">
        <v>12</v>
      </c>
      <c r="D11" s="1" t="s">
        <v>32</v>
      </c>
      <c r="E11" s="1" t="s">
        <v>34</v>
      </c>
      <c r="F11" s="1" t="s">
        <v>35</v>
      </c>
      <c r="G11" s="1">
        <v>9</v>
      </c>
      <c r="H11" s="1">
        <v>157</v>
      </c>
      <c r="I11" s="1">
        <v>15</v>
      </c>
      <c r="J11" s="4">
        <v>1201.05</v>
      </c>
      <c r="K11" s="4">
        <v>691.78</v>
      </c>
      <c r="L11" s="4">
        <v>509.27</v>
      </c>
      <c r="M11" s="1" t="str">
        <f>TEXT(Table1[[#This Row],[Order_Date]], "MMM")</f>
        <v>Dec</v>
      </c>
      <c r="N11" s="1">
        <f>YEAR(Table1[[#This Row],[Order_Date]])</f>
        <v>2023</v>
      </c>
      <c r="O11" s="7">
        <f>Table1[[#This Row],[Profit]]/Table1[[#This Row],[Total_Sales]]</f>
        <v>0.4240206485991424</v>
      </c>
    </row>
    <row r="12" spans="1:15" x14ac:dyDescent="0.25">
      <c r="A12" s="1">
        <v>11</v>
      </c>
      <c r="B12" s="2">
        <v>45048</v>
      </c>
      <c r="C12" s="1" t="s">
        <v>19</v>
      </c>
      <c r="D12" s="1" t="s">
        <v>22</v>
      </c>
      <c r="E12" s="1" t="s">
        <v>36</v>
      </c>
      <c r="F12" s="1" t="s">
        <v>24</v>
      </c>
      <c r="G12" s="1">
        <v>8</v>
      </c>
      <c r="H12" s="1">
        <v>317</v>
      </c>
      <c r="I12" s="1">
        <v>10</v>
      </c>
      <c r="J12" s="4">
        <v>2282.4</v>
      </c>
      <c r="K12" s="4">
        <v>1812.35</v>
      </c>
      <c r="L12" s="4">
        <v>470.05</v>
      </c>
      <c r="M12" s="1" t="str">
        <f>TEXT(Table1[[#This Row],[Order_Date]], "MMM")</f>
        <v>May</v>
      </c>
      <c r="N12" s="1">
        <f>YEAR(Table1[[#This Row],[Order_Date]])</f>
        <v>2023</v>
      </c>
      <c r="O12" s="7">
        <f>Table1[[#This Row],[Profit]]/Table1[[#This Row],[Total_Sales]]</f>
        <v>0.20594549596915526</v>
      </c>
    </row>
    <row r="13" spans="1:15" x14ac:dyDescent="0.25">
      <c r="A13" s="1">
        <v>12</v>
      </c>
      <c r="B13" s="2">
        <v>45591</v>
      </c>
      <c r="C13" s="1" t="s">
        <v>12</v>
      </c>
      <c r="D13" s="1" t="s">
        <v>20</v>
      </c>
      <c r="E13" s="1" t="s">
        <v>30</v>
      </c>
      <c r="F13" s="1" t="s">
        <v>24</v>
      </c>
      <c r="G13" s="1">
        <v>4</v>
      </c>
      <c r="H13" s="1">
        <v>916</v>
      </c>
      <c r="I13" s="1">
        <v>20</v>
      </c>
      <c r="J13" s="4">
        <v>2931.2</v>
      </c>
      <c r="K13" s="4">
        <v>2229.77</v>
      </c>
      <c r="L13" s="4">
        <v>701.43</v>
      </c>
      <c r="M13" s="1" t="str">
        <f>TEXT(Table1[[#This Row],[Order_Date]], "MMM")</f>
        <v>Oct</v>
      </c>
      <c r="N13" s="1">
        <f>YEAR(Table1[[#This Row],[Order_Date]])</f>
        <v>2024</v>
      </c>
      <c r="O13" s="7">
        <f>Table1[[#This Row],[Profit]]/Table1[[#This Row],[Total_Sales]]</f>
        <v>0.23929789847161573</v>
      </c>
    </row>
    <row r="14" spans="1:15" x14ac:dyDescent="0.25">
      <c r="A14" s="1">
        <v>13</v>
      </c>
      <c r="B14" s="2">
        <v>45360</v>
      </c>
      <c r="C14" s="1" t="s">
        <v>16</v>
      </c>
      <c r="D14" s="1" t="s">
        <v>22</v>
      </c>
      <c r="E14" s="1" t="s">
        <v>29</v>
      </c>
      <c r="F14" s="1" t="s">
        <v>31</v>
      </c>
      <c r="G14" s="1">
        <v>3</v>
      </c>
      <c r="H14" s="1">
        <v>521</v>
      </c>
      <c r="I14" s="1">
        <v>20</v>
      </c>
      <c r="J14" s="4">
        <v>1250.4000000000001</v>
      </c>
      <c r="K14" s="4">
        <v>800.66</v>
      </c>
      <c r="L14" s="4">
        <v>449.74</v>
      </c>
      <c r="M14" s="1" t="str">
        <f>TEXT(Table1[[#This Row],[Order_Date]], "MMM")</f>
        <v>Mar</v>
      </c>
      <c r="N14" s="1">
        <f>YEAR(Table1[[#This Row],[Order_Date]])</f>
        <v>2024</v>
      </c>
      <c r="O14" s="7">
        <f>Table1[[#This Row],[Profit]]/Table1[[#This Row],[Total_Sales]]</f>
        <v>0.3596769033909149</v>
      </c>
    </row>
    <row r="15" spans="1:15" x14ac:dyDescent="0.25">
      <c r="A15" s="1">
        <v>14</v>
      </c>
      <c r="B15" s="2">
        <v>45341</v>
      </c>
      <c r="C15" s="1" t="s">
        <v>16</v>
      </c>
      <c r="D15" s="1" t="s">
        <v>26</v>
      </c>
      <c r="E15" s="1" t="s">
        <v>27</v>
      </c>
      <c r="F15" s="1" t="s">
        <v>18</v>
      </c>
      <c r="G15" s="1">
        <v>1</v>
      </c>
      <c r="H15" s="1">
        <v>351</v>
      </c>
      <c r="I15" s="1">
        <v>0</v>
      </c>
      <c r="J15" s="4">
        <v>351</v>
      </c>
      <c r="K15" s="4">
        <v>206.92</v>
      </c>
      <c r="L15" s="4">
        <v>144.08000000000001</v>
      </c>
      <c r="M15" s="1" t="str">
        <f>TEXT(Table1[[#This Row],[Order_Date]], "MMM")</f>
        <v>Feb</v>
      </c>
      <c r="N15" s="1">
        <f>YEAR(Table1[[#This Row],[Order_Date]])</f>
        <v>2024</v>
      </c>
      <c r="O15" s="7">
        <f>Table1[[#This Row],[Profit]]/Table1[[#This Row],[Total_Sales]]</f>
        <v>0.41048433048433053</v>
      </c>
    </row>
    <row r="16" spans="1:15" x14ac:dyDescent="0.25">
      <c r="A16" s="1">
        <v>15</v>
      </c>
      <c r="B16" s="2">
        <v>45551</v>
      </c>
      <c r="C16" s="1" t="s">
        <v>25</v>
      </c>
      <c r="D16" s="1" t="s">
        <v>26</v>
      </c>
      <c r="E16" s="1" t="s">
        <v>37</v>
      </c>
      <c r="F16" s="1" t="s">
        <v>31</v>
      </c>
      <c r="G16" s="1">
        <v>10</v>
      </c>
      <c r="H16" s="1">
        <v>966</v>
      </c>
      <c r="I16" s="1">
        <v>0</v>
      </c>
      <c r="J16" s="4">
        <v>9660</v>
      </c>
      <c r="K16" s="4">
        <v>5691.3</v>
      </c>
      <c r="L16" s="4">
        <v>3968.7</v>
      </c>
      <c r="M16" s="1" t="str">
        <f>TEXT(Table1[[#This Row],[Order_Date]], "MMM")</f>
        <v>Sep</v>
      </c>
      <c r="N16" s="1">
        <f>YEAR(Table1[[#This Row],[Order_Date]])</f>
        <v>2024</v>
      </c>
      <c r="O16" s="7">
        <f>Table1[[#This Row],[Profit]]/Table1[[#This Row],[Total_Sales]]</f>
        <v>0.41083850931677018</v>
      </c>
    </row>
    <row r="17" spans="1:15" x14ac:dyDescent="0.25">
      <c r="A17" s="1">
        <v>16</v>
      </c>
      <c r="B17" s="2">
        <v>45540</v>
      </c>
      <c r="C17" s="1" t="s">
        <v>25</v>
      </c>
      <c r="D17" s="1" t="s">
        <v>13</v>
      </c>
      <c r="E17" s="1" t="s">
        <v>38</v>
      </c>
      <c r="F17" s="1" t="s">
        <v>24</v>
      </c>
      <c r="G17" s="1">
        <v>2</v>
      </c>
      <c r="H17" s="1">
        <v>432</v>
      </c>
      <c r="I17" s="1">
        <v>5</v>
      </c>
      <c r="J17" s="4">
        <v>820.8</v>
      </c>
      <c r="K17" s="4">
        <v>511.85</v>
      </c>
      <c r="L17" s="4">
        <v>308.95</v>
      </c>
      <c r="M17" s="1" t="str">
        <f>TEXT(Table1[[#This Row],[Order_Date]], "MMM")</f>
        <v>Sep</v>
      </c>
      <c r="N17" s="1">
        <f>YEAR(Table1[[#This Row],[Order_Date]])</f>
        <v>2024</v>
      </c>
      <c r="O17" s="7">
        <f>Table1[[#This Row],[Profit]]/Table1[[#This Row],[Total_Sales]]</f>
        <v>0.37640107212475632</v>
      </c>
    </row>
    <row r="18" spans="1:15" x14ac:dyDescent="0.25">
      <c r="A18" s="1">
        <v>17</v>
      </c>
      <c r="B18" s="2">
        <v>45061</v>
      </c>
      <c r="C18" s="1" t="s">
        <v>25</v>
      </c>
      <c r="D18" s="1" t="s">
        <v>13</v>
      </c>
      <c r="E18" s="1" t="s">
        <v>39</v>
      </c>
      <c r="F18" s="1" t="s">
        <v>15</v>
      </c>
      <c r="G18" s="1">
        <v>9</v>
      </c>
      <c r="H18" s="1">
        <v>953</v>
      </c>
      <c r="I18" s="1">
        <v>10</v>
      </c>
      <c r="J18" s="4">
        <v>7719.3</v>
      </c>
      <c r="K18" s="4">
        <v>5647.47</v>
      </c>
      <c r="L18" s="4">
        <v>2071.83</v>
      </c>
      <c r="M18" s="1" t="str">
        <f>TEXT(Table1[[#This Row],[Order_Date]], "MMM")</f>
        <v>May</v>
      </c>
      <c r="N18" s="1">
        <f>YEAR(Table1[[#This Row],[Order_Date]])</f>
        <v>2023</v>
      </c>
      <c r="O18" s="7">
        <f>Table1[[#This Row],[Profit]]/Table1[[#This Row],[Total_Sales]]</f>
        <v>0.26839609809179588</v>
      </c>
    </row>
    <row r="19" spans="1:15" x14ac:dyDescent="0.25">
      <c r="A19" s="1">
        <v>18</v>
      </c>
      <c r="B19" s="2">
        <v>45109</v>
      </c>
      <c r="C19" s="1" t="s">
        <v>25</v>
      </c>
      <c r="D19" s="1" t="s">
        <v>20</v>
      </c>
      <c r="E19" s="1" t="s">
        <v>21</v>
      </c>
      <c r="F19" s="1" t="s">
        <v>35</v>
      </c>
      <c r="G19" s="1">
        <v>10</v>
      </c>
      <c r="H19" s="1">
        <v>894</v>
      </c>
      <c r="I19" s="1">
        <v>20</v>
      </c>
      <c r="J19" s="4">
        <v>7152</v>
      </c>
      <c r="K19" s="4">
        <v>4191.82</v>
      </c>
      <c r="L19" s="4">
        <v>2960.18</v>
      </c>
      <c r="M19" s="1" t="str">
        <f>TEXT(Table1[[#This Row],[Order_Date]], "MMM")</f>
        <v>Jul</v>
      </c>
      <c r="N19" s="1">
        <f>YEAR(Table1[[#This Row],[Order_Date]])</f>
        <v>2023</v>
      </c>
      <c r="O19" s="7">
        <f>Table1[[#This Row],[Profit]]/Table1[[#This Row],[Total_Sales]]</f>
        <v>0.41389541387024609</v>
      </c>
    </row>
    <row r="20" spans="1:15" x14ac:dyDescent="0.25">
      <c r="A20" s="1">
        <v>19</v>
      </c>
      <c r="B20" s="2">
        <v>45190</v>
      </c>
      <c r="C20" s="1" t="s">
        <v>19</v>
      </c>
      <c r="D20" s="1" t="s">
        <v>20</v>
      </c>
      <c r="E20" s="1" t="s">
        <v>21</v>
      </c>
      <c r="F20" s="1" t="s">
        <v>18</v>
      </c>
      <c r="G20" s="1">
        <v>1</v>
      </c>
      <c r="H20" s="1">
        <v>508</v>
      </c>
      <c r="I20" s="1">
        <v>5</v>
      </c>
      <c r="J20" s="4">
        <v>482.6</v>
      </c>
      <c r="K20" s="4">
        <v>266.14999999999998</v>
      </c>
      <c r="L20" s="4">
        <v>216.45</v>
      </c>
      <c r="M20" s="1" t="str">
        <f>TEXT(Table1[[#This Row],[Order_Date]], "MMM")</f>
        <v>Sep</v>
      </c>
      <c r="N20" s="1">
        <f>YEAR(Table1[[#This Row],[Order_Date]])</f>
        <v>2023</v>
      </c>
      <c r="O20" s="7">
        <f>Table1[[#This Row],[Profit]]/Table1[[#This Row],[Total_Sales]]</f>
        <v>0.44850808122668873</v>
      </c>
    </row>
    <row r="21" spans="1:15" x14ac:dyDescent="0.25">
      <c r="A21" s="1">
        <v>20</v>
      </c>
      <c r="B21" s="2">
        <v>45169</v>
      </c>
      <c r="C21" s="1" t="s">
        <v>25</v>
      </c>
      <c r="D21" s="1" t="s">
        <v>22</v>
      </c>
      <c r="E21" s="1" t="s">
        <v>23</v>
      </c>
      <c r="F21" s="1" t="s">
        <v>40</v>
      </c>
      <c r="G21" s="1">
        <v>6</v>
      </c>
      <c r="H21" s="1">
        <v>938</v>
      </c>
      <c r="I21" s="1">
        <v>20</v>
      </c>
      <c r="J21" s="4">
        <v>4502.3999999999996</v>
      </c>
      <c r="K21" s="4">
        <v>3043.35</v>
      </c>
      <c r="L21" s="4">
        <v>1459.05</v>
      </c>
      <c r="M21" s="1" t="str">
        <f>TEXT(Table1[[#This Row],[Order_Date]], "MMM")</f>
        <v>Aug</v>
      </c>
      <c r="N21" s="1">
        <f>YEAR(Table1[[#This Row],[Order_Date]])</f>
        <v>2023</v>
      </c>
      <c r="O21" s="7">
        <f>Table1[[#This Row],[Profit]]/Table1[[#This Row],[Total_Sales]]</f>
        <v>0.32406050106609807</v>
      </c>
    </row>
    <row r="22" spans="1:15" x14ac:dyDescent="0.25">
      <c r="A22" s="1">
        <v>21</v>
      </c>
      <c r="B22" s="2">
        <v>45379</v>
      </c>
      <c r="C22" s="1" t="s">
        <v>25</v>
      </c>
      <c r="D22" s="1" t="s">
        <v>32</v>
      </c>
      <c r="E22" s="1" t="s">
        <v>41</v>
      </c>
      <c r="F22" s="1" t="s">
        <v>24</v>
      </c>
      <c r="G22" s="1">
        <v>4</v>
      </c>
      <c r="H22" s="1">
        <v>203</v>
      </c>
      <c r="I22" s="1">
        <v>15</v>
      </c>
      <c r="J22" s="4">
        <v>690.2</v>
      </c>
      <c r="K22" s="4">
        <v>537.91999999999996</v>
      </c>
      <c r="L22" s="4">
        <v>152.28</v>
      </c>
      <c r="M22" s="1" t="str">
        <f>TEXT(Table1[[#This Row],[Order_Date]], "MMM")</f>
        <v>Mar</v>
      </c>
      <c r="N22" s="1">
        <f>YEAR(Table1[[#This Row],[Order_Date]])</f>
        <v>2024</v>
      </c>
      <c r="O22" s="7">
        <f>Table1[[#This Row],[Profit]]/Table1[[#This Row],[Total_Sales]]</f>
        <v>0.22063170095624454</v>
      </c>
    </row>
    <row r="23" spans="1:15" x14ac:dyDescent="0.25">
      <c r="A23" s="1">
        <v>22</v>
      </c>
      <c r="B23" s="2">
        <v>45526</v>
      </c>
      <c r="C23" s="1" t="s">
        <v>12</v>
      </c>
      <c r="D23" s="1" t="s">
        <v>26</v>
      </c>
      <c r="E23" s="1" t="s">
        <v>42</v>
      </c>
      <c r="F23" s="1" t="s">
        <v>35</v>
      </c>
      <c r="G23" s="1">
        <v>5</v>
      </c>
      <c r="H23" s="1">
        <v>751</v>
      </c>
      <c r="I23" s="1">
        <v>20</v>
      </c>
      <c r="J23" s="4">
        <v>3004</v>
      </c>
      <c r="K23" s="4">
        <v>2319.44</v>
      </c>
      <c r="L23" s="4">
        <v>684.56</v>
      </c>
      <c r="M23" s="1" t="str">
        <f>TEXT(Table1[[#This Row],[Order_Date]], "MMM")</f>
        <v>Aug</v>
      </c>
      <c r="N23" s="1">
        <f>YEAR(Table1[[#This Row],[Order_Date]])</f>
        <v>2024</v>
      </c>
      <c r="O23" s="7">
        <f>Table1[[#This Row],[Profit]]/Table1[[#This Row],[Total_Sales]]</f>
        <v>0.22788282290279627</v>
      </c>
    </row>
    <row r="24" spans="1:15" x14ac:dyDescent="0.25">
      <c r="A24" s="1">
        <v>23</v>
      </c>
      <c r="B24" s="2">
        <v>45531</v>
      </c>
      <c r="C24" s="1" t="s">
        <v>25</v>
      </c>
      <c r="D24" s="1" t="s">
        <v>26</v>
      </c>
      <c r="E24" s="1" t="s">
        <v>37</v>
      </c>
      <c r="F24" s="1" t="s">
        <v>31</v>
      </c>
      <c r="G24" s="1">
        <v>3</v>
      </c>
      <c r="H24" s="1">
        <v>618</v>
      </c>
      <c r="I24" s="1">
        <v>5</v>
      </c>
      <c r="J24" s="4">
        <v>1761.3</v>
      </c>
      <c r="K24" s="4">
        <v>893.93</v>
      </c>
      <c r="L24" s="4">
        <v>867.37</v>
      </c>
      <c r="M24" s="1" t="str">
        <f>TEXT(Table1[[#This Row],[Order_Date]], "MMM")</f>
        <v>Aug</v>
      </c>
      <c r="N24" s="1">
        <f>YEAR(Table1[[#This Row],[Order_Date]])</f>
        <v>2024</v>
      </c>
      <c r="O24" s="7">
        <f>Table1[[#This Row],[Profit]]/Table1[[#This Row],[Total_Sales]]</f>
        <v>0.49246011468801454</v>
      </c>
    </row>
    <row r="25" spans="1:15" x14ac:dyDescent="0.25">
      <c r="A25" s="1">
        <v>24</v>
      </c>
      <c r="B25" s="2">
        <v>45093</v>
      </c>
      <c r="C25" s="1" t="s">
        <v>12</v>
      </c>
      <c r="D25" s="1" t="s">
        <v>32</v>
      </c>
      <c r="E25" s="1" t="s">
        <v>34</v>
      </c>
      <c r="F25" s="1" t="s">
        <v>40</v>
      </c>
      <c r="G25" s="1">
        <v>6</v>
      </c>
      <c r="H25" s="1">
        <v>282</v>
      </c>
      <c r="I25" s="1">
        <v>0</v>
      </c>
      <c r="J25" s="4">
        <v>1692</v>
      </c>
      <c r="K25" s="4">
        <v>999.4</v>
      </c>
      <c r="L25" s="4">
        <v>692.6</v>
      </c>
      <c r="M25" s="1" t="str">
        <f>TEXT(Table1[[#This Row],[Order_Date]], "MMM")</f>
        <v>Jun</v>
      </c>
      <c r="N25" s="1">
        <f>YEAR(Table1[[#This Row],[Order_Date]])</f>
        <v>2023</v>
      </c>
      <c r="O25" s="7">
        <f>Table1[[#This Row],[Profit]]/Table1[[#This Row],[Total_Sales]]</f>
        <v>0.40933806146572105</v>
      </c>
    </row>
    <row r="26" spans="1:15" x14ac:dyDescent="0.25">
      <c r="A26" s="1">
        <v>25</v>
      </c>
      <c r="B26" s="2">
        <v>45386</v>
      </c>
      <c r="C26" s="1" t="s">
        <v>16</v>
      </c>
      <c r="D26" s="1" t="s">
        <v>20</v>
      </c>
      <c r="E26" s="1" t="s">
        <v>28</v>
      </c>
      <c r="F26" s="1" t="s">
        <v>40</v>
      </c>
      <c r="G26" s="1">
        <v>7</v>
      </c>
      <c r="H26" s="1">
        <v>921</v>
      </c>
      <c r="I26" s="1">
        <v>15</v>
      </c>
      <c r="J26" s="4">
        <v>5479.95</v>
      </c>
      <c r="K26" s="4">
        <v>3774.03</v>
      </c>
      <c r="L26" s="4">
        <v>1705.92</v>
      </c>
      <c r="M26" s="1" t="str">
        <f>TEXT(Table1[[#This Row],[Order_Date]], "MMM")</f>
        <v>Apr</v>
      </c>
      <c r="N26" s="1">
        <f>YEAR(Table1[[#This Row],[Order_Date]])</f>
        <v>2024</v>
      </c>
      <c r="O26" s="7">
        <f>Table1[[#This Row],[Profit]]/Table1[[#This Row],[Total_Sales]]</f>
        <v>0.31130211042071554</v>
      </c>
    </row>
    <row r="27" spans="1:15" x14ac:dyDescent="0.25">
      <c r="A27" s="1">
        <v>26</v>
      </c>
      <c r="B27" s="2">
        <v>45379</v>
      </c>
      <c r="C27" s="1" t="s">
        <v>12</v>
      </c>
      <c r="D27" s="1" t="s">
        <v>20</v>
      </c>
      <c r="E27" s="1" t="s">
        <v>43</v>
      </c>
      <c r="F27" s="1" t="s">
        <v>18</v>
      </c>
      <c r="G27" s="1">
        <v>1</v>
      </c>
      <c r="H27" s="1">
        <v>395</v>
      </c>
      <c r="I27" s="1">
        <v>10</v>
      </c>
      <c r="J27" s="4">
        <v>355.5</v>
      </c>
      <c r="K27" s="4">
        <v>233.01</v>
      </c>
      <c r="L27" s="4">
        <v>122.49</v>
      </c>
      <c r="M27" s="1" t="str">
        <f>TEXT(Table1[[#This Row],[Order_Date]], "MMM")</f>
        <v>Mar</v>
      </c>
      <c r="N27" s="1">
        <f>YEAR(Table1[[#This Row],[Order_Date]])</f>
        <v>2024</v>
      </c>
      <c r="O27" s="7">
        <f>Table1[[#This Row],[Profit]]/Table1[[#This Row],[Total_Sales]]</f>
        <v>0.34455696202531644</v>
      </c>
    </row>
    <row r="28" spans="1:15" x14ac:dyDescent="0.25">
      <c r="A28" s="1">
        <v>27</v>
      </c>
      <c r="B28" s="2">
        <v>45089</v>
      </c>
      <c r="C28" s="1" t="s">
        <v>12</v>
      </c>
      <c r="D28" s="1" t="s">
        <v>26</v>
      </c>
      <c r="E28" s="1" t="s">
        <v>27</v>
      </c>
      <c r="F28" s="1" t="s">
        <v>40</v>
      </c>
      <c r="G28" s="1">
        <v>8</v>
      </c>
      <c r="H28" s="1">
        <v>224</v>
      </c>
      <c r="I28" s="1">
        <v>20</v>
      </c>
      <c r="J28" s="4">
        <v>1433.6</v>
      </c>
      <c r="K28" s="4">
        <v>983.04</v>
      </c>
      <c r="L28" s="4">
        <v>450.56</v>
      </c>
      <c r="M28" s="1" t="str">
        <f>TEXT(Table1[[#This Row],[Order_Date]], "MMM")</f>
        <v>Jun</v>
      </c>
      <c r="N28" s="1">
        <f>YEAR(Table1[[#This Row],[Order_Date]])</f>
        <v>2023</v>
      </c>
      <c r="O28" s="7">
        <f>Table1[[#This Row],[Profit]]/Table1[[#This Row],[Total_Sales]]</f>
        <v>0.31428571428571433</v>
      </c>
    </row>
    <row r="29" spans="1:15" x14ac:dyDescent="0.25">
      <c r="A29" s="1">
        <v>28</v>
      </c>
      <c r="B29" s="2">
        <v>45563</v>
      </c>
      <c r="C29" s="1" t="s">
        <v>25</v>
      </c>
      <c r="D29" s="1" t="s">
        <v>22</v>
      </c>
      <c r="E29" s="1" t="s">
        <v>23</v>
      </c>
      <c r="F29" s="1" t="s">
        <v>18</v>
      </c>
      <c r="G29" s="1">
        <v>7</v>
      </c>
      <c r="H29" s="1">
        <v>567</v>
      </c>
      <c r="I29" s="1">
        <v>15</v>
      </c>
      <c r="J29" s="4">
        <v>3373.65</v>
      </c>
      <c r="K29" s="4">
        <v>1820.59</v>
      </c>
      <c r="L29" s="4">
        <v>1553.06</v>
      </c>
      <c r="M29" s="1" t="str">
        <f>TEXT(Table1[[#This Row],[Order_Date]], "MMM")</f>
        <v>Sep</v>
      </c>
      <c r="N29" s="1">
        <f>YEAR(Table1[[#This Row],[Order_Date]])</f>
        <v>2024</v>
      </c>
      <c r="O29" s="7">
        <f>Table1[[#This Row],[Profit]]/Table1[[#This Row],[Total_Sales]]</f>
        <v>0.46035006595230682</v>
      </c>
    </row>
    <row r="30" spans="1:15" x14ac:dyDescent="0.25">
      <c r="A30" s="1">
        <v>29</v>
      </c>
      <c r="B30" s="2">
        <v>45371</v>
      </c>
      <c r="C30" s="1" t="s">
        <v>12</v>
      </c>
      <c r="D30" s="1" t="s">
        <v>26</v>
      </c>
      <c r="E30" s="1" t="s">
        <v>27</v>
      </c>
      <c r="F30" s="1" t="s">
        <v>18</v>
      </c>
      <c r="G30" s="1">
        <v>6</v>
      </c>
      <c r="H30" s="1">
        <v>231</v>
      </c>
      <c r="I30" s="1">
        <v>0</v>
      </c>
      <c r="J30" s="4">
        <v>1386</v>
      </c>
      <c r="K30" s="4">
        <v>994.24</v>
      </c>
      <c r="L30" s="4">
        <v>391.76</v>
      </c>
      <c r="M30" s="1" t="str">
        <f>TEXT(Table1[[#This Row],[Order_Date]], "MMM")</f>
        <v>Mar</v>
      </c>
      <c r="N30" s="1">
        <f>YEAR(Table1[[#This Row],[Order_Date]])</f>
        <v>2024</v>
      </c>
      <c r="O30" s="7">
        <f>Table1[[#This Row],[Profit]]/Table1[[#This Row],[Total_Sales]]</f>
        <v>0.28265512265512266</v>
      </c>
    </row>
    <row r="31" spans="1:15" x14ac:dyDescent="0.25">
      <c r="A31" s="1">
        <v>30</v>
      </c>
      <c r="B31" s="2">
        <v>45353</v>
      </c>
      <c r="C31" s="1" t="s">
        <v>16</v>
      </c>
      <c r="D31" s="1" t="s">
        <v>20</v>
      </c>
      <c r="E31" s="1" t="s">
        <v>30</v>
      </c>
      <c r="F31" s="1" t="s">
        <v>15</v>
      </c>
      <c r="G31" s="1">
        <v>3</v>
      </c>
      <c r="H31" s="1">
        <v>117</v>
      </c>
      <c r="I31" s="1">
        <v>10</v>
      </c>
      <c r="J31" s="4">
        <v>315.89999999999998</v>
      </c>
      <c r="K31" s="4">
        <v>220.84</v>
      </c>
      <c r="L31" s="4">
        <v>95.06</v>
      </c>
      <c r="M31" s="1" t="str">
        <f>TEXT(Table1[[#This Row],[Order_Date]], "MMM")</f>
        <v>Mar</v>
      </c>
      <c r="N31" s="1">
        <f>YEAR(Table1[[#This Row],[Order_Date]])</f>
        <v>2024</v>
      </c>
      <c r="O31" s="7">
        <f>Table1[[#This Row],[Profit]]/Table1[[#This Row],[Total_Sales]]</f>
        <v>0.30091801202912316</v>
      </c>
    </row>
    <row r="32" spans="1:15" x14ac:dyDescent="0.25">
      <c r="A32" s="1">
        <v>31</v>
      </c>
      <c r="B32" s="2">
        <v>45311</v>
      </c>
      <c r="C32" s="1" t="s">
        <v>16</v>
      </c>
      <c r="D32" s="1" t="s">
        <v>22</v>
      </c>
      <c r="E32" s="1" t="s">
        <v>36</v>
      </c>
      <c r="F32" s="1" t="s">
        <v>24</v>
      </c>
      <c r="G32" s="1">
        <v>1</v>
      </c>
      <c r="H32" s="1">
        <v>776</v>
      </c>
      <c r="I32" s="1">
        <v>20</v>
      </c>
      <c r="J32" s="4">
        <v>620.79999999999995</v>
      </c>
      <c r="K32" s="4">
        <v>483.01</v>
      </c>
      <c r="L32" s="4">
        <v>137.79</v>
      </c>
      <c r="M32" s="1" t="str">
        <f>TEXT(Table1[[#This Row],[Order_Date]], "MMM")</f>
        <v>Jan</v>
      </c>
      <c r="N32" s="1">
        <f>YEAR(Table1[[#This Row],[Order_Date]])</f>
        <v>2024</v>
      </c>
      <c r="O32" s="7">
        <f>Table1[[#This Row],[Profit]]/Table1[[#This Row],[Total_Sales]]</f>
        <v>0.22195554123711342</v>
      </c>
    </row>
    <row r="33" spans="1:15" x14ac:dyDescent="0.25">
      <c r="A33" s="1">
        <v>32</v>
      </c>
      <c r="B33" s="2">
        <v>45265</v>
      </c>
      <c r="C33" s="1" t="s">
        <v>25</v>
      </c>
      <c r="D33" s="1" t="s">
        <v>22</v>
      </c>
      <c r="E33" s="1" t="s">
        <v>44</v>
      </c>
      <c r="F33" s="1" t="s">
        <v>18</v>
      </c>
      <c r="G33" s="1">
        <v>3</v>
      </c>
      <c r="H33" s="1">
        <v>266</v>
      </c>
      <c r="I33" s="1">
        <v>15</v>
      </c>
      <c r="J33" s="4">
        <v>678.3</v>
      </c>
      <c r="K33" s="4">
        <v>493.89</v>
      </c>
      <c r="L33" s="4">
        <v>184.41</v>
      </c>
      <c r="M33" s="1" t="str">
        <f>TEXT(Table1[[#This Row],[Order_Date]], "MMM")</f>
        <v>Dec</v>
      </c>
      <c r="N33" s="1">
        <f>YEAR(Table1[[#This Row],[Order_Date]])</f>
        <v>2023</v>
      </c>
      <c r="O33" s="7">
        <f>Table1[[#This Row],[Profit]]/Table1[[#This Row],[Total_Sales]]</f>
        <v>0.27187085360459973</v>
      </c>
    </row>
    <row r="34" spans="1:15" x14ac:dyDescent="0.25">
      <c r="A34" s="1">
        <v>33</v>
      </c>
      <c r="B34" s="2">
        <v>44996</v>
      </c>
      <c r="C34" s="1" t="s">
        <v>19</v>
      </c>
      <c r="D34" s="1" t="s">
        <v>26</v>
      </c>
      <c r="E34" s="1" t="s">
        <v>27</v>
      </c>
      <c r="F34" s="1" t="s">
        <v>15</v>
      </c>
      <c r="G34" s="1">
        <v>2</v>
      </c>
      <c r="H34" s="1">
        <v>464</v>
      </c>
      <c r="I34" s="1">
        <v>15</v>
      </c>
      <c r="J34" s="4">
        <v>788.8</v>
      </c>
      <c r="K34" s="4">
        <v>615.41</v>
      </c>
      <c r="L34" s="4">
        <v>173.39</v>
      </c>
      <c r="M34" s="1" t="str">
        <f>TEXT(Table1[[#This Row],[Order_Date]], "MMM")</f>
        <v>Mar</v>
      </c>
      <c r="N34" s="1">
        <f>YEAR(Table1[[#This Row],[Order_Date]])</f>
        <v>2023</v>
      </c>
      <c r="O34" s="7">
        <f>Table1[[#This Row],[Profit]]/Table1[[#This Row],[Total_Sales]]</f>
        <v>0.21981490872210954</v>
      </c>
    </row>
    <row r="35" spans="1:15" x14ac:dyDescent="0.25">
      <c r="A35" s="1">
        <v>34</v>
      </c>
      <c r="B35" s="2">
        <v>45394</v>
      </c>
      <c r="C35" s="1" t="s">
        <v>19</v>
      </c>
      <c r="D35" s="1" t="s">
        <v>13</v>
      </c>
      <c r="E35" s="1" t="s">
        <v>17</v>
      </c>
      <c r="F35" s="1" t="s">
        <v>40</v>
      </c>
      <c r="G35" s="1">
        <v>4</v>
      </c>
      <c r="H35" s="1">
        <v>241</v>
      </c>
      <c r="I35" s="1">
        <v>15</v>
      </c>
      <c r="J35" s="4">
        <v>819.4</v>
      </c>
      <c r="K35" s="4">
        <v>410.06</v>
      </c>
      <c r="L35" s="4">
        <v>409.34</v>
      </c>
      <c r="M35" s="1" t="str">
        <f>TEXT(Table1[[#This Row],[Order_Date]], "MMM")</f>
        <v>Apr</v>
      </c>
      <c r="N35" s="1">
        <f>YEAR(Table1[[#This Row],[Order_Date]])</f>
        <v>2024</v>
      </c>
      <c r="O35" s="7">
        <f>Table1[[#This Row],[Profit]]/Table1[[#This Row],[Total_Sales]]</f>
        <v>0.49956065413717354</v>
      </c>
    </row>
    <row r="36" spans="1:15" x14ac:dyDescent="0.25">
      <c r="A36" s="1">
        <v>35</v>
      </c>
      <c r="B36" s="2">
        <v>45311</v>
      </c>
      <c r="C36" s="1" t="s">
        <v>19</v>
      </c>
      <c r="D36" s="1" t="s">
        <v>32</v>
      </c>
      <c r="E36" s="1" t="s">
        <v>41</v>
      </c>
      <c r="F36" s="1" t="s">
        <v>24</v>
      </c>
      <c r="G36" s="1">
        <v>6</v>
      </c>
      <c r="H36" s="1">
        <v>104</v>
      </c>
      <c r="I36" s="1">
        <v>20</v>
      </c>
      <c r="J36" s="4">
        <v>499.2</v>
      </c>
      <c r="K36" s="4">
        <v>354.59</v>
      </c>
      <c r="L36" s="4">
        <v>144.61000000000001</v>
      </c>
      <c r="M36" s="1" t="str">
        <f>TEXT(Table1[[#This Row],[Order_Date]], "MMM")</f>
        <v>Jan</v>
      </c>
      <c r="N36" s="1">
        <f>YEAR(Table1[[#This Row],[Order_Date]])</f>
        <v>2024</v>
      </c>
      <c r="O36" s="7">
        <f>Table1[[#This Row],[Profit]]/Table1[[#This Row],[Total_Sales]]</f>
        <v>0.2896834935897436</v>
      </c>
    </row>
    <row r="37" spans="1:15" x14ac:dyDescent="0.25">
      <c r="A37" s="1">
        <v>36</v>
      </c>
      <c r="B37" s="2">
        <v>45021</v>
      </c>
      <c r="C37" s="1" t="s">
        <v>16</v>
      </c>
      <c r="D37" s="1" t="s">
        <v>32</v>
      </c>
      <c r="E37" s="1" t="s">
        <v>45</v>
      </c>
      <c r="F37" s="1" t="s">
        <v>15</v>
      </c>
      <c r="G37" s="1">
        <v>7</v>
      </c>
      <c r="H37" s="1">
        <v>420</v>
      </c>
      <c r="I37" s="1">
        <v>20</v>
      </c>
      <c r="J37" s="4">
        <v>2352</v>
      </c>
      <c r="K37" s="4">
        <v>1412.72</v>
      </c>
      <c r="L37" s="4">
        <v>939.28</v>
      </c>
      <c r="M37" s="1" t="str">
        <f>TEXT(Table1[[#This Row],[Order_Date]], "MMM")</f>
        <v>Apr</v>
      </c>
      <c r="N37" s="1">
        <f>YEAR(Table1[[#This Row],[Order_Date]])</f>
        <v>2023</v>
      </c>
      <c r="O37" s="7">
        <f>Table1[[#This Row],[Profit]]/Table1[[#This Row],[Total_Sales]]</f>
        <v>0.39935374149659864</v>
      </c>
    </row>
    <row r="38" spans="1:15" x14ac:dyDescent="0.25">
      <c r="A38" s="1">
        <v>37</v>
      </c>
      <c r="B38" s="2">
        <v>45279</v>
      </c>
      <c r="C38" s="1" t="s">
        <v>16</v>
      </c>
      <c r="D38" s="1" t="s">
        <v>32</v>
      </c>
      <c r="E38" s="1" t="s">
        <v>34</v>
      </c>
      <c r="F38" s="1" t="s">
        <v>31</v>
      </c>
      <c r="G38" s="1">
        <v>5</v>
      </c>
      <c r="H38" s="1">
        <v>644</v>
      </c>
      <c r="I38" s="1">
        <v>5</v>
      </c>
      <c r="J38" s="4">
        <v>3059</v>
      </c>
      <c r="K38" s="4">
        <v>2053.23</v>
      </c>
      <c r="L38" s="4">
        <v>1005.77</v>
      </c>
      <c r="M38" s="1" t="str">
        <f>TEXT(Table1[[#This Row],[Order_Date]], "MMM")</f>
        <v>Dec</v>
      </c>
      <c r="N38" s="1">
        <f>YEAR(Table1[[#This Row],[Order_Date]])</f>
        <v>2023</v>
      </c>
      <c r="O38" s="7">
        <f>Table1[[#This Row],[Profit]]/Table1[[#This Row],[Total_Sales]]</f>
        <v>0.32879045439686172</v>
      </c>
    </row>
    <row r="39" spans="1:15" x14ac:dyDescent="0.25">
      <c r="A39" s="1">
        <v>38</v>
      </c>
      <c r="B39" s="2">
        <v>45269</v>
      </c>
      <c r="C39" s="1" t="s">
        <v>25</v>
      </c>
      <c r="D39" s="1" t="s">
        <v>13</v>
      </c>
      <c r="E39" s="1" t="s">
        <v>38</v>
      </c>
      <c r="F39" s="1" t="s">
        <v>18</v>
      </c>
      <c r="G39" s="1">
        <v>6</v>
      </c>
      <c r="H39" s="1">
        <v>181</v>
      </c>
      <c r="I39" s="1">
        <v>15</v>
      </c>
      <c r="J39" s="4">
        <v>923.1</v>
      </c>
      <c r="K39" s="4">
        <v>515.75</v>
      </c>
      <c r="L39" s="4">
        <v>407.35</v>
      </c>
      <c r="M39" s="1" t="str">
        <f>TEXT(Table1[[#This Row],[Order_Date]], "MMM")</f>
        <v>Dec</v>
      </c>
      <c r="N39" s="1">
        <f>YEAR(Table1[[#This Row],[Order_Date]])</f>
        <v>2023</v>
      </c>
      <c r="O39" s="7">
        <f>Table1[[#This Row],[Profit]]/Table1[[#This Row],[Total_Sales]]</f>
        <v>0.44128480121330299</v>
      </c>
    </row>
    <row r="40" spans="1:15" x14ac:dyDescent="0.25">
      <c r="A40" s="1">
        <v>39</v>
      </c>
      <c r="B40" s="2">
        <v>45149</v>
      </c>
      <c r="C40" s="1" t="s">
        <v>16</v>
      </c>
      <c r="D40" s="1" t="s">
        <v>20</v>
      </c>
      <c r="E40" s="1" t="s">
        <v>43</v>
      </c>
      <c r="F40" s="1" t="s">
        <v>24</v>
      </c>
      <c r="G40" s="1">
        <v>5</v>
      </c>
      <c r="H40" s="1">
        <v>510</v>
      </c>
      <c r="I40" s="1">
        <v>15</v>
      </c>
      <c r="J40" s="4">
        <v>2167.5</v>
      </c>
      <c r="K40" s="4">
        <v>1416.8</v>
      </c>
      <c r="L40" s="4">
        <v>750.7</v>
      </c>
      <c r="M40" s="1" t="str">
        <f>TEXT(Table1[[#This Row],[Order_Date]], "MMM")</f>
        <v>Aug</v>
      </c>
      <c r="N40" s="1">
        <f>YEAR(Table1[[#This Row],[Order_Date]])</f>
        <v>2023</v>
      </c>
      <c r="O40" s="7">
        <f>Table1[[#This Row],[Profit]]/Table1[[#This Row],[Total_Sales]]</f>
        <v>0.34634371395617075</v>
      </c>
    </row>
    <row r="41" spans="1:15" x14ac:dyDescent="0.25">
      <c r="A41" s="1">
        <v>40</v>
      </c>
      <c r="B41" s="2">
        <v>45067</v>
      </c>
      <c r="C41" s="1" t="s">
        <v>12</v>
      </c>
      <c r="D41" s="1" t="s">
        <v>22</v>
      </c>
      <c r="E41" s="1" t="s">
        <v>44</v>
      </c>
      <c r="F41" s="1" t="s">
        <v>31</v>
      </c>
      <c r="G41" s="1">
        <v>8</v>
      </c>
      <c r="H41" s="1">
        <v>514</v>
      </c>
      <c r="I41" s="1">
        <v>20</v>
      </c>
      <c r="J41" s="4">
        <v>3289.6</v>
      </c>
      <c r="K41" s="4">
        <v>1975.09</v>
      </c>
      <c r="L41" s="4">
        <v>1314.51</v>
      </c>
      <c r="M41" s="1" t="str">
        <f>TEXT(Table1[[#This Row],[Order_Date]], "MMM")</f>
        <v>May</v>
      </c>
      <c r="N41" s="1">
        <f>YEAR(Table1[[#This Row],[Order_Date]])</f>
        <v>2023</v>
      </c>
      <c r="O41" s="7">
        <f>Table1[[#This Row],[Profit]]/Table1[[#This Row],[Total_Sales]]</f>
        <v>0.39959569552529184</v>
      </c>
    </row>
    <row r="42" spans="1:15" x14ac:dyDescent="0.25">
      <c r="A42" s="1">
        <v>41</v>
      </c>
      <c r="B42" s="2">
        <v>45035</v>
      </c>
      <c r="C42" s="1" t="s">
        <v>19</v>
      </c>
      <c r="D42" s="1" t="s">
        <v>22</v>
      </c>
      <c r="E42" s="1" t="s">
        <v>29</v>
      </c>
      <c r="F42" s="1" t="s">
        <v>24</v>
      </c>
      <c r="G42" s="1">
        <v>10</v>
      </c>
      <c r="H42" s="1">
        <v>323</v>
      </c>
      <c r="I42" s="1">
        <v>5</v>
      </c>
      <c r="J42" s="4">
        <v>3068.5</v>
      </c>
      <c r="K42" s="4">
        <v>1678.31</v>
      </c>
      <c r="L42" s="4">
        <v>1390.19</v>
      </c>
      <c r="M42" s="1" t="str">
        <f>TEXT(Table1[[#This Row],[Order_Date]], "MMM")</f>
        <v>Apr</v>
      </c>
      <c r="N42" s="1">
        <f>YEAR(Table1[[#This Row],[Order_Date]])</f>
        <v>2023</v>
      </c>
      <c r="O42" s="7">
        <f>Table1[[#This Row],[Profit]]/Table1[[#This Row],[Total_Sales]]</f>
        <v>0.45305197979468798</v>
      </c>
    </row>
    <row r="43" spans="1:15" x14ac:dyDescent="0.25">
      <c r="A43" s="1">
        <v>42</v>
      </c>
      <c r="B43" s="2">
        <v>45065</v>
      </c>
      <c r="C43" s="1" t="s">
        <v>19</v>
      </c>
      <c r="D43" s="1" t="s">
        <v>22</v>
      </c>
      <c r="E43" s="1" t="s">
        <v>36</v>
      </c>
      <c r="F43" s="1" t="s">
        <v>18</v>
      </c>
      <c r="G43" s="1">
        <v>5</v>
      </c>
      <c r="H43" s="1">
        <v>551</v>
      </c>
      <c r="I43" s="1">
        <v>0</v>
      </c>
      <c r="J43" s="4">
        <v>2755</v>
      </c>
      <c r="K43" s="4">
        <v>2073.34</v>
      </c>
      <c r="L43" s="4">
        <v>681.66</v>
      </c>
      <c r="M43" s="1" t="str">
        <f>TEXT(Table1[[#This Row],[Order_Date]], "MMM")</f>
        <v>May</v>
      </c>
      <c r="N43" s="1">
        <f>YEAR(Table1[[#This Row],[Order_Date]])</f>
        <v>2023</v>
      </c>
      <c r="O43" s="7">
        <f>Table1[[#This Row],[Profit]]/Table1[[#This Row],[Total_Sales]]</f>
        <v>0.24742649727767693</v>
      </c>
    </row>
    <row r="44" spans="1:15" x14ac:dyDescent="0.25">
      <c r="A44" s="1">
        <v>43</v>
      </c>
      <c r="B44" s="2">
        <v>44965</v>
      </c>
      <c r="C44" s="1" t="s">
        <v>16</v>
      </c>
      <c r="D44" s="1" t="s">
        <v>32</v>
      </c>
      <c r="E44" s="1" t="s">
        <v>34</v>
      </c>
      <c r="F44" s="1" t="s">
        <v>40</v>
      </c>
      <c r="G44" s="1">
        <v>5</v>
      </c>
      <c r="H44" s="1">
        <v>275</v>
      </c>
      <c r="I44" s="1">
        <v>20</v>
      </c>
      <c r="J44" s="4">
        <v>1100</v>
      </c>
      <c r="K44" s="4">
        <v>782.79</v>
      </c>
      <c r="L44" s="4">
        <v>317.20999999999998</v>
      </c>
      <c r="M44" s="1" t="str">
        <f>TEXT(Table1[[#This Row],[Order_Date]], "MMM")</f>
        <v>Feb</v>
      </c>
      <c r="N44" s="1">
        <f>YEAR(Table1[[#This Row],[Order_Date]])</f>
        <v>2023</v>
      </c>
      <c r="O44" s="7">
        <f>Table1[[#This Row],[Profit]]/Table1[[#This Row],[Total_Sales]]</f>
        <v>0.28837272727272728</v>
      </c>
    </row>
    <row r="45" spans="1:15" x14ac:dyDescent="0.25">
      <c r="A45" s="1">
        <v>44</v>
      </c>
      <c r="B45" s="2">
        <v>45466</v>
      </c>
      <c r="C45" s="1" t="s">
        <v>16</v>
      </c>
      <c r="D45" s="1" t="s">
        <v>20</v>
      </c>
      <c r="E45" s="1" t="s">
        <v>28</v>
      </c>
      <c r="F45" s="1" t="s">
        <v>18</v>
      </c>
      <c r="G45" s="1">
        <v>10</v>
      </c>
      <c r="H45" s="1">
        <v>116</v>
      </c>
      <c r="I45" s="1">
        <v>15</v>
      </c>
      <c r="J45" s="4">
        <v>986</v>
      </c>
      <c r="K45" s="4">
        <v>503.22</v>
      </c>
      <c r="L45" s="4">
        <v>482.78</v>
      </c>
      <c r="M45" s="1" t="str">
        <f>TEXT(Table1[[#This Row],[Order_Date]], "MMM")</f>
        <v>Jun</v>
      </c>
      <c r="N45" s="1">
        <f>YEAR(Table1[[#This Row],[Order_Date]])</f>
        <v>2024</v>
      </c>
      <c r="O45" s="7">
        <f>Table1[[#This Row],[Profit]]/Table1[[#This Row],[Total_Sales]]</f>
        <v>0.48963488843813385</v>
      </c>
    </row>
    <row r="46" spans="1:15" x14ac:dyDescent="0.25">
      <c r="A46" s="1">
        <v>45</v>
      </c>
      <c r="B46" s="2">
        <v>45552</v>
      </c>
      <c r="C46" s="1" t="s">
        <v>19</v>
      </c>
      <c r="D46" s="1" t="s">
        <v>26</v>
      </c>
      <c r="E46" s="1" t="s">
        <v>37</v>
      </c>
      <c r="F46" s="1" t="s">
        <v>31</v>
      </c>
      <c r="G46" s="1">
        <v>6</v>
      </c>
      <c r="H46" s="1">
        <v>389</v>
      </c>
      <c r="I46" s="1">
        <v>15</v>
      </c>
      <c r="J46" s="4">
        <v>1983.9</v>
      </c>
      <c r="K46" s="4">
        <v>1299.55</v>
      </c>
      <c r="L46" s="4">
        <v>684.35</v>
      </c>
      <c r="M46" s="1" t="str">
        <f>TEXT(Table1[[#This Row],[Order_Date]], "MMM")</f>
        <v>Sep</v>
      </c>
      <c r="N46" s="1">
        <f>YEAR(Table1[[#This Row],[Order_Date]])</f>
        <v>2024</v>
      </c>
      <c r="O46" s="7">
        <f>Table1[[#This Row],[Profit]]/Table1[[#This Row],[Total_Sales]]</f>
        <v>0.34495186249306919</v>
      </c>
    </row>
    <row r="47" spans="1:15" x14ac:dyDescent="0.25">
      <c r="A47" s="1">
        <v>46</v>
      </c>
      <c r="B47" s="2">
        <v>45172</v>
      </c>
      <c r="C47" s="1" t="s">
        <v>16</v>
      </c>
      <c r="D47" s="1" t="s">
        <v>22</v>
      </c>
      <c r="E47" s="1" t="s">
        <v>44</v>
      </c>
      <c r="F47" s="1" t="s">
        <v>15</v>
      </c>
      <c r="G47" s="1">
        <v>5</v>
      </c>
      <c r="H47" s="1">
        <v>184</v>
      </c>
      <c r="I47" s="1">
        <v>10</v>
      </c>
      <c r="J47" s="4">
        <v>828</v>
      </c>
      <c r="K47" s="4">
        <v>562.41999999999996</v>
      </c>
      <c r="L47" s="4">
        <v>265.58</v>
      </c>
      <c r="M47" s="1" t="str">
        <f>TEXT(Table1[[#This Row],[Order_Date]], "MMM")</f>
        <v>Sep</v>
      </c>
      <c r="N47" s="1">
        <f>YEAR(Table1[[#This Row],[Order_Date]])</f>
        <v>2023</v>
      </c>
      <c r="O47" s="7">
        <f>Table1[[#This Row],[Profit]]/Table1[[#This Row],[Total_Sales]]</f>
        <v>0.32074879227053138</v>
      </c>
    </row>
    <row r="48" spans="1:15" x14ac:dyDescent="0.25">
      <c r="A48" s="1">
        <v>47</v>
      </c>
      <c r="B48" s="2">
        <v>45514</v>
      </c>
      <c r="C48" s="1" t="s">
        <v>12</v>
      </c>
      <c r="D48" s="1" t="s">
        <v>26</v>
      </c>
      <c r="E48" s="1" t="s">
        <v>46</v>
      </c>
      <c r="F48" s="1" t="s">
        <v>15</v>
      </c>
      <c r="G48" s="1">
        <v>8</v>
      </c>
      <c r="H48" s="1">
        <v>88</v>
      </c>
      <c r="I48" s="1">
        <v>10</v>
      </c>
      <c r="J48" s="4">
        <v>633.6</v>
      </c>
      <c r="K48" s="4">
        <v>446.75</v>
      </c>
      <c r="L48" s="4">
        <v>186.85</v>
      </c>
      <c r="M48" s="1" t="str">
        <f>TEXT(Table1[[#This Row],[Order_Date]], "MMM")</f>
        <v>Aug</v>
      </c>
      <c r="N48" s="1">
        <f>YEAR(Table1[[#This Row],[Order_Date]])</f>
        <v>2024</v>
      </c>
      <c r="O48" s="7">
        <f>Table1[[#This Row],[Profit]]/Table1[[#This Row],[Total_Sales]]</f>
        <v>0.29490214646464646</v>
      </c>
    </row>
    <row r="49" spans="1:15" x14ac:dyDescent="0.25">
      <c r="A49" s="1">
        <v>48</v>
      </c>
      <c r="B49" s="2">
        <v>45180</v>
      </c>
      <c r="C49" s="1" t="s">
        <v>16</v>
      </c>
      <c r="D49" s="1" t="s">
        <v>13</v>
      </c>
      <c r="E49" s="1" t="s">
        <v>14</v>
      </c>
      <c r="F49" s="1" t="s">
        <v>35</v>
      </c>
      <c r="G49" s="1">
        <v>4</v>
      </c>
      <c r="H49" s="1">
        <v>784</v>
      </c>
      <c r="I49" s="1">
        <v>10</v>
      </c>
      <c r="J49" s="4">
        <v>2822.4</v>
      </c>
      <c r="K49" s="4">
        <v>1913.08</v>
      </c>
      <c r="L49" s="4">
        <v>909.32</v>
      </c>
      <c r="M49" s="1" t="str">
        <f>TEXT(Table1[[#This Row],[Order_Date]], "MMM")</f>
        <v>Sep</v>
      </c>
      <c r="N49" s="1">
        <f>YEAR(Table1[[#This Row],[Order_Date]])</f>
        <v>2023</v>
      </c>
      <c r="O49" s="7">
        <f>Table1[[#This Row],[Profit]]/Table1[[#This Row],[Total_Sales]]</f>
        <v>0.3221797052154195</v>
      </c>
    </row>
    <row r="50" spans="1:15" x14ac:dyDescent="0.25">
      <c r="A50" s="1">
        <v>49</v>
      </c>
      <c r="B50" s="2">
        <v>44943</v>
      </c>
      <c r="C50" s="1" t="s">
        <v>25</v>
      </c>
      <c r="D50" s="1" t="s">
        <v>13</v>
      </c>
      <c r="E50" s="1" t="s">
        <v>39</v>
      </c>
      <c r="F50" s="1" t="s">
        <v>18</v>
      </c>
      <c r="G50" s="1">
        <v>1</v>
      </c>
      <c r="H50" s="1">
        <v>170</v>
      </c>
      <c r="I50" s="1">
        <v>5</v>
      </c>
      <c r="J50" s="4">
        <v>161.5</v>
      </c>
      <c r="K50" s="4">
        <v>85.06</v>
      </c>
      <c r="L50" s="4">
        <v>76.44</v>
      </c>
      <c r="M50" s="1" t="str">
        <f>TEXT(Table1[[#This Row],[Order_Date]], "MMM")</f>
        <v>Jan</v>
      </c>
      <c r="N50" s="1">
        <f>YEAR(Table1[[#This Row],[Order_Date]])</f>
        <v>2023</v>
      </c>
      <c r="O50" s="7">
        <f>Table1[[#This Row],[Profit]]/Table1[[#This Row],[Total_Sales]]</f>
        <v>0.47331269349845201</v>
      </c>
    </row>
    <row r="51" spans="1:15" x14ac:dyDescent="0.25">
      <c r="A51" s="1">
        <v>50</v>
      </c>
      <c r="B51" s="2">
        <v>45330</v>
      </c>
      <c r="C51" s="1" t="s">
        <v>16</v>
      </c>
      <c r="D51" s="1" t="s">
        <v>13</v>
      </c>
      <c r="E51" s="1" t="s">
        <v>38</v>
      </c>
      <c r="F51" s="1" t="s">
        <v>24</v>
      </c>
      <c r="G51" s="1">
        <v>4</v>
      </c>
      <c r="H51" s="1">
        <v>398</v>
      </c>
      <c r="I51" s="1">
        <v>5</v>
      </c>
      <c r="J51" s="4">
        <v>1512.4</v>
      </c>
      <c r="K51" s="4">
        <v>1097.5</v>
      </c>
      <c r="L51" s="4">
        <v>414.9</v>
      </c>
      <c r="M51" s="1" t="str">
        <f>TEXT(Table1[[#This Row],[Order_Date]], "MMM")</f>
        <v>Feb</v>
      </c>
      <c r="N51" s="1">
        <f>YEAR(Table1[[#This Row],[Order_Date]])</f>
        <v>2024</v>
      </c>
      <c r="O51" s="7">
        <f>Table1[[#This Row],[Profit]]/Table1[[#This Row],[Total_Sales]]</f>
        <v>0.27433218725204966</v>
      </c>
    </row>
    <row r="52" spans="1:15" x14ac:dyDescent="0.25">
      <c r="A52" s="1">
        <v>51</v>
      </c>
      <c r="B52" s="2">
        <v>45246</v>
      </c>
      <c r="C52" s="1" t="s">
        <v>12</v>
      </c>
      <c r="D52" s="1" t="s">
        <v>20</v>
      </c>
      <c r="E52" s="1" t="s">
        <v>43</v>
      </c>
      <c r="F52" s="1" t="s">
        <v>31</v>
      </c>
      <c r="G52" s="1">
        <v>7</v>
      </c>
      <c r="H52" s="1">
        <v>65</v>
      </c>
      <c r="I52" s="1">
        <v>0</v>
      </c>
      <c r="J52" s="4">
        <v>455</v>
      </c>
      <c r="K52" s="4">
        <v>277.33999999999997</v>
      </c>
      <c r="L52" s="4">
        <v>177.66</v>
      </c>
      <c r="M52" s="1" t="str">
        <f>TEXT(Table1[[#This Row],[Order_Date]], "MMM")</f>
        <v>Nov</v>
      </c>
      <c r="N52" s="1">
        <f>YEAR(Table1[[#This Row],[Order_Date]])</f>
        <v>2023</v>
      </c>
      <c r="O52" s="7">
        <f>Table1[[#This Row],[Profit]]/Table1[[#This Row],[Total_Sales]]</f>
        <v>0.39046153846153847</v>
      </c>
    </row>
    <row r="53" spans="1:15" x14ac:dyDescent="0.25">
      <c r="A53" s="1">
        <v>52</v>
      </c>
      <c r="B53" s="2">
        <v>45638</v>
      </c>
      <c r="C53" s="1" t="s">
        <v>16</v>
      </c>
      <c r="D53" s="1" t="s">
        <v>20</v>
      </c>
      <c r="E53" s="1" t="s">
        <v>30</v>
      </c>
      <c r="F53" s="1" t="s">
        <v>18</v>
      </c>
      <c r="G53" s="1">
        <v>4</v>
      </c>
      <c r="H53" s="1">
        <v>656</v>
      </c>
      <c r="I53" s="1">
        <v>20</v>
      </c>
      <c r="J53" s="4">
        <v>2099.1999999999998</v>
      </c>
      <c r="K53" s="4">
        <v>1129.42</v>
      </c>
      <c r="L53" s="4">
        <v>969.78</v>
      </c>
      <c r="M53" s="1" t="str">
        <f>TEXT(Table1[[#This Row],[Order_Date]], "MMM")</f>
        <v>Dec</v>
      </c>
      <c r="N53" s="1">
        <f>YEAR(Table1[[#This Row],[Order_Date]])</f>
        <v>2024</v>
      </c>
      <c r="O53" s="7">
        <f>Table1[[#This Row],[Profit]]/Table1[[#This Row],[Total_Sales]]</f>
        <v>0.46197599085365859</v>
      </c>
    </row>
    <row r="54" spans="1:15" x14ac:dyDescent="0.25">
      <c r="A54" s="1">
        <v>53</v>
      </c>
      <c r="B54" s="2">
        <v>45159</v>
      </c>
      <c r="C54" s="1" t="s">
        <v>19</v>
      </c>
      <c r="D54" s="1" t="s">
        <v>20</v>
      </c>
      <c r="E54" s="1" t="s">
        <v>30</v>
      </c>
      <c r="F54" s="1" t="s">
        <v>18</v>
      </c>
      <c r="G54" s="1">
        <v>8</v>
      </c>
      <c r="H54" s="1">
        <v>950</v>
      </c>
      <c r="I54" s="1">
        <v>5</v>
      </c>
      <c r="J54" s="4">
        <v>7220</v>
      </c>
      <c r="K54" s="4">
        <v>5735.85</v>
      </c>
      <c r="L54" s="4">
        <v>1484.15</v>
      </c>
      <c r="M54" s="1" t="str">
        <f>TEXT(Table1[[#This Row],[Order_Date]], "MMM")</f>
        <v>Aug</v>
      </c>
      <c r="N54" s="1">
        <f>YEAR(Table1[[#This Row],[Order_Date]])</f>
        <v>2023</v>
      </c>
      <c r="O54" s="7">
        <f>Table1[[#This Row],[Profit]]/Table1[[#This Row],[Total_Sales]]</f>
        <v>0.20556094182825485</v>
      </c>
    </row>
    <row r="55" spans="1:15" x14ac:dyDescent="0.25">
      <c r="A55" s="1">
        <v>54</v>
      </c>
      <c r="B55" s="2">
        <v>45259</v>
      </c>
      <c r="C55" s="1" t="s">
        <v>12</v>
      </c>
      <c r="D55" s="1" t="s">
        <v>32</v>
      </c>
      <c r="E55" s="1" t="s">
        <v>45</v>
      </c>
      <c r="F55" s="1" t="s">
        <v>35</v>
      </c>
      <c r="G55" s="1">
        <v>6</v>
      </c>
      <c r="H55" s="1">
        <v>677</v>
      </c>
      <c r="I55" s="1">
        <v>0</v>
      </c>
      <c r="J55" s="4">
        <v>4062</v>
      </c>
      <c r="K55" s="4">
        <v>3193.13</v>
      </c>
      <c r="L55" s="4">
        <v>868.87</v>
      </c>
      <c r="M55" s="1" t="str">
        <f>TEXT(Table1[[#This Row],[Order_Date]], "MMM")</f>
        <v>Nov</v>
      </c>
      <c r="N55" s="1">
        <f>YEAR(Table1[[#This Row],[Order_Date]])</f>
        <v>2023</v>
      </c>
      <c r="O55" s="7">
        <f>Table1[[#This Row],[Profit]]/Table1[[#This Row],[Total_Sales]]</f>
        <v>0.21390201870999509</v>
      </c>
    </row>
    <row r="56" spans="1:15" x14ac:dyDescent="0.25">
      <c r="A56" s="1">
        <v>55</v>
      </c>
      <c r="B56" s="2">
        <v>45081</v>
      </c>
      <c r="C56" s="1" t="s">
        <v>16</v>
      </c>
      <c r="D56" s="1" t="s">
        <v>13</v>
      </c>
      <c r="E56" s="1" t="s">
        <v>38</v>
      </c>
      <c r="F56" s="1" t="s">
        <v>18</v>
      </c>
      <c r="G56" s="1">
        <v>5</v>
      </c>
      <c r="H56" s="1">
        <v>62</v>
      </c>
      <c r="I56" s="1">
        <v>10</v>
      </c>
      <c r="J56" s="4">
        <v>279</v>
      </c>
      <c r="K56" s="4">
        <v>165.81</v>
      </c>
      <c r="L56" s="4">
        <v>113.19</v>
      </c>
      <c r="M56" s="1" t="str">
        <f>TEXT(Table1[[#This Row],[Order_Date]], "MMM")</f>
        <v>Jun</v>
      </c>
      <c r="N56" s="1">
        <f>YEAR(Table1[[#This Row],[Order_Date]])</f>
        <v>2023</v>
      </c>
      <c r="O56" s="7">
        <f>Table1[[#This Row],[Profit]]/Table1[[#This Row],[Total_Sales]]</f>
        <v>0.4056989247311828</v>
      </c>
    </row>
    <row r="57" spans="1:15" x14ac:dyDescent="0.25">
      <c r="A57" s="1">
        <v>56</v>
      </c>
      <c r="B57" s="2">
        <v>45233</v>
      </c>
      <c r="C57" s="1" t="s">
        <v>12</v>
      </c>
      <c r="D57" s="1" t="s">
        <v>13</v>
      </c>
      <c r="E57" s="1" t="s">
        <v>14</v>
      </c>
      <c r="F57" s="1" t="s">
        <v>31</v>
      </c>
      <c r="G57" s="1">
        <v>7</v>
      </c>
      <c r="H57" s="1">
        <v>973</v>
      </c>
      <c r="I57" s="1">
        <v>20</v>
      </c>
      <c r="J57" s="4">
        <v>5448.8</v>
      </c>
      <c r="K57" s="4">
        <v>2830.68</v>
      </c>
      <c r="L57" s="4">
        <v>2618.12</v>
      </c>
      <c r="M57" s="1" t="str">
        <f>TEXT(Table1[[#This Row],[Order_Date]], "MMM")</f>
        <v>Nov</v>
      </c>
      <c r="N57" s="1">
        <f>YEAR(Table1[[#This Row],[Order_Date]])</f>
        <v>2023</v>
      </c>
      <c r="O57" s="7">
        <f>Table1[[#This Row],[Profit]]/Table1[[#This Row],[Total_Sales]]</f>
        <v>0.48049478784319477</v>
      </c>
    </row>
    <row r="58" spans="1:15" x14ac:dyDescent="0.25">
      <c r="A58" s="1">
        <v>57</v>
      </c>
      <c r="B58" s="2">
        <v>45278</v>
      </c>
      <c r="C58" s="1" t="s">
        <v>16</v>
      </c>
      <c r="D58" s="1" t="s">
        <v>32</v>
      </c>
      <c r="E58" s="1" t="s">
        <v>34</v>
      </c>
      <c r="F58" s="1" t="s">
        <v>31</v>
      </c>
      <c r="G58" s="1">
        <v>2</v>
      </c>
      <c r="H58" s="1">
        <v>591</v>
      </c>
      <c r="I58" s="1">
        <v>15</v>
      </c>
      <c r="J58" s="4">
        <v>1004.7</v>
      </c>
      <c r="K58" s="4">
        <v>703.24</v>
      </c>
      <c r="L58" s="4">
        <v>301.45999999999998</v>
      </c>
      <c r="M58" s="1" t="str">
        <f>TEXT(Table1[[#This Row],[Order_Date]], "MMM")</f>
        <v>Dec</v>
      </c>
      <c r="N58" s="1">
        <f>YEAR(Table1[[#This Row],[Order_Date]])</f>
        <v>2023</v>
      </c>
      <c r="O58" s="7">
        <f>Table1[[#This Row],[Profit]]/Table1[[#This Row],[Total_Sales]]</f>
        <v>0.30004976609933309</v>
      </c>
    </row>
    <row r="59" spans="1:15" x14ac:dyDescent="0.25">
      <c r="A59" s="1">
        <v>58</v>
      </c>
      <c r="B59" s="2">
        <v>45007</v>
      </c>
      <c r="C59" s="1" t="s">
        <v>12</v>
      </c>
      <c r="D59" s="1" t="s">
        <v>26</v>
      </c>
      <c r="E59" s="1" t="s">
        <v>27</v>
      </c>
      <c r="F59" s="1" t="s">
        <v>31</v>
      </c>
      <c r="G59" s="1">
        <v>1</v>
      </c>
      <c r="H59" s="1">
        <v>699</v>
      </c>
      <c r="I59" s="1">
        <v>0</v>
      </c>
      <c r="J59" s="4">
        <v>699</v>
      </c>
      <c r="K59" s="4">
        <v>403.96</v>
      </c>
      <c r="L59" s="4">
        <v>295.04000000000002</v>
      </c>
      <c r="M59" s="1" t="str">
        <f>TEXT(Table1[[#This Row],[Order_Date]], "MMM")</f>
        <v>Mar</v>
      </c>
      <c r="N59" s="1">
        <f>YEAR(Table1[[#This Row],[Order_Date]])</f>
        <v>2023</v>
      </c>
      <c r="O59" s="7">
        <f>Table1[[#This Row],[Profit]]/Table1[[#This Row],[Total_Sales]]</f>
        <v>0.42208869814020034</v>
      </c>
    </row>
    <row r="60" spans="1:15" x14ac:dyDescent="0.25">
      <c r="A60" s="1">
        <v>59</v>
      </c>
      <c r="B60" s="2">
        <v>45536</v>
      </c>
      <c r="C60" s="1" t="s">
        <v>16</v>
      </c>
      <c r="D60" s="1" t="s">
        <v>32</v>
      </c>
      <c r="E60" s="1" t="s">
        <v>33</v>
      </c>
      <c r="F60" s="1" t="s">
        <v>18</v>
      </c>
      <c r="G60" s="1">
        <v>2</v>
      </c>
      <c r="H60" s="1">
        <v>73</v>
      </c>
      <c r="I60" s="1">
        <v>15</v>
      </c>
      <c r="J60" s="4">
        <v>124.1</v>
      </c>
      <c r="K60" s="4">
        <v>79.25</v>
      </c>
      <c r="L60" s="4">
        <v>44.85</v>
      </c>
      <c r="M60" s="1" t="str">
        <f>TEXT(Table1[[#This Row],[Order_Date]], "MMM")</f>
        <v>Sep</v>
      </c>
      <c r="N60" s="1">
        <f>YEAR(Table1[[#This Row],[Order_Date]])</f>
        <v>2024</v>
      </c>
      <c r="O60" s="7">
        <f>Table1[[#This Row],[Profit]]/Table1[[#This Row],[Total_Sales]]</f>
        <v>0.36140209508460919</v>
      </c>
    </row>
    <row r="61" spans="1:15" x14ac:dyDescent="0.25">
      <c r="A61" s="1">
        <v>60</v>
      </c>
      <c r="B61" s="2">
        <v>44949</v>
      </c>
      <c r="C61" s="1" t="s">
        <v>16</v>
      </c>
      <c r="D61" s="1" t="s">
        <v>13</v>
      </c>
      <c r="E61" s="1" t="s">
        <v>17</v>
      </c>
      <c r="F61" s="1" t="s">
        <v>18</v>
      </c>
      <c r="G61" s="1">
        <v>3</v>
      </c>
      <c r="H61" s="1">
        <v>725</v>
      </c>
      <c r="I61" s="1">
        <v>5</v>
      </c>
      <c r="J61" s="4">
        <v>2066.25</v>
      </c>
      <c r="K61" s="4">
        <v>1587.99</v>
      </c>
      <c r="L61" s="4">
        <v>478.26</v>
      </c>
      <c r="M61" s="1" t="str">
        <f>TEXT(Table1[[#This Row],[Order_Date]], "MMM")</f>
        <v>Jan</v>
      </c>
      <c r="N61" s="1">
        <f>YEAR(Table1[[#This Row],[Order_Date]])</f>
        <v>2023</v>
      </c>
      <c r="O61" s="7">
        <f>Table1[[#This Row],[Profit]]/Table1[[#This Row],[Total_Sales]]</f>
        <v>0.2314627949183303</v>
      </c>
    </row>
    <row r="62" spans="1:15" x14ac:dyDescent="0.25">
      <c r="A62" s="1">
        <v>61</v>
      </c>
      <c r="B62" s="2">
        <v>45558</v>
      </c>
      <c r="C62" s="1" t="s">
        <v>19</v>
      </c>
      <c r="D62" s="1" t="s">
        <v>22</v>
      </c>
      <c r="E62" s="1" t="s">
        <v>36</v>
      </c>
      <c r="F62" s="1" t="s">
        <v>40</v>
      </c>
      <c r="G62" s="1">
        <v>7</v>
      </c>
      <c r="H62" s="1">
        <v>561</v>
      </c>
      <c r="I62" s="1">
        <v>5</v>
      </c>
      <c r="J62" s="4">
        <v>3730.65</v>
      </c>
      <c r="K62" s="4">
        <v>2017.55</v>
      </c>
      <c r="L62" s="4">
        <v>1713.1</v>
      </c>
      <c r="M62" s="1" t="str">
        <f>TEXT(Table1[[#This Row],[Order_Date]], "MMM")</f>
        <v>Sep</v>
      </c>
      <c r="N62" s="1">
        <f>YEAR(Table1[[#This Row],[Order_Date]])</f>
        <v>2024</v>
      </c>
      <c r="O62" s="7">
        <f>Table1[[#This Row],[Profit]]/Table1[[#This Row],[Total_Sales]]</f>
        <v>0.45919611863884308</v>
      </c>
    </row>
    <row r="63" spans="1:15" x14ac:dyDescent="0.25">
      <c r="A63" s="1">
        <v>62</v>
      </c>
      <c r="B63" s="2">
        <v>45148</v>
      </c>
      <c r="C63" s="1" t="s">
        <v>25</v>
      </c>
      <c r="D63" s="1" t="s">
        <v>13</v>
      </c>
      <c r="E63" s="1" t="s">
        <v>39</v>
      </c>
      <c r="F63" s="1" t="s">
        <v>31</v>
      </c>
      <c r="G63" s="1">
        <v>4</v>
      </c>
      <c r="H63" s="1">
        <v>191</v>
      </c>
      <c r="I63" s="1">
        <v>0</v>
      </c>
      <c r="J63" s="4">
        <v>764</v>
      </c>
      <c r="K63" s="4">
        <v>473.36</v>
      </c>
      <c r="L63" s="4">
        <v>290.64</v>
      </c>
      <c r="M63" s="1" t="str">
        <f>TEXT(Table1[[#This Row],[Order_Date]], "MMM")</f>
        <v>Aug</v>
      </c>
      <c r="N63" s="1">
        <f>YEAR(Table1[[#This Row],[Order_Date]])</f>
        <v>2023</v>
      </c>
      <c r="O63" s="7">
        <f>Table1[[#This Row],[Profit]]/Table1[[#This Row],[Total_Sales]]</f>
        <v>0.38041884816753924</v>
      </c>
    </row>
    <row r="64" spans="1:15" x14ac:dyDescent="0.25">
      <c r="A64" s="1">
        <v>63</v>
      </c>
      <c r="B64" s="2">
        <v>44932</v>
      </c>
      <c r="C64" s="1" t="s">
        <v>16</v>
      </c>
      <c r="D64" s="1" t="s">
        <v>20</v>
      </c>
      <c r="E64" s="1" t="s">
        <v>21</v>
      </c>
      <c r="F64" s="1" t="s">
        <v>40</v>
      </c>
      <c r="G64" s="1">
        <v>1</v>
      </c>
      <c r="H64" s="1">
        <v>494</v>
      </c>
      <c r="I64" s="1">
        <v>15</v>
      </c>
      <c r="J64" s="4">
        <v>419.9</v>
      </c>
      <c r="K64" s="4">
        <v>244.11</v>
      </c>
      <c r="L64" s="4">
        <v>175.79</v>
      </c>
      <c r="M64" s="1" t="str">
        <f>TEXT(Table1[[#This Row],[Order_Date]], "MMM")</f>
        <v>Jan</v>
      </c>
      <c r="N64" s="1">
        <f>YEAR(Table1[[#This Row],[Order_Date]])</f>
        <v>2023</v>
      </c>
      <c r="O64" s="7">
        <f>Table1[[#This Row],[Profit]]/Table1[[#This Row],[Total_Sales]]</f>
        <v>0.41864729697547037</v>
      </c>
    </row>
    <row r="65" spans="1:15" x14ac:dyDescent="0.25">
      <c r="A65" s="1">
        <v>64</v>
      </c>
      <c r="B65" s="2">
        <v>44934</v>
      </c>
      <c r="C65" s="1" t="s">
        <v>25</v>
      </c>
      <c r="D65" s="1" t="s">
        <v>20</v>
      </c>
      <c r="E65" s="1" t="s">
        <v>28</v>
      </c>
      <c r="F65" s="1" t="s">
        <v>15</v>
      </c>
      <c r="G65" s="1">
        <v>7</v>
      </c>
      <c r="H65" s="1">
        <v>239</v>
      </c>
      <c r="I65" s="1">
        <v>10</v>
      </c>
      <c r="J65" s="4">
        <v>1505.7</v>
      </c>
      <c r="K65" s="4">
        <v>782.47</v>
      </c>
      <c r="L65" s="4">
        <v>723.23</v>
      </c>
      <c r="M65" s="1" t="str">
        <f>TEXT(Table1[[#This Row],[Order_Date]], "MMM")</f>
        <v>Jan</v>
      </c>
      <c r="N65" s="1">
        <f>YEAR(Table1[[#This Row],[Order_Date]])</f>
        <v>2023</v>
      </c>
      <c r="O65" s="7">
        <f>Table1[[#This Row],[Profit]]/Table1[[#This Row],[Total_Sales]]</f>
        <v>0.4803280866042372</v>
      </c>
    </row>
    <row r="66" spans="1:15" x14ac:dyDescent="0.25">
      <c r="A66" s="1">
        <v>65</v>
      </c>
      <c r="B66" s="2">
        <v>45539</v>
      </c>
      <c r="C66" s="1" t="s">
        <v>16</v>
      </c>
      <c r="D66" s="1" t="s">
        <v>13</v>
      </c>
      <c r="E66" s="1" t="s">
        <v>38</v>
      </c>
      <c r="F66" s="1" t="s">
        <v>24</v>
      </c>
      <c r="G66" s="1">
        <v>8</v>
      </c>
      <c r="H66" s="1">
        <v>22</v>
      </c>
      <c r="I66" s="1">
        <v>10</v>
      </c>
      <c r="J66" s="4">
        <v>158.4</v>
      </c>
      <c r="K66" s="4">
        <v>80.760000000000005</v>
      </c>
      <c r="L66" s="4">
        <v>77.64</v>
      </c>
      <c r="M66" s="1" t="str">
        <f>TEXT(Table1[[#This Row],[Order_Date]], "MMM")</f>
        <v>Sep</v>
      </c>
      <c r="N66" s="1">
        <f>YEAR(Table1[[#This Row],[Order_Date]])</f>
        <v>2024</v>
      </c>
      <c r="O66" s="7">
        <f>Table1[[#This Row],[Profit]]/Table1[[#This Row],[Total_Sales]]</f>
        <v>0.49015151515151512</v>
      </c>
    </row>
    <row r="67" spans="1:15" x14ac:dyDescent="0.25">
      <c r="A67" s="1">
        <v>66</v>
      </c>
      <c r="B67" s="2">
        <v>45294</v>
      </c>
      <c r="C67" s="1" t="s">
        <v>19</v>
      </c>
      <c r="D67" s="1" t="s">
        <v>22</v>
      </c>
      <c r="E67" s="1" t="s">
        <v>29</v>
      </c>
      <c r="F67" s="1" t="s">
        <v>35</v>
      </c>
      <c r="G67" s="1">
        <v>8</v>
      </c>
      <c r="H67" s="1">
        <v>958</v>
      </c>
      <c r="I67" s="1">
        <v>10</v>
      </c>
      <c r="J67" s="4">
        <v>6897.6</v>
      </c>
      <c r="K67" s="4">
        <v>4653.6099999999997</v>
      </c>
      <c r="L67" s="4">
        <v>2243.9899999999998</v>
      </c>
      <c r="M67" s="1" t="str">
        <f>TEXT(Table1[[#This Row],[Order_Date]], "MMM")</f>
        <v>Jan</v>
      </c>
      <c r="N67" s="1">
        <f>YEAR(Table1[[#This Row],[Order_Date]])</f>
        <v>2024</v>
      </c>
      <c r="O67" s="7">
        <f>Table1[[#This Row],[Profit]]/Table1[[#This Row],[Total_Sales]]</f>
        <v>0.32532909997680348</v>
      </c>
    </row>
    <row r="68" spans="1:15" x14ac:dyDescent="0.25">
      <c r="A68" s="1">
        <v>67</v>
      </c>
      <c r="B68" s="2">
        <v>45355</v>
      </c>
      <c r="C68" s="1" t="s">
        <v>16</v>
      </c>
      <c r="D68" s="1" t="s">
        <v>20</v>
      </c>
      <c r="E68" s="1" t="s">
        <v>28</v>
      </c>
      <c r="F68" s="1" t="s">
        <v>18</v>
      </c>
      <c r="G68" s="1">
        <v>1</v>
      </c>
      <c r="H68" s="1">
        <v>63</v>
      </c>
      <c r="I68" s="1">
        <v>20</v>
      </c>
      <c r="J68" s="4">
        <v>50.4</v>
      </c>
      <c r="K68" s="4">
        <v>31.45</v>
      </c>
      <c r="L68" s="4">
        <v>18.95</v>
      </c>
      <c r="M68" s="1" t="str">
        <f>TEXT(Table1[[#This Row],[Order_Date]], "MMM")</f>
        <v>Mar</v>
      </c>
      <c r="N68" s="1">
        <f>YEAR(Table1[[#This Row],[Order_Date]])</f>
        <v>2024</v>
      </c>
      <c r="O68" s="7">
        <f>Table1[[#This Row],[Profit]]/Table1[[#This Row],[Total_Sales]]</f>
        <v>0.37599206349206349</v>
      </c>
    </row>
    <row r="69" spans="1:15" x14ac:dyDescent="0.25">
      <c r="A69" s="1">
        <v>68</v>
      </c>
      <c r="B69" s="2">
        <v>45379</v>
      </c>
      <c r="C69" s="1" t="s">
        <v>12</v>
      </c>
      <c r="D69" s="1" t="s">
        <v>32</v>
      </c>
      <c r="E69" s="1" t="s">
        <v>41</v>
      </c>
      <c r="F69" s="1" t="s">
        <v>40</v>
      </c>
      <c r="G69" s="1">
        <v>1</v>
      </c>
      <c r="H69" s="1">
        <v>671</v>
      </c>
      <c r="I69" s="1">
        <v>5</v>
      </c>
      <c r="J69" s="4">
        <v>637.45000000000005</v>
      </c>
      <c r="K69" s="4">
        <v>410.79</v>
      </c>
      <c r="L69" s="4">
        <v>226.66</v>
      </c>
      <c r="M69" s="1" t="str">
        <f>TEXT(Table1[[#This Row],[Order_Date]], "MMM")</f>
        <v>Mar</v>
      </c>
      <c r="N69" s="1">
        <f>YEAR(Table1[[#This Row],[Order_Date]])</f>
        <v>2024</v>
      </c>
      <c r="O69" s="7">
        <f>Table1[[#This Row],[Profit]]/Table1[[#This Row],[Total_Sales]]</f>
        <v>0.35557298611655813</v>
      </c>
    </row>
    <row r="70" spans="1:15" x14ac:dyDescent="0.25">
      <c r="A70" s="1">
        <v>69</v>
      </c>
      <c r="B70" s="2">
        <v>45358</v>
      </c>
      <c r="C70" s="1" t="s">
        <v>25</v>
      </c>
      <c r="D70" s="1" t="s">
        <v>32</v>
      </c>
      <c r="E70" s="1" t="s">
        <v>45</v>
      </c>
      <c r="F70" s="1" t="s">
        <v>24</v>
      </c>
      <c r="G70" s="1">
        <v>9</v>
      </c>
      <c r="H70" s="1">
        <v>320</v>
      </c>
      <c r="I70" s="1">
        <v>20</v>
      </c>
      <c r="J70" s="4">
        <v>2304</v>
      </c>
      <c r="K70" s="4">
        <v>1473.15</v>
      </c>
      <c r="L70" s="4">
        <v>830.85</v>
      </c>
      <c r="M70" s="1" t="str">
        <f>TEXT(Table1[[#This Row],[Order_Date]], "MMM")</f>
        <v>Mar</v>
      </c>
      <c r="N70" s="1">
        <f>YEAR(Table1[[#This Row],[Order_Date]])</f>
        <v>2024</v>
      </c>
      <c r="O70" s="7">
        <f>Table1[[#This Row],[Profit]]/Table1[[#This Row],[Total_Sales]]</f>
        <v>0.36061197916666665</v>
      </c>
    </row>
    <row r="71" spans="1:15" x14ac:dyDescent="0.25">
      <c r="A71" s="1">
        <v>70</v>
      </c>
      <c r="B71" s="2">
        <v>45551</v>
      </c>
      <c r="C71" s="1" t="s">
        <v>16</v>
      </c>
      <c r="D71" s="1" t="s">
        <v>13</v>
      </c>
      <c r="E71" s="1" t="s">
        <v>38</v>
      </c>
      <c r="F71" s="1" t="s">
        <v>24</v>
      </c>
      <c r="G71" s="1">
        <v>8</v>
      </c>
      <c r="H71" s="1">
        <v>918</v>
      </c>
      <c r="I71" s="1">
        <v>20</v>
      </c>
      <c r="J71" s="4">
        <v>5875.2</v>
      </c>
      <c r="K71" s="4">
        <v>3762.71</v>
      </c>
      <c r="L71" s="4">
        <v>2112.4899999999998</v>
      </c>
      <c r="M71" s="1" t="str">
        <f>TEXT(Table1[[#This Row],[Order_Date]], "MMM")</f>
        <v>Sep</v>
      </c>
      <c r="N71" s="1">
        <f>YEAR(Table1[[#This Row],[Order_Date]])</f>
        <v>2024</v>
      </c>
      <c r="O71" s="7">
        <f>Table1[[#This Row],[Profit]]/Table1[[#This Row],[Total_Sales]]</f>
        <v>0.35956052559912849</v>
      </c>
    </row>
    <row r="72" spans="1:15" x14ac:dyDescent="0.25">
      <c r="A72" s="1">
        <v>71</v>
      </c>
      <c r="B72" s="2">
        <v>45348</v>
      </c>
      <c r="C72" s="1" t="s">
        <v>12</v>
      </c>
      <c r="D72" s="1" t="s">
        <v>22</v>
      </c>
      <c r="E72" s="1" t="s">
        <v>29</v>
      </c>
      <c r="F72" s="1" t="s">
        <v>40</v>
      </c>
      <c r="G72" s="1">
        <v>10</v>
      </c>
      <c r="H72" s="1">
        <v>129</v>
      </c>
      <c r="I72" s="1">
        <v>10</v>
      </c>
      <c r="J72" s="4">
        <v>1161</v>
      </c>
      <c r="K72" s="4">
        <v>924.28</v>
      </c>
      <c r="L72" s="4">
        <v>236.72</v>
      </c>
      <c r="M72" s="1" t="str">
        <f>TEXT(Table1[[#This Row],[Order_Date]], "MMM")</f>
        <v>Feb</v>
      </c>
      <c r="N72" s="1">
        <f>YEAR(Table1[[#This Row],[Order_Date]])</f>
        <v>2024</v>
      </c>
      <c r="O72" s="7">
        <f>Table1[[#This Row],[Profit]]/Table1[[#This Row],[Total_Sales]]</f>
        <v>0.20389319552110249</v>
      </c>
    </row>
    <row r="73" spans="1:15" x14ac:dyDescent="0.25">
      <c r="A73" s="1">
        <v>72</v>
      </c>
      <c r="B73" s="2">
        <v>45414</v>
      </c>
      <c r="C73" s="1" t="s">
        <v>25</v>
      </c>
      <c r="D73" s="1" t="s">
        <v>20</v>
      </c>
      <c r="E73" s="1" t="s">
        <v>30</v>
      </c>
      <c r="F73" s="1" t="s">
        <v>18</v>
      </c>
      <c r="G73" s="1">
        <v>1</v>
      </c>
      <c r="H73" s="1">
        <v>924</v>
      </c>
      <c r="I73" s="1">
        <v>5</v>
      </c>
      <c r="J73" s="4">
        <v>877.8</v>
      </c>
      <c r="K73" s="4">
        <v>683.97</v>
      </c>
      <c r="L73" s="4">
        <v>193.83</v>
      </c>
      <c r="M73" s="1" t="str">
        <f>TEXT(Table1[[#This Row],[Order_Date]], "MMM")</f>
        <v>May</v>
      </c>
      <c r="N73" s="1">
        <f>YEAR(Table1[[#This Row],[Order_Date]])</f>
        <v>2024</v>
      </c>
      <c r="O73" s="7">
        <f>Table1[[#This Row],[Profit]]/Table1[[#This Row],[Total_Sales]]</f>
        <v>0.22081339712918663</v>
      </c>
    </row>
    <row r="74" spans="1:15" x14ac:dyDescent="0.25">
      <c r="A74" s="1">
        <v>73</v>
      </c>
      <c r="B74" s="2">
        <v>45033</v>
      </c>
      <c r="C74" s="1" t="s">
        <v>16</v>
      </c>
      <c r="D74" s="1" t="s">
        <v>32</v>
      </c>
      <c r="E74" s="1" t="s">
        <v>45</v>
      </c>
      <c r="F74" s="1" t="s">
        <v>31</v>
      </c>
      <c r="G74" s="1">
        <v>10</v>
      </c>
      <c r="H74" s="1">
        <v>729</v>
      </c>
      <c r="I74" s="1">
        <v>15</v>
      </c>
      <c r="J74" s="4">
        <v>6196.5</v>
      </c>
      <c r="K74" s="4">
        <v>3893.78</v>
      </c>
      <c r="L74" s="4">
        <v>2302.7199999999998</v>
      </c>
      <c r="M74" s="1" t="str">
        <f>TEXT(Table1[[#This Row],[Order_Date]], "MMM")</f>
        <v>Apr</v>
      </c>
      <c r="N74" s="1">
        <f>YEAR(Table1[[#This Row],[Order_Date]])</f>
        <v>2023</v>
      </c>
      <c r="O74" s="7">
        <f>Table1[[#This Row],[Profit]]/Table1[[#This Row],[Total_Sales]]</f>
        <v>0.37161623497135476</v>
      </c>
    </row>
    <row r="75" spans="1:15" x14ac:dyDescent="0.25">
      <c r="A75" s="1">
        <v>74</v>
      </c>
      <c r="B75" s="2">
        <v>45536</v>
      </c>
      <c r="C75" s="1" t="s">
        <v>16</v>
      </c>
      <c r="D75" s="1" t="s">
        <v>26</v>
      </c>
      <c r="E75" s="1" t="s">
        <v>42</v>
      </c>
      <c r="F75" s="1" t="s">
        <v>18</v>
      </c>
      <c r="G75" s="1">
        <v>1</v>
      </c>
      <c r="H75" s="1">
        <v>182</v>
      </c>
      <c r="I75" s="1">
        <v>15</v>
      </c>
      <c r="J75" s="4">
        <v>154.69999999999999</v>
      </c>
      <c r="K75" s="4">
        <v>119.21</v>
      </c>
      <c r="L75" s="4">
        <v>35.49</v>
      </c>
      <c r="M75" s="1" t="str">
        <f>TEXT(Table1[[#This Row],[Order_Date]], "MMM")</f>
        <v>Sep</v>
      </c>
      <c r="N75" s="1">
        <f>YEAR(Table1[[#This Row],[Order_Date]])</f>
        <v>2024</v>
      </c>
      <c r="O75" s="7">
        <f>Table1[[#This Row],[Profit]]/Table1[[#This Row],[Total_Sales]]</f>
        <v>0.22941176470588237</v>
      </c>
    </row>
    <row r="76" spans="1:15" x14ac:dyDescent="0.25">
      <c r="A76" s="1">
        <v>75</v>
      </c>
      <c r="B76" s="2">
        <v>45222</v>
      </c>
      <c r="C76" s="1" t="s">
        <v>25</v>
      </c>
      <c r="D76" s="1" t="s">
        <v>22</v>
      </c>
      <c r="E76" s="1" t="s">
        <v>29</v>
      </c>
      <c r="F76" s="1" t="s">
        <v>35</v>
      </c>
      <c r="G76" s="1">
        <v>3</v>
      </c>
      <c r="H76" s="1">
        <v>631</v>
      </c>
      <c r="I76" s="1">
        <v>5</v>
      </c>
      <c r="J76" s="4">
        <v>1798.35</v>
      </c>
      <c r="K76" s="4">
        <v>1237.43</v>
      </c>
      <c r="L76" s="4">
        <v>560.91999999999996</v>
      </c>
      <c r="M76" s="1" t="str">
        <f>TEXT(Table1[[#This Row],[Order_Date]], "MMM")</f>
        <v>Oct</v>
      </c>
      <c r="N76" s="1">
        <f>YEAR(Table1[[#This Row],[Order_Date]])</f>
        <v>2023</v>
      </c>
      <c r="O76" s="7">
        <f>Table1[[#This Row],[Profit]]/Table1[[#This Row],[Total_Sales]]</f>
        <v>0.31190813801540301</v>
      </c>
    </row>
    <row r="77" spans="1:15" x14ac:dyDescent="0.25">
      <c r="A77" s="1">
        <v>76</v>
      </c>
      <c r="B77" s="2">
        <v>45379</v>
      </c>
      <c r="C77" s="1" t="s">
        <v>16</v>
      </c>
      <c r="D77" s="1" t="s">
        <v>13</v>
      </c>
      <c r="E77" s="1" t="s">
        <v>39</v>
      </c>
      <c r="F77" s="1" t="s">
        <v>35</v>
      </c>
      <c r="G77" s="1">
        <v>7</v>
      </c>
      <c r="H77" s="1">
        <v>547</v>
      </c>
      <c r="I77" s="1">
        <v>10</v>
      </c>
      <c r="J77" s="4">
        <v>3446.1</v>
      </c>
      <c r="K77" s="4">
        <v>2576.13</v>
      </c>
      <c r="L77" s="4">
        <v>869.97</v>
      </c>
      <c r="M77" s="1" t="str">
        <f>TEXT(Table1[[#This Row],[Order_Date]], "MMM")</f>
        <v>Mar</v>
      </c>
      <c r="N77" s="1">
        <f>YEAR(Table1[[#This Row],[Order_Date]])</f>
        <v>2024</v>
      </c>
      <c r="O77" s="7">
        <f>Table1[[#This Row],[Profit]]/Table1[[#This Row],[Total_Sales]]</f>
        <v>0.25245059632628192</v>
      </c>
    </row>
    <row r="78" spans="1:15" x14ac:dyDescent="0.25">
      <c r="A78" s="1">
        <v>77</v>
      </c>
      <c r="B78" s="2">
        <v>45363</v>
      </c>
      <c r="C78" s="1" t="s">
        <v>19</v>
      </c>
      <c r="D78" s="1" t="s">
        <v>32</v>
      </c>
      <c r="E78" s="1" t="s">
        <v>34</v>
      </c>
      <c r="F78" s="1" t="s">
        <v>31</v>
      </c>
      <c r="G78" s="1">
        <v>7</v>
      </c>
      <c r="H78" s="1">
        <v>219</v>
      </c>
      <c r="I78" s="1">
        <v>10</v>
      </c>
      <c r="J78" s="4">
        <v>1379.7</v>
      </c>
      <c r="K78" s="4">
        <v>947.99</v>
      </c>
      <c r="L78" s="4">
        <v>431.71</v>
      </c>
      <c r="M78" s="1" t="str">
        <f>TEXT(Table1[[#This Row],[Order_Date]], "MMM")</f>
        <v>Mar</v>
      </c>
      <c r="N78" s="1">
        <f>YEAR(Table1[[#This Row],[Order_Date]])</f>
        <v>2024</v>
      </c>
      <c r="O78" s="7">
        <f>Table1[[#This Row],[Profit]]/Table1[[#This Row],[Total_Sales]]</f>
        <v>0.31290135536710878</v>
      </c>
    </row>
    <row r="79" spans="1:15" x14ac:dyDescent="0.25">
      <c r="A79" s="1">
        <v>78</v>
      </c>
      <c r="B79" s="2">
        <v>45119</v>
      </c>
      <c r="C79" s="1" t="s">
        <v>19</v>
      </c>
      <c r="D79" s="1" t="s">
        <v>22</v>
      </c>
      <c r="E79" s="1" t="s">
        <v>23</v>
      </c>
      <c r="F79" s="1" t="s">
        <v>35</v>
      </c>
      <c r="G79" s="1">
        <v>6</v>
      </c>
      <c r="H79" s="1">
        <v>22</v>
      </c>
      <c r="I79" s="1">
        <v>0</v>
      </c>
      <c r="J79" s="4">
        <v>132</v>
      </c>
      <c r="K79" s="4">
        <v>94.4</v>
      </c>
      <c r="L79" s="4">
        <v>37.6</v>
      </c>
      <c r="M79" s="1" t="str">
        <f>TEXT(Table1[[#This Row],[Order_Date]], "MMM")</f>
        <v>Jul</v>
      </c>
      <c r="N79" s="1">
        <f>YEAR(Table1[[#This Row],[Order_Date]])</f>
        <v>2023</v>
      </c>
      <c r="O79" s="7">
        <f>Table1[[#This Row],[Profit]]/Table1[[#This Row],[Total_Sales]]</f>
        <v>0.28484848484848485</v>
      </c>
    </row>
    <row r="80" spans="1:15" x14ac:dyDescent="0.25">
      <c r="A80" s="1">
        <v>79</v>
      </c>
      <c r="B80" s="2">
        <v>44984</v>
      </c>
      <c r="C80" s="1" t="s">
        <v>16</v>
      </c>
      <c r="D80" s="1" t="s">
        <v>22</v>
      </c>
      <c r="E80" s="1" t="s">
        <v>44</v>
      </c>
      <c r="F80" s="1" t="s">
        <v>24</v>
      </c>
      <c r="G80" s="1">
        <v>5</v>
      </c>
      <c r="H80" s="1">
        <v>285</v>
      </c>
      <c r="I80" s="1">
        <v>20</v>
      </c>
      <c r="J80" s="4">
        <v>1140</v>
      </c>
      <c r="K80" s="4">
        <v>797.3</v>
      </c>
      <c r="L80" s="4">
        <v>342.7</v>
      </c>
      <c r="M80" s="1" t="str">
        <f>TEXT(Table1[[#This Row],[Order_Date]], "MMM")</f>
        <v>Feb</v>
      </c>
      <c r="N80" s="1">
        <f>YEAR(Table1[[#This Row],[Order_Date]])</f>
        <v>2023</v>
      </c>
      <c r="O80" s="7">
        <f>Table1[[#This Row],[Profit]]/Table1[[#This Row],[Total_Sales]]</f>
        <v>0.30061403508771928</v>
      </c>
    </row>
    <row r="81" spans="1:15" x14ac:dyDescent="0.25">
      <c r="A81" s="1">
        <v>80</v>
      </c>
      <c r="B81" s="2">
        <v>45422</v>
      </c>
      <c r="C81" s="1" t="s">
        <v>16</v>
      </c>
      <c r="D81" s="1" t="s">
        <v>13</v>
      </c>
      <c r="E81" s="1" t="s">
        <v>14</v>
      </c>
      <c r="F81" s="1" t="s">
        <v>35</v>
      </c>
      <c r="G81" s="1">
        <v>3</v>
      </c>
      <c r="H81" s="1">
        <v>678</v>
      </c>
      <c r="I81" s="1">
        <v>15</v>
      </c>
      <c r="J81" s="4">
        <v>1728.9</v>
      </c>
      <c r="K81" s="4">
        <v>1190.69</v>
      </c>
      <c r="L81" s="4">
        <v>538.21</v>
      </c>
      <c r="M81" s="1" t="str">
        <f>TEXT(Table1[[#This Row],[Order_Date]], "MMM")</f>
        <v>May</v>
      </c>
      <c r="N81" s="1">
        <f>YEAR(Table1[[#This Row],[Order_Date]])</f>
        <v>2024</v>
      </c>
      <c r="O81" s="7">
        <f>Table1[[#This Row],[Profit]]/Table1[[#This Row],[Total_Sales]]</f>
        <v>0.31130198392041181</v>
      </c>
    </row>
    <row r="82" spans="1:15" x14ac:dyDescent="0.25">
      <c r="A82" s="1">
        <v>81</v>
      </c>
      <c r="B82" s="2">
        <v>45220</v>
      </c>
      <c r="C82" s="1" t="s">
        <v>19</v>
      </c>
      <c r="D82" s="1" t="s">
        <v>26</v>
      </c>
      <c r="E82" s="1" t="s">
        <v>37</v>
      </c>
      <c r="F82" s="1" t="s">
        <v>15</v>
      </c>
      <c r="G82" s="1">
        <v>6</v>
      </c>
      <c r="H82" s="1">
        <v>400</v>
      </c>
      <c r="I82" s="1">
        <v>5</v>
      </c>
      <c r="J82" s="4">
        <v>2280</v>
      </c>
      <c r="K82" s="4">
        <v>1757.35</v>
      </c>
      <c r="L82" s="4">
        <v>522.65</v>
      </c>
      <c r="M82" s="1" t="str">
        <f>TEXT(Table1[[#This Row],[Order_Date]], "MMM")</f>
        <v>Oct</v>
      </c>
      <c r="N82" s="1">
        <f>YEAR(Table1[[#This Row],[Order_Date]])</f>
        <v>2023</v>
      </c>
      <c r="O82" s="7">
        <f>Table1[[#This Row],[Profit]]/Table1[[#This Row],[Total_Sales]]</f>
        <v>0.22923245614035087</v>
      </c>
    </row>
    <row r="83" spans="1:15" x14ac:dyDescent="0.25">
      <c r="A83" s="1">
        <v>82</v>
      </c>
      <c r="B83" s="2">
        <v>45394</v>
      </c>
      <c r="C83" s="1" t="s">
        <v>25</v>
      </c>
      <c r="D83" s="1" t="s">
        <v>32</v>
      </c>
      <c r="E83" s="1" t="s">
        <v>45</v>
      </c>
      <c r="F83" s="1" t="s">
        <v>40</v>
      </c>
      <c r="G83" s="1">
        <v>9</v>
      </c>
      <c r="H83" s="1">
        <v>348</v>
      </c>
      <c r="I83" s="1">
        <v>20</v>
      </c>
      <c r="J83" s="4">
        <v>2505.6</v>
      </c>
      <c r="K83" s="4">
        <v>1810.7</v>
      </c>
      <c r="L83" s="4">
        <v>694.9</v>
      </c>
      <c r="M83" s="1" t="str">
        <f>TEXT(Table1[[#This Row],[Order_Date]], "MMM")</f>
        <v>Apr</v>
      </c>
      <c r="N83" s="1">
        <f>YEAR(Table1[[#This Row],[Order_Date]])</f>
        <v>2024</v>
      </c>
      <c r="O83" s="7">
        <f>Table1[[#This Row],[Profit]]/Table1[[#This Row],[Total_Sales]]</f>
        <v>0.27733876117496808</v>
      </c>
    </row>
    <row r="84" spans="1:15" x14ac:dyDescent="0.25">
      <c r="A84" s="1">
        <v>83</v>
      </c>
      <c r="B84" s="2">
        <v>45609</v>
      </c>
      <c r="C84" s="1" t="s">
        <v>19</v>
      </c>
      <c r="D84" s="1" t="s">
        <v>22</v>
      </c>
      <c r="E84" s="1" t="s">
        <v>29</v>
      </c>
      <c r="F84" s="1" t="s">
        <v>31</v>
      </c>
      <c r="G84" s="1">
        <v>10</v>
      </c>
      <c r="H84" s="1">
        <v>871</v>
      </c>
      <c r="I84" s="1">
        <v>20</v>
      </c>
      <c r="J84" s="4">
        <v>6968</v>
      </c>
      <c r="K84" s="4">
        <v>5043.47</v>
      </c>
      <c r="L84" s="4">
        <v>1924.53</v>
      </c>
      <c r="M84" s="1" t="str">
        <f>TEXT(Table1[[#This Row],[Order_Date]], "MMM")</f>
        <v>Nov</v>
      </c>
      <c r="N84" s="1">
        <f>YEAR(Table1[[#This Row],[Order_Date]])</f>
        <v>2024</v>
      </c>
      <c r="O84" s="7">
        <f>Table1[[#This Row],[Profit]]/Table1[[#This Row],[Total_Sales]]</f>
        <v>0.27619546498277842</v>
      </c>
    </row>
    <row r="85" spans="1:15" x14ac:dyDescent="0.25">
      <c r="A85" s="1">
        <v>84</v>
      </c>
      <c r="B85" s="2">
        <v>45155</v>
      </c>
      <c r="C85" s="1" t="s">
        <v>12</v>
      </c>
      <c r="D85" s="1" t="s">
        <v>20</v>
      </c>
      <c r="E85" s="1" t="s">
        <v>28</v>
      </c>
      <c r="F85" s="1" t="s">
        <v>31</v>
      </c>
      <c r="G85" s="1">
        <v>2</v>
      </c>
      <c r="H85" s="1">
        <v>325</v>
      </c>
      <c r="I85" s="1">
        <v>5</v>
      </c>
      <c r="J85" s="4">
        <v>617.5</v>
      </c>
      <c r="K85" s="4">
        <v>455.93</v>
      </c>
      <c r="L85" s="4">
        <v>161.57</v>
      </c>
      <c r="M85" s="1" t="str">
        <f>TEXT(Table1[[#This Row],[Order_Date]], "MMM")</f>
        <v>Aug</v>
      </c>
      <c r="N85" s="1">
        <f>YEAR(Table1[[#This Row],[Order_Date]])</f>
        <v>2023</v>
      </c>
      <c r="O85" s="7">
        <f>Table1[[#This Row],[Profit]]/Table1[[#This Row],[Total_Sales]]</f>
        <v>0.26165182186234814</v>
      </c>
    </row>
    <row r="86" spans="1:15" x14ac:dyDescent="0.25">
      <c r="A86" s="1">
        <v>85</v>
      </c>
      <c r="B86" s="2">
        <v>45098</v>
      </c>
      <c r="C86" s="1" t="s">
        <v>19</v>
      </c>
      <c r="D86" s="1" t="s">
        <v>20</v>
      </c>
      <c r="E86" s="1" t="s">
        <v>30</v>
      </c>
      <c r="F86" s="1" t="s">
        <v>18</v>
      </c>
      <c r="G86" s="1">
        <v>10</v>
      </c>
      <c r="H86" s="1">
        <v>912</v>
      </c>
      <c r="I86" s="1">
        <v>20</v>
      </c>
      <c r="J86" s="4">
        <v>7296</v>
      </c>
      <c r="K86" s="4">
        <v>3813.75</v>
      </c>
      <c r="L86" s="4">
        <v>3482.25</v>
      </c>
      <c r="M86" s="1" t="str">
        <f>TEXT(Table1[[#This Row],[Order_Date]], "MMM")</f>
        <v>Jun</v>
      </c>
      <c r="N86" s="1">
        <f>YEAR(Table1[[#This Row],[Order_Date]])</f>
        <v>2023</v>
      </c>
      <c r="O86" s="7">
        <f>Table1[[#This Row],[Profit]]/Table1[[#This Row],[Total_Sales]]</f>
        <v>0.47728207236842107</v>
      </c>
    </row>
    <row r="87" spans="1:15" x14ac:dyDescent="0.25">
      <c r="A87" s="1">
        <v>86</v>
      </c>
      <c r="B87" s="2">
        <v>45597</v>
      </c>
      <c r="C87" s="1" t="s">
        <v>16</v>
      </c>
      <c r="D87" s="1" t="s">
        <v>32</v>
      </c>
      <c r="E87" s="1" t="s">
        <v>33</v>
      </c>
      <c r="F87" s="1" t="s">
        <v>40</v>
      </c>
      <c r="G87" s="1">
        <v>3</v>
      </c>
      <c r="H87" s="1">
        <v>210</v>
      </c>
      <c r="I87" s="1">
        <v>0</v>
      </c>
      <c r="J87" s="4">
        <v>630</v>
      </c>
      <c r="K87" s="4">
        <v>383.55</v>
      </c>
      <c r="L87" s="4">
        <v>246.45</v>
      </c>
      <c r="M87" s="1" t="str">
        <f>TEXT(Table1[[#This Row],[Order_Date]], "MMM")</f>
        <v>Nov</v>
      </c>
      <c r="N87" s="1">
        <f>YEAR(Table1[[#This Row],[Order_Date]])</f>
        <v>2024</v>
      </c>
      <c r="O87" s="7">
        <f>Table1[[#This Row],[Profit]]/Table1[[#This Row],[Total_Sales]]</f>
        <v>0.3911904761904762</v>
      </c>
    </row>
    <row r="88" spans="1:15" x14ac:dyDescent="0.25">
      <c r="A88" s="1">
        <v>87</v>
      </c>
      <c r="B88" s="2">
        <v>45219</v>
      </c>
      <c r="C88" s="1" t="s">
        <v>19</v>
      </c>
      <c r="D88" s="1" t="s">
        <v>20</v>
      </c>
      <c r="E88" s="1" t="s">
        <v>30</v>
      </c>
      <c r="F88" s="1" t="s">
        <v>24</v>
      </c>
      <c r="G88" s="1">
        <v>5</v>
      </c>
      <c r="H88" s="1">
        <v>90</v>
      </c>
      <c r="I88" s="1">
        <v>15</v>
      </c>
      <c r="J88" s="4">
        <v>382.5</v>
      </c>
      <c r="K88" s="4">
        <v>262.95</v>
      </c>
      <c r="L88" s="4">
        <v>119.55</v>
      </c>
      <c r="M88" s="1" t="str">
        <f>TEXT(Table1[[#This Row],[Order_Date]], "MMM")</f>
        <v>Oct</v>
      </c>
      <c r="N88" s="1">
        <f>YEAR(Table1[[#This Row],[Order_Date]])</f>
        <v>2023</v>
      </c>
      <c r="O88" s="7">
        <f>Table1[[#This Row],[Profit]]/Table1[[#This Row],[Total_Sales]]</f>
        <v>0.31254901960784315</v>
      </c>
    </row>
    <row r="89" spans="1:15" x14ac:dyDescent="0.25">
      <c r="A89" s="1">
        <v>88</v>
      </c>
      <c r="B89" s="2">
        <v>45252</v>
      </c>
      <c r="C89" s="1" t="s">
        <v>12</v>
      </c>
      <c r="D89" s="1" t="s">
        <v>32</v>
      </c>
      <c r="E89" s="1" t="s">
        <v>45</v>
      </c>
      <c r="F89" s="1" t="s">
        <v>15</v>
      </c>
      <c r="G89" s="1">
        <v>2</v>
      </c>
      <c r="H89" s="1">
        <v>995</v>
      </c>
      <c r="I89" s="1">
        <v>15</v>
      </c>
      <c r="J89" s="4">
        <v>1691.5</v>
      </c>
      <c r="K89" s="4">
        <v>1120.1300000000001</v>
      </c>
      <c r="L89" s="4">
        <v>571.37</v>
      </c>
      <c r="M89" s="1" t="str">
        <f>TEXT(Table1[[#This Row],[Order_Date]], "MMM")</f>
        <v>Nov</v>
      </c>
      <c r="N89" s="1">
        <f>YEAR(Table1[[#This Row],[Order_Date]])</f>
        <v>2023</v>
      </c>
      <c r="O89" s="7">
        <f>Table1[[#This Row],[Profit]]/Table1[[#This Row],[Total_Sales]]</f>
        <v>0.33778894472361809</v>
      </c>
    </row>
    <row r="90" spans="1:15" x14ac:dyDescent="0.25">
      <c r="A90" s="1">
        <v>89</v>
      </c>
      <c r="B90" s="2">
        <v>45412</v>
      </c>
      <c r="C90" s="1" t="s">
        <v>25</v>
      </c>
      <c r="D90" s="1" t="s">
        <v>13</v>
      </c>
      <c r="E90" s="1" t="s">
        <v>39</v>
      </c>
      <c r="F90" s="1" t="s">
        <v>15</v>
      </c>
      <c r="G90" s="1">
        <v>7</v>
      </c>
      <c r="H90" s="1">
        <v>552</v>
      </c>
      <c r="I90" s="1">
        <v>20</v>
      </c>
      <c r="J90" s="4">
        <v>3091.2</v>
      </c>
      <c r="K90" s="4">
        <v>1667.17</v>
      </c>
      <c r="L90" s="4">
        <v>1424.03</v>
      </c>
      <c r="M90" s="1" t="str">
        <f>TEXT(Table1[[#This Row],[Order_Date]], "MMM")</f>
        <v>Apr</v>
      </c>
      <c r="N90" s="1">
        <f>YEAR(Table1[[#This Row],[Order_Date]])</f>
        <v>2024</v>
      </c>
      <c r="O90" s="7">
        <f>Table1[[#This Row],[Profit]]/Table1[[#This Row],[Total_Sales]]</f>
        <v>0.46067223084886127</v>
      </c>
    </row>
    <row r="91" spans="1:15" x14ac:dyDescent="0.25">
      <c r="A91" s="1">
        <v>90</v>
      </c>
      <c r="B91" s="2">
        <v>45620</v>
      </c>
      <c r="C91" s="1" t="s">
        <v>16</v>
      </c>
      <c r="D91" s="1" t="s">
        <v>20</v>
      </c>
      <c r="E91" s="1" t="s">
        <v>30</v>
      </c>
      <c r="F91" s="1" t="s">
        <v>15</v>
      </c>
      <c r="G91" s="1">
        <v>7</v>
      </c>
      <c r="H91" s="1">
        <v>522</v>
      </c>
      <c r="I91" s="1">
        <v>0</v>
      </c>
      <c r="J91" s="4">
        <v>3654</v>
      </c>
      <c r="K91" s="4">
        <v>2043.17</v>
      </c>
      <c r="L91" s="4">
        <v>1610.83</v>
      </c>
      <c r="M91" s="1" t="str">
        <f>TEXT(Table1[[#This Row],[Order_Date]], "MMM")</f>
        <v>Nov</v>
      </c>
      <c r="N91" s="1">
        <f>YEAR(Table1[[#This Row],[Order_Date]])</f>
        <v>2024</v>
      </c>
      <c r="O91" s="7">
        <f>Table1[[#This Row],[Profit]]/Table1[[#This Row],[Total_Sales]]</f>
        <v>0.44084017515051993</v>
      </c>
    </row>
    <row r="92" spans="1:15" x14ac:dyDescent="0.25">
      <c r="A92" s="1">
        <v>91</v>
      </c>
      <c r="B92" s="2">
        <v>45594</v>
      </c>
      <c r="C92" s="1" t="s">
        <v>12</v>
      </c>
      <c r="D92" s="1" t="s">
        <v>20</v>
      </c>
      <c r="E92" s="1" t="s">
        <v>43</v>
      </c>
      <c r="F92" s="1" t="s">
        <v>31</v>
      </c>
      <c r="G92" s="1">
        <v>9</v>
      </c>
      <c r="H92" s="1">
        <v>890</v>
      </c>
      <c r="I92" s="1">
        <v>20</v>
      </c>
      <c r="J92" s="4">
        <v>6408</v>
      </c>
      <c r="K92" s="4">
        <v>3545.84</v>
      </c>
      <c r="L92" s="4">
        <v>2862.16</v>
      </c>
      <c r="M92" s="1" t="str">
        <f>TEXT(Table1[[#This Row],[Order_Date]], "MMM")</f>
        <v>Oct</v>
      </c>
      <c r="N92" s="1">
        <f>YEAR(Table1[[#This Row],[Order_Date]])</f>
        <v>2024</v>
      </c>
      <c r="O92" s="7">
        <f>Table1[[#This Row],[Profit]]/Table1[[#This Row],[Total_Sales]]</f>
        <v>0.44665418227215975</v>
      </c>
    </row>
    <row r="93" spans="1:15" x14ac:dyDescent="0.25">
      <c r="A93" s="1">
        <v>92</v>
      </c>
      <c r="B93" s="2">
        <v>45341</v>
      </c>
      <c r="C93" s="1" t="s">
        <v>16</v>
      </c>
      <c r="D93" s="1" t="s">
        <v>13</v>
      </c>
      <c r="E93" s="1" t="s">
        <v>17</v>
      </c>
      <c r="F93" s="1" t="s">
        <v>31</v>
      </c>
      <c r="G93" s="1">
        <v>3</v>
      </c>
      <c r="H93" s="1">
        <v>817</v>
      </c>
      <c r="I93" s="1">
        <v>10</v>
      </c>
      <c r="J93" s="4">
        <v>2205.9</v>
      </c>
      <c r="K93" s="4">
        <v>1692.26</v>
      </c>
      <c r="L93" s="4">
        <v>513.64</v>
      </c>
      <c r="M93" s="1" t="str">
        <f>TEXT(Table1[[#This Row],[Order_Date]], "MMM")</f>
        <v>Feb</v>
      </c>
      <c r="N93" s="1">
        <f>YEAR(Table1[[#This Row],[Order_Date]])</f>
        <v>2024</v>
      </c>
      <c r="O93" s="7">
        <f>Table1[[#This Row],[Profit]]/Table1[[#This Row],[Total_Sales]]</f>
        <v>0.23284827054716895</v>
      </c>
    </row>
    <row r="94" spans="1:15" x14ac:dyDescent="0.25">
      <c r="A94" s="1">
        <v>93</v>
      </c>
      <c r="B94" s="2">
        <v>45348</v>
      </c>
      <c r="C94" s="1" t="s">
        <v>19</v>
      </c>
      <c r="D94" s="1" t="s">
        <v>32</v>
      </c>
      <c r="E94" s="1" t="s">
        <v>45</v>
      </c>
      <c r="F94" s="1" t="s">
        <v>24</v>
      </c>
      <c r="G94" s="1">
        <v>8</v>
      </c>
      <c r="H94" s="1">
        <v>863</v>
      </c>
      <c r="I94" s="1">
        <v>5</v>
      </c>
      <c r="J94" s="4">
        <v>6558.8</v>
      </c>
      <c r="K94" s="4">
        <v>4702.88</v>
      </c>
      <c r="L94" s="4">
        <v>1855.92</v>
      </c>
      <c r="M94" s="1" t="str">
        <f>TEXT(Table1[[#This Row],[Order_Date]], "MMM")</f>
        <v>Feb</v>
      </c>
      <c r="N94" s="1">
        <f>YEAR(Table1[[#This Row],[Order_Date]])</f>
        <v>2024</v>
      </c>
      <c r="O94" s="7">
        <f>Table1[[#This Row],[Profit]]/Table1[[#This Row],[Total_Sales]]</f>
        <v>0.28296639629200465</v>
      </c>
    </row>
    <row r="95" spans="1:15" x14ac:dyDescent="0.25">
      <c r="A95" s="1">
        <v>94</v>
      </c>
      <c r="B95" s="2">
        <v>45034</v>
      </c>
      <c r="C95" s="1" t="s">
        <v>25</v>
      </c>
      <c r="D95" s="1" t="s">
        <v>13</v>
      </c>
      <c r="E95" s="1" t="s">
        <v>39</v>
      </c>
      <c r="F95" s="1" t="s">
        <v>35</v>
      </c>
      <c r="G95" s="1">
        <v>9</v>
      </c>
      <c r="H95" s="1">
        <v>334</v>
      </c>
      <c r="I95" s="1">
        <v>0</v>
      </c>
      <c r="J95" s="4">
        <v>3006</v>
      </c>
      <c r="K95" s="4">
        <v>2307.12</v>
      </c>
      <c r="L95" s="4">
        <v>698.88</v>
      </c>
      <c r="M95" s="1" t="str">
        <f>TEXT(Table1[[#This Row],[Order_Date]], "MMM")</f>
        <v>Apr</v>
      </c>
      <c r="N95" s="1">
        <f>YEAR(Table1[[#This Row],[Order_Date]])</f>
        <v>2023</v>
      </c>
      <c r="O95" s="7">
        <f>Table1[[#This Row],[Profit]]/Table1[[#This Row],[Total_Sales]]</f>
        <v>0.23249500998003991</v>
      </c>
    </row>
    <row r="96" spans="1:15" x14ac:dyDescent="0.25">
      <c r="A96" s="1">
        <v>95</v>
      </c>
      <c r="B96" s="2">
        <v>45104</v>
      </c>
      <c r="C96" s="1" t="s">
        <v>16</v>
      </c>
      <c r="D96" s="1" t="s">
        <v>22</v>
      </c>
      <c r="E96" s="1" t="s">
        <v>36</v>
      </c>
      <c r="F96" s="1" t="s">
        <v>24</v>
      </c>
      <c r="G96" s="1">
        <v>8</v>
      </c>
      <c r="H96" s="1">
        <v>126</v>
      </c>
      <c r="I96" s="1">
        <v>5</v>
      </c>
      <c r="J96" s="4">
        <v>957.6</v>
      </c>
      <c r="K96" s="4">
        <v>647.11</v>
      </c>
      <c r="L96" s="4">
        <v>310.49</v>
      </c>
      <c r="M96" s="1" t="str">
        <f>TEXT(Table1[[#This Row],[Order_Date]], "MMM")</f>
        <v>Jun</v>
      </c>
      <c r="N96" s="1">
        <f>YEAR(Table1[[#This Row],[Order_Date]])</f>
        <v>2023</v>
      </c>
      <c r="O96" s="7">
        <f>Table1[[#This Row],[Profit]]/Table1[[#This Row],[Total_Sales]]</f>
        <v>0.32423767752715121</v>
      </c>
    </row>
    <row r="97" spans="1:15" x14ac:dyDescent="0.25">
      <c r="A97" s="1">
        <v>96</v>
      </c>
      <c r="B97" s="2">
        <v>45420</v>
      </c>
      <c r="C97" s="1" t="s">
        <v>25</v>
      </c>
      <c r="D97" s="1" t="s">
        <v>13</v>
      </c>
      <c r="E97" s="1" t="s">
        <v>39</v>
      </c>
      <c r="F97" s="1" t="s">
        <v>40</v>
      </c>
      <c r="G97" s="1">
        <v>2</v>
      </c>
      <c r="H97" s="1">
        <v>517</v>
      </c>
      <c r="I97" s="1">
        <v>10</v>
      </c>
      <c r="J97" s="4">
        <v>930.6</v>
      </c>
      <c r="K97" s="4">
        <v>685.5</v>
      </c>
      <c r="L97" s="4">
        <v>245.1</v>
      </c>
      <c r="M97" s="1" t="str">
        <f>TEXT(Table1[[#This Row],[Order_Date]], "MMM")</f>
        <v>May</v>
      </c>
      <c r="N97" s="1">
        <f>YEAR(Table1[[#This Row],[Order_Date]])</f>
        <v>2024</v>
      </c>
      <c r="O97" s="7">
        <f>Table1[[#This Row],[Profit]]/Table1[[#This Row],[Total_Sales]]</f>
        <v>0.26337846550612509</v>
      </c>
    </row>
    <row r="98" spans="1:15" x14ac:dyDescent="0.25">
      <c r="A98" s="1">
        <v>97</v>
      </c>
      <c r="B98" s="2">
        <v>45024</v>
      </c>
      <c r="C98" s="1" t="s">
        <v>12</v>
      </c>
      <c r="D98" s="1" t="s">
        <v>20</v>
      </c>
      <c r="E98" s="1" t="s">
        <v>43</v>
      </c>
      <c r="F98" s="1" t="s">
        <v>24</v>
      </c>
      <c r="G98" s="1">
        <v>7</v>
      </c>
      <c r="H98" s="1">
        <v>502</v>
      </c>
      <c r="I98" s="1">
        <v>5</v>
      </c>
      <c r="J98" s="4">
        <v>3338.3</v>
      </c>
      <c r="K98" s="4">
        <v>2213.75</v>
      </c>
      <c r="L98" s="4">
        <v>1124.55</v>
      </c>
      <c r="M98" s="1" t="str">
        <f>TEXT(Table1[[#This Row],[Order_Date]], "MMM")</f>
        <v>Apr</v>
      </c>
      <c r="N98" s="1">
        <f>YEAR(Table1[[#This Row],[Order_Date]])</f>
        <v>2023</v>
      </c>
      <c r="O98" s="7">
        <f>Table1[[#This Row],[Profit]]/Table1[[#This Row],[Total_Sales]]</f>
        <v>0.33686307401971061</v>
      </c>
    </row>
    <row r="99" spans="1:15" x14ac:dyDescent="0.25">
      <c r="A99" s="1">
        <v>98</v>
      </c>
      <c r="B99" s="2">
        <v>45212</v>
      </c>
      <c r="C99" s="1" t="s">
        <v>12</v>
      </c>
      <c r="D99" s="1" t="s">
        <v>13</v>
      </c>
      <c r="E99" s="1" t="s">
        <v>14</v>
      </c>
      <c r="F99" s="1" t="s">
        <v>24</v>
      </c>
      <c r="G99" s="1">
        <v>9</v>
      </c>
      <c r="H99" s="1">
        <v>394</v>
      </c>
      <c r="I99" s="1">
        <v>15</v>
      </c>
      <c r="J99" s="4">
        <v>3014.1</v>
      </c>
      <c r="K99" s="4">
        <v>2407.08</v>
      </c>
      <c r="L99" s="4">
        <v>607.02</v>
      </c>
      <c r="M99" s="1" t="str">
        <f>TEXT(Table1[[#This Row],[Order_Date]], "MMM")</f>
        <v>Oct</v>
      </c>
      <c r="N99" s="1">
        <f>YEAR(Table1[[#This Row],[Order_Date]])</f>
        <v>2023</v>
      </c>
      <c r="O99" s="7">
        <f>Table1[[#This Row],[Profit]]/Table1[[#This Row],[Total_Sales]]</f>
        <v>0.20139345078132775</v>
      </c>
    </row>
    <row r="100" spans="1:15" x14ac:dyDescent="0.25">
      <c r="A100" s="1">
        <v>99</v>
      </c>
      <c r="B100" s="2">
        <v>45398</v>
      </c>
      <c r="C100" s="1" t="s">
        <v>16</v>
      </c>
      <c r="D100" s="1" t="s">
        <v>22</v>
      </c>
      <c r="E100" s="1" t="s">
        <v>44</v>
      </c>
      <c r="F100" s="1" t="s">
        <v>35</v>
      </c>
      <c r="G100" s="1">
        <v>3</v>
      </c>
      <c r="H100" s="1">
        <v>751</v>
      </c>
      <c r="I100" s="1">
        <v>10</v>
      </c>
      <c r="J100" s="4">
        <v>2027.7</v>
      </c>
      <c r="K100" s="4">
        <v>1088.73</v>
      </c>
      <c r="L100" s="4">
        <v>938.97</v>
      </c>
      <c r="M100" s="1" t="str">
        <f>TEXT(Table1[[#This Row],[Order_Date]], "MMM")</f>
        <v>Apr</v>
      </c>
      <c r="N100" s="1">
        <f>YEAR(Table1[[#This Row],[Order_Date]])</f>
        <v>2024</v>
      </c>
      <c r="O100" s="7">
        <f>Table1[[#This Row],[Profit]]/Table1[[#This Row],[Total_Sales]]</f>
        <v>0.46307146027518864</v>
      </c>
    </row>
    <row r="101" spans="1:15" x14ac:dyDescent="0.25">
      <c r="A101" s="1">
        <v>100</v>
      </c>
      <c r="B101" s="2">
        <v>45438</v>
      </c>
      <c r="C101" s="1" t="s">
        <v>25</v>
      </c>
      <c r="D101" s="1" t="s">
        <v>13</v>
      </c>
      <c r="E101" s="1" t="s">
        <v>14</v>
      </c>
      <c r="F101" s="1" t="s">
        <v>24</v>
      </c>
      <c r="G101" s="1">
        <v>5</v>
      </c>
      <c r="H101" s="1">
        <v>384</v>
      </c>
      <c r="I101" s="1">
        <v>10</v>
      </c>
      <c r="J101" s="4">
        <v>1728</v>
      </c>
      <c r="K101" s="4">
        <v>940.11</v>
      </c>
      <c r="L101" s="4">
        <v>787.89</v>
      </c>
      <c r="M101" s="1" t="str">
        <f>TEXT(Table1[[#This Row],[Order_Date]], "MMM")</f>
        <v>May</v>
      </c>
      <c r="N101" s="1">
        <f>YEAR(Table1[[#This Row],[Order_Date]])</f>
        <v>2024</v>
      </c>
      <c r="O101" s="7">
        <f>Table1[[#This Row],[Profit]]/Table1[[#This Row],[Total_Sales]]</f>
        <v>0.45595486111111111</v>
      </c>
    </row>
    <row r="102" spans="1:15" x14ac:dyDescent="0.25">
      <c r="A102" s="1">
        <v>101</v>
      </c>
      <c r="B102" s="2">
        <v>45483</v>
      </c>
      <c r="C102" s="1" t="s">
        <v>16</v>
      </c>
      <c r="D102" s="1" t="s">
        <v>13</v>
      </c>
      <c r="E102" s="1" t="s">
        <v>38</v>
      </c>
      <c r="F102" s="1" t="s">
        <v>35</v>
      </c>
      <c r="G102" s="1">
        <v>4</v>
      </c>
      <c r="H102" s="1">
        <v>72</v>
      </c>
      <c r="I102" s="1">
        <v>0</v>
      </c>
      <c r="J102" s="4">
        <v>288</v>
      </c>
      <c r="K102" s="4">
        <v>178</v>
      </c>
      <c r="L102" s="4">
        <v>110</v>
      </c>
      <c r="M102" s="1" t="str">
        <f>TEXT(Table1[[#This Row],[Order_Date]], "MMM")</f>
        <v>Jul</v>
      </c>
      <c r="N102" s="1">
        <f>YEAR(Table1[[#This Row],[Order_Date]])</f>
        <v>2024</v>
      </c>
      <c r="O102" s="7">
        <f>Table1[[#This Row],[Profit]]/Table1[[#This Row],[Total_Sales]]</f>
        <v>0.38194444444444442</v>
      </c>
    </row>
    <row r="103" spans="1:15" x14ac:dyDescent="0.25">
      <c r="A103" s="1">
        <v>102</v>
      </c>
      <c r="B103" s="2">
        <v>44950</v>
      </c>
      <c r="C103" s="1" t="s">
        <v>25</v>
      </c>
      <c r="D103" s="1" t="s">
        <v>26</v>
      </c>
      <c r="E103" s="1" t="s">
        <v>27</v>
      </c>
      <c r="F103" s="1" t="s">
        <v>40</v>
      </c>
      <c r="G103" s="1">
        <v>3</v>
      </c>
      <c r="H103" s="1">
        <v>108</v>
      </c>
      <c r="I103" s="1">
        <v>15</v>
      </c>
      <c r="J103" s="4">
        <v>275.39999999999998</v>
      </c>
      <c r="K103" s="4">
        <v>211.02</v>
      </c>
      <c r="L103" s="4">
        <v>64.38</v>
      </c>
      <c r="M103" s="1" t="str">
        <f>TEXT(Table1[[#This Row],[Order_Date]], "MMM")</f>
        <v>Jan</v>
      </c>
      <c r="N103" s="1">
        <f>YEAR(Table1[[#This Row],[Order_Date]])</f>
        <v>2023</v>
      </c>
      <c r="O103" s="7">
        <f>Table1[[#This Row],[Profit]]/Table1[[#This Row],[Total_Sales]]</f>
        <v>0.23376906318082788</v>
      </c>
    </row>
    <row r="104" spans="1:15" x14ac:dyDescent="0.25">
      <c r="A104" s="1">
        <v>103</v>
      </c>
      <c r="B104" s="2">
        <v>45070</v>
      </c>
      <c r="C104" s="1" t="s">
        <v>12</v>
      </c>
      <c r="D104" s="1" t="s">
        <v>20</v>
      </c>
      <c r="E104" s="1" t="s">
        <v>43</v>
      </c>
      <c r="F104" s="1" t="s">
        <v>15</v>
      </c>
      <c r="G104" s="1">
        <v>8</v>
      </c>
      <c r="H104" s="1">
        <v>133</v>
      </c>
      <c r="I104" s="1">
        <v>5</v>
      </c>
      <c r="J104" s="4">
        <v>1010.8</v>
      </c>
      <c r="K104" s="4">
        <v>668.42</v>
      </c>
      <c r="L104" s="4">
        <v>342.38</v>
      </c>
      <c r="M104" s="1" t="str">
        <f>TEXT(Table1[[#This Row],[Order_Date]], "MMM")</f>
        <v>May</v>
      </c>
      <c r="N104" s="1">
        <f>YEAR(Table1[[#This Row],[Order_Date]])</f>
        <v>2023</v>
      </c>
      <c r="O104" s="7">
        <f>Table1[[#This Row],[Profit]]/Table1[[#This Row],[Total_Sales]]</f>
        <v>0.3387218045112782</v>
      </c>
    </row>
    <row r="105" spans="1:15" x14ac:dyDescent="0.25">
      <c r="A105" s="1">
        <v>104</v>
      </c>
      <c r="B105" s="2">
        <v>45374</v>
      </c>
      <c r="C105" s="1" t="s">
        <v>19</v>
      </c>
      <c r="D105" s="1" t="s">
        <v>20</v>
      </c>
      <c r="E105" s="1" t="s">
        <v>28</v>
      </c>
      <c r="F105" s="1" t="s">
        <v>18</v>
      </c>
      <c r="G105" s="1">
        <v>1</v>
      </c>
      <c r="H105" s="1">
        <v>383</v>
      </c>
      <c r="I105" s="1">
        <v>5</v>
      </c>
      <c r="J105" s="4">
        <v>363.85</v>
      </c>
      <c r="K105" s="4">
        <v>274.22000000000003</v>
      </c>
      <c r="L105" s="4">
        <v>89.63</v>
      </c>
      <c r="M105" s="1" t="str">
        <f>TEXT(Table1[[#This Row],[Order_Date]], "MMM")</f>
        <v>Mar</v>
      </c>
      <c r="N105" s="1">
        <f>YEAR(Table1[[#This Row],[Order_Date]])</f>
        <v>2024</v>
      </c>
      <c r="O105" s="7">
        <f>Table1[[#This Row],[Profit]]/Table1[[#This Row],[Total_Sales]]</f>
        <v>0.24633777655627317</v>
      </c>
    </row>
    <row r="106" spans="1:15" x14ac:dyDescent="0.25">
      <c r="A106" s="1">
        <v>105</v>
      </c>
      <c r="B106" s="2">
        <v>45149</v>
      </c>
      <c r="C106" s="1" t="s">
        <v>12</v>
      </c>
      <c r="D106" s="1" t="s">
        <v>22</v>
      </c>
      <c r="E106" s="1" t="s">
        <v>44</v>
      </c>
      <c r="F106" s="1" t="s">
        <v>15</v>
      </c>
      <c r="G106" s="1">
        <v>9</v>
      </c>
      <c r="H106" s="1">
        <v>899</v>
      </c>
      <c r="I106" s="1">
        <v>15</v>
      </c>
      <c r="J106" s="4">
        <v>6877.35</v>
      </c>
      <c r="K106" s="4">
        <v>4261.7</v>
      </c>
      <c r="L106" s="4">
        <v>2615.65</v>
      </c>
      <c r="M106" s="1" t="str">
        <f>TEXT(Table1[[#This Row],[Order_Date]], "MMM")</f>
        <v>Aug</v>
      </c>
      <c r="N106" s="1">
        <f>YEAR(Table1[[#This Row],[Order_Date]])</f>
        <v>2023</v>
      </c>
      <c r="O106" s="7">
        <f>Table1[[#This Row],[Profit]]/Table1[[#This Row],[Total_Sales]]</f>
        <v>0.38032817873163355</v>
      </c>
    </row>
    <row r="107" spans="1:15" x14ac:dyDescent="0.25">
      <c r="A107" s="1">
        <v>106</v>
      </c>
      <c r="B107" s="2">
        <v>45355</v>
      </c>
      <c r="C107" s="1" t="s">
        <v>19</v>
      </c>
      <c r="D107" s="1" t="s">
        <v>26</v>
      </c>
      <c r="E107" s="1" t="s">
        <v>46</v>
      </c>
      <c r="F107" s="1" t="s">
        <v>40</v>
      </c>
      <c r="G107" s="1">
        <v>7</v>
      </c>
      <c r="H107" s="1">
        <v>32</v>
      </c>
      <c r="I107" s="1">
        <v>20</v>
      </c>
      <c r="J107" s="4">
        <v>179.2</v>
      </c>
      <c r="K107" s="4">
        <v>119.15</v>
      </c>
      <c r="L107" s="4">
        <v>60.05</v>
      </c>
      <c r="M107" s="1" t="str">
        <f>TEXT(Table1[[#This Row],[Order_Date]], "MMM")</f>
        <v>Mar</v>
      </c>
      <c r="N107" s="1">
        <f>YEAR(Table1[[#This Row],[Order_Date]])</f>
        <v>2024</v>
      </c>
      <c r="O107" s="7">
        <f>Table1[[#This Row],[Profit]]/Table1[[#This Row],[Total_Sales]]</f>
        <v>0.33510044642857145</v>
      </c>
    </row>
    <row r="108" spans="1:15" x14ac:dyDescent="0.25">
      <c r="A108" s="1">
        <v>107</v>
      </c>
      <c r="B108" s="2">
        <v>45288</v>
      </c>
      <c r="C108" s="1" t="s">
        <v>12</v>
      </c>
      <c r="D108" s="1" t="s">
        <v>22</v>
      </c>
      <c r="E108" s="1" t="s">
        <v>29</v>
      </c>
      <c r="F108" s="1" t="s">
        <v>24</v>
      </c>
      <c r="G108" s="1">
        <v>6</v>
      </c>
      <c r="H108" s="1">
        <v>964</v>
      </c>
      <c r="I108" s="1">
        <v>15</v>
      </c>
      <c r="J108" s="4">
        <v>4916.3999999999996</v>
      </c>
      <c r="K108" s="4">
        <v>3313.62</v>
      </c>
      <c r="L108" s="4">
        <v>1602.78</v>
      </c>
      <c r="M108" s="1" t="str">
        <f>TEXT(Table1[[#This Row],[Order_Date]], "MMM")</f>
        <v>Dec</v>
      </c>
      <c r="N108" s="1">
        <f>YEAR(Table1[[#This Row],[Order_Date]])</f>
        <v>2023</v>
      </c>
      <c r="O108" s="7">
        <f>Table1[[#This Row],[Profit]]/Table1[[#This Row],[Total_Sales]]</f>
        <v>0.32600683426897731</v>
      </c>
    </row>
    <row r="109" spans="1:15" x14ac:dyDescent="0.25">
      <c r="A109" s="1">
        <v>108</v>
      </c>
      <c r="B109" s="2">
        <v>44988</v>
      </c>
      <c r="C109" s="1" t="s">
        <v>25</v>
      </c>
      <c r="D109" s="1" t="s">
        <v>20</v>
      </c>
      <c r="E109" s="1" t="s">
        <v>28</v>
      </c>
      <c r="F109" s="1" t="s">
        <v>15</v>
      </c>
      <c r="G109" s="1">
        <v>4</v>
      </c>
      <c r="H109" s="1">
        <v>398</v>
      </c>
      <c r="I109" s="1">
        <v>15</v>
      </c>
      <c r="J109" s="4">
        <v>1353.2</v>
      </c>
      <c r="K109" s="4">
        <v>971.92</v>
      </c>
      <c r="L109" s="4">
        <v>381.28</v>
      </c>
      <c r="M109" s="1" t="str">
        <f>TEXT(Table1[[#This Row],[Order_Date]], "MMM")</f>
        <v>Mar</v>
      </c>
      <c r="N109" s="1">
        <f>YEAR(Table1[[#This Row],[Order_Date]])</f>
        <v>2023</v>
      </c>
      <c r="O109" s="7">
        <f>Table1[[#This Row],[Profit]]/Table1[[#This Row],[Total_Sales]]</f>
        <v>0.28176174992610109</v>
      </c>
    </row>
    <row r="110" spans="1:15" x14ac:dyDescent="0.25">
      <c r="A110" s="1">
        <v>109</v>
      </c>
      <c r="B110" s="2">
        <v>45118</v>
      </c>
      <c r="C110" s="1" t="s">
        <v>25</v>
      </c>
      <c r="D110" s="1" t="s">
        <v>13</v>
      </c>
      <c r="E110" s="1" t="s">
        <v>38</v>
      </c>
      <c r="F110" s="1" t="s">
        <v>40</v>
      </c>
      <c r="G110" s="1">
        <v>1</v>
      </c>
      <c r="H110" s="1">
        <v>386</v>
      </c>
      <c r="I110" s="1">
        <v>10</v>
      </c>
      <c r="J110" s="4">
        <v>347.4</v>
      </c>
      <c r="K110" s="4">
        <v>258.70999999999998</v>
      </c>
      <c r="L110" s="4">
        <v>88.69</v>
      </c>
      <c r="M110" s="1" t="str">
        <f>TEXT(Table1[[#This Row],[Order_Date]], "MMM")</f>
        <v>Jul</v>
      </c>
      <c r="N110" s="1">
        <f>YEAR(Table1[[#This Row],[Order_Date]])</f>
        <v>2023</v>
      </c>
      <c r="O110" s="7">
        <f>Table1[[#This Row],[Profit]]/Table1[[#This Row],[Total_Sales]]</f>
        <v>0.25529648819804263</v>
      </c>
    </row>
    <row r="111" spans="1:15" x14ac:dyDescent="0.25">
      <c r="A111" s="1">
        <v>110</v>
      </c>
      <c r="B111" s="2">
        <v>45566</v>
      </c>
      <c r="C111" s="1" t="s">
        <v>12</v>
      </c>
      <c r="D111" s="1" t="s">
        <v>22</v>
      </c>
      <c r="E111" s="1" t="s">
        <v>29</v>
      </c>
      <c r="F111" s="1" t="s">
        <v>15</v>
      </c>
      <c r="G111" s="1">
        <v>2</v>
      </c>
      <c r="H111" s="1">
        <v>127</v>
      </c>
      <c r="I111" s="1">
        <v>10</v>
      </c>
      <c r="J111" s="4">
        <v>228.6</v>
      </c>
      <c r="K111" s="4">
        <v>119.25</v>
      </c>
      <c r="L111" s="4">
        <v>109.35</v>
      </c>
      <c r="M111" s="1" t="str">
        <f>TEXT(Table1[[#This Row],[Order_Date]], "MMM")</f>
        <v>Oct</v>
      </c>
      <c r="N111" s="1">
        <f>YEAR(Table1[[#This Row],[Order_Date]])</f>
        <v>2024</v>
      </c>
      <c r="O111" s="7">
        <f>Table1[[#This Row],[Profit]]/Table1[[#This Row],[Total_Sales]]</f>
        <v>0.47834645669291337</v>
      </c>
    </row>
    <row r="112" spans="1:15" x14ac:dyDescent="0.25">
      <c r="A112" s="1">
        <v>111</v>
      </c>
      <c r="B112" s="2">
        <v>45356</v>
      </c>
      <c r="C112" s="1" t="s">
        <v>19</v>
      </c>
      <c r="D112" s="1" t="s">
        <v>32</v>
      </c>
      <c r="E112" s="1" t="s">
        <v>34</v>
      </c>
      <c r="F112" s="1" t="s">
        <v>35</v>
      </c>
      <c r="G112" s="1">
        <v>1</v>
      </c>
      <c r="H112" s="1">
        <v>794</v>
      </c>
      <c r="I112" s="1">
        <v>10</v>
      </c>
      <c r="J112" s="4">
        <v>714.6</v>
      </c>
      <c r="K112" s="4">
        <v>520.94000000000005</v>
      </c>
      <c r="L112" s="4">
        <v>193.66</v>
      </c>
      <c r="M112" s="1" t="str">
        <f>TEXT(Table1[[#This Row],[Order_Date]], "MMM")</f>
        <v>Mar</v>
      </c>
      <c r="N112" s="1">
        <f>YEAR(Table1[[#This Row],[Order_Date]])</f>
        <v>2024</v>
      </c>
      <c r="O112" s="7">
        <f>Table1[[#This Row],[Profit]]/Table1[[#This Row],[Total_Sales]]</f>
        <v>0.27100475790652112</v>
      </c>
    </row>
    <row r="113" spans="1:15" x14ac:dyDescent="0.25">
      <c r="A113" s="1">
        <v>112</v>
      </c>
      <c r="B113" s="2">
        <v>45378</v>
      </c>
      <c r="C113" s="1" t="s">
        <v>12</v>
      </c>
      <c r="D113" s="1" t="s">
        <v>13</v>
      </c>
      <c r="E113" s="1" t="s">
        <v>38</v>
      </c>
      <c r="F113" s="1" t="s">
        <v>40</v>
      </c>
      <c r="G113" s="1">
        <v>3</v>
      </c>
      <c r="H113" s="1">
        <v>622</v>
      </c>
      <c r="I113" s="1">
        <v>10</v>
      </c>
      <c r="J113" s="4">
        <v>1679.4</v>
      </c>
      <c r="K113" s="4">
        <v>1099.6500000000001</v>
      </c>
      <c r="L113" s="4">
        <v>579.75</v>
      </c>
      <c r="M113" s="1" t="str">
        <f>TEXT(Table1[[#This Row],[Order_Date]], "MMM")</f>
        <v>Mar</v>
      </c>
      <c r="N113" s="1">
        <f>YEAR(Table1[[#This Row],[Order_Date]])</f>
        <v>2024</v>
      </c>
      <c r="O113" s="7">
        <f>Table1[[#This Row],[Profit]]/Table1[[#This Row],[Total_Sales]]</f>
        <v>0.3452125759199714</v>
      </c>
    </row>
    <row r="114" spans="1:15" x14ac:dyDescent="0.25">
      <c r="A114" s="1">
        <v>113</v>
      </c>
      <c r="B114" s="2">
        <v>45501</v>
      </c>
      <c r="C114" s="1" t="s">
        <v>19</v>
      </c>
      <c r="D114" s="1" t="s">
        <v>22</v>
      </c>
      <c r="E114" s="1" t="s">
        <v>44</v>
      </c>
      <c r="F114" s="1" t="s">
        <v>40</v>
      </c>
      <c r="G114" s="1">
        <v>10</v>
      </c>
      <c r="H114" s="1">
        <v>893</v>
      </c>
      <c r="I114" s="1">
        <v>20</v>
      </c>
      <c r="J114" s="4">
        <v>7144</v>
      </c>
      <c r="K114" s="4">
        <v>3639.92</v>
      </c>
      <c r="L114" s="4">
        <v>3504.08</v>
      </c>
      <c r="M114" s="1" t="str">
        <f>TEXT(Table1[[#This Row],[Order_Date]], "MMM")</f>
        <v>Jul</v>
      </c>
      <c r="N114" s="1">
        <f>YEAR(Table1[[#This Row],[Order_Date]])</f>
        <v>2024</v>
      </c>
      <c r="O114" s="7">
        <f>Table1[[#This Row],[Profit]]/Table1[[#This Row],[Total_Sales]]</f>
        <v>0.49049272116461368</v>
      </c>
    </row>
    <row r="115" spans="1:15" x14ac:dyDescent="0.25">
      <c r="A115" s="1">
        <v>114</v>
      </c>
      <c r="B115" s="2">
        <v>44942</v>
      </c>
      <c r="C115" s="1" t="s">
        <v>25</v>
      </c>
      <c r="D115" s="1" t="s">
        <v>20</v>
      </c>
      <c r="E115" s="1" t="s">
        <v>43</v>
      </c>
      <c r="F115" s="1" t="s">
        <v>24</v>
      </c>
      <c r="G115" s="1">
        <v>6</v>
      </c>
      <c r="H115" s="1">
        <v>371</v>
      </c>
      <c r="I115" s="1">
        <v>5</v>
      </c>
      <c r="J115" s="4">
        <v>2114.6999999999998</v>
      </c>
      <c r="K115" s="4">
        <v>1451.15</v>
      </c>
      <c r="L115" s="4">
        <v>663.55</v>
      </c>
      <c r="M115" s="1" t="str">
        <f>TEXT(Table1[[#This Row],[Order_Date]], "MMM")</f>
        <v>Jan</v>
      </c>
      <c r="N115" s="1">
        <f>YEAR(Table1[[#This Row],[Order_Date]])</f>
        <v>2023</v>
      </c>
      <c r="O115" s="7">
        <f>Table1[[#This Row],[Profit]]/Table1[[#This Row],[Total_Sales]]</f>
        <v>0.31377973234974227</v>
      </c>
    </row>
    <row r="116" spans="1:15" x14ac:dyDescent="0.25">
      <c r="A116" s="1">
        <v>115</v>
      </c>
      <c r="B116" s="2">
        <v>45495</v>
      </c>
      <c r="C116" s="1" t="s">
        <v>12</v>
      </c>
      <c r="D116" s="1" t="s">
        <v>32</v>
      </c>
      <c r="E116" s="1" t="s">
        <v>45</v>
      </c>
      <c r="F116" s="1" t="s">
        <v>18</v>
      </c>
      <c r="G116" s="1">
        <v>10</v>
      </c>
      <c r="H116" s="1">
        <v>831</v>
      </c>
      <c r="I116" s="1">
        <v>10</v>
      </c>
      <c r="J116" s="4">
        <v>7479</v>
      </c>
      <c r="K116" s="4">
        <v>4511.26</v>
      </c>
      <c r="L116" s="4">
        <v>2967.74</v>
      </c>
      <c r="M116" s="1" t="str">
        <f>TEXT(Table1[[#This Row],[Order_Date]], "MMM")</f>
        <v>Jul</v>
      </c>
      <c r="N116" s="1">
        <f>YEAR(Table1[[#This Row],[Order_Date]])</f>
        <v>2024</v>
      </c>
      <c r="O116" s="7">
        <f>Table1[[#This Row],[Profit]]/Table1[[#This Row],[Total_Sales]]</f>
        <v>0.39680973392164726</v>
      </c>
    </row>
    <row r="117" spans="1:15" x14ac:dyDescent="0.25">
      <c r="A117" s="1">
        <v>116</v>
      </c>
      <c r="B117" s="2">
        <v>45037</v>
      </c>
      <c r="C117" s="1" t="s">
        <v>25</v>
      </c>
      <c r="D117" s="1" t="s">
        <v>32</v>
      </c>
      <c r="E117" s="1" t="s">
        <v>33</v>
      </c>
      <c r="F117" s="1" t="s">
        <v>24</v>
      </c>
      <c r="G117" s="1">
        <v>5</v>
      </c>
      <c r="H117" s="1">
        <v>339</v>
      </c>
      <c r="I117" s="1">
        <v>20</v>
      </c>
      <c r="J117" s="4">
        <v>1356</v>
      </c>
      <c r="K117" s="4">
        <v>944.5</v>
      </c>
      <c r="L117" s="4">
        <v>411.5</v>
      </c>
      <c r="M117" s="1" t="str">
        <f>TEXT(Table1[[#This Row],[Order_Date]], "MMM")</f>
        <v>Apr</v>
      </c>
      <c r="N117" s="1">
        <f>YEAR(Table1[[#This Row],[Order_Date]])</f>
        <v>2023</v>
      </c>
      <c r="O117" s="7">
        <f>Table1[[#This Row],[Profit]]/Table1[[#This Row],[Total_Sales]]</f>
        <v>0.30346607669616521</v>
      </c>
    </row>
    <row r="118" spans="1:15" x14ac:dyDescent="0.25">
      <c r="A118" s="1">
        <v>117</v>
      </c>
      <c r="B118" s="2">
        <v>45623</v>
      </c>
      <c r="C118" s="1" t="s">
        <v>16</v>
      </c>
      <c r="D118" s="1" t="s">
        <v>26</v>
      </c>
      <c r="E118" s="1" t="s">
        <v>27</v>
      </c>
      <c r="F118" s="1" t="s">
        <v>18</v>
      </c>
      <c r="G118" s="1">
        <v>8</v>
      </c>
      <c r="H118" s="1">
        <v>281</v>
      </c>
      <c r="I118" s="1">
        <v>0</v>
      </c>
      <c r="J118" s="4">
        <v>2248</v>
      </c>
      <c r="K118" s="4">
        <v>1556.32</v>
      </c>
      <c r="L118" s="4">
        <v>691.68</v>
      </c>
      <c r="M118" s="1" t="str">
        <f>TEXT(Table1[[#This Row],[Order_Date]], "MMM")</f>
        <v>Nov</v>
      </c>
      <c r="N118" s="1">
        <f>YEAR(Table1[[#This Row],[Order_Date]])</f>
        <v>2024</v>
      </c>
      <c r="O118" s="7">
        <f>Table1[[#This Row],[Profit]]/Table1[[#This Row],[Total_Sales]]</f>
        <v>0.30768683274021352</v>
      </c>
    </row>
    <row r="119" spans="1:15" x14ac:dyDescent="0.25">
      <c r="A119" s="1">
        <v>118</v>
      </c>
      <c r="B119" s="2">
        <v>45486</v>
      </c>
      <c r="C119" s="1" t="s">
        <v>25</v>
      </c>
      <c r="D119" s="1" t="s">
        <v>13</v>
      </c>
      <c r="E119" s="1" t="s">
        <v>14</v>
      </c>
      <c r="F119" s="1" t="s">
        <v>18</v>
      </c>
      <c r="G119" s="1">
        <v>10</v>
      </c>
      <c r="H119" s="1">
        <v>341</v>
      </c>
      <c r="I119" s="1">
        <v>15</v>
      </c>
      <c r="J119" s="4">
        <v>2898.5</v>
      </c>
      <c r="K119" s="4">
        <v>1862.44</v>
      </c>
      <c r="L119" s="4">
        <v>1036.06</v>
      </c>
      <c r="M119" s="1" t="str">
        <f>TEXT(Table1[[#This Row],[Order_Date]], "MMM")</f>
        <v>Jul</v>
      </c>
      <c r="N119" s="1">
        <f>YEAR(Table1[[#This Row],[Order_Date]])</f>
        <v>2024</v>
      </c>
      <c r="O119" s="7">
        <f>Table1[[#This Row],[Profit]]/Table1[[#This Row],[Total_Sales]]</f>
        <v>0.35744695532171811</v>
      </c>
    </row>
    <row r="120" spans="1:15" x14ac:dyDescent="0.25">
      <c r="A120" s="1">
        <v>119</v>
      </c>
      <c r="B120" s="2">
        <v>44940</v>
      </c>
      <c r="C120" s="1" t="s">
        <v>12</v>
      </c>
      <c r="D120" s="1" t="s">
        <v>26</v>
      </c>
      <c r="E120" s="1" t="s">
        <v>46</v>
      </c>
      <c r="F120" s="1" t="s">
        <v>18</v>
      </c>
      <c r="G120" s="1">
        <v>1</v>
      </c>
      <c r="H120" s="1">
        <v>380</v>
      </c>
      <c r="I120" s="1">
        <v>10</v>
      </c>
      <c r="J120" s="4">
        <v>342</v>
      </c>
      <c r="K120" s="4">
        <v>184.42</v>
      </c>
      <c r="L120" s="4">
        <v>157.58000000000001</v>
      </c>
      <c r="M120" s="1" t="str">
        <f>TEXT(Table1[[#This Row],[Order_Date]], "MMM")</f>
        <v>Jan</v>
      </c>
      <c r="N120" s="1">
        <f>YEAR(Table1[[#This Row],[Order_Date]])</f>
        <v>2023</v>
      </c>
      <c r="O120" s="7">
        <f>Table1[[#This Row],[Profit]]/Table1[[#This Row],[Total_Sales]]</f>
        <v>0.4607602339181287</v>
      </c>
    </row>
    <row r="121" spans="1:15" x14ac:dyDescent="0.25">
      <c r="A121" s="1">
        <v>120</v>
      </c>
      <c r="B121" s="2">
        <v>45057</v>
      </c>
      <c r="C121" s="1" t="s">
        <v>12</v>
      </c>
      <c r="D121" s="1" t="s">
        <v>32</v>
      </c>
      <c r="E121" s="1" t="s">
        <v>34</v>
      </c>
      <c r="F121" s="1" t="s">
        <v>15</v>
      </c>
      <c r="G121" s="1">
        <v>6</v>
      </c>
      <c r="H121" s="1">
        <v>303</v>
      </c>
      <c r="I121" s="1">
        <v>10</v>
      </c>
      <c r="J121" s="4">
        <v>1636.2</v>
      </c>
      <c r="K121" s="4">
        <v>1266.1300000000001</v>
      </c>
      <c r="L121" s="4">
        <v>370.07</v>
      </c>
      <c r="M121" s="1" t="str">
        <f>TEXT(Table1[[#This Row],[Order_Date]], "MMM")</f>
        <v>May</v>
      </c>
      <c r="N121" s="1">
        <f>YEAR(Table1[[#This Row],[Order_Date]])</f>
        <v>2023</v>
      </c>
      <c r="O121" s="7">
        <f>Table1[[#This Row],[Profit]]/Table1[[#This Row],[Total_Sales]]</f>
        <v>0.22617650653954283</v>
      </c>
    </row>
    <row r="122" spans="1:15" x14ac:dyDescent="0.25">
      <c r="A122" s="1">
        <v>121</v>
      </c>
      <c r="B122" s="2">
        <v>45299</v>
      </c>
      <c r="C122" s="1" t="s">
        <v>16</v>
      </c>
      <c r="D122" s="1" t="s">
        <v>20</v>
      </c>
      <c r="E122" s="1" t="s">
        <v>43</v>
      </c>
      <c r="F122" s="1" t="s">
        <v>24</v>
      </c>
      <c r="G122" s="1">
        <v>6</v>
      </c>
      <c r="H122" s="1">
        <v>149</v>
      </c>
      <c r="I122" s="1">
        <v>15</v>
      </c>
      <c r="J122" s="4">
        <v>759.9</v>
      </c>
      <c r="K122" s="4">
        <v>427.93</v>
      </c>
      <c r="L122" s="4">
        <v>331.97</v>
      </c>
      <c r="M122" s="1" t="str">
        <f>TEXT(Table1[[#This Row],[Order_Date]], "MMM")</f>
        <v>Jan</v>
      </c>
      <c r="N122" s="1">
        <f>YEAR(Table1[[#This Row],[Order_Date]])</f>
        <v>2024</v>
      </c>
      <c r="O122" s="7">
        <f>Table1[[#This Row],[Profit]]/Table1[[#This Row],[Total_Sales]]</f>
        <v>0.43686011317278595</v>
      </c>
    </row>
    <row r="123" spans="1:15" x14ac:dyDescent="0.25">
      <c r="A123" s="1">
        <v>122</v>
      </c>
      <c r="B123" s="2">
        <v>45477</v>
      </c>
      <c r="C123" s="1" t="s">
        <v>25</v>
      </c>
      <c r="D123" s="1" t="s">
        <v>20</v>
      </c>
      <c r="E123" s="1" t="s">
        <v>43</v>
      </c>
      <c r="F123" s="1" t="s">
        <v>35</v>
      </c>
      <c r="G123" s="1">
        <v>3</v>
      </c>
      <c r="H123" s="1">
        <v>965</v>
      </c>
      <c r="I123" s="1">
        <v>20</v>
      </c>
      <c r="J123" s="4">
        <v>2316</v>
      </c>
      <c r="K123" s="4">
        <v>1207.23</v>
      </c>
      <c r="L123" s="4">
        <v>1108.77</v>
      </c>
      <c r="M123" s="1" t="str">
        <f>TEXT(Table1[[#This Row],[Order_Date]], "MMM")</f>
        <v>Jul</v>
      </c>
      <c r="N123" s="1">
        <f>YEAR(Table1[[#This Row],[Order_Date]])</f>
        <v>2024</v>
      </c>
      <c r="O123" s="7">
        <f>Table1[[#This Row],[Profit]]/Table1[[#This Row],[Total_Sales]]</f>
        <v>0.47874352331606218</v>
      </c>
    </row>
    <row r="124" spans="1:15" x14ac:dyDescent="0.25">
      <c r="A124" s="1">
        <v>123</v>
      </c>
      <c r="B124" s="2">
        <v>45264</v>
      </c>
      <c r="C124" s="1" t="s">
        <v>19</v>
      </c>
      <c r="D124" s="1" t="s">
        <v>22</v>
      </c>
      <c r="E124" s="1" t="s">
        <v>44</v>
      </c>
      <c r="F124" s="1" t="s">
        <v>35</v>
      </c>
      <c r="G124" s="1">
        <v>2</v>
      </c>
      <c r="H124" s="1">
        <v>125</v>
      </c>
      <c r="I124" s="1">
        <v>5</v>
      </c>
      <c r="J124" s="4">
        <v>237.5</v>
      </c>
      <c r="K124" s="4">
        <v>164.71</v>
      </c>
      <c r="L124" s="4">
        <v>72.790000000000006</v>
      </c>
      <c r="M124" s="1" t="str">
        <f>TEXT(Table1[[#This Row],[Order_Date]], "MMM")</f>
        <v>Dec</v>
      </c>
      <c r="N124" s="1">
        <f>YEAR(Table1[[#This Row],[Order_Date]])</f>
        <v>2023</v>
      </c>
      <c r="O124" s="7">
        <f>Table1[[#This Row],[Profit]]/Table1[[#This Row],[Total_Sales]]</f>
        <v>0.3064842105263158</v>
      </c>
    </row>
    <row r="125" spans="1:15" x14ac:dyDescent="0.25">
      <c r="A125" s="1">
        <v>124</v>
      </c>
      <c r="B125" s="2">
        <v>45233</v>
      </c>
      <c r="C125" s="1" t="s">
        <v>12</v>
      </c>
      <c r="D125" s="1" t="s">
        <v>26</v>
      </c>
      <c r="E125" s="1" t="s">
        <v>42</v>
      </c>
      <c r="F125" s="1" t="s">
        <v>18</v>
      </c>
      <c r="G125" s="1">
        <v>7</v>
      </c>
      <c r="H125" s="1">
        <v>403</v>
      </c>
      <c r="I125" s="1">
        <v>15</v>
      </c>
      <c r="J125" s="4">
        <v>2397.85</v>
      </c>
      <c r="K125" s="4">
        <v>1511.86</v>
      </c>
      <c r="L125" s="4">
        <v>885.99</v>
      </c>
      <c r="M125" s="1" t="str">
        <f>TEXT(Table1[[#This Row],[Order_Date]], "MMM")</f>
        <v>Nov</v>
      </c>
      <c r="N125" s="1">
        <f>YEAR(Table1[[#This Row],[Order_Date]])</f>
        <v>2023</v>
      </c>
      <c r="O125" s="7">
        <f>Table1[[#This Row],[Profit]]/Table1[[#This Row],[Total_Sales]]</f>
        <v>0.36949350459786895</v>
      </c>
    </row>
    <row r="126" spans="1:15" x14ac:dyDescent="0.25">
      <c r="A126" s="1">
        <v>125</v>
      </c>
      <c r="B126" s="2">
        <v>45027</v>
      </c>
      <c r="C126" s="1" t="s">
        <v>19</v>
      </c>
      <c r="D126" s="1" t="s">
        <v>13</v>
      </c>
      <c r="E126" s="1" t="s">
        <v>38</v>
      </c>
      <c r="F126" s="1" t="s">
        <v>31</v>
      </c>
      <c r="G126" s="1">
        <v>7</v>
      </c>
      <c r="H126" s="1">
        <v>558</v>
      </c>
      <c r="I126" s="1">
        <v>15</v>
      </c>
      <c r="J126" s="4">
        <v>3320.1</v>
      </c>
      <c r="K126" s="4">
        <v>1985</v>
      </c>
      <c r="L126" s="4">
        <v>1335.1</v>
      </c>
      <c r="M126" s="1" t="str">
        <f>TEXT(Table1[[#This Row],[Order_Date]], "MMM")</f>
        <v>Apr</v>
      </c>
      <c r="N126" s="1">
        <f>YEAR(Table1[[#This Row],[Order_Date]])</f>
        <v>2023</v>
      </c>
      <c r="O126" s="7">
        <f>Table1[[#This Row],[Profit]]/Table1[[#This Row],[Total_Sales]]</f>
        <v>0.40212644197463931</v>
      </c>
    </row>
    <row r="127" spans="1:15" x14ac:dyDescent="0.25">
      <c r="A127" s="1">
        <v>126</v>
      </c>
      <c r="B127" s="2">
        <v>44928</v>
      </c>
      <c r="C127" s="1" t="s">
        <v>25</v>
      </c>
      <c r="D127" s="1" t="s">
        <v>13</v>
      </c>
      <c r="E127" s="1" t="s">
        <v>39</v>
      </c>
      <c r="F127" s="1" t="s">
        <v>40</v>
      </c>
      <c r="G127" s="1">
        <v>7</v>
      </c>
      <c r="H127" s="1">
        <v>750</v>
      </c>
      <c r="I127" s="1">
        <v>20</v>
      </c>
      <c r="J127" s="4">
        <v>4200</v>
      </c>
      <c r="K127" s="4">
        <v>2763.82</v>
      </c>
      <c r="L127" s="4">
        <v>1436.18</v>
      </c>
      <c r="M127" s="1" t="str">
        <f>TEXT(Table1[[#This Row],[Order_Date]], "MMM")</f>
        <v>Jan</v>
      </c>
      <c r="N127" s="1">
        <f>YEAR(Table1[[#This Row],[Order_Date]])</f>
        <v>2023</v>
      </c>
      <c r="O127" s="7">
        <f>Table1[[#This Row],[Profit]]/Table1[[#This Row],[Total_Sales]]</f>
        <v>0.34194761904761906</v>
      </c>
    </row>
    <row r="128" spans="1:15" x14ac:dyDescent="0.25">
      <c r="A128" s="1">
        <v>127</v>
      </c>
      <c r="B128" s="2">
        <v>45505</v>
      </c>
      <c r="C128" s="1" t="s">
        <v>16</v>
      </c>
      <c r="D128" s="1" t="s">
        <v>13</v>
      </c>
      <c r="E128" s="1" t="s">
        <v>17</v>
      </c>
      <c r="F128" s="1" t="s">
        <v>24</v>
      </c>
      <c r="G128" s="1">
        <v>8</v>
      </c>
      <c r="H128" s="1">
        <v>249</v>
      </c>
      <c r="I128" s="1">
        <v>10</v>
      </c>
      <c r="J128" s="4">
        <v>1792.8</v>
      </c>
      <c r="K128" s="4">
        <v>968.18</v>
      </c>
      <c r="L128" s="4">
        <v>824.62</v>
      </c>
      <c r="M128" s="1" t="str">
        <f>TEXT(Table1[[#This Row],[Order_Date]], "MMM")</f>
        <v>Aug</v>
      </c>
      <c r="N128" s="1">
        <f>YEAR(Table1[[#This Row],[Order_Date]])</f>
        <v>2024</v>
      </c>
      <c r="O128" s="7">
        <f>Table1[[#This Row],[Profit]]/Table1[[#This Row],[Total_Sales]]</f>
        <v>0.45996207050423921</v>
      </c>
    </row>
    <row r="129" spans="1:15" x14ac:dyDescent="0.25">
      <c r="A129" s="1">
        <v>128</v>
      </c>
      <c r="B129" s="2">
        <v>45240</v>
      </c>
      <c r="C129" s="1" t="s">
        <v>19</v>
      </c>
      <c r="D129" s="1" t="s">
        <v>22</v>
      </c>
      <c r="E129" s="1" t="s">
        <v>44</v>
      </c>
      <c r="F129" s="1" t="s">
        <v>31</v>
      </c>
      <c r="G129" s="1">
        <v>1</v>
      </c>
      <c r="H129" s="1">
        <v>974</v>
      </c>
      <c r="I129" s="1">
        <v>5</v>
      </c>
      <c r="J129" s="4">
        <v>925.3</v>
      </c>
      <c r="K129" s="4">
        <v>669.37</v>
      </c>
      <c r="L129" s="4">
        <v>255.93</v>
      </c>
      <c r="M129" s="1" t="str">
        <f>TEXT(Table1[[#This Row],[Order_Date]], "MMM")</f>
        <v>Nov</v>
      </c>
      <c r="N129" s="1">
        <f>YEAR(Table1[[#This Row],[Order_Date]])</f>
        <v>2023</v>
      </c>
      <c r="O129" s="7">
        <f>Table1[[#This Row],[Profit]]/Table1[[#This Row],[Total_Sales]]</f>
        <v>0.27659137577002058</v>
      </c>
    </row>
    <row r="130" spans="1:15" x14ac:dyDescent="0.25">
      <c r="A130" s="1">
        <v>129</v>
      </c>
      <c r="B130" s="2">
        <v>45366</v>
      </c>
      <c r="C130" s="1" t="s">
        <v>19</v>
      </c>
      <c r="D130" s="1" t="s">
        <v>22</v>
      </c>
      <c r="E130" s="1" t="s">
        <v>36</v>
      </c>
      <c r="F130" s="1" t="s">
        <v>31</v>
      </c>
      <c r="G130" s="1">
        <v>2</v>
      </c>
      <c r="H130" s="1">
        <v>522</v>
      </c>
      <c r="I130" s="1">
        <v>20</v>
      </c>
      <c r="J130" s="4">
        <v>835.2</v>
      </c>
      <c r="K130" s="4">
        <v>561.49</v>
      </c>
      <c r="L130" s="4">
        <v>273.70999999999998</v>
      </c>
      <c r="M130" s="1" t="str">
        <f>TEXT(Table1[[#This Row],[Order_Date]], "MMM")</f>
        <v>Mar</v>
      </c>
      <c r="N130" s="1">
        <f>YEAR(Table1[[#This Row],[Order_Date]])</f>
        <v>2024</v>
      </c>
      <c r="O130" s="7">
        <f>Table1[[#This Row],[Profit]]/Table1[[#This Row],[Total_Sales]]</f>
        <v>0.32771791187739457</v>
      </c>
    </row>
    <row r="131" spans="1:15" x14ac:dyDescent="0.25">
      <c r="A131" s="1">
        <v>130</v>
      </c>
      <c r="B131" s="2">
        <v>45429</v>
      </c>
      <c r="C131" s="1" t="s">
        <v>25</v>
      </c>
      <c r="D131" s="1" t="s">
        <v>22</v>
      </c>
      <c r="E131" s="1" t="s">
        <v>23</v>
      </c>
      <c r="F131" s="1" t="s">
        <v>40</v>
      </c>
      <c r="G131" s="1">
        <v>4</v>
      </c>
      <c r="H131" s="1">
        <v>423</v>
      </c>
      <c r="I131" s="1">
        <v>5</v>
      </c>
      <c r="J131" s="4">
        <v>1607.4</v>
      </c>
      <c r="K131" s="4">
        <v>1047.45</v>
      </c>
      <c r="L131" s="4">
        <v>559.95000000000005</v>
      </c>
      <c r="M131" s="1" t="str">
        <f>TEXT(Table1[[#This Row],[Order_Date]], "MMM")</f>
        <v>May</v>
      </c>
      <c r="N131" s="1">
        <f>YEAR(Table1[[#This Row],[Order_Date]])</f>
        <v>2024</v>
      </c>
      <c r="O131" s="7">
        <f>Table1[[#This Row],[Profit]]/Table1[[#This Row],[Total_Sales]]</f>
        <v>0.34835759611795447</v>
      </c>
    </row>
    <row r="132" spans="1:15" x14ac:dyDescent="0.25">
      <c r="A132" s="1">
        <v>131</v>
      </c>
      <c r="B132" s="2">
        <v>45616</v>
      </c>
      <c r="C132" s="1" t="s">
        <v>25</v>
      </c>
      <c r="D132" s="1" t="s">
        <v>22</v>
      </c>
      <c r="E132" s="1" t="s">
        <v>23</v>
      </c>
      <c r="F132" s="1" t="s">
        <v>24</v>
      </c>
      <c r="G132" s="1">
        <v>3</v>
      </c>
      <c r="H132" s="1">
        <v>293</v>
      </c>
      <c r="I132" s="1">
        <v>0</v>
      </c>
      <c r="J132" s="4">
        <v>879</v>
      </c>
      <c r="K132" s="4">
        <v>534.12</v>
      </c>
      <c r="L132" s="4">
        <v>344.88</v>
      </c>
      <c r="M132" s="1" t="str">
        <f>TEXT(Table1[[#This Row],[Order_Date]], "MMM")</f>
        <v>Nov</v>
      </c>
      <c r="N132" s="1">
        <f>YEAR(Table1[[#This Row],[Order_Date]])</f>
        <v>2024</v>
      </c>
      <c r="O132" s="7">
        <f>Table1[[#This Row],[Profit]]/Table1[[#This Row],[Total_Sales]]</f>
        <v>0.39235494880546073</v>
      </c>
    </row>
    <row r="133" spans="1:15" x14ac:dyDescent="0.25">
      <c r="A133" s="1">
        <v>132</v>
      </c>
      <c r="B133" s="2">
        <v>45655</v>
      </c>
      <c r="C133" s="1" t="s">
        <v>19</v>
      </c>
      <c r="D133" s="1" t="s">
        <v>20</v>
      </c>
      <c r="E133" s="1" t="s">
        <v>43</v>
      </c>
      <c r="F133" s="1" t="s">
        <v>35</v>
      </c>
      <c r="G133" s="1">
        <v>4</v>
      </c>
      <c r="H133" s="1">
        <v>813</v>
      </c>
      <c r="I133" s="1">
        <v>20</v>
      </c>
      <c r="J133" s="4">
        <v>2601.6</v>
      </c>
      <c r="K133" s="4">
        <v>1809.68</v>
      </c>
      <c r="L133" s="4">
        <v>791.92</v>
      </c>
      <c r="M133" s="1" t="str">
        <f>TEXT(Table1[[#This Row],[Order_Date]], "MMM")</f>
        <v>Dec</v>
      </c>
      <c r="N133" s="1">
        <f>YEAR(Table1[[#This Row],[Order_Date]])</f>
        <v>2024</v>
      </c>
      <c r="O133" s="7">
        <f>Table1[[#This Row],[Profit]]/Table1[[#This Row],[Total_Sales]]</f>
        <v>0.30439729397293974</v>
      </c>
    </row>
    <row r="134" spans="1:15" x14ac:dyDescent="0.25">
      <c r="A134" s="1">
        <v>133</v>
      </c>
      <c r="B134" s="2">
        <v>45596</v>
      </c>
      <c r="C134" s="1" t="s">
        <v>25</v>
      </c>
      <c r="D134" s="1" t="s">
        <v>20</v>
      </c>
      <c r="E134" s="1" t="s">
        <v>30</v>
      </c>
      <c r="F134" s="1" t="s">
        <v>35</v>
      </c>
      <c r="G134" s="1">
        <v>2</v>
      </c>
      <c r="H134" s="1">
        <v>725</v>
      </c>
      <c r="I134" s="1">
        <v>0</v>
      </c>
      <c r="J134" s="4">
        <v>1450</v>
      </c>
      <c r="K134" s="4">
        <v>863.49</v>
      </c>
      <c r="L134" s="4">
        <v>586.51</v>
      </c>
      <c r="M134" s="1" t="str">
        <f>TEXT(Table1[[#This Row],[Order_Date]], "MMM")</f>
        <v>Oct</v>
      </c>
      <c r="N134" s="1">
        <f>YEAR(Table1[[#This Row],[Order_Date]])</f>
        <v>2024</v>
      </c>
      <c r="O134" s="7">
        <f>Table1[[#This Row],[Profit]]/Table1[[#This Row],[Total_Sales]]</f>
        <v>0.40448965517241381</v>
      </c>
    </row>
    <row r="135" spans="1:15" x14ac:dyDescent="0.25">
      <c r="A135" s="1">
        <v>134</v>
      </c>
      <c r="B135" s="2">
        <v>45506</v>
      </c>
      <c r="C135" s="1" t="s">
        <v>19</v>
      </c>
      <c r="D135" s="1" t="s">
        <v>26</v>
      </c>
      <c r="E135" s="1" t="s">
        <v>46</v>
      </c>
      <c r="F135" s="1" t="s">
        <v>40</v>
      </c>
      <c r="G135" s="1">
        <v>7</v>
      </c>
      <c r="H135" s="1">
        <v>587</v>
      </c>
      <c r="I135" s="1">
        <v>5</v>
      </c>
      <c r="J135" s="4">
        <v>3903.55</v>
      </c>
      <c r="K135" s="4">
        <v>2272.4699999999998</v>
      </c>
      <c r="L135" s="4">
        <v>1631.08</v>
      </c>
      <c r="M135" s="1" t="str">
        <f>TEXT(Table1[[#This Row],[Order_Date]], "MMM")</f>
        <v>Aug</v>
      </c>
      <c r="N135" s="1">
        <f>YEAR(Table1[[#This Row],[Order_Date]])</f>
        <v>2024</v>
      </c>
      <c r="O135" s="7">
        <f>Table1[[#This Row],[Profit]]/Table1[[#This Row],[Total_Sales]]</f>
        <v>0.41784529466767428</v>
      </c>
    </row>
    <row r="136" spans="1:15" x14ac:dyDescent="0.25">
      <c r="A136" s="1">
        <v>135</v>
      </c>
      <c r="B136" s="2">
        <v>45098</v>
      </c>
      <c r="C136" s="1" t="s">
        <v>19</v>
      </c>
      <c r="D136" s="1" t="s">
        <v>20</v>
      </c>
      <c r="E136" s="1" t="s">
        <v>30</v>
      </c>
      <c r="F136" s="1" t="s">
        <v>24</v>
      </c>
      <c r="G136" s="1">
        <v>10</v>
      </c>
      <c r="H136" s="1">
        <v>223</v>
      </c>
      <c r="I136" s="1">
        <v>0</v>
      </c>
      <c r="J136" s="4">
        <v>2230</v>
      </c>
      <c r="K136" s="4">
        <v>1229.3599999999999</v>
      </c>
      <c r="L136" s="4">
        <v>1000.64</v>
      </c>
      <c r="M136" s="1" t="str">
        <f>TEXT(Table1[[#This Row],[Order_Date]], "MMM")</f>
        <v>Jun</v>
      </c>
      <c r="N136" s="1">
        <f>YEAR(Table1[[#This Row],[Order_Date]])</f>
        <v>2023</v>
      </c>
      <c r="O136" s="7">
        <f>Table1[[#This Row],[Profit]]/Table1[[#This Row],[Total_Sales]]</f>
        <v>0.44871748878923767</v>
      </c>
    </row>
    <row r="137" spans="1:15" x14ac:dyDescent="0.25">
      <c r="A137" s="1">
        <v>136</v>
      </c>
      <c r="B137" s="2">
        <v>45303</v>
      </c>
      <c r="C137" s="1" t="s">
        <v>19</v>
      </c>
      <c r="D137" s="1" t="s">
        <v>13</v>
      </c>
      <c r="E137" s="1" t="s">
        <v>17</v>
      </c>
      <c r="F137" s="1" t="s">
        <v>35</v>
      </c>
      <c r="G137" s="1">
        <v>5</v>
      </c>
      <c r="H137" s="1">
        <v>18</v>
      </c>
      <c r="I137" s="1">
        <v>15</v>
      </c>
      <c r="J137" s="4">
        <v>76.5</v>
      </c>
      <c r="K137" s="4">
        <v>53.68</v>
      </c>
      <c r="L137" s="4">
        <v>22.82</v>
      </c>
      <c r="M137" s="1" t="str">
        <f>TEXT(Table1[[#This Row],[Order_Date]], "MMM")</f>
        <v>Jan</v>
      </c>
      <c r="N137" s="1">
        <f>YEAR(Table1[[#This Row],[Order_Date]])</f>
        <v>2024</v>
      </c>
      <c r="O137" s="7">
        <f>Table1[[#This Row],[Profit]]/Table1[[#This Row],[Total_Sales]]</f>
        <v>0.29830065359477126</v>
      </c>
    </row>
    <row r="138" spans="1:15" x14ac:dyDescent="0.25">
      <c r="A138" s="1">
        <v>137</v>
      </c>
      <c r="B138" s="2">
        <v>45591</v>
      </c>
      <c r="C138" s="1" t="s">
        <v>19</v>
      </c>
      <c r="D138" s="1" t="s">
        <v>26</v>
      </c>
      <c r="E138" s="1" t="s">
        <v>27</v>
      </c>
      <c r="F138" s="1" t="s">
        <v>35</v>
      </c>
      <c r="G138" s="1">
        <v>2</v>
      </c>
      <c r="H138" s="1">
        <v>804</v>
      </c>
      <c r="I138" s="1">
        <v>5</v>
      </c>
      <c r="J138" s="4">
        <v>1527.6</v>
      </c>
      <c r="K138" s="4">
        <v>1001.77</v>
      </c>
      <c r="L138" s="4">
        <v>525.83000000000004</v>
      </c>
      <c r="M138" s="1" t="str">
        <f>TEXT(Table1[[#This Row],[Order_Date]], "MMM")</f>
        <v>Oct</v>
      </c>
      <c r="N138" s="1">
        <f>YEAR(Table1[[#This Row],[Order_Date]])</f>
        <v>2024</v>
      </c>
      <c r="O138" s="7">
        <f>Table1[[#This Row],[Profit]]/Table1[[#This Row],[Total_Sales]]</f>
        <v>0.34421969101859129</v>
      </c>
    </row>
    <row r="139" spans="1:15" x14ac:dyDescent="0.25">
      <c r="A139" s="1">
        <v>138</v>
      </c>
      <c r="B139" s="2">
        <v>45343</v>
      </c>
      <c r="C139" s="1" t="s">
        <v>16</v>
      </c>
      <c r="D139" s="1" t="s">
        <v>32</v>
      </c>
      <c r="E139" s="1" t="s">
        <v>45</v>
      </c>
      <c r="F139" s="1" t="s">
        <v>35</v>
      </c>
      <c r="G139" s="1">
        <v>4</v>
      </c>
      <c r="H139" s="1">
        <v>665</v>
      </c>
      <c r="I139" s="1">
        <v>15</v>
      </c>
      <c r="J139" s="4">
        <v>2261</v>
      </c>
      <c r="K139" s="4">
        <v>1783.21</v>
      </c>
      <c r="L139" s="4">
        <v>477.79</v>
      </c>
      <c r="M139" s="1" t="str">
        <f>TEXT(Table1[[#This Row],[Order_Date]], "MMM")</f>
        <v>Feb</v>
      </c>
      <c r="N139" s="1">
        <f>YEAR(Table1[[#This Row],[Order_Date]])</f>
        <v>2024</v>
      </c>
      <c r="O139" s="7">
        <f>Table1[[#This Row],[Profit]]/Table1[[#This Row],[Total_Sales]]</f>
        <v>0.21131800088456437</v>
      </c>
    </row>
    <row r="140" spans="1:15" x14ac:dyDescent="0.25">
      <c r="A140" s="1">
        <v>139</v>
      </c>
      <c r="B140" s="2">
        <v>45655</v>
      </c>
      <c r="C140" s="1" t="s">
        <v>16</v>
      </c>
      <c r="D140" s="1" t="s">
        <v>22</v>
      </c>
      <c r="E140" s="1" t="s">
        <v>29</v>
      </c>
      <c r="F140" s="1" t="s">
        <v>24</v>
      </c>
      <c r="G140" s="1">
        <v>6</v>
      </c>
      <c r="H140" s="1">
        <v>595</v>
      </c>
      <c r="I140" s="1">
        <v>5</v>
      </c>
      <c r="J140" s="4">
        <v>3391.5</v>
      </c>
      <c r="K140" s="4">
        <v>2537.52</v>
      </c>
      <c r="L140" s="4">
        <v>853.98</v>
      </c>
      <c r="M140" s="1" t="str">
        <f>TEXT(Table1[[#This Row],[Order_Date]], "MMM")</f>
        <v>Dec</v>
      </c>
      <c r="N140" s="1">
        <f>YEAR(Table1[[#This Row],[Order_Date]])</f>
        <v>2024</v>
      </c>
      <c r="O140" s="7">
        <f>Table1[[#This Row],[Profit]]/Table1[[#This Row],[Total_Sales]]</f>
        <v>0.2518000884564352</v>
      </c>
    </row>
    <row r="141" spans="1:15" x14ac:dyDescent="0.25">
      <c r="A141" s="1">
        <v>140</v>
      </c>
      <c r="B141" s="2">
        <v>45093</v>
      </c>
      <c r="C141" s="1" t="s">
        <v>16</v>
      </c>
      <c r="D141" s="1" t="s">
        <v>32</v>
      </c>
      <c r="E141" s="1" t="s">
        <v>33</v>
      </c>
      <c r="F141" s="1" t="s">
        <v>15</v>
      </c>
      <c r="G141" s="1">
        <v>5</v>
      </c>
      <c r="H141" s="1">
        <v>519</v>
      </c>
      <c r="I141" s="1">
        <v>10</v>
      </c>
      <c r="J141" s="4">
        <v>2335.5</v>
      </c>
      <c r="K141" s="4">
        <v>1499.04</v>
      </c>
      <c r="L141" s="4">
        <v>836.46</v>
      </c>
      <c r="M141" s="1" t="str">
        <f>TEXT(Table1[[#This Row],[Order_Date]], "MMM")</f>
        <v>Jun</v>
      </c>
      <c r="N141" s="1">
        <f>YEAR(Table1[[#This Row],[Order_Date]])</f>
        <v>2023</v>
      </c>
      <c r="O141" s="7">
        <f>Table1[[#This Row],[Profit]]/Table1[[#This Row],[Total_Sales]]</f>
        <v>0.35815028901734108</v>
      </c>
    </row>
    <row r="142" spans="1:15" x14ac:dyDescent="0.25">
      <c r="A142" s="1">
        <v>141</v>
      </c>
      <c r="B142" s="2">
        <v>45512</v>
      </c>
      <c r="C142" s="1" t="s">
        <v>12</v>
      </c>
      <c r="D142" s="1" t="s">
        <v>26</v>
      </c>
      <c r="E142" s="1" t="s">
        <v>42</v>
      </c>
      <c r="F142" s="1" t="s">
        <v>40</v>
      </c>
      <c r="G142" s="1">
        <v>1</v>
      </c>
      <c r="H142" s="1">
        <v>408</v>
      </c>
      <c r="I142" s="1">
        <v>5</v>
      </c>
      <c r="J142" s="4">
        <v>387.6</v>
      </c>
      <c r="K142" s="4">
        <v>298.16000000000003</v>
      </c>
      <c r="L142" s="4">
        <v>89.44</v>
      </c>
      <c r="M142" s="1" t="str">
        <f>TEXT(Table1[[#This Row],[Order_Date]], "MMM")</f>
        <v>Aug</v>
      </c>
      <c r="N142" s="1">
        <f>YEAR(Table1[[#This Row],[Order_Date]])</f>
        <v>2024</v>
      </c>
      <c r="O142" s="7">
        <f>Table1[[#This Row],[Profit]]/Table1[[#This Row],[Total_Sales]]</f>
        <v>0.23075335397316821</v>
      </c>
    </row>
    <row r="143" spans="1:15" x14ac:dyDescent="0.25">
      <c r="A143" s="1">
        <v>142</v>
      </c>
      <c r="B143" s="2">
        <v>45430</v>
      </c>
      <c r="C143" s="1" t="s">
        <v>16</v>
      </c>
      <c r="D143" s="1" t="s">
        <v>20</v>
      </c>
      <c r="E143" s="1" t="s">
        <v>28</v>
      </c>
      <c r="F143" s="1" t="s">
        <v>40</v>
      </c>
      <c r="G143" s="1">
        <v>9</v>
      </c>
      <c r="H143" s="1">
        <v>926</v>
      </c>
      <c r="I143" s="1">
        <v>10</v>
      </c>
      <c r="J143" s="4">
        <v>7500.6</v>
      </c>
      <c r="K143" s="4">
        <v>4104.32</v>
      </c>
      <c r="L143" s="4">
        <v>3396.28</v>
      </c>
      <c r="M143" s="1" t="str">
        <f>TEXT(Table1[[#This Row],[Order_Date]], "MMM")</f>
        <v>May</v>
      </c>
      <c r="N143" s="1">
        <f>YEAR(Table1[[#This Row],[Order_Date]])</f>
        <v>2024</v>
      </c>
      <c r="O143" s="7">
        <f>Table1[[#This Row],[Profit]]/Table1[[#This Row],[Total_Sales]]</f>
        <v>0.45280110924459377</v>
      </c>
    </row>
    <row r="144" spans="1:15" x14ac:dyDescent="0.25">
      <c r="A144" s="1">
        <v>143</v>
      </c>
      <c r="B144" s="2">
        <v>45084</v>
      </c>
      <c r="C144" s="1" t="s">
        <v>16</v>
      </c>
      <c r="D144" s="1" t="s">
        <v>20</v>
      </c>
      <c r="E144" s="1" t="s">
        <v>28</v>
      </c>
      <c r="F144" s="1" t="s">
        <v>18</v>
      </c>
      <c r="G144" s="1">
        <v>4</v>
      </c>
      <c r="H144" s="1">
        <v>342</v>
      </c>
      <c r="I144" s="1">
        <v>0</v>
      </c>
      <c r="J144" s="4">
        <v>1368</v>
      </c>
      <c r="K144" s="4">
        <v>728.63</v>
      </c>
      <c r="L144" s="4">
        <v>639.37</v>
      </c>
      <c r="M144" s="1" t="str">
        <f>TEXT(Table1[[#This Row],[Order_Date]], "MMM")</f>
        <v>Jun</v>
      </c>
      <c r="N144" s="1">
        <f>YEAR(Table1[[#This Row],[Order_Date]])</f>
        <v>2023</v>
      </c>
      <c r="O144" s="7">
        <f>Table1[[#This Row],[Profit]]/Table1[[#This Row],[Total_Sales]]</f>
        <v>0.46737573099415203</v>
      </c>
    </row>
    <row r="145" spans="1:15" x14ac:dyDescent="0.25">
      <c r="A145" s="1">
        <v>144</v>
      </c>
      <c r="B145" s="2">
        <v>44957</v>
      </c>
      <c r="C145" s="1" t="s">
        <v>16</v>
      </c>
      <c r="D145" s="1" t="s">
        <v>32</v>
      </c>
      <c r="E145" s="1" t="s">
        <v>41</v>
      </c>
      <c r="F145" s="1" t="s">
        <v>35</v>
      </c>
      <c r="G145" s="1">
        <v>6</v>
      </c>
      <c r="H145" s="1">
        <v>457</v>
      </c>
      <c r="I145" s="1">
        <v>0</v>
      </c>
      <c r="J145" s="4">
        <v>2742</v>
      </c>
      <c r="K145" s="4">
        <v>1876.86</v>
      </c>
      <c r="L145" s="4">
        <v>865.14</v>
      </c>
      <c r="M145" s="1" t="str">
        <f>TEXT(Table1[[#This Row],[Order_Date]], "MMM")</f>
        <v>Jan</v>
      </c>
      <c r="N145" s="1">
        <f>YEAR(Table1[[#This Row],[Order_Date]])</f>
        <v>2023</v>
      </c>
      <c r="O145" s="7">
        <f>Table1[[#This Row],[Profit]]/Table1[[#This Row],[Total_Sales]]</f>
        <v>0.31551422319474837</v>
      </c>
    </row>
    <row r="146" spans="1:15" x14ac:dyDescent="0.25">
      <c r="A146" s="1">
        <v>145</v>
      </c>
      <c r="B146" s="2">
        <v>45560</v>
      </c>
      <c r="C146" s="1" t="s">
        <v>25</v>
      </c>
      <c r="D146" s="1" t="s">
        <v>20</v>
      </c>
      <c r="E146" s="1" t="s">
        <v>21</v>
      </c>
      <c r="F146" s="1" t="s">
        <v>18</v>
      </c>
      <c r="G146" s="1">
        <v>8</v>
      </c>
      <c r="H146" s="1">
        <v>508</v>
      </c>
      <c r="I146" s="1">
        <v>10</v>
      </c>
      <c r="J146" s="4">
        <v>3657.6</v>
      </c>
      <c r="K146" s="4">
        <v>2256.81</v>
      </c>
      <c r="L146" s="4">
        <v>1400.79</v>
      </c>
      <c r="M146" s="1" t="str">
        <f>TEXT(Table1[[#This Row],[Order_Date]], "MMM")</f>
        <v>Sep</v>
      </c>
      <c r="N146" s="1">
        <f>YEAR(Table1[[#This Row],[Order_Date]])</f>
        <v>2024</v>
      </c>
      <c r="O146" s="7">
        <f>Table1[[#This Row],[Profit]]/Table1[[#This Row],[Total_Sales]]</f>
        <v>0.38298064304461943</v>
      </c>
    </row>
    <row r="147" spans="1:15" x14ac:dyDescent="0.25">
      <c r="A147" s="1">
        <v>146</v>
      </c>
      <c r="B147" s="2">
        <v>45591</v>
      </c>
      <c r="C147" s="1" t="s">
        <v>12</v>
      </c>
      <c r="D147" s="1" t="s">
        <v>32</v>
      </c>
      <c r="E147" s="1" t="s">
        <v>34</v>
      </c>
      <c r="F147" s="1" t="s">
        <v>31</v>
      </c>
      <c r="G147" s="1">
        <v>5</v>
      </c>
      <c r="H147" s="1">
        <v>149</v>
      </c>
      <c r="I147" s="1">
        <v>10</v>
      </c>
      <c r="J147" s="4">
        <v>670.5</v>
      </c>
      <c r="K147" s="4">
        <v>421.74</v>
      </c>
      <c r="L147" s="4">
        <v>248.76</v>
      </c>
      <c r="M147" s="1" t="str">
        <f>TEXT(Table1[[#This Row],[Order_Date]], "MMM")</f>
        <v>Oct</v>
      </c>
      <c r="N147" s="1">
        <f>YEAR(Table1[[#This Row],[Order_Date]])</f>
        <v>2024</v>
      </c>
      <c r="O147" s="7">
        <f>Table1[[#This Row],[Profit]]/Table1[[#This Row],[Total_Sales]]</f>
        <v>0.37100671140939595</v>
      </c>
    </row>
    <row r="148" spans="1:15" x14ac:dyDescent="0.25">
      <c r="A148" s="1">
        <v>147</v>
      </c>
      <c r="B148" s="2">
        <v>45472</v>
      </c>
      <c r="C148" s="1" t="s">
        <v>12</v>
      </c>
      <c r="D148" s="1" t="s">
        <v>13</v>
      </c>
      <c r="E148" s="1" t="s">
        <v>17</v>
      </c>
      <c r="F148" s="1" t="s">
        <v>31</v>
      </c>
      <c r="G148" s="1">
        <v>8</v>
      </c>
      <c r="H148" s="1">
        <v>477</v>
      </c>
      <c r="I148" s="1">
        <v>0</v>
      </c>
      <c r="J148" s="4">
        <v>3816</v>
      </c>
      <c r="K148" s="4">
        <v>2520.4699999999998</v>
      </c>
      <c r="L148" s="4">
        <v>1295.53</v>
      </c>
      <c r="M148" s="1" t="str">
        <f>TEXT(Table1[[#This Row],[Order_Date]], "MMM")</f>
        <v>Jun</v>
      </c>
      <c r="N148" s="1">
        <f>YEAR(Table1[[#This Row],[Order_Date]])</f>
        <v>2024</v>
      </c>
      <c r="O148" s="7">
        <f>Table1[[#This Row],[Profit]]/Table1[[#This Row],[Total_Sales]]</f>
        <v>0.33949947589098534</v>
      </c>
    </row>
    <row r="149" spans="1:15" x14ac:dyDescent="0.25">
      <c r="A149" s="1">
        <v>148</v>
      </c>
      <c r="B149" s="2">
        <v>45345</v>
      </c>
      <c r="C149" s="1" t="s">
        <v>12</v>
      </c>
      <c r="D149" s="1" t="s">
        <v>22</v>
      </c>
      <c r="E149" s="1" t="s">
        <v>36</v>
      </c>
      <c r="F149" s="1" t="s">
        <v>35</v>
      </c>
      <c r="G149" s="1">
        <v>2</v>
      </c>
      <c r="H149" s="1">
        <v>215</v>
      </c>
      <c r="I149" s="1">
        <v>0</v>
      </c>
      <c r="J149" s="4">
        <v>430</v>
      </c>
      <c r="K149" s="4">
        <v>315.98</v>
      </c>
      <c r="L149" s="4">
        <v>114.02</v>
      </c>
      <c r="M149" s="1" t="str">
        <f>TEXT(Table1[[#This Row],[Order_Date]], "MMM")</f>
        <v>Feb</v>
      </c>
      <c r="N149" s="1">
        <f>YEAR(Table1[[#This Row],[Order_Date]])</f>
        <v>2024</v>
      </c>
      <c r="O149" s="7">
        <f>Table1[[#This Row],[Profit]]/Table1[[#This Row],[Total_Sales]]</f>
        <v>0.2651627906976744</v>
      </c>
    </row>
    <row r="150" spans="1:15" x14ac:dyDescent="0.25">
      <c r="A150" s="1">
        <v>149</v>
      </c>
      <c r="B150" s="2">
        <v>45264</v>
      </c>
      <c r="C150" s="1" t="s">
        <v>12</v>
      </c>
      <c r="D150" s="1" t="s">
        <v>26</v>
      </c>
      <c r="E150" s="1" t="s">
        <v>37</v>
      </c>
      <c r="F150" s="1" t="s">
        <v>15</v>
      </c>
      <c r="G150" s="1">
        <v>1</v>
      </c>
      <c r="H150" s="1">
        <v>532</v>
      </c>
      <c r="I150" s="1">
        <v>15</v>
      </c>
      <c r="J150" s="4">
        <v>452.2</v>
      </c>
      <c r="K150" s="4">
        <v>344.56</v>
      </c>
      <c r="L150" s="4">
        <v>107.64</v>
      </c>
      <c r="M150" s="1" t="str">
        <f>TEXT(Table1[[#This Row],[Order_Date]], "MMM")</f>
        <v>Dec</v>
      </c>
      <c r="N150" s="1">
        <f>YEAR(Table1[[#This Row],[Order_Date]])</f>
        <v>2023</v>
      </c>
      <c r="O150" s="7">
        <f>Table1[[#This Row],[Profit]]/Table1[[#This Row],[Total_Sales]]</f>
        <v>0.23803626713843432</v>
      </c>
    </row>
    <row r="151" spans="1:15" x14ac:dyDescent="0.25">
      <c r="A151" s="1">
        <v>150</v>
      </c>
      <c r="B151" s="2">
        <v>45096</v>
      </c>
      <c r="C151" s="1" t="s">
        <v>16</v>
      </c>
      <c r="D151" s="1" t="s">
        <v>20</v>
      </c>
      <c r="E151" s="1" t="s">
        <v>21</v>
      </c>
      <c r="F151" s="1" t="s">
        <v>15</v>
      </c>
      <c r="G151" s="1">
        <v>4</v>
      </c>
      <c r="H151" s="1">
        <v>955</v>
      </c>
      <c r="I151" s="1">
        <v>20</v>
      </c>
      <c r="J151" s="4">
        <v>3056</v>
      </c>
      <c r="K151" s="4">
        <v>1755.26</v>
      </c>
      <c r="L151" s="4">
        <v>1300.74</v>
      </c>
      <c r="M151" s="1" t="str">
        <f>TEXT(Table1[[#This Row],[Order_Date]], "MMM")</f>
        <v>Jun</v>
      </c>
      <c r="N151" s="1">
        <f>YEAR(Table1[[#This Row],[Order_Date]])</f>
        <v>2023</v>
      </c>
      <c r="O151" s="7">
        <f>Table1[[#This Row],[Profit]]/Table1[[#This Row],[Total_Sales]]</f>
        <v>0.42563481675392673</v>
      </c>
    </row>
    <row r="152" spans="1:15" x14ac:dyDescent="0.25">
      <c r="A152" s="1">
        <v>151</v>
      </c>
      <c r="B152" s="2">
        <v>45463</v>
      </c>
      <c r="C152" s="1" t="s">
        <v>12</v>
      </c>
      <c r="D152" s="1" t="s">
        <v>22</v>
      </c>
      <c r="E152" s="1" t="s">
        <v>36</v>
      </c>
      <c r="F152" s="1" t="s">
        <v>35</v>
      </c>
      <c r="G152" s="1">
        <v>9</v>
      </c>
      <c r="H152" s="1">
        <v>171</v>
      </c>
      <c r="I152" s="1">
        <v>0</v>
      </c>
      <c r="J152" s="4">
        <v>1539</v>
      </c>
      <c r="K152" s="4">
        <v>784.69</v>
      </c>
      <c r="L152" s="4">
        <v>754.31</v>
      </c>
      <c r="M152" s="1" t="str">
        <f>TEXT(Table1[[#This Row],[Order_Date]], "MMM")</f>
        <v>Jun</v>
      </c>
      <c r="N152" s="1">
        <f>YEAR(Table1[[#This Row],[Order_Date]])</f>
        <v>2024</v>
      </c>
      <c r="O152" s="7">
        <f>Table1[[#This Row],[Profit]]/Table1[[#This Row],[Total_Sales]]</f>
        <v>0.4901299545159194</v>
      </c>
    </row>
    <row r="153" spans="1:15" x14ac:dyDescent="0.25">
      <c r="A153" s="1">
        <v>152</v>
      </c>
      <c r="B153" s="2">
        <v>45155</v>
      </c>
      <c r="C153" s="1" t="s">
        <v>19</v>
      </c>
      <c r="D153" s="1" t="s">
        <v>22</v>
      </c>
      <c r="E153" s="1" t="s">
        <v>29</v>
      </c>
      <c r="F153" s="1" t="s">
        <v>31</v>
      </c>
      <c r="G153" s="1">
        <v>10</v>
      </c>
      <c r="H153" s="1">
        <v>587</v>
      </c>
      <c r="I153" s="1">
        <v>20</v>
      </c>
      <c r="J153" s="4">
        <v>4696</v>
      </c>
      <c r="K153" s="4">
        <v>2703.42</v>
      </c>
      <c r="L153" s="4">
        <v>1992.58</v>
      </c>
      <c r="M153" s="1" t="str">
        <f>TEXT(Table1[[#This Row],[Order_Date]], "MMM")</f>
        <v>Aug</v>
      </c>
      <c r="N153" s="1">
        <f>YEAR(Table1[[#This Row],[Order_Date]])</f>
        <v>2023</v>
      </c>
      <c r="O153" s="7">
        <f>Table1[[#This Row],[Profit]]/Table1[[#This Row],[Total_Sales]]</f>
        <v>0.42431431005110731</v>
      </c>
    </row>
    <row r="154" spans="1:15" x14ac:dyDescent="0.25">
      <c r="A154" s="1">
        <v>153</v>
      </c>
      <c r="B154" s="2">
        <v>45577</v>
      </c>
      <c r="C154" s="1" t="s">
        <v>12</v>
      </c>
      <c r="D154" s="1" t="s">
        <v>32</v>
      </c>
      <c r="E154" s="1" t="s">
        <v>45</v>
      </c>
      <c r="F154" s="1" t="s">
        <v>35</v>
      </c>
      <c r="G154" s="1">
        <v>3</v>
      </c>
      <c r="H154" s="1">
        <v>629</v>
      </c>
      <c r="I154" s="1">
        <v>5</v>
      </c>
      <c r="J154" s="4">
        <v>1792.65</v>
      </c>
      <c r="K154" s="4">
        <v>1378.13</v>
      </c>
      <c r="L154" s="4">
        <v>414.52</v>
      </c>
      <c r="M154" s="1" t="str">
        <f>TEXT(Table1[[#This Row],[Order_Date]], "MMM")</f>
        <v>Oct</v>
      </c>
      <c r="N154" s="1">
        <f>YEAR(Table1[[#This Row],[Order_Date]])</f>
        <v>2024</v>
      </c>
      <c r="O154" s="7">
        <f>Table1[[#This Row],[Profit]]/Table1[[#This Row],[Total_Sales]]</f>
        <v>0.2312330906758151</v>
      </c>
    </row>
    <row r="155" spans="1:15" x14ac:dyDescent="0.25">
      <c r="A155" s="1">
        <v>154</v>
      </c>
      <c r="B155" s="2">
        <v>45606</v>
      </c>
      <c r="C155" s="1" t="s">
        <v>12</v>
      </c>
      <c r="D155" s="1" t="s">
        <v>26</v>
      </c>
      <c r="E155" s="1" t="s">
        <v>42</v>
      </c>
      <c r="F155" s="1" t="s">
        <v>24</v>
      </c>
      <c r="G155" s="1">
        <v>2</v>
      </c>
      <c r="H155" s="1">
        <v>856</v>
      </c>
      <c r="I155" s="1">
        <v>0</v>
      </c>
      <c r="J155" s="4">
        <v>1712</v>
      </c>
      <c r="K155" s="4">
        <v>971.95</v>
      </c>
      <c r="L155" s="4">
        <v>740.05</v>
      </c>
      <c r="M155" s="1" t="str">
        <f>TEXT(Table1[[#This Row],[Order_Date]], "MMM")</f>
        <v>Nov</v>
      </c>
      <c r="N155" s="1">
        <f>YEAR(Table1[[#This Row],[Order_Date]])</f>
        <v>2024</v>
      </c>
      <c r="O155" s="7">
        <f>Table1[[#This Row],[Profit]]/Table1[[#This Row],[Total_Sales]]</f>
        <v>0.43227219626168223</v>
      </c>
    </row>
    <row r="156" spans="1:15" x14ac:dyDescent="0.25">
      <c r="A156" s="1">
        <v>155</v>
      </c>
      <c r="B156" s="2">
        <v>45351</v>
      </c>
      <c r="C156" s="1" t="s">
        <v>25</v>
      </c>
      <c r="D156" s="1" t="s">
        <v>20</v>
      </c>
      <c r="E156" s="1" t="s">
        <v>21</v>
      </c>
      <c r="F156" s="1" t="s">
        <v>18</v>
      </c>
      <c r="G156" s="1">
        <v>3</v>
      </c>
      <c r="H156" s="1">
        <v>169</v>
      </c>
      <c r="I156" s="1">
        <v>15</v>
      </c>
      <c r="J156" s="4">
        <v>430.95</v>
      </c>
      <c r="K156" s="4">
        <v>344.45</v>
      </c>
      <c r="L156" s="4">
        <v>86.5</v>
      </c>
      <c r="M156" s="1" t="str">
        <f>TEXT(Table1[[#This Row],[Order_Date]], "MMM")</f>
        <v>Feb</v>
      </c>
      <c r="N156" s="1">
        <f>YEAR(Table1[[#This Row],[Order_Date]])</f>
        <v>2024</v>
      </c>
      <c r="O156" s="7">
        <f>Table1[[#This Row],[Profit]]/Table1[[#This Row],[Total_Sales]]</f>
        <v>0.20071934099083422</v>
      </c>
    </row>
    <row r="157" spans="1:15" x14ac:dyDescent="0.25">
      <c r="A157" s="1">
        <v>156</v>
      </c>
      <c r="B157" s="2">
        <v>45214</v>
      </c>
      <c r="C157" s="1" t="s">
        <v>16</v>
      </c>
      <c r="D157" s="1" t="s">
        <v>22</v>
      </c>
      <c r="E157" s="1" t="s">
        <v>44</v>
      </c>
      <c r="F157" s="1" t="s">
        <v>35</v>
      </c>
      <c r="G157" s="1">
        <v>8</v>
      </c>
      <c r="H157" s="1">
        <v>758</v>
      </c>
      <c r="I157" s="1">
        <v>15</v>
      </c>
      <c r="J157" s="4">
        <v>5154.3999999999996</v>
      </c>
      <c r="K157" s="4">
        <v>3204.09</v>
      </c>
      <c r="L157" s="4">
        <v>1950.31</v>
      </c>
      <c r="M157" s="1" t="str">
        <f>TEXT(Table1[[#This Row],[Order_Date]], "MMM")</f>
        <v>Oct</v>
      </c>
      <c r="N157" s="1">
        <f>YEAR(Table1[[#This Row],[Order_Date]])</f>
        <v>2023</v>
      </c>
      <c r="O157" s="7">
        <f>Table1[[#This Row],[Profit]]/Table1[[#This Row],[Total_Sales]]</f>
        <v>0.37837769672512805</v>
      </c>
    </row>
    <row r="158" spans="1:15" x14ac:dyDescent="0.25">
      <c r="A158" s="1">
        <v>157</v>
      </c>
      <c r="B158" s="2">
        <v>45365</v>
      </c>
      <c r="C158" s="1" t="s">
        <v>12</v>
      </c>
      <c r="D158" s="1" t="s">
        <v>32</v>
      </c>
      <c r="E158" s="1" t="s">
        <v>45</v>
      </c>
      <c r="F158" s="1" t="s">
        <v>40</v>
      </c>
      <c r="G158" s="1">
        <v>7</v>
      </c>
      <c r="H158" s="1">
        <v>886</v>
      </c>
      <c r="I158" s="1">
        <v>5</v>
      </c>
      <c r="J158" s="4">
        <v>5891.9</v>
      </c>
      <c r="K158" s="4">
        <v>3169.45</v>
      </c>
      <c r="L158" s="4">
        <v>2722.45</v>
      </c>
      <c r="M158" s="1" t="str">
        <f>TEXT(Table1[[#This Row],[Order_Date]], "MMM")</f>
        <v>Mar</v>
      </c>
      <c r="N158" s="1">
        <f>YEAR(Table1[[#This Row],[Order_Date]])</f>
        <v>2024</v>
      </c>
      <c r="O158" s="7">
        <f>Table1[[#This Row],[Profit]]/Table1[[#This Row],[Total_Sales]]</f>
        <v>0.46206656596344131</v>
      </c>
    </row>
    <row r="159" spans="1:15" x14ac:dyDescent="0.25">
      <c r="A159" s="1">
        <v>158</v>
      </c>
      <c r="B159" s="2">
        <v>45252</v>
      </c>
      <c r="C159" s="1" t="s">
        <v>25</v>
      </c>
      <c r="D159" s="1" t="s">
        <v>22</v>
      </c>
      <c r="E159" s="1" t="s">
        <v>44</v>
      </c>
      <c r="F159" s="1" t="s">
        <v>24</v>
      </c>
      <c r="G159" s="1">
        <v>8</v>
      </c>
      <c r="H159" s="1">
        <v>856</v>
      </c>
      <c r="I159" s="1">
        <v>10</v>
      </c>
      <c r="J159" s="4">
        <v>6163.2</v>
      </c>
      <c r="K159" s="4">
        <v>3383.34</v>
      </c>
      <c r="L159" s="4">
        <v>2779.86</v>
      </c>
      <c r="M159" s="1" t="str">
        <f>TEXT(Table1[[#This Row],[Order_Date]], "MMM")</f>
        <v>Nov</v>
      </c>
      <c r="N159" s="1">
        <f>YEAR(Table1[[#This Row],[Order_Date]])</f>
        <v>2023</v>
      </c>
      <c r="O159" s="7">
        <f>Table1[[#This Row],[Profit]]/Table1[[#This Row],[Total_Sales]]</f>
        <v>0.45104166666666667</v>
      </c>
    </row>
    <row r="160" spans="1:15" x14ac:dyDescent="0.25">
      <c r="A160" s="1">
        <v>159</v>
      </c>
      <c r="B160" s="2">
        <v>45550</v>
      </c>
      <c r="C160" s="1" t="s">
        <v>16</v>
      </c>
      <c r="D160" s="1" t="s">
        <v>13</v>
      </c>
      <c r="E160" s="1" t="s">
        <v>14</v>
      </c>
      <c r="F160" s="1" t="s">
        <v>18</v>
      </c>
      <c r="G160" s="1">
        <v>10</v>
      </c>
      <c r="H160" s="1">
        <v>860</v>
      </c>
      <c r="I160" s="1">
        <v>5</v>
      </c>
      <c r="J160" s="4">
        <v>8170</v>
      </c>
      <c r="K160" s="4">
        <v>5826.56</v>
      </c>
      <c r="L160" s="4">
        <v>2343.44</v>
      </c>
      <c r="M160" s="1" t="str">
        <f>TEXT(Table1[[#This Row],[Order_Date]], "MMM")</f>
        <v>Sep</v>
      </c>
      <c r="N160" s="1">
        <f>YEAR(Table1[[#This Row],[Order_Date]])</f>
        <v>2024</v>
      </c>
      <c r="O160" s="7">
        <f>Table1[[#This Row],[Profit]]/Table1[[#This Row],[Total_Sales]]</f>
        <v>0.28683476132190944</v>
      </c>
    </row>
    <row r="161" spans="1:15" x14ac:dyDescent="0.25">
      <c r="A161" s="1">
        <v>160</v>
      </c>
      <c r="B161" s="2">
        <v>45306</v>
      </c>
      <c r="C161" s="1" t="s">
        <v>19</v>
      </c>
      <c r="D161" s="1" t="s">
        <v>22</v>
      </c>
      <c r="E161" s="1" t="s">
        <v>23</v>
      </c>
      <c r="F161" s="1" t="s">
        <v>18</v>
      </c>
      <c r="G161" s="1">
        <v>2</v>
      </c>
      <c r="H161" s="1">
        <v>349</v>
      </c>
      <c r="I161" s="1">
        <v>20</v>
      </c>
      <c r="J161" s="4">
        <v>558.4</v>
      </c>
      <c r="K161" s="4">
        <v>289.29000000000002</v>
      </c>
      <c r="L161" s="4">
        <v>269.11</v>
      </c>
      <c r="M161" s="1" t="str">
        <f>TEXT(Table1[[#This Row],[Order_Date]], "MMM")</f>
        <v>Jan</v>
      </c>
      <c r="N161" s="1">
        <f>YEAR(Table1[[#This Row],[Order_Date]])</f>
        <v>2024</v>
      </c>
      <c r="O161" s="7">
        <f>Table1[[#This Row],[Profit]]/Table1[[#This Row],[Total_Sales]]</f>
        <v>0.48193051575931234</v>
      </c>
    </row>
    <row r="162" spans="1:15" x14ac:dyDescent="0.25">
      <c r="A162" s="1">
        <v>161</v>
      </c>
      <c r="B162" s="2">
        <v>44973</v>
      </c>
      <c r="C162" s="1" t="s">
        <v>12</v>
      </c>
      <c r="D162" s="1" t="s">
        <v>13</v>
      </c>
      <c r="E162" s="1" t="s">
        <v>38</v>
      </c>
      <c r="F162" s="1" t="s">
        <v>40</v>
      </c>
      <c r="G162" s="1">
        <v>6</v>
      </c>
      <c r="H162" s="1">
        <v>937</v>
      </c>
      <c r="I162" s="1">
        <v>20</v>
      </c>
      <c r="J162" s="4">
        <v>4497.6000000000004</v>
      </c>
      <c r="K162" s="4">
        <v>3266.64</v>
      </c>
      <c r="L162" s="4">
        <v>1230.96</v>
      </c>
      <c r="M162" s="1" t="str">
        <f>TEXT(Table1[[#This Row],[Order_Date]], "MMM")</f>
        <v>Feb</v>
      </c>
      <c r="N162" s="1">
        <f>YEAR(Table1[[#This Row],[Order_Date]])</f>
        <v>2023</v>
      </c>
      <c r="O162" s="7">
        <f>Table1[[#This Row],[Profit]]/Table1[[#This Row],[Total_Sales]]</f>
        <v>0.27369263607257205</v>
      </c>
    </row>
    <row r="163" spans="1:15" x14ac:dyDescent="0.25">
      <c r="A163" s="1">
        <v>162</v>
      </c>
      <c r="B163" s="2">
        <v>45408</v>
      </c>
      <c r="C163" s="1" t="s">
        <v>25</v>
      </c>
      <c r="D163" s="1" t="s">
        <v>20</v>
      </c>
      <c r="E163" s="1" t="s">
        <v>43</v>
      </c>
      <c r="F163" s="1" t="s">
        <v>24</v>
      </c>
      <c r="G163" s="1">
        <v>2</v>
      </c>
      <c r="H163" s="1">
        <v>312</v>
      </c>
      <c r="I163" s="1">
        <v>15</v>
      </c>
      <c r="J163" s="4">
        <v>530.4</v>
      </c>
      <c r="K163" s="4">
        <v>286.20999999999998</v>
      </c>
      <c r="L163" s="4">
        <v>244.19</v>
      </c>
      <c r="M163" s="1" t="str">
        <f>TEXT(Table1[[#This Row],[Order_Date]], "MMM")</f>
        <v>Apr</v>
      </c>
      <c r="N163" s="1">
        <f>YEAR(Table1[[#This Row],[Order_Date]])</f>
        <v>2024</v>
      </c>
      <c r="O163" s="7">
        <f>Table1[[#This Row],[Profit]]/Table1[[#This Row],[Total_Sales]]</f>
        <v>0.46038838612368027</v>
      </c>
    </row>
    <row r="164" spans="1:15" x14ac:dyDescent="0.25">
      <c r="A164" s="1">
        <v>163</v>
      </c>
      <c r="B164" s="2">
        <v>45073</v>
      </c>
      <c r="C164" s="1" t="s">
        <v>12</v>
      </c>
      <c r="D164" s="1" t="s">
        <v>26</v>
      </c>
      <c r="E164" s="1" t="s">
        <v>42</v>
      </c>
      <c r="F164" s="1" t="s">
        <v>35</v>
      </c>
      <c r="G164" s="1">
        <v>10</v>
      </c>
      <c r="H164" s="1">
        <v>584</v>
      </c>
      <c r="I164" s="1">
        <v>5</v>
      </c>
      <c r="J164" s="4">
        <v>5548</v>
      </c>
      <c r="K164" s="4">
        <v>3304.13</v>
      </c>
      <c r="L164" s="4">
        <v>2243.87</v>
      </c>
      <c r="M164" s="1" t="str">
        <f>TEXT(Table1[[#This Row],[Order_Date]], "MMM")</f>
        <v>May</v>
      </c>
      <c r="N164" s="1">
        <f>YEAR(Table1[[#This Row],[Order_Date]])</f>
        <v>2023</v>
      </c>
      <c r="O164" s="7">
        <f>Table1[[#This Row],[Profit]]/Table1[[#This Row],[Total_Sales]]</f>
        <v>0.40444664744051911</v>
      </c>
    </row>
    <row r="165" spans="1:15" x14ac:dyDescent="0.25">
      <c r="A165" s="1">
        <v>164</v>
      </c>
      <c r="B165" s="2">
        <v>44995</v>
      </c>
      <c r="C165" s="1" t="s">
        <v>25</v>
      </c>
      <c r="D165" s="1" t="s">
        <v>22</v>
      </c>
      <c r="E165" s="1" t="s">
        <v>44</v>
      </c>
      <c r="F165" s="1" t="s">
        <v>18</v>
      </c>
      <c r="G165" s="1">
        <v>1</v>
      </c>
      <c r="H165" s="1">
        <v>691</v>
      </c>
      <c r="I165" s="1">
        <v>0</v>
      </c>
      <c r="J165" s="4">
        <v>691</v>
      </c>
      <c r="K165" s="4">
        <v>549.94000000000005</v>
      </c>
      <c r="L165" s="4">
        <v>141.06</v>
      </c>
      <c r="M165" s="1" t="str">
        <f>TEXT(Table1[[#This Row],[Order_Date]], "MMM")</f>
        <v>Mar</v>
      </c>
      <c r="N165" s="1">
        <f>YEAR(Table1[[#This Row],[Order_Date]])</f>
        <v>2023</v>
      </c>
      <c r="O165" s="7">
        <f>Table1[[#This Row],[Profit]]/Table1[[#This Row],[Total_Sales]]</f>
        <v>0.20413892908827785</v>
      </c>
    </row>
    <row r="166" spans="1:15" x14ac:dyDescent="0.25">
      <c r="A166" s="1">
        <v>165</v>
      </c>
      <c r="B166" s="2">
        <v>45380</v>
      </c>
      <c r="C166" s="1" t="s">
        <v>12</v>
      </c>
      <c r="D166" s="1" t="s">
        <v>32</v>
      </c>
      <c r="E166" s="1" t="s">
        <v>34</v>
      </c>
      <c r="F166" s="1" t="s">
        <v>24</v>
      </c>
      <c r="G166" s="1">
        <v>6</v>
      </c>
      <c r="H166" s="1">
        <v>159</v>
      </c>
      <c r="I166" s="1">
        <v>10</v>
      </c>
      <c r="J166" s="4">
        <v>858.6</v>
      </c>
      <c r="K166" s="4">
        <v>628.54</v>
      </c>
      <c r="L166" s="4">
        <v>230.06</v>
      </c>
      <c r="M166" s="1" t="str">
        <f>TEXT(Table1[[#This Row],[Order_Date]], "MMM")</f>
        <v>Mar</v>
      </c>
      <c r="N166" s="1">
        <f>YEAR(Table1[[#This Row],[Order_Date]])</f>
        <v>2024</v>
      </c>
      <c r="O166" s="7">
        <f>Table1[[#This Row],[Profit]]/Table1[[#This Row],[Total_Sales]]</f>
        <v>0.26794782203587236</v>
      </c>
    </row>
    <row r="167" spans="1:15" x14ac:dyDescent="0.25">
      <c r="A167" s="1">
        <v>166</v>
      </c>
      <c r="B167" s="2">
        <v>45570</v>
      </c>
      <c r="C167" s="1" t="s">
        <v>16</v>
      </c>
      <c r="D167" s="1" t="s">
        <v>26</v>
      </c>
      <c r="E167" s="1" t="s">
        <v>42</v>
      </c>
      <c r="F167" s="1" t="s">
        <v>18</v>
      </c>
      <c r="G167" s="1">
        <v>2</v>
      </c>
      <c r="H167" s="1">
        <v>225</v>
      </c>
      <c r="I167" s="1">
        <v>0</v>
      </c>
      <c r="J167" s="4">
        <v>450</v>
      </c>
      <c r="K167" s="4">
        <v>326.60000000000002</v>
      </c>
      <c r="L167" s="4">
        <v>123.4</v>
      </c>
      <c r="M167" s="1" t="str">
        <f>TEXT(Table1[[#This Row],[Order_Date]], "MMM")</f>
        <v>Oct</v>
      </c>
      <c r="N167" s="1">
        <f>YEAR(Table1[[#This Row],[Order_Date]])</f>
        <v>2024</v>
      </c>
      <c r="O167" s="7">
        <f>Table1[[#This Row],[Profit]]/Table1[[#This Row],[Total_Sales]]</f>
        <v>0.27422222222222226</v>
      </c>
    </row>
    <row r="168" spans="1:15" x14ac:dyDescent="0.25">
      <c r="A168" s="1">
        <v>167</v>
      </c>
      <c r="B168" s="2">
        <v>44991</v>
      </c>
      <c r="C168" s="1" t="s">
        <v>25</v>
      </c>
      <c r="D168" s="1" t="s">
        <v>22</v>
      </c>
      <c r="E168" s="1" t="s">
        <v>44</v>
      </c>
      <c r="F168" s="1" t="s">
        <v>31</v>
      </c>
      <c r="G168" s="1">
        <v>10</v>
      </c>
      <c r="H168" s="1">
        <v>36</v>
      </c>
      <c r="I168" s="1">
        <v>5</v>
      </c>
      <c r="J168" s="4">
        <v>342</v>
      </c>
      <c r="K168" s="4">
        <v>184.28</v>
      </c>
      <c r="L168" s="4">
        <v>157.72</v>
      </c>
      <c r="M168" s="1" t="str">
        <f>TEXT(Table1[[#This Row],[Order_Date]], "MMM")</f>
        <v>Mar</v>
      </c>
      <c r="N168" s="1">
        <f>YEAR(Table1[[#This Row],[Order_Date]])</f>
        <v>2023</v>
      </c>
      <c r="O168" s="7">
        <f>Table1[[#This Row],[Profit]]/Table1[[#This Row],[Total_Sales]]</f>
        <v>0.46116959064327484</v>
      </c>
    </row>
    <row r="169" spans="1:15" x14ac:dyDescent="0.25">
      <c r="A169" s="1">
        <v>168</v>
      </c>
      <c r="B169" s="2">
        <v>45146</v>
      </c>
      <c r="C169" s="1" t="s">
        <v>25</v>
      </c>
      <c r="D169" s="1" t="s">
        <v>20</v>
      </c>
      <c r="E169" s="1" t="s">
        <v>28</v>
      </c>
      <c r="F169" s="1" t="s">
        <v>15</v>
      </c>
      <c r="G169" s="1">
        <v>1</v>
      </c>
      <c r="H169" s="1">
        <v>802</v>
      </c>
      <c r="I169" s="1">
        <v>20</v>
      </c>
      <c r="J169" s="4">
        <v>641.6</v>
      </c>
      <c r="K169" s="4">
        <v>330.39</v>
      </c>
      <c r="L169" s="4">
        <v>311.20999999999998</v>
      </c>
      <c r="M169" s="1" t="str">
        <f>TEXT(Table1[[#This Row],[Order_Date]], "MMM")</f>
        <v>Aug</v>
      </c>
      <c r="N169" s="1">
        <f>YEAR(Table1[[#This Row],[Order_Date]])</f>
        <v>2023</v>
      </c>
      <c r="O169" s="7">
        <f>Table1[[#This Row],[Profit]]/Table1[[#This Row],[Total_Sales]]</f>
        <v>0.48505299251870321</v>
      </c>
    </row>
    <row r="170" spans="1:15" x14ac:dyDescent="0.25">
      <c r="A170" s="1">
        <v>169</v>
      </c>
      <c r="B170" s="2">
        <v>45062</v>
      </c>
      <c r="C170" s="1" t="s">
        <v>25</v>
      </c>
      <c r="D170" s="1" t="s">
        <v>22</v>
      </c>
      <c r="E170" s="1" t="s">
        <v>23</v>
      </c>
      <c r="F170" s="1" t="s">
        <v>31</v>
      </c>
      <c r="G170" s="1">
        <v>3</v>
      </c>
      <c r="H170" s="1">
        <v>448</v>
      </c>
      <c r="I170" s="1">
        <v>10</v>
      </c>
      <c r="J170" s="4">
        <v>1209.5999999999999</v>
      </c>
      <c r="K170" s="4">
        <v>853.02</v>
      </c>
      <c r="L170" s="4">
        <v>356.58</v>
      </c>
      <c r="M170" s="1" t="str">
        <f>TEXT(Table1[[#This Row],[Order_Date]], "MMM")</f>
        <v>May</v>
      </c>
      <c r="N170" s="1">
        <f>YEAR(Table1[[#This Row],[Order_Date]])</f>
        <v>2023</v>
      </c>
      <c r="O170" s="7">
        <f>Table1[[#This Row],[Profit]]/Table1[[#This Row],[Total_Sales]]</f>
        <v>0.29479166666666667</v>
      </c>
    </row>
    <row r="171" spans="1:15" x14ac:dyDescent="0.25">
      <c r="A171" s="1">
        <v>170</v>
      </c>
      <c r="B171" s="2">
        <v>45283</v>
      </c>
      <c r="C171" s="1" t="s">
        <v>25</v>
      </c>
      <c r="D171" s="1" t="s">
        <v>20</v>
      </c>
      <c r="E171" s="1" t="s">
        <v>28</v>
      </c>
      <c r="F171" s="1" t="s">
        <v>40</v>
      </c>
      <c r="G171" s="1">
        <v>1</v>
      </c>
      <c r="H171" s="1">
        <v>553</v>
      </c>
      <c r="I171" s="1">
        <v>15</v>
      </c>
      <c r="J171" s="4">
        <v>470.05</v>
      </c>
      <c r="K171" s="4">
        <v>296.83</v>
      </c>
      <c r="L171" s="4">
        <v>173.22</v>
      </c>
      <c r="M171" s="1" t="str">
        <f>TEXT(Table1[[#This Row],[Order_Date]], "MMM")</f>
        <v>Dec</v>
      </c>
      <c r="N171" s="1">
        <f>YEAR(Table1[[#This Row],[Order_Date]])</f>
        <v>2023</v>
      </c>
      <c r="O171" s="7">
        <f>Table1[[#This Row],[Profit]]/Table1[[#This Row],[Total_Sales]]</f>
        <v>0.36851398787363043</v>
      </c>
    </row>
    <row r="172" spans="1:15" x14ac:dyDescent="0.25">
      <c r="A172" s="1">
        <v>171</v>
      </c>
      <c r="B172" s="2">
        <v>45076</v>
      </c>
      <c r="C172" s="1" t="s">
        <v>16</v>
      </c>
      <c r="D172" s="1" t="s">
        <v>26</v>
      </c>
      <c r="E172" s="1" t="s">
        <v>37</v>
      </c>
      <c r="F172" s="1" t="s">
        <v>24</v>
      </c>
      <c r="G172" s="1">
        <v>1</v>
      </c>
      <c r="H172" s="1">
        <v>968</v>
      </c>
      <c r="I172" s="1">
        <v>0</v>
      </c>
      <c r="J172" s="4">
        <v>968</v>
      </c>
      <c r="K172" s="4">
        <v>654.5</v>
      </c>
      <c r="L172" s="4">
        <v>313.5</v>
      </c>
      <c r="M172" s="1" t="str">
        <f>TEXT(Table1[[#This Row],[Order_Date]], "MMM")</f>
        <v>May</v>
      </c>
      <c r="N172" s="1">
        <f>YEAR(Table1[[#This Row],[Order_Date]])</f>
        <v>2023</v>
      </c>
      <c r="O172" s="7">
        <f>Table1[[#This Row],[Profit]]/Table1[[#This Row],[Total_Sales]]</f>
        <v>0.32386363636363635</v>
      </c>
    </row>
    <row r="173" spans="1:15" x14ac:dyDescent="0.25">
      <c r="A173" s="1">
        <v>172</v>
      </c>
      <c r="B173" s="2">
        <v>45512</v>
      </c>
      <c r="C173" s="1" t="s">
        <v>16</v>
      </c>
      <c r="D173" s="1" t="s">
        <v>32</v>
      </c>
      <c r="E173" s="1" t="s">
        <v>41</v>
      </c>
      <c r="F173" s="1" t="s">
        <v>31</v>
      </c>
      <c r="G173" s="1">
        <v>2</v>
      </c>
      <c r="H173" s="1">
        <v>688</v>
      </c>
      <c r="I173" s="1">
        <v>15</v>
      </c>
      <c r="J173" s="4">
        <v>1169.5999999999999</v>
      </c>
      <c r="K173" s="4">
        <v>678.1</v>
      </c>
      <c r="L173" s="4">
        <v>491.5</v>
      </c>
      <c r="M173" s="1" t="str">
        <f>TEXT(Table1[[#This Row],[Order_Date]], "MMM")</f>
        <v>Aug</v>
      </c>
      <c r="N173" s="1">
        <f>YEAR(Table1[[#This Row],[Order_Date]])</f>
        <v>2024</v>
      </c>
      <c r="O173" s="7">
        <f>Table1[[#This Row],[Profit]]/Table1[[#This Row],[Total_Sales]]</f>
        <v>0.42022913816689472</v>
      </c>
    </row>
    <row r="174" spans="1:15" x14ac:dyDescent="0.25">
      <c r="A174" s="1">
        <v>173</v>
      </c>
      <c r="B174" s="2">
        <v>45141</v>
      </c>
      <c r="C174" s="1" t="s">
        <v>12</v>
      </c>
      <c r="D174" s="1" t="s">
        <v>13</v>
      </c>
      <c r="E174" s="1" t="s">
        <v>17</v>
      </c>
      <c r="F174" s="1" t="s">
        <v>24</v>
      </c>
      <c r="G174" s="1">
        <v>7</v>
      </c>
      <c r="H174" s="1">
        <v>95</v>
      </c>
      <c r="I174" s="1">
        <v>0</v>
      </c>
      <c r="J174" s="4">
        <v>665</v>
      </c>
      <c r="K174" s="4">
        <v>341.43</v>
      </c>
      <c r="L174" s="4">
        <v>323.57</v>
      </c>
      <c r="M174" s="1" t="str">
        <f>TEXT(Table1[[#This Row],[Order_Date]], "MMM")</f>
        <v>Aug</v>
      </c>
      <c r="N174" s="1">
        <f>YEAR(Table1[[#This Row],[Order_Date]])</f>
        <v>2023</v>
      </c>
      <c r="O174" s="7">
        <f>Table1[[#This Row],[Profit]]/Table1[[#This Row],[Total_Sales]]</f>
        <v>0.48657142857142854</v>
      </c>
    </row>
    <row r="175" spans="1:15" x14ac:dyDescent="0.25">
      <c r="A175" s="1">
        <v>174</v>
      </c>
      <c r="B175" s="2">
        <v>45572</v>
      </c>
      <c r="C175" s="1" t="s">
        <v>19</v>
      </c>
      <c r="D175" s="1" t="s">
        <v>26</v>
      </c>
      <c r="E175" s="1" t="s">
        <v>42</v>
      </c>
      <c r="F175" s="1" t="s">
        <v>31</v>
      </c>
      <c r="G175" s="1">
        <v>5</v>
      </c>
      <c r="H175" s="1">
        <v>755</v>
      </c>
      <c r="I175" s="1">
        <v>20</v>
      </c>
      <c r="J175" s="4">
        <v>3020</v>
      </c>
      <c r="K175" s="4">
        <v>1951.19</v>
      </c>
      <c r="L175" s="4">
        <v>1068.81</v>
      </c>
      <c r="M175" s="1" t="str">
        <f>TEXT(Table1[[#This Row],[Order_Date]], "MMM")</f>
        <v>Oct</v>
      </c>
      <c r="N175" s="1">
        <f>YEAR(Table1[[#This Row],[Order_Date]])</f>
        <v>2024</v>
      </c>
      <c r="O175" s="7">
        <f>Table1[[#This Row],[Profit]]/Table1[[#This Row],[Total_Sales]]</f>
        <v>0.35391059602649005</v>
      </c>
    </row>
    <row r="176" spans="1:15" x14ac:dyDescent="0.25">
      <c r="A176" s="1">
        <v>175</v>
      </c>
      <c r="B176" s="2">
        <v>45569</v>
      </c>
      <c r="C176" s="1" t="s">
        <v>25</v>
      </c>
      <c r="D176" s="1" t="s">
        <v>26</v>
      </c>
      <c r="E176" s="1" t="s">
        <v>27</v>
      </c>
      <c r="F176" s="1" t="s">
        <v>24</v>
      </c>
      <c r="G176" s="1">
        <v>4</v>
      </c>
      <c r="H176" s="1">
        <v>762</v>
      </c>
      <c r="I176" s="1">
        <v>15</v>
      </c>
      <c r="J176" s="4">
        <v>2590.8000000000002</v>
      </c>
      <c r="K176" s="4">
        <v>1370.74</v>
      </c>
      <c r="L176" s="4">
        <v>1220.06</v>
      </c>
      <c r="M176" s="1" t="str">
        <f>TEXT(Table1[[#This Row],[Order_Date]], "MMM")</f>
        <v>Oct</v>
      </c>
      <c r="N176" s="1">
        <f>YEAR(Table1[[#This Row],[Order_Date]])</f>
        <v>2024</v>
      </c>
      <c r="O176" s="7">
        <f>Table1[[#This Row],[Profit]]/Table1[[#This Row],[Total_Sales]]</f>
        <v>0.47092017909526007</v>
      </c>
    </row>
    <row r="177" spans="1:15" x14ac:dyDescent="0.25">
      <c r="A177" s="1">
        <v>176</v>
      </c>
      <c r="B177" s="2">
        <v>45619</v>
      </c>
      <c r="C177" s="1" t="s">
        <v>16</v>
      </c>
      <c r="D177" s="1" t="s">
        <v>22</v>
      </c>
      <c r="E177" s="1" t="s">
        <v>44</v>
      </c>
      <c r="F177" s="1" t="s">
        <v>24</v>
      </c>
      <c r="G177" s="1">
        <v>8</v>
      </c>
      <c r="H177" s="1">
        <v>107</v>
      </c>
      <c r="I177" s="1">
        <v>20</v>
      </c>
      <c r="J177" s="4">
        <v>684.8</v>
      </c>
      <c r="K177" s="4">
        <v>444.27</v>
      </c>
      <c r="L177" s="4">
        <v>240.53</v>
      </c>
      <c r="M177" s="1" t="str">
        <f>TEXT(Table1[[#This Row],[Order_Date]], "MMM")</f>
        <v>Nov</v>
      </c>
      <c r="N177" s="1">
        <f>YEAR(Table1[[#This Row],[Order_Date]])</f>
        <v>2024</v>
      </c>
      <c r="O177" s="7">
        <f>Table1[[#This Row],[Profit]]/Table1[[#This Row],[Total_Sales]]</f>
        <v>0.35124123831775705</v>
      </c>
    </row>
    <row r="178" spans="1:15" x14ac:dyDescent="0.25">
      <c r="A178" s="1">
        <v>177</v>
      </c>
      <c r="B178" s="2">
        <v>45361</v>
      </c>
      <c r="C178" s="1" t="s">
        <v>25</v>
      </c>
      <c r="D178" s="1" t="s">
        <v>20</v>
      </c>
      <c r="E178" s="1" t="s">
        <v>43</v>
      </c>
      <c r="F178" s="1" t="s">
        <v>40</v>
      </c>
      <c r="G178" s="1">
        <v>3</v>
      </c>
      <c r="H178" s="1">
        <v>634</v>
      </c>
      <c r="I178" s="1">
        <v>0</v>
      </c>
      <c r="J178" s="4">
        <v>1902</v>
      </c>
      <c r="K178" s="4">
        <v>1471.96</v>
      </c>
      <c r="L178" s="4">
        <v>430.04</v>
      </c>
      <c r="M178" s="1" t="str">
        <f>TEXT(Table1[[#This Row],[Order_Date]], "MMM")</f>
        <v>Mar</v>
      </c>
      <c r="N178" s="1">
        <f>YEAR(Table1[[#This Row],[Order_Date]])</f>
        <v>2024</v>
      </c>
      <c r="O178" s="7">
        <f>Table1[[#This Row],[Profit]]/Table1[[#This Row],[Total_Sales]]</f>
        <v>0.2260988433228181</v>
      </c>
    </row>
    <row r="179" spans="1:15" x14ac:dyDescent="0.25">
      <c r="A179" s="1">
        <v>178</v>
      </c>
      <c r="B179" s="2">
        <v>45339</v>
      </c>
      <c r="C179" s="1" t="s">
        <v>25</v>
      </c>
      <c r="D179" s="1" t="s">
        <v>32</v>
      </c>
      <c r="E179" s="1" t="s">
        <v>41</v>
      </c>
      <c r="F179" s="1" t="s">
        <v>40</v>
      </c>
      <c r="G179" s="1">
        <v>6</v>
      </c>
      <c r="H179" s="1">
        <v>40</v>
      </c>
      <c r="I179" s="1">
        <v>10</v>
      </c>
      <c r="J179" s="4">
        <v>216</v>
      </c>
      <c r="K179" s="4">
        <v>113.39</v>
      </c>
      <c r="L179" s="4">
        <v>102.61</v>
      </c>
      <c r="M179" s="1" t="str">
        <f>TEXT(Table1[[#This Row],[Order_Date]], "MMM")</f>
        <v>Feb</v>
      </c>
      <c r="N179" s="1">
        <f>YEAR(Table1[[#This Row],[Order_Date]])</f>
        <v>2024</v>
      </c>
      <c r="O179" s="7">
        <f>Table1[[#This Row],[Profit]]/Table1[[#This Row],[Total_Sales]]</f>
        <v>0.4750462962962963</v>
      </c>
    </row>
    <row r="180" spans="1:15" x14ac:dyDescent="0.25">
      <c r="A180" s="1">
        <v>179</v>
      </c>
      <c r="B180" s="2">
        <v>45628</v>
      </c>
      <c r="C180" s="1" t="s">
        <v>25</v>
      </c>
      <c r="D180" s="1" t="s">
        <v>13</v>
      </c>
      <c r="E180" s="1" t="s">
        <v>38</v>
      </c>
      <c r="F180" s="1" t="s">
        <v>15</v>
      </c>
      <c r="G180" s="1">
        <v>3</v>
      </c>
      <c r="H180" s="1">
        <v>611</v>
      </c>
      <c r="I180" s="1">
        <v>15</v>
      </c>
      <c r="J180" s="4">
        <v>1558.05</v>
      </c>
      <c r="K180" s="4">
        <v>1140.6099999999999</v>
      </c>
      <c r="L180" s="4">
        <v>417.44</v>
      </c>
      <c r="M180" s="1" t="str">
        <f>TEXT(Table1[[#This Row],[Order_Date]], "MMM")</f>
        <v>Dec</v>
      </c>
      <c r="N180" s="1">
        <f>YEAR(Table1[[#This Row],[Order_Date]])</f>
        <v>2024</v>
      </c>
      <c r="O180" s="7">
        <f>Table1[[#This Row],[Profit]]/Table1[[#This Row],[Total_Sales]]</f>
        <v>0.26792464940149546</v>
      </c>
    </row>
    <row r="181" spans="1:15" x14ac:dyDescent="0.25">
      <c r="A181" s="1">
        <v>180</v>
      </c>
      <c r="B181" s="2">
        <v>45341</v>
      </c>
      <c r="C181" s="1" t="s">
        <v>16</v>
      </c>
      <c r="D181" s="1" t="s">
        <v>32</v>
      </c>
      <c r="E181" s="1" t="s">
        <v>33</v>
      </c>
      <c r="F181" s="1" t="s">
        <v>18</v>
      </c>
      <c r="G181" s="1">
        <v>4</v>
      </c>
      <c r="H181" s="1">
        <v>165</v>
      </c>
      <c r="I181" s="1">
        <v>5</v>
      </c>
      <c r="J181" s="4">
        <v>627</v>
      </c>
      <c r="K181" s="4">
        <v>412.5</v>
      </c>
      <c r="L181" s="4">
        <v>214.5</v>
      </c>
      <c r="M181" s="1" t="str">
        <f>TEXT(Table1[[#This Row],[Order_Date]], "MMM")</f>
        <v>Feb</v>
      </c>
      <c r="N181" s="1">
        <f>YEAR(Table1[[#This Row],[Order_Date]])</f>
        <v>2024</v>
      </c>
      <c r="O181" s="7">
        <f>Table1[[#This Row],[Profit]]/Table1[[#This Row],[Total_Sales]]</f>
        <v>0.34210526315789475</v>
      </c>
    </row>
    <row r="182" spans="1:15" x14ac:dyDescent="0.25">
      <c r="A182" s="1">
        <v>181</v>
      </c>
      <c r="B182" s="2">
        <v>45322</v>
      </c>
      <c r="C182" s="1" t="s">
        <v>12</v>
      </c>
      <c r="D182" s="1" t="s">
        <v>13</v>
      </c>
      <c r="E182" s="1" t="s">
        <v>38</v>
      </c>
      <c r="F182" s="1" t="s">
        <v>40</v>
      </c>
      <c r="G182" s="1">
        <v>2</v>
      </c>
      <c r="H182" s="1">
        <v>350</v>
      </c>
      <c r="I182" s="1">
        <v>15</v>
      </c>
      <c r="J182" s="4">
        <v>595</v>
      </c>
      <c r="K182" s="4">
        <v>456.88</v>
      </c>
      <c r="L182" s="4">
        <v>138.12</v>
      </c>
      <c r="M182" s="1" t="str">
        <f>TEXT(Table1[[#This Row],[Order_Date]], "MMM")</f>
        <v>Jan</v>
      </c>
      <c r="N182" s="1">
        <f>YEAR(Table1[[#This Row],[Order_Date]])</f>
        <v>2024</v>
      </c>
      <c r="O182" s="7">
        <f>Table1[[#This Row],[Profit]]/Table1[[#This Row],[Total_Sales]]</f>
        <v>0.23213445378151262</v>
      </c>
    </row>
    <row r="183" spans="1:15" x14ac:dyDescent="0.25">
      <c r="A183" s="1">
        <v>182</v>
      </c>
      <c r="B183" s="2">
        <v>45357</v>
      </c>
      <c r="C183" s="1" t="s">
        <v>25</v>
      </c>
      <c r="D183" s="1" t="s">
        <v>22</v>
      </c>
      <c r="E183" s="1" t="s">
        <v>44</v>
      </c>
      <c r="F183" s="1" t="s">
        <v>24</v>
      </c>
      <c r="G183" s="1">
        <v>10</v>
      </c>
      <c r="H183" s="1">
        <v>414</v>
      </c>
      <c r="I183" s="1">
        <v>20</v>
      </c>
      <c r="J183" s="4">
        <v>3312</v>
      </c>
      <c r="K183" s="4">
        <v>2562.44</v>
      </c>
      <c r="L183" s="4">
        <v>749.56</v>
      </c>
      <c r="M183" s="1" t="str">
        <f>TEXT(Table1[[#This Row],[Order_Date]], "MMM")</f>
        <v>Mar</v>
      </c>
      <c r="N183" s="1">
        <f>YEAR(Table1[[#This Row],[Order_Date]])</f>
        <v>2024</v>
      </c>
      <c r="O183" s="7">
        <f>Table1[[#This Row],[Profit]]/Table1[[#This Row],[Total_Sales]]</f>
        <v>0.22631642512077293</v>
      </c>
    </row>
    <row r="184" spans="1:15" x14ac:dyDescent="0.25">
      <c r="A184" s="1">
        <v>183</v>
      </c>
      <c r="B184" s="2">
        <v>45130</v>
      </c>
      <c r="C184" s="1" t="s">
        <v>12</v>
      </c>
      <c r="D184" s="1" t="s">
        <v>32</v>
      </c>
      <c r="E184" s="1" t="s">
        <v>33</v>
      </c>
      <c r="F184" s="1" t="s">
        <v>24</v>
      </c>
      <c r="G184" s="1">
        <v>2</v>
      </c>
      <c r="H184" s="1">
        <v>234</v>
      </c>
      <c r="I184" s="1">
        <v>10</v>
      </c>
      <c r="J184" s="4">
        <v>421.2</v>
      </c>
      <c r="K184" s="4">
        <v>251.06</v>
      </c>
      <c r="L184" s="4">
        <v>170.14</v>
      </c>
      <c r="M184" s="1" t="str">
        <f>TEXT(Table1[[#This Row],[Order_Date]], "MMM")</f>
        <v>Jul</v>
      </c>
      <c r="N184" s="1">
        <f>YEAR(Table1[[#This Row],[Order_Date]])</f>
        <v>2023</v>
      </c>
      <c r="O184" s="7">
        <f>Table1[[#This Row],[Profit]]/Table1[[#This Row],[Total_Sales]]</f>
        <v>0.40394112060778725</v>
      </c>
    </row>
    <row r="185" spans="1:15" x14ac:dyDescent="0.25">
      <c r="A185" s="1">
        <v>184</v>
      </c>
      <c r="B185" s="2">
        <v>44952</v>
      </c>
      <c r="C185" s="1" t="s">
        <v>16</v>
      </c>
      <c r="D185" s="1" t="s">
        <v>32</v>
      </c>
      <c r="E185" s="1" t="s">
        <v>34</v>
      </c>
      <c r="F185" s="1" t="s">
        <v>15</v>
      </c>
      <c r="G185" s="1">
        <v>2</v>
      </c>
      <c r="H185" s="1">
        <v>830</v>
      </c>
      <c r="I185" s="1">
        <v>20</v>
      </c>
      <c r="J185" s="4">
        <v>1328</v>
      </c>
      <c r="K185" s="4">
        <v>1025.53</v>
      </c>
      <c r="L185" s="4">
        <v>302.47000000000003</v>
      </c>
      <c r="M185" s="1" t="str">
        <f>TEXT(Table1[[#This Row],[Order_Date]], "MMM")</f>
        <v>Jan</v>
      </c>
      <c r="N185" s="1">
        <f>YEAR(Table1[[#This Row],[Order_Date]])</f>
        <v>2023</v>
      </c>
      <c r="O185" s="7">
        <f>Table1[[#This Row],[Profit]]/Table1[[#This Row],[Total_Sales]]</f>
        <v>0.2277635542168675</v>
      </c>
    </row>
    <row r="186" spans="1:15" x14ac:dyDescent="0.25">
      <c r="A186" s="1">
        <v>185</v>
      </c>
      <c r="B186" s="2">
        <v>45286</v>
      </c>
      <c r="C186" s="1" t="s">
        <v>25</v>
      </c>
      <c r="D186" s="1" t="s">
        <v>20</v>
      </c>
      <c r="E186" s="1" t="s">
        <v>43</v>
      </c>
      <c r="F186" s="1" t="s">
        <v>24</v>
      </c>
      <c r="G186" s="1">
        <v>10</v>
      </c>
      <c r="H186" s="1">
        <v>937</v>
      </c>
      <c r="I186" s="1">
        <v>10</v>
      </c>
      <c r="J186" s="4">
        <v>8433</v>
      </c>
      <c r="K186" s="4">
        <v>4266.17</v>
      </c>
      <c r="L186" s="4">
        <v>4166.83</v>
      </c>
      <c r="M186" s="1" t="str">
        <f>TEXT(Table1[[#This Row],[Order_Date]], "MMM")</f>
        <v>Dec</v>
      </c>
      <c r="N186" s="1">
        <f>YEAR(Table1[[#This Row],[Order_Date]])</f>
        <v>2023</v>
      </c>
      <c r="O186" s="7">
        <f>Table1[[#This Row],[Profit]]/Table1[[#This Row],[Total_Sales]]</f>
        <v>0.49411004387525198</v>
      </c>
    </row>
    <row r="187" spans="1:15" x14ac:dyDescent="0.25">
      <c r="A187" s="1">
        <v>186</v>
      </c>
      <c r="B187" s="2">
        <v>45082</v>
      </c>
      <c r="C187" s="1" t="s">
        <v>25</v>
      </c>
      <c r="D187" s="1" t="s">
        <v>13</v>
      </c>
      <c r="E187" s="1" t="s">
        <v>38</v>
      </c>
      <c r="F187" s="1" t="s">
        <v>35</v>
      </c>
      <c r="G187" s="1">
        <v>3</v>
      </c>
      <c r="H187" s="1">
        <v>172</v>
      </c>
      <c r="I187" s="1">
        <v>10</v>
      </c>
      <c r="J187" s="4">
        <v>464.4</v>
      </c>
      <c r="K187" s="4">
        <v>274.5</v>
      </c>
      <c r="L187" s="4">
        <v>189.9</v>
      </c>
      <c r="M187" s="1" t="str">
        <f>TEXT(Table1[[#This Row],[Order_Date]], "MMM")</f>
        <v>Jun</v>
      </c>
      <c r="N187" s="1">
        <f>YEAR(Table1[[#This Row],[Order_Date]])</f>
        <v>2023</v>
      </c>
      <c r="O187" s="7">
        <f>Table1[[#This Row],[Profit]]/Table1[[#This Row],[Total_Sales]]</f>
        <v>0.40891472868217055</v>
      </c>
    </row>
    <row r="188" spans="1:15" x14ac:dyDescent="0.25">
      <c r="A188" s="1">
        <v>187</v>
      </c>
      <c r="B188" s="2">
        <v>44930</v>
      </c>
      <c r="C188" s="1" t="s">
        <v>19</v>
      </c>
      <c r="D188" s="1" t="s">
        <v>22</v>
      </c>
      <c r="E188" s="1" t="s">
        <v>23</v>
      </c>
      <c r="F188" s="1" t="s">
        <v>40</v>
      </c>
      <c r="G188" s="1">
        <v>8</v>
      </c>
      <c r="H188" s="1">
        <v>421</v>
      </c>
      <c r="I188" s="1">
        <v>0</v>
      </c>
      <c r="J188" s="4">
        <v>3368</v>
      </c>
      <c r="K188" s="4">
        <v>2567.9299999999998</v>
      </c>
      <c r="L188" s="4">
        <v>800.07</v>
      </c>
      <c r="M188" s="1" t="str">
        <f>TEXT(Table1[[#This Row],[Order_Date]], "MMM")</f>
        <v>Jan</v>
      </c>
      <c r="N188" s="1">
        <f>YEAR(Table1[[#This Row],[Order_Date]])</f>
        <v>2023</v>
      </c>
      <c r="O188" s="7">
        <f>Table1[[#This Row],[Profit]]/Table1[[#This Row],[Total_Sales]]</f>
        <v>0.23755047505938243</v>
      </c>
    </row>
    <row r="189" spans="1:15" x14ac:dyDescent="0.25">
      <c r="A189" s="1">
        <v>188</v>
      </c>
      <c r="B189" s="2">
        <v>45301</v>
      </c>
      <c r="C189" s="1" t="s">
        <v>19</v>
      </c>
      <c r="D189" s="1" t="s">
        <v>20</v>
      </c>
      <c r="E189" s="1" t="s">
        <v>28</v>
      </c>
      <c r="F189" s="1" t="s">
        <v>35</v>
      </c>
      <c r="G189" s="1">
        <v>10</v>
      </c>
      <c r="H189" s="1">
        <v>306</v>
      </c>
      <c r="I189" s="1">
        <v>20</v>
      </c>
      <c r="J189" s="4">
        <v>2448</v>
      </c>
      <c r="K189" s="4">
        <v>1564.58</v>
      </c>
      <c r="L189" s="4">
        <v>883.42</v>
      </c>
      <c r="M189" s="1" t="str">
        <f>TEXT(Table1[[#This Row],[Order_Date]], "MMM")</f>
        <v>Jan</v>
      </c>
      <c r="N189" s="1">
        <f>YEAR(Table1[[#This Row],[Order_Date]])</f>
        <v>2024</v>
      </c>
      <c r="O189" s="7">
        <f>Table1[[#This Row],[Profit]]/Table1[[#This Row],[Total_Sales]]</f>
        <v>0.36087418300653595</v>
      </c>
    </row>
    <row r="190" spans="1:15" x14ac:dyDescent="0.25">
      <c r="A190" s="1">
        <v>189</v>
      </c>
      <c r="B190" s="2">
        <v>45538</v>
      </c>
      <c r="C190" s="1" t="s">
        <v>16</v>
      </c>
      <c r="D190" s="1" t="s">
        <v>32</v>
      </c>
      <c r="E190" s="1" t="s">
        <v>34</v>
      </c>
      <c r="F190" s="1" t="s">
        <v>31</v>
      </c>
      <c r="G190" s="1">
        <v>9</v>
      </c>
      <c r="H190" s="1">
        <v>183</v>
      </c>
      <c r="I190" s="1">
        <v>10</v>
      </c>
      <c r="J190" s="4">
        <v>1482.3</v>
      </c>
      <c r="K190" s="4">
        <v>917.11</v>
      </c>
      <c r="L190" s="4">
        <v>565.19000000000005</v>
      </c>
      <c r="M190" s="1" t="str">
        <f>TEXT(Table1[[#This Row],[Order_Date]], "MMM")</f>
        <v>Sep</v>
      </c>
      <c r="N190" s="1">
        <f>YEAR(Table1[[#This Row],[Order_Date]])</f>
        <v>2024</v>
      </c>
      <c r="O190" s="7">
        <f>Table1[[#This Row],[Profit]]/Table1[[#This Row],[Total_Sales]]</f>
        <v>0.38129258584631998</v>
      </c>
    </row>
    <row r="191" spans="1:15" x14ac:dyDescent="0.25">
      <c r="A191" s="1">
        <v>190</v>
      </c>
      <c r="B191" s="2">
        <v>45076</v>
      </c>
      <c r="C191" s="1" t="s">
        <v>16</v>
      </c>
      <c r="D191" s="1" t="s">
        <v>20</v>
      </c>
      <c r="E191" s="1" t="s">
        <v>28</v>
      </c>
      <c r="F191" s="1" t="s">
        <v>18</v>
      </c>
      <c r="G191" s="1">
        <v>5</v>
      </c>
      <c r="H191" s="1">
        <v>275</v>
      </c>
      <c r="I191" s="1">
        <v>0</v>
      </c>
      <c r="J191" s="4">
        <v>1375</v>
      </c>
      <c r="K191" s="4">
        <v>1030.19</v>
      </c>
      <c r="L191" s="4">
        <v>344.81</v>
      </c>
      <c r="M191" s="1" t="str">
        <f>TEXT(Table1[[#This Row],[Order_Date]], "MMM")</f>
        <v>May</v>
      </c>
      <c r="N191" s="1">
        <f>YEAR(Table1[[#This Row],[Order_Date]])</f>
        <v>2023</v>
      </c>
      <c r="O191" s="7">
        <f>Table1[[#This Row],[Profit]]/Table1[[#This Row],[Total_Sales]]</f>
        <v>0.2507709090909091</v>
      </c>
    </row>
    <row r="192" spans="1:15" x14ac:dyDescent="0.25">
      <c r="A192" s="1">
        <v>191</v>
      </c>
      <c r="B192" s="2">
        <v>45452</v>
      </c>
      <c r="C192" s="1" t="s">
        <v>16</v>
      </c>
      <c r="D192" s="1" t="s">
        <v>20</v>
      </c>
      <c r="E192" s="1" t="s">
        <v>43</v>
      </c>
      <c r="F192" s="1" t="s">
        <v>18</v>
      </c>
      <c r="G192" s="1">
        <v>10</v>
      </c>
      <c r="H192" s="1">
        <v>223</v>
      </c>
      <c r="I192" s="1">
        <v>0</v>
      </c>
      <c r="J192" s="4">
        <v>2230</v>
      </c>
      <c r="K192" s="4">
        <v>1166.78</v>
      </c>
      <c r="L192" s="4">
        <v>1063.22</v>
      </c>
      <c r="M192" s="1" t="str">
        <f>TEXT(Table1[[#This Row],[Order_Date]], "MMM")</f>
        <v>Jun</v>
      </c>
      <c r="N192" s="1">
        <f>YEAR(Table1[[#This Row],[Order_Date]])</f>
        <v>2024</v>
      </c>
      <c r="O192" s="7">
        <f>Table1[[#This Row],[Profit]]/Table1[[#This Row],[Total_Sales]]</f>
        <v>0.47678026905829596</v>
      </c>
    </row>
    <row r="193" spans="1:15" x14ac:dyDescent="0.25">
      <c r="A193" s="1">
        <v>192</v>
      </c>
      <c r="B193" s="2">
        <v>45144</v>
      </c>
      <c r="C193" s="1" t="s">
        <v>16</v>
      </c>
      <c r="D193" s="1" t="s">
        <v>13</v>
      </c>
      <c r="E193" s="1" t="s">
        <v>38</v>
      </c>
      <c r="F193" s="1" t="s">
        <v>15</v>
      </c>
      <c r="G193" s="1">
        <v>1</v>
      </c>
      <c r="H193" s="1">
        <v>257</v>
      </c>
      <c r="I193" s="1">
        <v>20</v>
      </c>
      <c r="J193" s="4">
        <v>205.6</v>
      </c>
      <c r="K193" s="4">
        <v>102.9</v>
      </c>
      <c r="L193" s="4">
        <v>102.7</v>
      </c>
      <c r="M193" s="1" t="str">
        <f>TEXT(Table1[[#This Row],[Order_Date]], "MMM")</f>
        <v>Aug</v>
      </c>
      <c r="N193" s="1">
        <f>YEAR(Table1[[#This Row],[Order_Date]])</f>
        <v>2023</v>
      </c>
      <c r="O193" s="7">
        <f>Table1[[#This Row],[Profit]]/Table1[[#This Row],[Total_Sales]]</f>
        <v>0.4995136186770428</v>
      </c>
    </row>
    <row r="194" spans="1:15" x14ac:dyDescent="0.25">
      <c r="A194" s="1">
        <v>193</v>
      </c>
      <c r="B194" s="2">
        <v>45217</v>
      </c>
      <c r="C194" s="1" t="s">
        <v>12</v>
      </c>
      <c r="D194" s="1" t="s">
        <v>22</v>
      </c>
      <c r="E194" s="1" t="s">
        <v>29</v>
      </c>
      <c r="F194" s="1" t="s">
        <v>35</v>
      </c>
      <c r="G194" s="1">
        <v>9</v>
      </c>
      <c r="H194" s="1">
        <v>364</v>
      </c>
      <c r="I194" s="1">
        <v>10</v>
      </c>
      <c r="J194" s="4">
        <v>2948.4</v>
      </c>
      <c r="K194" s="4">
        <v>2186.2800000000002</v>
      </c>
      <c r="L194" s="4">
        <v>762.12</v>
      </c>
      <c r="M194" s="1" t="str">
        <f>TEXT(Table1[[#This Row],[Order_Date]], "MMM")</f>
        <v>Oct</v>
      </c>
      <c r="N194" s="1">
        <f>YEAR(Table1[[#This Row],[Order_Date]])</f>
        <v>2023</v>
      </c>
      <c r="O194" s="7">
        <f>Table1[[#This Row],[Profit]]/Table1[[#This Row],[Total_Sales]]</f>
        <v>0.25848595848595846</v>
      </c>
    </row>
    <row r="195" spans="1:15" x14ac:dyDescent="0.25">
      <c r="A195" s="1">
        <v>194</v>
      </c>
      <c r="B195" s="2">
        <v>45585</v>
      </c>
      <c r="C195" s="1" t="s">
        <v>16</v>
      </c>
      <c r="D195" s="1" t="s">
        <v>13</v>
      </c>
      <c r="E195" s="1" t="s">
        <v>17</v>
      </c>
      <c r="F195" s="1" t="s">
        <v>24</v>
      </c>
      <c r="G195" s="1">
        <v>6</v>
      </c>
      <c r="H195" s="1">
        <v>605</v>
      </c>
      <c r="I195" s="1">
        <v>20</v>
      </c>
      <c r="J195" s="4">
        <v>2904</v>
      </c>
      <c r="K195" s="4">
        <v>1881.95</v>
      </c>
      <c r="L195" s="4">
        <v>1022.05</v>
      </c>
      <c r="M195" s="1" t="str">
        <f>TEXT(Table1[[#This Row],[Order_Date]], "MMM")</f>
        <v>Oct</v>
      </c>
      <c r="N195" s="1">
        <f>YEAR(Table1[[#This Row],[Order_Date]])</f>
        <v>2024</v>
      </c>
      <c r="O195" s="7">
        <f>Table1[[#This Row],[Profit]]/Table1[[#This Row],[Total_Sales]]</f>
        <v>0.35194559228650135</v>
      </c>
    </row>
    <row r="196" spans="1:15" x14ac:dyDescent="0.25">
      <c r="A196" s="1">
        <v>195</v>
      </c>
      <c r="B196" s="2">
        <v>45080</v>
      </c>
      <c r="C196" s="1" t="s">
        <v>16</v>
      </c>
      <c r="D196" s="1" t="s">
        <v>22</v>
      </c>
      <c r="E196" s="1" t="s">
        <v>44</v>
      </c>
      <c r="F196" s="1" t="s">
        <v>15</v>
      </c>
      <c r="G196" s="1">
        <v>1</v>
      </c>
      <c r="H196" s="1">
        <v>532</v>
      </c>
      <c r="I196" s="1">
        <v>20</v>
      </c>
      <c r="J196" s="4">
        <v>425.6</v>
      </c>
      <c r="K196" s="4">
        <v>282.74</v>
      </c>
      <c r="L196" s="4">
        <v>142.86000000000001</v>
      </c>
      <c r="M196" s="1" t="str">
        <f>TEXT(Table1[[#This Row],[Order_Date]], "MMM")</f>
        <v>Jun</v>
      </c>
      <c r="N196" s="1">
        <f>YEAR(Table1[[#This Row],[Order_Date]])</f>
        <v>2023</v>
      </c>
      <c r="O196" s="7">
        <f>Table1[[#This Row],[Profit]]/Table1[[#This Row],[Total_Sales]]</f>
        <v>0.3356672932330827</v>
      </c>
    </row>
    <row r="197" spans="1:15" x14ac:dyDescent="0.25">
      <c r="A197" s="1">
        <v>196</v>
      </c>
      <c r="B197" s="2">
        <v>45288</v>
      </c>
      <c r="C197" s="1" t="s">
        <v>25</v>
      </c>
      <c r="D197" s="1" t="s">
        <v>13</v>
      </c>
      <c r="E197" s="1" t="s">
        <v>39</v>
      </c>
      <c r="F197" s="1" t="s">
        <v>40</v>
      </c>
      <c r="G197" s="1">
        <v>2</v>
      </c>
      <c r="H197" s="1">
        <v>949</v>
      </c>
      <c r="I197" s="1">
        <v>15</v>
      </c>
      <c r="J197" s="4">
        <v>1613.3</v>
      </c>
      <c r="K197" s="4">
        <v>808.78</v>
      </c>
      <c r="L197" s="4">
        <v>804.52</v>
      </c>
      <c r="M197" s="1" t="str">
        <f>TEXT(Table1[[#This Row],[Order_Date]], "MMM")</f>
        <v>Dec</v>
      </c>
      <c r="N197" s="1">
        <f>YEAR(Table1[[#This Row],[Order_Date]])</f>
        <v>2023</v>
      </c>
      <c r="O197" s="7">
        <f>Table1[[#This Row],[Profit]]/Table1[[#This Row],[Total_Sales]]</f>
        <v>0.49867972478770223</v>
      </c>
    </row>
    <row r="198" spans="1:15" x14ac:dyDescent="0.25">
      <c r="A198" s="1">
        <v>197</v>
      </c>
      <c r="B198" s="2">
        <v>45260</v>
      </c>
      <c r="C198" s="1" t="s">
        <v>25</v>
      </c>
      <c r="D198" s="1" t="s">
        <v>22</v>
      </c>
      <c r="E198" s="1" t="s">
        <v>44</v>
      </c>
      <c r="F198" s="1" t="s">
        <v>24</v>
      </c>
      <c r="G198" s="1">
        <v>2</v>
      </c>
      <c r="H198" s="1">
        <v>120</v>
      </c>
      <c r="I198" s="1">
        <v>5</v>
      </c>
      <c r="J198" s="4">
        <v>228</v>
      </c>
      <c r="K198" s="4">
        <v>124.6</v>
      </c>
      <c r="L198" s="4">
        <v>103.4</v>
      </c>
      <c r="M198" s="1" t="str">
        <f>TEXT(Table1[[#This Row],[Order_Date]], "MMM")</f>
        <v>Nov</v>
      </c>
      <c r="N198" s="1">
        <f>YEAR(Table1[[#This Row],[Order_Date]])</f>
        <v>2023</v>
      </c>
      <c r="O198" s="7">
        <f>Table1[[#This Row],[Profit]]/Table1[[#This Row],[Total_Sales]]</f>
        <v>0.45350877192982458</v>
      </c>
    </row>
    <row r="199" spans="1:15" x14ac:dyDescent="0.25">
      <c r="A199" s="1">
        <v>198</v>
      </c>
      <c r="B199" s="2">
        <v>45579</v>
      </c>
      <c r="C199" s="1" t="s">
        <v>12</v>
      </c>
      <c r="D199" s="1" t="s">
        <v>13</v>
      </c>
      <c r="E199" s="1" t="s">
        <v>17</v>
      </c>
      <c r="F199" s="1" t="s">
        <v>15</v>
      </c>
      <c r="G199" s="1">
        <v>6</v>
      </c>
      <c r="H199" s="1">
        <v>234</v>
      </c>
      <c r="I199" s="1">
        <v>20</v>
      </c>
      <c r="J199" s="4">
        <v>1123.2</v>
      </c>
      <c r="K199" s="4">
        <v>858.55</v>
      </c>
      <c r="L199" s="4">
        <v>264.64999999999998</v>
      </c>
      <c r="M199" s="1" t="str">
        <f>TEXT(Table1[[#This Row],[Order_Date]], "MMM")</f>
        <v>Oct</v>
      </c>
      <c r="N199" s="1">
        <f>YEAR(Table1[[#This Row],[Order_Date]])</f>
        <v>2024</v>
      </c>
      <c r="O199" s="7">
        <f>Table1[[#This Row],[Profit]]/Table1[[#This Row],[Total_Sales]]</f>
        <v>0.23562143874643871</v>
      </c>
    </row>
    <row r="200" spans="1:15" x14ac:dyDescent="0.25">
      <c r="A200" s="1">
        <v>199</v>
      </c>
      <c r="B200" s="2">
        <v>45487</v>
      </c>
      <c r="C200" s="1" t="s">
        <v>25</v>
      </c>
      <c r="D200" s="1" t="s">
        <v>20</v>
      </c>
      <c r="E200" s="1" t="s">
        <v>43</v>
      </c>
      <c r="F200" s="1" t="s">
        <v>18</v>
      </c>
      <c r="G200" s="1">
        <v>7</v>
      </c>
      <c r="H200" s="1">
        <v>97</v>
      </c>
      <c r="I200" s="1">
        <v>20</v>
      </c>
      <c r="J200" s="4">
        <v>543.20000000000005</v>
      </c>
      <c r="K200" s="4">
        <v>321.83999999999997</v>
      </c>
      <c r="L200" s="4">
        <v>221.36</v>
      </c>
      <c r="M200" s="1" t="str">
        <f>TEXT(Table1[[#This Row],[Order_Date]], "MMM")</f>
        <v>Jul</v>
      </c>
      <c r="N200" s="1">
        <f>YEAR(Table1[[#This Row],[Order_Date]])</f>
        <v>2024</v>
      </c>
      <c r="O200" s="7">
        <f>Table1[[#This Row],[Profit]]/Table1[[#This Row],[Total_Sales]]</f>
        <v>0.40751104565537555</v>
      </c>
    </row>
    <row r="201" spans="1:15" x14ac:dyDescent="0.25">
      <c r="A201" s="1">
        <v>200</v>
      </c>
      <c r="B201" s="2">
        <v>45304</v>
      </c>
      <c r="C201" s="1" t="s">
        <v>12</v>
      </c>
      <c r="D201" s="1" t="s">
        <v>22</v>
      </c>
      <c r="E201" s="1" t="s">
        <v>23</v>
      </c>
      <c r="F201" s="1" t="s">
        <v>31</v>
      </c>
      <c r="G201" s="1">
        <v>8</v>
      </c>
      <c r="H201" s="1">
        <v>306</v>
      </c>
      <c r="I201" s="1">
        <v>10</v>
      </c>
      <c r="J201" s="4">
        <v>2203.1999999999998</v>
      </c>
      <c r="K201" s="4">
        <v>1440.05</v>
      </c>
      <c r="L201" s="4">
        <v>763.15</v>
      </c>
      <c r="M201" s="1" t="str">
        <f>TEXT(Table1[[#This Row],[Order_Date]], "MMM")</f>
        <v>Jan</v>
      </c>
      <c r="N201" s="1">
        <f>YEAR(Table1[[#This Row],[Order_Date]])</f>
        <v>2024</v>
      </c>
      <c r="O201" s="7">
        <f>Table1[[#This Row],[Profit]]/Table1[[#This Row],[Total_Sales]]</f>
        <v>0.34638253449527961</v>
      </c>
    </row>
    <row r="202" spans="1:15" x14ac:dyDescent="0.25">
      <c r="A202" s="1">
        <v>201</v>
      </c>
      <c r="B202" s="2">
        <v>45219</v>
      </c>
      <c r="C202" s="1" t="s">
        <v>19</v>
      </c>
      <c r="D202" s="1" t="s">
        <v>32</v>
      </c>
      <c r="E202" s="1" t="s">
        <v>45</v>
      </c>
      <c r="F202" s="1" t="s">
        <v>24</v>
      </c>
      <c r="G202" s="1">
        <v>5</v>
      </c>
      <c r="H202" s="1">
        <v>20</v>
      </c>
      <c r="I202" s="1">
        <v>15</v>
      </c>
      <c r="J202" s="4">
        <v>85</v>
      </c>
      <c r="K202" s="4">
        <v>43.32</v>
      </c>
      <c r="L202" s="4">
        <v>41.68</v>
      </c>
      <c r="M202" s="1" t="str">
        <f>TEXT(Table1[[#This Row],[Order_Date]], "MMM")</f>
        <v>Oct</v>
      </c>
      <c r="N202" s="1">
        <f>YEAR(Table1[[#This Row],[Order_Date]])</f>
        <v>2023</v>
      </c>
      <c r="O202" s="7">
        <f>Table1[[#This Row],[Profit]]/Table1[[#This Row],[Total_Sales]]</f>
        <v>0.4903529411764706</v>
      </c>
    </row>
    <row r="203" spans="1:15" x14ac:dyDescent="0.25">
      <c r="A203" s="1">
        <v>202</v>
      </c>
      <c r="B203" s="2">
        <v>45399</v>
      </c>
      <c r="C203" s="1" t="s">
        <v>16</v>
      </c>
      <c r="D203" s="1" t="s">
        <v>13</v>
      </c>
      <c r="E203" s="1" t="s">
        <v>14</v>
      </c>
      <c r="F203" s="1" t="s">
        <v>18</v>
      </c>
      <c r="G203" s="1">
        <v>10</v>
      </c>
      <c r="H203" s="1">
        <v>132</v>
      </c>
      <c r="I203" s="1">
        <v>20</v>
      </c>
      <c r="J203" s="4">
        <v>1056</v>
      </c>
      <c r="K203" s="4">
        <v>663.55</v>
      </c>
      <c r="L203" s="4">
        <v>392.45</v>
      </c>
      <c r="M203" s="1" t="str">
        <f>TEXT(Table1[[#This Row],[Order_Date]], "MMM")</f>
        <v>Apr</v>
      </c>
      <c r="N203" s="1">
        <f>YEAR(Table1[[#This Row],[Order_Date]])</f>
        <v>2024</v>
      </c>
      <c r="O203" s="7">
        <f>Table1[[#This Row],[Profit]]/Table1[[#This Row],[Total_Sales]]</f>
        <v>0.37163825757575758</v>
      </c>
    </row>
    <row r="204" spans="1:15" x14ac:dyDescent="0.25">
      <c r="A204" s="1">
        <v>203</v>
      </c>
      <c r="B204" s="2">
        <v>45150</v>
      </c>
      <c r="C204" s="1" t="s">
        <v>19</v>
      </c>
      <c r="D204" s="1" t="s">
        <v>26</v>
      </c>
      <c r="E204" s="1" t="s">
        <v>37</v>
      </c>
      <c r="F204" s="1" t="s">
        <v>35</v>
      </c>
      <c r="G204" s="1">
        <v>7</v>
      </c>
      <c r="H204" s="1">
        <v>763</v>
      </c>
      <c r="I204" s="1">
        <v>0</v>
      </c>
      <c r="J204" s="4">
        <v>5341</v>
      </c>
      <c r="K204" s="4">
        <v>3423.76</v>
      </c>
      <c r="L204" s="4">
        <v>1917.24</v>
      </c>
      <c r="M204" s="1" t="str">
        <f>TEXT(Table1[[#This Row],[Order_Date]], "MMM")</f>
        <v>Aug</v>
      </c>
      <c r="N204" s="1">
        <f>YEAR(Table1[[#This Row],[Order_Date]])</f>
        <v>2023</v>
      </c>
      <c r="O204" s="7">
        <f>Table1[[#This Row],[Profit]]/Table1[[#This Row],[Total_Sales]]</f>
        <v>0.35896648567683953</v>
      </c>
    </row>
    <row r="205" spans="1:15" x14ac:dyDescent="0.25">
      <c r="A205" s="1">
        <v>204</v>
      </c>
      <c r="B205" s="2">
        <v>45301</v>
      </c>
      <c r="C205" s="1" t="s">
        <v>12</v>
      </c>
      <c r="D205" s="1" t="s">
        <v>20</v>
      </c>
      <c r="E205" s="1" t="s">
        <v>28</v>
      </c>
      <c r="F205" s="1" t="s">
        <v>24</v>
      </c>
      <c r="G205" s="1">
        <v>10</v>
      </c>
      <c r="H205" s="1">
        <v>561</v>
      </c>
      <c r="I205" s="1">
        <v>10</v>
      </c>
      <c r="J205" s="4">
        <v>5049</v>
      </c>
      <c r="K205" s="4">
        <v>3883.61</v>
      </c>
      <c r="L205" s="4">
        <v>1165.3900000000001</v>
      </c>
      <c r="M205" s="1" t="str">
        <f>TEXT(Table1[[#This Row],[Order_Date]], "MMM")</f>
        <v>Jan</v>
      </c>
      <c r="N205" s="1">
        <f>YEAR(Table1[[#This Row],[Order_Date]])</f>
        <v>2024</v>
      </c>
      <c r="O205" s="7">
        <f>Table1[[#This Row],[Profit]]/Table1[[#This Row],[Total_Sales]]</f>
        <v>0.23081600316894438</v>
      </c>
    </row>
    <row r="206" spans="1:15" x14ac:dyDescent="0.25">
      <c r="A206" s="1">
        <v>205</v>
      </c>
      <c r="B206" s="2">
        <v>45008</v>
      </c>
      <c r="C206" s="1" t="s">
        <v>25</v>
      </c>
      <c r="D206" s="1" t="s">
        <v>26</v>
      </c>
      <c r="E206" s="1" t="s">
        <v>37</v>
      </c>
      <c r="F206" s="1" t="s">
        <v>40</v>
      </c>
      <c r="G206" s="1">
        <v>9</v>
      </c>
      <c r="H206" s="1">
        <v>536</v>
      </c>
      <c r="I206" s="1">
        <v>15</v>
      </c>
      <c r="J206" s="4">
        <v>4100.3999999999996</v>
      </c>
      <c r="K206" s="4">
        <v>2649.21</v>
      </c>
      <c r="L206" s="4">
        <v>1451.19</v>
      </c>
      <c r="M206" s="1" t="str">
        <f>TEXT(Table1[[#This Row],[Order_Date]], "MMM")</f>
        <v>Mar</v>
      </c>
      <c r="N206" s="1">
        <f>YEAR(Table1[[#This Row],[Order_Date]])</f>
        <v>2023</v>
      </c>
      <c r="O206" s="7">
        <f>Table1[[#This Row],[Profit]]/Table1[[#This Row],[Total_Sales]]</f>
        <v>0.35391425226807144</v>
      </c>
    </row>
    <row r="207" spans="1:15" x14ac:dyDescent="0.25">
      <c r="A207" s="1">
        <v>206</v>
      </c>
      <c r="B207" s="2">
        <v>45569</v>
      </c>
      <c r="C207" s="1" t="s">
        <v>25</v>
      </c>
      <c r="D207" s="1" t="s">
        <v>20</v>
      </c>
      <c r="E207" s="1" t="s">
        <v>30</v>
      </c>
      <c r="F207" s="1" t="s">
        <v>15</v>
      </c>
      <c r="G207" s="1">
        <v>8</v>
      </c>
      <c r="H207" s="1">
        <v>924</v>
      </c>
      <c r="I207" s="1">
        <v>10</v>
      </c>
      <c r="J207" s="4">
        <v>6652.8</v>
      </c>
      <c r="K207" s="4">
        <v>5300.35</v>
      </c>
      <c r="L207" s="4">
        <v>1352.45</v>
      </c>
      <c r="M207" s="1" t="str">
        <f>TEXT(Table1[[#This Row],[Order_Date]], "MMM")</f>
        <v>Oct</v>
      </c>
      <c r="N207" s="1">
        <f>YEAR(Table1[[#This Row],[Order_Date]])</f>
        <v>2024</v>
      </c>
      <c r="O207" s="7">
        <f>Table1[[#This Row],[Profit]]/Table1[[#This Row],[Total_Sales]]</f>
        <v>0.20329034391534392</v>
      </c>
    </row>
    <row r="208" spans="1:15" x14ac:dyDescent="0.25">
      <c r="A208" s="1">
        <v>207</v>
      </c>
      <c r="B208" s="2">
        <v>45293</v>
      </c>
      <c r="C208" s="1" t="s">
        <v>19</v>
      </c>
      <c r="D208" s="1" t="s">
        <v>20</v>
      </c>
      <c r="E208" s="1" t="s">
        <v>21</v>
      </c>
      <c r="F208" s="1" t="s">
        <v>15</v>
      </c>
      <c r="G208" s="1">
        <v>8</v>
      </c>
      <c r="H208" s="1">
        <v>296</v>
      </c>
      <c r="I208" s="1">
        <v>5</v>
      </c>
      <c r="J208" s="4">
        <v>2249.6</v>
      </c>
      <c r="K208" s="4">
        <v>1457.53</v>
      </c>
      <c r="L208" s="4">
        <v>792.07</v>
      </c>
      <c r="M208" s="1" t="str">
        <f>TEXT(Table1[[#This Row],[Order_Date]], "MMM")</f>
        <v>Jan</v>
      </c>
      <c r="N208" s="1">
        <f>YEAR(Table1[[#This Row],[Order_Date]])</f>
        <v>2024</v>
      </c>
      <c r="O208" s="7">
        <f>Table1[[#This Row],[Profit]]/Table1[[#This Row],[Total_Sales]]</f>
        <v>0.35209370554765296</v>
      </c>
    </row>
    <row r="209" spans="1:15" x14ac:dyDescent="0.25">
      <c r="A209" s="1">
        <v>208</v>
      </c>
      <c r="B209" s="2">
        <v>44991</v>
      </c>
      <c r="C209" s="1" t="s">
        <v>19</v>
      </c>
      <c r="D209" s="1" t="s">
        <v>32</v>
      </c>
      <c r="E209" s="1" t="s">
        <v>41</v>
      </c>
      <c r="F209" s="1" t="s">
        <v>31</v>
      </c>
      <c r="G209" s="1">
        <v>9</v>
      </c>
      <c r="H209" s="1">
        <v>353</v>
      </c>
      <c r="I209" s="1">
        <v>5</v>
      </c>
      <c r="J209" s="4">
        <v>3018.15</v>
      </c>
      <c r="K209" s="4">
        <v>2287.0500000000002</v>
      </c>
      <c r="L209" s="4">
        <v>731.1</v>
      </c>
      <c r="M209" s="1" t="str">
        <f>TEXT(Table1[[#This Row],[Order_Date]], "MMM")</f>
        <v>Mar</v>
      </c>
      <c r="N209" s="1">
        <f>YEAR(Table1[[#This Row],[Order_Date]])</f>
        <v>2023</v>
      </c>
      <c r="O209" s="7">
        <f>Table1[[#This Row],[Profit]]/Table1[[#This Row],[Total_Sales]]</f>
        <v>0.24223448138760498</v>
      </c>
    </row>
    <row r="210" spans="1:15" x14ac:dyDescent="0.25">
      <c r="A210" s="1">
        <v>209</v>
      </c>
      <c r="B210" s="2">
        <v>45094</v>
      </c>
      <c r="C210" s="1" t="s">
        <v>12</v>
      </c>
      <c r="D210" s="1" t="s">
        <v>32</v>
      </c>
      <c r="E210" s="1" t="s">
        <v>34</v>
      </c>
      <c r="F210" s="1" t="s">
        <v>40</v>
      </c>
      <c r="G210" s="1">
        <v>3</v>
      </c>
      <c r="H210" s="1">
        <v>905</v>
      </c>
      <c r="I210" s="1">
        <v>0</v>
      </c>
      <c r="J210" s="4">
        <v>2715</v>
      </c>
      <c r="K210" s="4">
        <v>1984.03</v>
      </c>
      <c r="L210" s="4">
        <v>730.97</v>
      </c>
      <c r="M210" s="1" t="str">
        <f>TEXT(Table1[[#This Row],[Order_Date]], "MMM")</f>
        <v>Jun</v>
      </c>
      <c r="N210" s="1">
        <f>YEAR(Table1[[#This Row],[Order_Date]])</f>
        <v>2023</v>
      </c>
      <c r="O210" s="7">
        <f>Table1[[#This Row],[Profit]]/Table1[[#This Row],[Total_Sales]]</f>
        <v>0.26923388581952118</v>
      </c>
    </row>
    <row r="211" spans="1:15" x14ac:dyDescent="0.25">
      <c r="A211" s="1">
        <v>210</v>
      </c>
      <c r="B211" s="2">
        <v>45085</v>
      </c>
      <c r="C211" s="1" t="s">
        <v>12</v>
      </c>
      <c r="D211" s="1" t="s">
        <v>13</v>
      </c>
      <c r="E211" s="1" t="s">
        <v>39</v>
      </c>
      <c r="F211" s="1" t="s">
        <v>35</v>
      </c>
      <c r="G211" s="1">
        <v>2</v>
      </c>
      <c r="H211" s="1">
        <v>124</v>
      </c>
      <c r="I211" s="1">
        <v>10</v>
      </c>
      <c r="J211" s="4">
        <v>223.2</v>
      </c>
      <c r="K211" s="4">
        <v>139.46</v>
      </c>
      <c r="L211" s="4">
        <v>83.74</v>
      </c>
      <c r="M211" s="1" t="str">
        <f>TEXT(Table1[[#This Row],[Order_Date]], "MMM")</f>
        <v>Jun</v>
      </c>
      <c r="N211" s="1">
        <f>YEAR(Table1[[#This Row],[Order_Date]])</f>
        <v>2023</v>
      </c>
      <c r="O211" s="7">
        <f>Table1[[#This Row],[Profit]]/Table1[[#This Row],[Total_Sales]]</f>
        <v>0.37517921146953404</v>
      </c>
    </row>
    <row r="212" spans="1:15" x14ac:dyDescent="0.25">
      <c r="A212" s="1">
        <v>211</v>
      </c>
      <c r="B212" s="2">
        <v>45609</v>
      </c>
      <c r="C212" s="1" t="s">
        <v>12</v>
      </c>
      <c r="D212" s="1" t="s">
        <v>22</v>
      </c>
      <c r="E212" s="1" t="s">
        <v>23</v>
      </c>
      <c r="F212" s="1" t="s">
        <v>35</v>
      </c>
      <c r="G212" s="1">
        <v>7</v>
      </c>
      <c r="H212" s="1">
        <v>526</v>
      </c>
      <c r="I212" s="1">
        <v>0</v>
      </c>
      <c r="J212" s="4">
        <v>3682</v>
      </c>
      <c r="K212" s="4">
        <v>2928.98</v>
      </c>
      <c r="L212" s="4">
        <v>753.02</v>
      </c>
      <c r="M212" s="1" t="str">
        <f>TEXT(Table1[[#This Row],[Order_Date]], "MMM")</f>
        <v>Nov</v>
      </c>
      <c r="N212" s="1">
        <f>YEAR(Table1[[#This Row],[Order_Date]])</f>
        <v>2024</v>
      </c>
      <c r="O212" s="7">
        <f>Table1[[#This Row],[Profit]]/Table1[[#This Row],[Total_Sales]]</f>
        <v>0.20451385116784357</v>
      </c>
    </row>
    <row r="213" spans="1:15" x14ac:dyDescent="0.25">
      <c r="A213" s="1">
        <v>212</v>
      </c>
      <c r="B213" s="2">
        <v>45217</v>
      </c>
      <c r="C213" s="1" t="s">
        <v>25</v>
      </c>
      <c r="D213" s="1" t="s">
        <v>26</v>
      </c>
      <c r="E213" s="1" t="s">
        <v>37</v>
      </c>
      <c r="F213" s="1" t="s">
        <v>35</v>
      </c>
      <c r="G213" s="1">
        <v>5</v>
      </c>
      <c r="H213" s="1">
        <v>740</v>
      </c>
      <c r="I213" s="1">
        <v>10</v>
      </c>
      <c r="J213" s="4">
        <v>3330</v>
      </c>
      <c r="K213" s="4">
        <v>2648.77</v>
      </c>
      <c r="L213" s="4">
        <v>681.23</v>
      </c>
      <c r="M213" s="1" t="str">
        <f>TEXT(Table1[[#This Row],[Order_Date]], "MMM")</f>
        <v>Oct</v>
      </c>
      <c r="N213" s="1">
        <f>YEAR(Table1[[#This Row],[Order_Date]])</f>
        <v>2023</v>
      </c>
      <c r="O213" s="7">
        <f>Table1[[#This Row],[Profit]]/Table1[[#This Row],[Total_Sales]]</f>
        <v>0.20457357357357359</v>
      </c>
    </row>
    <row r="214" spans="1:15" x14ac:dyDescent="0.25">
      <c r="A214" s="1">
        <v>213</v>
      </c>
      <c r="B214" s="2">
        <v>45347</v>
      </c>
      <c r="C214" s="1" t="s">
        <v>19</v>
      </c>
      <c r="D214" s="1" t="s">
        <v>22</v>
      </c>
      <c r="E214" s="1" t="s">
        <v>23</v>
      </c>
      <c r="F214" s="1" t="s">
        <v>35</v>
      </c>
      <c r="G214" s="1">
        <v>9</v>
      </c>
      <c r="H214" s="1">
        <v>333</v>
      </c>
      <c r="I214" s="1">
        <v>20</v>
      </c>
      <c r="J214" s="4">
        <v>2397.6</v>
      </c>
      <c r="K214" s="4">
        <v>1823.43</v>
      </c>
      <c r="L214" s="4">
        <v>574.16999999999996</v>
      </c>
      <c r="M214" s="1" t="str">
        <f>TEXT(Table1[[#This Row],[Order_Date]], "MMM")</f>
        <v>Feb</v>
      </c>
      <c r="N214" s="1">
        <f>YEAR(Table1[[#This Row],[Order_Date]])</f>
        <v>2024</v>
      </c>
      <c r="O214" s="7">
        <f>Table1[[#This Row],[Profit]]/Table1[[#This Row],[Total_Sales]]</f>
        <v>0.23947697697697698</v>
      </c>
    </row>
    <row r="215" spans="1:15" x14ac:dyDescent="0.25">
      <c r="A215" s="1">
        <v>214</v>
      </c>
      <c r="B215" s="2">
        <v>45628</v>
      </c>
      <c r="C215" s="1" t="s">
        <v>12</v>
      </c>
      <c r="D215" s="1" t="s">
        <v>13</v>
      </c>
      <c r="E215" s="1" t="s">
        <v>14</v>
      </c>
      <c r="F215" s="1" t="s">
        <v>40</v>
      </c>
      <c r="G215" s="1">
        <v>7</v>
      </c>
      <c r="H215" s="1">
        <v>705</v>
      </c>
      <c r="I215" s="1">
        <v>5</v>
      </c>
      <c r="J215" s="4">
        <v>4688.25</v>
      </c>
      <c r="K215" s="4">
        <v>2552.8200000000002</v>
      </c>
      <c r="L215" s="4">
        <v>2135.4299999999998</v>
      </c>
      <c r="M215" s="1" t="str">
        <f>TEXT(Table1[[#This Row],[Order_Date]], "MMM")</f>
        <v>Dec</v>
      </c>
      <c r="N215" s="1">
        <f>YEAR(Table1[[#This Row],[Order_Date]])</f>
        <v>2024</v>
      </c>
      <c r="O215" s="7">
        <f>Table1[[#This Row],[Profit]]/Table1[[#This Row],[Total_Sales]]</f>
        <v>0.45548552231642936</v>
      </c>
    </row>
    <row r="216" spans="1:15" x14ac:dyDescent="0.25">
      <c r="A216" s="1">
        <v>215</v>
      </c>
      <c r="B216" s="2">
        <v>45511</v>
      </c>
      <c r="C216" s="1" t="s">
        <v>12</v>
      </c>
      <c r="D216" s="1" t="s">
        <v>13</v>
      </c>
      <c r="E216" s="1" t="s">
        <v>38</v>
      </c>
      <c r="F216" s="1" t="s">
        <v>40</v>
      </c>
      <c r="G216" s="1">
        <v>4</v>
      </c>
      <c r="H216" s="1">
        <v>643</v>
      </c>
      <c r="I216" s="1">
        <v>10</v>
      </c>
      <c r="J216" s="4">
        <v>2314.8000000000002</v>
      </c>
      <c r="K216" s="4">
        <v>1817.12</v>
      </c>
      <c r="L216" s="4">
        <v>497.68</v>
      </c>
      <c r="M216" s="1" t="str">
        <f>TEXT(Table1[[#This Row],[Order_Date]], "MMM")</f>
        <v>Aug</v>
      </c>
      <c r="N216" s="1">
        <f>YEAR(Table1[[#This Row],[Order_Date]])</f>
        <v>2024</v>
      </c>
      <c r="O216" s="7">
        <f>Table1[[#This Row],[Profit]]/Table1[[#This Row],[Total_Sales]]</f>
        <v>0.21499913599447035</v>
      </c>
    </row>
    <row r="217" spans="1:15" x14ac:dyDescent="0.25">
      <c r="A217" s="1">
        <v>216</v>
      </c>
      <c r="B217" s="2">
        <v>45513</v>
      </c>
      <c r="C217" s="1" t="s">
        <v>16</v>
      </c>
      <c r="D217" s="1" t="s">
        <v>22</v>
      </c>
      <c r="E217" s="1" t="s">
        <v>44</v>
      </c>
      <c r="F217" s="1" t="s">
        <v>31</v>
      </c>
      <c r="G217" s="1">
        <v>1</v>
      </c>
      <c r="H217" s="1">
        <v>997</v>
      </c>
      <c r="I217" s="1">
        <v>10</v>
      </c>
      <c r="J217" s="4">
        <v>897.3</v>
      </c>
      <c r="K217" s="4">
        <v>547.97</v>
      </c>
      <c r="L217" s="4">
        <v>349.33</v>
      </c>
      <c r="M217" s="1" t="str">
        <f>TEXT(Table1[[#This Row],[Order_Date]], "MMM")</f>
        <v>Aug</v>
      </c>
      <c r="N217" s="1">
        <f>YEAR(Table1[[#This Row],[Order_Date]])</f>
        <v>2024</v>
      </c>
      <c r="O217" s="7">
        <f>Table1[[#This Row],[Profit]]/Table1[[#This Row],[Total_Sales]]</f>
        <v>0.38931238158921211</v>
      </c>
    </row>
    <row r="218" spans="1:15" x14ac:dyDescent="0.25">
      <c r="A218" s="1">
        <v>217</v>
      </c>
      <c r="B218" s="2">
        <v>45115</v>
      </c>
      <c r="C218" s="1" t="s">
        <v>25</v>
      </c>
      <c r="D218" s="1" t="s">
        <v>26</v>
      </c>
      <c r="E218" s="1" t="s">
        <v>46</v>
      </c>
      <c r="F218" s="1" t="s">
        <v>35</v>
      </c>
      <c r="G218" s="1">
        <v>9</v>
      </c>
      <c r="H218" s="1">
        <v>417</v>
      </c>
      <c r="I218" s="1">
        <v>5</v>
      </c>
      <c r="J218" s="4">
        <v>3565.35</v>
      </c>
      <c r="K218" s="4">
        <v>1954.15</v>
      </c>
      <c r="L218" s="4">
        <v>1611.2</v>
      </c>
      <c r="M218" s="1" t="str">
        <f>TEXT(Table1[[#This Row],[Order_Date]], "MMM")</f>
        <v>Jul</v>
      </c>
      <c r="N218" s="1">
        <f>YEAR(Table1[[#This Row],[Order_Date]])</f>
        <v>2023</v>
      </c>
      <c r="O218" s="7">
        <f>Table1[[#This Row],[Profit]]/Table1[[#This Row],[Total_Sales]]</f>
        <v>0.45190514255262459</v>
      </c>
    </row>
    <row r="219" spans="1:15" x14ac:dyDescent="0.25">
      <c r="A219" s="1">
        <v>218</v>
      </c>
      <c r="B219" s="2">
        <v>44985</v>
      </c>
      <c r="C219" s="1" t="s">
        <v>19</v>
      </c>
      <c r="D219" s="1" t="s">
        <v>13</v>
      </c>
      <c r="E219" s="1" t="s">
        <v>39</v>
      </c>
      <c r="F219" s="1" t="s">
        <v>18</v>
      </c>
      <c r="G219" s="1">
        <v>8</v>
      </c>
      <c r="H219" s="1">
        <v>703</v>
      </c>
      <c r="I219" s="1">
        <v>10</v>
      </c>
      <c r="J219" s="4">
        <v>5061.6000000000004</v>
      </c>
      <c r="K219" s="4">
        <v>2756.23</v>
      </c>
      <c r="L219" s="4">
        <v>2305.37</v>
      </c>
      <c r="M219" s="1" t="str">
        <f>TEXT(Table1[[#This Row],[Order_Date]], "MMM")</f>
        <v>Feb</v>
      </c>
      <c r="N219" s="1">
        <f>YEAR(Table1[[#This Row],[Order_Date]])</f>
        <v>2023</v>
      </c>
      <c r="O219" s="7">
        <f>Table1[[#This Row],[Profit]]/Table1[[#This Row],[Total_Sales]]</f>
        <v>0.45546269954164686</v>
      </c>
    </row>
    <row r="220" spans="1:15" x14ac:dyDescent="0.25">
      <c r="A220" s="1">
        <v>219</v>
      </c>
      <c r="B220" s="2">
        <v>45497</v>
      </c>
      <c r="C220" s="1" t="s">
        <v>25</v>
      </c>
      <c r="D220" s="1" t="s">
        <v>26</v>
      </c>
      <c r="E220" s="1" t="s">
        <v>37</v>
      </c>
      <c r="F220" s="1" t="s">
        <v>40</v>
      </c>
      <c r="G220" s="1">
        <v>1</v>
      </c>
      <c r="H220" s="1">
        <v>905</v>
      </c>
      <c r="I220" s="1">
        <v>0</v>
      </c>
      <c r="J220" s="4">
        <v>905</v>
      </c>
      <c r="K220" s="4">
        <v>516.66</v>
      </c>
      <c r="L220" s="4">
        <v>388.34</v>
      </c>
      <c r="M220" s="1" t="str">
        <f>TEXT(Table1[[#This Row],[Order_Date]], "MMM")</f>
        <v>Jul</v>
      </c>
      <c r="N220" s="1">
        <f>YEAR(Table1[[#This Row],[Order_Date]])</f>
        <v>2024</v>
      </c>
      <c r="O220" s="7">
        <f>Table1[[#This Row],[Profit]]/Table1[[#This Row],[Total_Sales]]</f>
        <v>0.42910497237569056</v>
      </c>
    </row>
    <row r="221" spans="1:15" x14ac:dyDescent="0.25">
      <c r="A221" s="1">
        <v>220</v>
      </c>
      <c r="B221" s="2">
        <v>45179</v>
      </c>
      <c r="C221" s="1" t="s">
        <v>25</v>
      </c>
      <c r="D221" s="1" t="s">
        <v>20</v>
      </c>
      <c r="E221" s="1" t="s">
        <v>30</v>
      </c>
      <c r="F221" s="1" t="s">
        <v>15</v>
      </c>
      <c r="G221" s="1">
        <v>6</v>
      </c>
      <c r="H221" s="1">
        <v>29</v>
      </c>
      <c r="I221" s="1">
        <v>20</v>
      </c>
      <c r="J221" s="4">
        <v>139.19999999999999</v>
      </c>
      <c r="K221" s="4">
        <v>75.33</v>
      </c>
      <c r="L221" s="4">
        <v>63.87</v>
      </c>
      <c r="M221" s="1" t="str">
        <f>TEXT(Table1[[#This Row],[Order_Date]], "MMM")</f>
        <v>Sep</v>
      </c>
      <c r="N221" s="1">
        <f>YEAR(Table1[[#This Row],[Order_Date]])</f>
        <v>2023</v>
      </c>
      <c r="O221" s="7">
        <f>Table1[[#This Row],[Profit]]/Table1[[#This Row],[Total_Sales]]</f>
        <v>0.45883620689655175</v>
      </c>
    </row>
    <row r="222" spans="1:15" x14ac:dyDescent="0.25">
      <c r="A222" s="1">
        <v>221</v>
      </c>
      <c r="B222" s="2">
        <v>45188</v>
      </c>
      <c r="C222" s="1" t="s">
        <v>12</v>
      </c>
      <c r="D222" s="1" t="s">
        <v>22</v>
      </c>
      <c r="E222" s="1" t="s">
        <v>29</v>
      </c>
      <c r="F222" s="1" t="s">
        <v>18</v>
      </c>
      <c r="G222" s="1">
        <v>7</v>
      </c>
      <c r="H222" s="1">
        <v>884</v>
      </c>
      <c r="I222" s="1">
        <v>5</v>
      </c>
      <c r="J222" s="4">
        <v>5878.6</v>
      </c>
      <c r="K222" s="4">
        <v>4373.7299999999996</v>
      </c>
      <c r="L222" s="4">
        <v>1504.87</v>
      </c>
      <c r="M222" s="1" t="str">
        <f>TEXT(Table1[[#This Row],[Order_Date]], "MMM")</f>
        <v>Sep</v>
      </c>
      <c r="N222" s="1">
        <f>YEAR(Table1[[#This Row],[Order_Date]])</f>
        <v>2023</v>
      </c>
      <c r="O222" s="7">
        <f>Table1[[#This Row],[Profit]]/Table1[[#This Row],[Total_Sales]]</f>
        <v>0.25599122239989108</v>
      </c>
    </row>
    <row r="223" spans="1:15" x14ac:dyDescent="0.25">
      <c r="A223" s="1">
        <v>222</v>
      </c>
      <c r="B223" s="2">
        <v>45165</v>
      </c>
      <c r="C223" s="1" t="s">
        <v>19</v>
      </c>
      <c r="D223" s="1" t="s">
        <v>20</v>
      </c>
      <c r="E223" s="1" t="s">
        <v>21</v>
      </c>
      <c r="F223" s="1" t="s">
        <v>15</v>
      </c>
      <c r="G223" s="1">
        <v>4</v>
      </c>
      <c r="H223" s="1">
        <v>161</v>
      </c>
      <c r="I223" s="1">
        <v>10</v>
      </c>
      <c r="J223" s="4">
        <v>579.6</v>
      </c>
      <c r="K223" s="4">
        <v>396.08</v>
      </c>
      <c r="L223" s="4">
        <v>183.52</v>
      </c>
      <c r="M223" s="1" t="str">
        <f>TEXT(Table1[[#This Row],[Order_Date]], "MMM")</f>
        <v>Aug</v>
      </c>
      <c r="N223" s="1">
        <f>YEAR(Table1[[#This Row],[Order_Date]])</f>
        <v>2023</v>
      </c>
      <c r="O223" s="7">
        <f>Table1[[#This Row],[Profit]]/Table1[[#This Row],[Total_Sales]]</f>
        <v>0.316632160110421</v>
      </c>
    </row>
    <row r="224" spans="1:15" x14ac:dyDescent="0.25">
      <c r="A224" s="1">
        <v>223</v>
      </c>
      <c r="B224" s="2">
        <v>45358</v>
      </c>
      <c r="C224" s="1" t="s">
        <v>19</v>
      </c>
      <c r="D224" s="1" t="s">
        <v>20</v>
      </c>
      <c r="E224" s="1" t="s">
        <v>43</v>
      </c>
      <c r="F224" s="1" t="s">
        <v>18</v>
      </c>
      <c r="G224" s="1">
        <v>4</v>
      </c>
      <c r="H224" s="1">
        <v>436</v>
      </c>
      <c r="I224" s="1">
        <v>0</v>
      </c>
      <c r="J224" s="4">
        <v>1744</v>
      </c>
      <c r="K224" s="4">
        <v>1201.5</v>
      </c>
      <c r="L224" s="4">
        <v>542.5</v>
      </c>
      <c r="M224" s="1" t="str">
        <f>TEXT(Table1[[#This Row],[Order_Date]], "MMM")</f>
        <v>Mar</v>
      </c>
      <c r="N224" s="1">
        <f>YEAR(Table1[[#This Row],[Order_Date]])</f>
        <v>2024</v>
      </c>
      <c r="O224" s="7">
        <f>Table1[[#This Row],[Profit]]/Table1[[#This Row],[Total_Sales]]</f>
        <v>0.31106651376146788</v>
      </c>
    </row>
    <row r="225" spans="1:15" x14ac:dyDescent="0.25">
      <c r="A225" s="1">
        <v>224</v>
      </c>
      <c r="B225" s="2">
        <v>45627</v>
      </c>
      <c r="C225" s="1" t="s">
        <v>12</v>
      </c>
      <c r="D225" s="1" t="s">
        <v>22</v>
      </c>
      <c r="E225" s="1" t="s">
        <v>29</v>
      </c>
      <c r="F225" s="1" t="s">
        <v>15</v>
      </c>
      <c r="G225" s="1">
        <v>4</v>
      </c>
      <c r="H225" s="1">
        <v>397</v>
      </c>
      <c r="I225" s="1">
        <v>20</v>
      </c>
      <c r="J225" s="4">
        <v>1270.4000000000001</v>
      </c>
      <c r="K225" s="4">
        <v>693.46</v>
      </c>
      <c r="L225" s="4">
        <v>576.94000000000005</v>
      </c>
      <c r="M225" s="1" t="str">
        <f>TEXT(Table1[[#This Row],[Order_Date]], "MMM")</f>
        <v>Dec</v>
      </c>
      <c r="N225" s="1">
        <f>YEAR(Table1[[#This Row],[Order_Date]])</f>
        <v>2024</v>
      </c>
      <c r="O225" s="7">
        <f>Table1[[#This Row],[Profit]]/Table1[[#This Row],[Total_Sales]]</f>
        <v>0.4541404282115869</v>
      </c>
    </row>
    <row r="226" spans="1:15" x14ac:dyDescent="0.25">
      <c r="A226" s="1">
        <v>225</v>
      </c>
      <c r="B226" s="2">
        <v>45608</v>
      </c>
      <c r="C226" s="1" t="s">
        <v>25</v>
      </c>
      <c r="D226" s="1" t="s">
        <v>20</v>
      </c>
      <c r="E226" s="1" t="s">
        <v>21</v>
      </c>
      <c r="F226" s="1" t="s">
        <v>18</v>
      </c>
      <c r="G226" s="1">
        <v>3</v>
      </c>
      <c r="H226" s="1">
        <v>27</v>
      </c>
      <c r="I226" s="1">
        <v>10</v>
      </c>
      <c r="J226" s="4">
        <v>72.900000000000006</v>
      </c>
      <c r="K226" s="4">
        <v>43.48</v>
      </c>
      <c r="L226" s="4">
        <v>29.42</v>
      </c>
      <c r="M226" s="1" t="str">
        <f>TEXT(Table1[[#This Row],[Order_Date]], "MMM")</f>
        <v>Nov</v>
      </c>
      <c r="N226" s="1">
        <f>YEAR(Table1[[#This Row],[Order_Date]])</f>
        <v>2024</v>
      </c>
      <c r="O226" s="7">
        <f>Table1[[#This Row],[Profit]]/Table1[[#This Row],[Total_Sales]]</f>
        <v>0.40356652949245542</v>
      </c>
    </row>
    <row r="227" spans="1:15" x14ac:dyDescent="0.25">
      <c r="A227" s="1">
        <v>226</v>
      </c>
      <c r="B227" s="2">
        <v>45516</v>
      </c>
      <c r="C227" s="1" t="s">
        <v>25</v>
      </c>
      <c r="D227" s="1" t="s">
        <v>32</v>
      </c>
      <c r="E227" s="1" t="s">
        <v>34</v>
      </c>
      <c r="F227" s="1" t="s">
        <v>40</v>
      </c>
      <c r="G227" s="1">
        <v>7</v>
      </c>
      <c r="H227" s="1">
        <v>443</v>
      </c>
      <c r="I227" s="1">
        <v>0</v>
      </c>
      <c r="J227" s="4">
        <v>3101</v>
      </c>
      <c r="K227" s="4">
        <v>1732.83</v>
      </c>
      <c r="L227" s="4">
        <v>1368.17</v>
      </c>
      <c r="M227" s="1" t="str">
        <f>TEXT(Table1[[#This Row],[Order_Date]], "MMM")</f>
        <v>Aug</v>
      </c>
      <c r="N227" s="1">
        <f>YEAR(Table1[[#This Row],[Order_Date]])</f>
        <v>2024</v>
      </c>
      <c r="O227" s="7">
        <f>Table1[[#This Row],[Profit]]/Table1[[#This Row],[Total_Sales]]</f>
        <v>0.44120283779425995</v>
      </c>
    </row>
    <row r="228" spans="1:15" x14ac:dyDescent="0.25">
      <c r="A228" s="1">
        <v>227</v>
      </c>
      <c r="B228" s="2">
        <v>45560</v>
      </c>
      <c r="C228" s="1" t="s">
        <v>19</v>
      </c>
      <c r="D228" s="1" t="s">
        <v>22</v>
      </c>
      <c r="E228" s="1" t="s">
        <v>36</v>
      </c>
      <c r="F228" s="1" t="s">
        <v>40</v>
      </c>
      <c r="G228" s="1">
        <v>7</v>
      </c>
      <c r="H228" s="1">
        <v>798</v>
      </c>
      <c r="I228" s="1">
        <v>15</v>
      </c>
      <c r="J228" s="4">
        <v>4748.1000000000004</v>
      </c>
      <c r="K228" s="4">
        <v>2928.7</v>
      </c>
      <c r="L228" s="4">
        <v>1819.4</v>
      </c>
      <c r="M228" s="1" t="str">
        <f>TEXT(Table1[[#This Row],[Order_Date]], "MMM")</f>
        <v>Sep</v>
      </c>
      <c r="N228" s="1">
        <f>YEAR(Table1[[#This Row],[Order_Date]])</f>
        <v>2024</v>
      </c>
      <c r="O228" s="7">
        <f>Table1[[#This Row],[Profit]]/Table1[[#This Row],[Total_Sales]]</f>
        <v>0.38318485288852383</v>
      </c>
    </row>
    <row r="229" spans="1:15" x14ac:dyDescent="0.25">
      <c r="A229" s="1">
        <v>228</v>
      </c>
      <c r="B229" s="2">
        <v>45061</v>
      </c>
      <c r="C229" s="1" t="s">
        <v>19</v>
      </c>
      <c r="D229" s="1" t="s">
        <v>26</v>
      </c>
      <c r="E229" s="1" t="s">
        <v>37</v>
      </c>
      <c r="F229" s="1" t="s">
        <v>31</v>
      </c>
      <c r="G229" s="1">
        <v>7</v>
      </c>
      <c r="H229" s="1">
        <v>541</v>
      </c>
      <c r="I229" s="1">
        <v>20</v>
      </c>
      <c r="J229" s="4">
        <v>3029.6</v>
      </c>
      <c r="K229" s="4">
        <v>2240.88</v>
      </c>
      <c r="L229" s="4">
        <v>788.72</v>
      </c>
      <c r="M229" s="1" t="str">
        <f>TEXT(Table1[[#This Row],[Order_Date]], "MMM")</f>
        <v>May</v>
      </c>
      <c r="N229" s="1">
        <f>YEAR(Table1[[#This Row],[Order_Date]])</f>
        <v>2023</v>
      </c>
      <c r="O229" s="7">
        <f>Table1[[#This Row],[Profit]]/Table1[[#This Row],[Total_Sales]]</f>
        <v>0.26033799841563243</v>
      </c>
    </row>
    <row r="230" spans="1:15" x14ac:dyDescent="0.25">
      <c r="A230" s="1">
        <v>229</v>
      </c>
      <c r="B230" s="2">
        <v>45527</v>
      </c>
      <c r="C230" s="1" t="s">
        <v>12</v>
      </c>
      <c r="D230" s="1" t="s">
        <v>20</v>
      </c>
      <c r="E230" s="1" t="s">
        <v>28</v>
      </c>
      <c r="F230" s="1" t="s">
        <v>18</v>
      </c>
      <c r="G230" s="1">
        <v>8</v>
      </c>
      <c r="H230" s="1">
        <v>69</v>
      </c>
      <c r="I230" s="1">
        <v>5</v>
      </c>
      <c r="J230" s="4">
        <v>524.4</v>
      </c>
      <c r="K230" s="4">
        <v>360.73</v>
      </c>
      <c r="L230" s="4">
        <v>163.66999999999999</v>
      </c>
      <c r="M230" s="1" t="str">
        <f>TEXT(Table1[[#This Row],[Order_Date]], "MMM")</f>
        <v>Aug</v>
      </c>
      <c r="N230" s="1">
        <f>YEAR(Table1[[#This Row],[Order_Date]])</f>
        <v>2024</v>
      </c>
      <c r="O230" s="7">
        <f>Table1[[#This Row],[Profit]]/Table1[[#This Row],[Total_Sales]]</f>
        <v>0.31210907704042712</v>
      </c>
    </row>
    <row r="231" spans="1:15" x14ac:dyDescent="0.25">
      <c r="A231" s="1">
        <v>230</v>
      </c>
      <c r="B231" s="2">
        <v>45511</v>
      </c>
      <c r="C231" s="1" t="s">
        <v>12</v>
      </c>
      <c r="D231" s="1" t="s">
        <v>32</v>
      </c>
      <c r="E231" s="1" t="s">
        <v>45</v>
      </c>
      <c r="F231" s="1" t="s">
        <v>40</v>
      </c>
      <c r="G231" s="1">
        <v>10</v>
      </c>
      <c r="H231" s="1">
        <v>649</v>
      </c>
      <c r="I231" s="1">
        <v>20</v>
      </c>
      <c r="J231" s="4">
        <v>5192</v>
      </c>
      <c r="K231" s="4">
        <v>4145.8999999999996</v>
      </c>
      <c r="L231" s="4">
        <v>1046.0999999999999</v>
      </c>
      <c r="M231" s="1" t="str">
        <f>TEXT(Table1[[#This Row],[Order_Date]], "MMM")</f>
        <v>Aug</v>
      </c>
      <c r="N231" s="1">
        <f>YEAR(Table1[[#This Row],[Order_Date]])</f>
        <v>2024</v>
      </c>
      <c r="O231" s="7">
        <f>Table1[[#This Row],[Profit]]/Table1[[#This Row],[Total_Sales]]</f>
        <v>0.2014830508474576</v>
      </c>
    </row>
    <row r="232" spans="1:15" x14ac:dyDescent="0.25">
      <c r="A232" s="1">
        <v>231</v>
      </c>
      <c r="B232" s="2">
        <v>45278</v>
      </c>
      <c r="C232" s="1" t="s">
        <v>25</v>
      </c>
      <c r="D232" s="1" t="s">
        <v>20</v>
      </c>
      <c r="E232" s="1" t="s">
        <v>28</v>
      </c>
      <c r="F232" s="1" t="s">
        <v>24</v>
      </c>
      <c r="G232" s="1">
        <v>1</v>
      </c>
      <c r="H232" s="1">
        <v>388</v>
      </c>
      <c r="I232" s="1">
        <v>15</v>
      </c>
      <c r="J232" s="4">
        <v>329.8</v>
      </c>
      <c r="K232" s="4">
        <v>239.14</v>
      </c>
      <c r="L232" s="4">
        <v>90.66</v>
      </c>
      <c r="M232" s="1" t="str">
        <f>TEXT(Table1[[#This Row],[Order_Date]], "MMM")</f>
        <v>Dec</v>
      </c>
      <c r="N232" s="1">
        <f>YEAR(Table1[[#This Row],[Order_Date]])</f>
        <v>2023</v>
      </c>
      <c r="O232" s="7">
        <f>Table1[[#This Row],[Profit]]/Table1[[#This Row],[Total_Sales]]</f>
        <v>0.27489387507580348</v>
      </c>
    </row>
    <row r="233" spans="1:15" x14ac:dyDescent="0.25">
      <c r="A233" s="1">
        <v>232</v>
      </c>
      <c r="B233" s="2">
        <v>45444</v>
      </c>
      <c r="C233" s="1" t="s">
        <v>19</v>
      </c>
      <c r="D233" s="1" t="s">
        <v>13</v>
      </c>
      <c r="E233" s="1" t="s">
        <v>17</v>
      </c>
      <c r="F233" s="1" t="s">
        <v>40</v>
      </c>
      <c r="G233" s="1">
        <v>3</v>
      </c>
      <c r="H233" s="1">
        <v>826</v>
      </c>
      <c r="I233" s="1">
        <v>10</v>
      </c>
      <c r="J233" s="4">
        <v>2230.1999999999998</v>
      </c>
      <c r="K233" s="4">
        <v>1354.58</v>
      </c>
      <c r="L233" s="4">
        <v>875.62</v>
      </c>
      <c r="M233" s="1" t="str">
        <f>TEXT(Table1[[#This Row],[Order_Date]], "MMM")</f>
        <v>Jun</v>
      </c>
      <c r="N233" s="1">
        <f>YEAR(Table1[[#This Row],[Order_Date]])</f>
        <v>2024</v>
      </c>
      <c r="O233" s="7">
        <f>Table1[[#This Row],[Profit]]/Table1[[#This Row],[Total_Sales]]</f>
        <v>0.39261949600932655</v>
      </c>
    </row>
    <row r="234" spans="1:15" x14ac:dyDescent="0.25">
      <c r="A234" s="1">
        <v>233</v>
      </c>
      <c r="B234" s="2">
        <v>45079</v>
      </c>
      <c r="C234" s="1" t="s">
        <v>12</v>
      </c>
      <c r="D234" s="1" t="s">
        <v>13</v>
      </c>
      <c r="E234" s="1" t="s">
        <v>38</v>
      </c>
      <c r="F234" s="1" t="s">
        <v>24</v>
      </c>
      <c r="G234" s="1">
        <v>7</v>
      </c>
      <c r="H234" s="1">
        <v>582</v>
      </c>
      <c r="I234" s="1">
        <v>0</v>
      </c>
      <c r="J234" s="4">
        <v>4074</v>
      </c>
      <c r="K234" s="4">
        <v>2879.29</v>
      </c>
      <c r="L234" s="4">
        <v>1194.71</v>
      </c>
      <c r="M234" s="1" t="str">
        <f>TEXT(Table1[[#This Row],[Order_Date]], "MMM")</f>
        <v>Jun</v>
      </c>
      <c r="N234" s="1">
        <f>YEAR(Table1[[#This Row],[Order_Date]])</f>
        <v>2023</v>
      </c>
      <c r="O234" s="7">
        <f>Table1[[#This Row],[Profit]]/Table1[[#This Row],[Total_Sales]]</f>
        <v>0.29325233186057931</v>
      </c>
    </row>
    <row r="235" spans="1:15" x14ac:dyDescent="0.25">
      <c r="A235" s="1">
        <v>234</v>
      </c>
      <c r="B235" s="2">
        <v>45210</v>
      </c>
      <c r="C235" s="1" t="s">
        <v>19</v>
      </c>
      <c r="D235" s="1" t="s">
        <v>13</v>
      </c>
      <c r="E235" s="1" t="s">
        <v>38</v>
      </c>
      <c r="F235" s="1" t="s">
        <v>35</v>
      </c>
      <c r="G235" s="1">
        <v>9</v>
      </c>
      <c r="H235" s="1">
        <v>325</v>
      </c>
      <c r="I235" s="1">
        <v>15</v>
      </c>
      <c r="J235" s="4">
        <v>2486.25</v>
      </c>
      <c r="K235" s="4">
        <v>1648.68</v>
      </c>
      <c r="L235" s="4">
        <v>837.57</v>
      </c>
      <c r="M235" s="1" t="str">
        <f>TEXT(Table1[[#This Row],[Order_Date]], "MMM")</f>
        <v>Oct</v>
      </c>
      <c r="N235" s="1">
        <f>YEAR(Table1[[#This Row],[Order_Date]])</f>
        <v>2023</v>
      </c>
      <c r="O235" s="7">
        <f>Table1[[#This Row],[Profit]]/Table1[[#This Row],[Total_Sales]]</f>
        <v>0.33688084464555057</v>
      </c>
    </row>
    <row r="236" spans="1:15" x14ac:dyDescent="0.25">
      <c r="A236" s="1">
        <v>235</v>
      </c>
      <c r="B236" s="2">
        <v>45148</v>
      </c>
      <c r="C236" s="1" t="s">
        <v>19</v>
      </c>
      <c r="D236" s="1" t="s">
        <v>20</v>
      </c>
      <c r="E236" s="1" t="s">
        <v>43</v>
      </c>
      <c r="F236" s="1" t="s">
        <v>24</v>
      </c>
      <c r="G236" s="1">
        <v>6</v>
      </c>
      <c r="H236" s="1">
        <v>782</v>
      </c>
      <c r="I236" s="1">
        <v>0</v>
      </c>
      <c r="J236" s="4">
        <v>4692</v>
      </c>
      <c r="K236" s="4">
        <v>2727.65</v>
      </c>
      <c r="L236" s="4">
        <v>1964.35</v>
      </c>
      <c r="M236" s="1" t="str">
        <f>TEXT(Table1[[#This Row],[Order_Date]], "MMM")</f>
        <v>Aug</v>
      </c>
      <c r="N236" s="1">
        <f>YEAR(Table1[[#This Row],[Order_Date]])</f>
        <v>2023</v>
      </c>
      <c r="O236" s="7">
        <f>Table1[[#This Row],[Profit]]/Table1[[#This Row],[Total_Sales]]</f>
        <v>0.41865942028985503</v>
      </c>
    </row>
    <row r="237" spans="1:15" x14ac:dyDescent="0.25">
      <c r="A237" s="1">
        <v>236</v>
      </c>
      <c r="B237" s="2">
        <v>45590</v>
      </c>
      <c r="C237" s="1" t="s">
        <v>25</v>
      </c>
      <c r="D237" s="1" t="s">
        <v>20</v>
      </c>
      <c r="E237" s="1" t="s">
        <v>21</v>
      </c>
      <c r="F237" s="1" t="s">
        <v>40</v>
      </c>
      <c r="G237" s="1">
        <v>1</v>
      </c>
      <c r="H237" s="1">
        <v>102</v>
      </c>
      <c r="I237" s="1">
        <v>10</v>
      </c>
      <c r="J237" s="4">
        <v>91.8</v>
      </c>
      <c r="K237" s="4">
        <v>57.8</v>
      </c>
      <c r="L237" s="4">
        <v>34</v>
      </c>
      <c r="M237" s="1" t="str">
        <f>TEXT(Table1[[#This Row],[Order_Date]], "MMM")</f>
        <v>Oct</v>
      </c>
      <c r="N237" s="1">
        <f>YEAR(Table1[[#This Row],[Order_Date]])</f>
        <v>2024</v>
      </c>
      <c r="O237" s="7">
        <f>Table1[[#This Row],[Profit]]/Table1[[#This Row],[Total_Sales]]</f>
        <v>0.37037037037037041</v>
      </c>
    </row>
    <row r="238" spans="1:15" x14ac:dyDescent="0.25">
      <c r="A238" s="1">
        <v>237</v>
      </c>
      <c r="B238" s="2">
        <v>45174</v>
      </c>
      <c r="C238" s="1" t="s">
        <v>12</v>
      </c>
      <c r="D238" s="1" t="s">
        <v>20</v>
      </c>
      <c r="E238" s="1" t="s">
        <v>21</v>
      </c>
      <c r="F238" s="1" t="s">
        <v>15</v>
      </c>
      <c r="G238" s="1">
        <v>6</v>
      </c>
      <c r="H238" s="1">
        <v>840</v>
      </c>
      <c r="I238" s="1">
        <v>10</v>
      </c>
      <c r="J238" s="4">
        <v>4536</v>
      </c>
      <c r="K238" s="4">
        <v>2919.94</v>
      </c>
      <c r="L238" s="4">
        <v>1616.06</v>
      </c>
      <c r="M238" s="1" t="str">
        <f>TEXT(Table1[[#This Row],[Order_Date]], "MMM")</f>
        <v>Sep</v>
      </c>
      <c r="N238" s="1">
        <f>YEAR(Table1[[#This Row],[Order_Date]])</f>
        <v>2023</v>
      </c>
      <c r="O238" s="7">
        <f>Table1[[#This Row],[Profit]]/Table1[[#This Row],[Total_Sales]]</f>
        <v>0.3562742504409171</v>
      </c>
    </row>
    <row r="239" spans="1:15" x14ac:dyDescent="0.25">
      <c r="A239" s="1">
        <v>238</v>
      </c>
      <c r="B239" s="2">
        <v>45564</v>
      </c>
      <c r="C239" s="1" t="s">
        <v>19</v>
      </c>
      <c r="D239" s="1" t="s">
        <v>32</v>
      </c>
      <c r="E239" s="1" t="s">
        <v>45</v>
      </c>
      <c r="F239" s="1" t="s">
        <v>31</v>
      </c>
      <c r="G239" s="1">
        <v>2</v>
      </c>
      <c r="H239" s="1">
        <v>349</v>
      </c>
      <c r="I239" s="1">
        <v>20</v>
      </c>
      <c r="J239" s="4">
        <v>558.4</v>
      </c>
      <c r="K239" s="4">
        <v>331.13</v>
      </c>
      <c r="L239" s="4">
        <v>227.27</v>
      </c>
      <c r="M239" s="1" t="str">
        <f>TEXT(Table1[[#This Row],[Order_Date]], "MMM")</f>
        <v>Sep</v>
      </c>
      <c r="N239" s="1">
        <f>YEAR(Table1[[#This Row],[Order_Date]])</f>
        <v>2024</v>
      </c>
      <c r="O239" s="7">
        <f>Table1[[#This Row],[Profit]]/Table1[[#This Row],[Total_Sales]]</f>
        <v>0.40700214899713472</v>
      </c>
    </row>
    <row r="240" spans="1:15" x14ac:dyDescent="0.25">
      <c r="A240" s="1">
        <v>239</v>
      </c>
      <c r="B240" s="2">
        <v>45153</v>
      </c>
      <c r="C240" s="1" t="s">
        <v>16</v>
      </c>
      <c r="D240" s="1" t="s">
        <v>26</v>
      </c>
      <c r="E240" s="1" t="s">
        <v>37</v>
      </c>
      <c r="F240" s="1" t="s">
        <v>31</v>
      </c>
      <c r="G240" s="1">
        <v>1</v>
      </c>
      <c r="H240" s="1">
        <v>208</v>
      </c>
      <c r="I240" s="1">
        <v>0</v>
      </c>
      <c r="J240" s="4">
        <v>208</v>
      </c>
      <c r="K240" s="4">
        <v>138.4</v>
      </c>
      <c r="L240" s="4">
        <v>69.599999999999994</v>
      </c>
      <c r="M240" s="1" t="str">
        <f>TEXT(Table1[[#This Row],[Order_Date]], "MMM")</f>
        <v>Aug</v>
      </c>
      <c r="N240" s="1">
        <f>YEAR(Table1[[#This Row],[Order_Date]])</f>
        <v>2023</v>
      </c>
      <c r="O240" s="7">
        <f>Table1[[#This Row],[Profit]]/Table1[[#This Row],[Total_Sales]]</f>
        <v>0.33461538461538459</v>
      </c>
    </row>
    <row r="241" spans="1:15" x14ac:dyDescent="0.25">
      <c r="A241" s="1">
        <v>240</v>
      </c>
      <c r="B241" s="2">
        <v>45016</v>
      </c>
      <c r="C241" s="1" t="s">
        <v>19</v>
      </c>
      <c r="D241" s="1" t="s">
        <v>26</v>
      </c>
      <c r="E241" s="1" t="s">
        <v>37</v>
      </c>
      <c r="F241" s="1" t="s">
        <v>35</v>
      </c>
      <c r="G241" s="1">
        <v>3</v>
      </c>
      <c r="H241" s="1">
        <v>656</v>
      </c>
      <c r="I241" s="1">
        <v>0</v>
      </c>
      <c r="J241" s="4">
        <v>1968</v>
      </c>
      <c r="K241" s="4">
        <v>1472.84</v>
      </c>
      <c r="L241" s="4">
        <v>495.16</v>
      </c>
      <c r="M241" s="1" t="str">
        <f>TEXT(Table1[[#This Row],[Order_Date]], "MMM")</f>
        <v>Mar</v>
      </c>
      <c r="N241" s="1">
        <f>YEAR(Table1[[#This Row],[Order_Date]])</f>
        <v>2023</v>
      </c>
      <c r="O241" s="7">
        <f>Table1[[#This Row],[Profit]]/Table1[[#This Row],[Total_Sales]]</f>
        <v>0.25160569105691061</v>
      </c>
    </row>
    <row r="242" spans="1:15" x14ac:dyDescent="0.25">
      <c r="A242" s="1">
        <v>241</v>
      </c>
      <c r="B242" s="2">
        <v>45636</v>
      </c>
      <c r="C242" s="1" t="s">
        <v>12</v>
      </c>
      <c r="D242" s="1" t="s">
        <v>22</v>
      </c>
      <c r="E242" s="1" t="s">
        <v>29</v>
      </c>
      <c r="F242" s="1" t="s">
        <v>35</v>
      </c>
      <c r="G242" s="1">
        <v>9</v>
      </c>
      <c r="H242" s="1">
        <v>417</v>
      </c>
      <c r="I242" s="1">
        <v>15</v>
      </c>
      <c r="J242" s="4">
        <v>3190.05</v>
      </c>
      <c r="K242" s="4">
        <v>2227.31</v>
      </c>
      <c r="L242" s="4">
        <v>962.74</v>
      </c>
      <c r="M242" s="1" t="str">
        <f>TEXT(Table1[[#This Row],[Order_Date]], "MMM")</f>
        <v>Dec</v>
      </c>
      <c r="N242" s="1">
        <f>YEAR(Table1[[#This Row],[Order_Date]])</f>
        <v>2024</v>
      </c>
      <c r="O242" s="7">
        <f>Table1[[#This Row],[Profit]]/Table1[[#This Row],[Total_Sales]]</f>
        <v>0.3017946427171988</v>
      </c>
    </row>
    <row r="243" spans="1:15" x14ac:dyDescent="0.25">
      <c r="A243" s="1">
        <v>242</v>
      </c>
      <c r="B243" s="2">
        <v>45149</v>
      </c>
      <c r="C243" s="1" t="s">
        <v>12</v>
      </c>
      <c r="D243" s="1" t="s">
        <v>22</v>
      </c>
      <c r="E243" s="1" t="s">
        <v>44</v>
      </c>
      <c r="F243" s="1" t="s">
        <v>18</v>
      </c>
      <c r="G243" s="1">
        <v>2</v>
      </c>
      <c r="H243" s="1">
        <v>104</v>
      </c>
      <c r="I243" s="1">
        <v>0</v>
      </c>
      <c r="J243" s="4">
        <v>208</v>
      </c>
      <c r="K243" s="4">
        <v>106.88</v>
      </c>
      <c r="L243" s="4">
        <v>101.12</v>
      </c>
      <c r="M243" s="1" t="str">
        <f>TEXT(Table1[[#This Row],[Order_Date]], "MMM")</f>
        <v>Aug</v>
      </c>
      <c r="N243" s="1">
        <f>YEAR(Table1[[#This Row],[Order_Date]])</f>
        <v>2023</v>
      </c>
      <c r="O243" s="7">
        <f>Table1[[#This Row],[Profit]]/Table1[[#This Row],[Total_Sales]]</f>
        <v>0.48615384615384616</v>
      </c>
    </row>
    <row r="244" spans="1:15" x14ac:dyDescent="0.25">
      <c r="A244" s="1">
        <v>243</v>
      </c>
      <c r="B244" s="2">
        <v>44997</v>
      </c>
      <c r="C244" s="1" t="s">
        <v>25</v>
      </c>
      <c r="D244" s="1" t="s">
        <v>32</v>
      </c>
      <c r="E244" s="1" t="s">
        <v>41</v>
      </c>
      <c r="F244" s="1" t="s">
        <v>15</v>
      </c>
      <c r="G244" s="1">
        <v>4</v>
      </c>
      <c r="H244" s="1">
        <v>454</v>
      </c>
      <c r="I244" s="1">
        <v>5</v>
      </c>
      <c r="J244" s="4">
        <v>1725.2</v>
      </c>
      <c r="K244" s="4">
        <v>867.24</v>
      </c>
      <c r="L244" s="4">
        <v>857.96</v>
      </c>
      <c r="M244" s="1" t="str">
        <f>TEXT(Table1[[#This Row],[Order_Date]], "MMM")</f>
        <v>Mar</v>
      </c>
      <c r="N244" s="1">
        <f>YEAR(Table1[[#This Row],[Order_Date]])</f>
        <v>2023</v>
      </c>
      <c r="O244" s="7">
        <f>Table1[[#This Row],[Profit]]/Table1[[#This Row],[Total_Sales]]</f>
        <v>0.49731045675863667</v>
      </c>
    </row>
    <row r="245" spans="1:15" x14ac:dyDescent="0.25">
      <c r="A245" s="1">
        <v>244</v>
      </c>
      <c r="B245" s="2">
        <v>45478</v>
      </c>
      <c r="C245" s="1" t="s">
        <v>12</v>
      </c>
      <c r="D245" s="1" t="s">
        <v>32</v>
      </c>
      <c r="E245" s="1" t="s">
        <v>33</v>
      </c>
      <c r="F245" s="1" t="s">
        <v>15</v>
      </c>
      <c r="G245" s="1">
        <v>3</v>
      </c>
      <c r="H245" s="1">
        <v>885</v>
      </c>
      <c r="I245" s="1">
        <v>0</v>
      </c>
      <c r="J245" s="4">
        <v>2655</v>
      </c>
      <c r="K245" s="4">
        <v>1582.67</v>
      </c>
      <c r="L245" s="4">
        <v>1072.33</v>
      </c>
      <c r="M245" s="1" t="str">
        <f>TEXT(Table1[[#This Row],[Order_Date]], "MMM")</f>
        <v>Jul</v>
      </c>
      <c r="N245" s="1">
        <f>YEAR(Table1[[#This Row],[Order_Date]])</f>
        <v>2024</v>
      </c>
      <c r="O245" s="7">
        <f>Table1[[#This Row],[Profit]]/Table1[[#This Row],[Total_Sales]]</f>
        <v>0.40389077212806024</v>
      </c>
    </row>
    <row r="246" spans="1:15" x14ac:dyDescent="0.25">
      <c r="A246" s="1">
        <v>245</v>
      </c>
      <c r="B246" s="2">
        <v>45259</v>
      </c>
      <c r="C246" s="1" t="s">
        <v>12</v>
      </c>
      <c r="D246" s="1" t="s">
        <v>22</v>
      </c>
      <c r="E246" s="1" t="s">
        <v>23</v>
      </c>
      <c r="F246" s="1" t="s">
        <v>31</v>
      </c>
      <c r="G246" s="1">
        <v>7</v>
      </c>
      <c r="H246" s="1">
        <v>782</v>
      </c>
      <c r="I246" s="1">
        <v>0</v>
      </c>
      <c r="J246" s="4">
        <v>5474</v>
      </c>
      <c r="K246" s="4">
        <v>3220.89</v>
      </c>
      <c r="L246" s="4">
        <v>2253.11</v>
      </c>
      <c r="M246" s="1" t="str">
        <f>TEXT(Table1[[#This Row],[Order_Date]], "MMM")</f>
        <v>Nov</v>
      </c>
      <c r="N246" s="1">
        <f>YEAR(Table1[[#This Row],[Order_Date]])</f>
        <v>2023</v>
      </c>
      <c r="O246" s="7">
        <f>Table1[[#This Row],[Profit]]/Table1[[#This Row],[Total_Sales]]</f>
        <v>0.41160211910851302</v>
      </c>
    </row>
    <row r="247" spans="1:15" x14ac:dyDescent="0.25">
      <c r="A247" s="1">
        <v>246</v>
      </c>
      <c r="B247" s="2">
        <v>45431</v>
      </c>
      <c r="C247" s="1" t="s">
        <v>12</v>
      </c>
      <c r="D247" s="1" t="s">
        <v>32</v>
      </c>
      <c r="E247" s="1" t="s">
        <v>41</v>
      </c>
      <c r="F247" s="1" t="s">
        <v>15</v>
      </c>
      <c r="G247" s="1">
        <v>5</v>
      </c>
      <c r="H247" s="1">
        <v>439</v>
      </c>
      <c r="I247" s="1">
        <v>5</v>
      </c>
      <c r="J247" s="4">
        <v>2085.25</v>
      </c>
      <c r="K247" s="4">
        <v>1398.98</v>
      </c>
      <c r="L247" s="4">
        <v>686.27</v>
      </c>
      <c r="M247" s="1" t="str">
        <f>TEXT(Table1[[#This Row],[Order_Date]], "MMM")</f>
        <v>May</v>
      </c>
      <c r="N247" s="1">
        <f>YEAR(Table1[[#This Row],[Order_Date]])</f>
        <v>2024</v>
      </c>
      <c r="O247" s="7">
        <f>Table1[[#This Row],[Profit]]/Table1[[#This Row],[Total_Sales]]</f>
        <v>0.3291068217240139</v>
      </c>
    </row>
    <row r="248" spans="1:15" x14ac:dyDescent="0.25">
      <c r="A248" s="1">
        <v>247</v>
      </c>
      <c r="B248" s="2">
        <v>45170</v>
      </c>
      <c r="C248" s="1" t="s">
        <v>19</v>
      </c>
      <c r="D248" s="1" t="s">
        <v>32</v>
      </c>
      <c r="E248" s="1" t="s">
        <v>34</v>
      </c>
      <c r="F248" s="1" t="s">
        <v>31</v>
      </c>
      <c r="G248" s="1">
        <v>3</v>
      </c>
      <c r="H248" s="1">
        <v>724</v>
      </c>
      <c r="I248" s="1">
        <v>20</v>
      </c>
      <c r="J248" s="4">
        <v>1737.6</v>
      </c>
      <c r="K248" s="4">
        <v>1014.46</v>
      </c>
      <c r="L248" s="4">
        <v>723.14</v>
      </c>
      <c r="M248" s="1" t="str">
        <f>TEXT(Table1[[#This Row],[Order_Date]], "MMM")</f>
        <v>Sep</v>
      </c>
      <c r="N248" s="1">
        <f>YEAR(Table1[[#This Row],[Order_Date]])</f>
        <v>2023</v>
      </c>
      <c r="O248" s="7">
        <f>Table1[[#This Row],[Profit]]/Table1[[#This Row],[Total_Sales]]</f>
        <v>0.41617173112338862</v>
      </c>
    </row>
    <row r="249" spans="1:15" x14ac:dyDescent="0.25">
      <c r="A249" s="1">
        <v>248</v>
      </c>
      <c r="B249" s="2">
        <v>45163</v>
      </c>
      <c r="C249" s="1" t="s">
        <v>25</v>
      </c>
      <c r="D249" s="1" t="s">
        <v>32</v>
      </c>
      <c r="E249" s="1" t="s">
        <v>34</v>
      </c>
      <c r="F249" s="1" t="s">
        <v>31</v>
      </c>
      <c r="G249" s="1">
        <v>5</v>
      </c>
      <c r="H249" s="1">
        <v>361</v>
      </c>
      <c r="I249" s="1">
        <v>0</v>
      </c>
      <c r="J249" s="4">
        <v>1805</v>
      </c>
      <c r="K249" s="4">
        <v>945.33</v>
      </c>
      <c r="L249" s="4">
        <v>859.67</v>
      </c>
      <c r="M249" s="1" t="str">
        <f>TEXT(Table1[[#This Row],[Order_Date]], "MMM")</f>
        <v>Aug</v>
      </c>
      <c r="N249" s="1">
        <f>YEAR(Table1[[#This Row],[Order_Date]])</f>
        <v>2023</v>
      </c>
      <c r="O249" s="7">
        <f>Table1[[#This Row],[Profit]]/Table1[[#This Row],[Total_Sales]]</f>
        <v>0.47627146814404431</v>
      </c>
    </row>
    <row r="250" spans="1:15" x14ac:dyDescent="0.25">
      <c r="A250" s="1">
        <v>249</v>
      </c>
      <c r="B250" s="2">
        <v>45608</v>
      </c>
      <c r="C250" s="1" t="s">
        <v>12</v>
      </c>
      <c r="D250" s="1" t="s">
        <v>22</v>
      </c>
      <c r="E250" s="1" t="s">
        <v>44</v>
      </c>
      <c r="F250" s="1" t="s">
        <v>24</v>
      </c>
      <c r="G250" s="1">
        <v>6</v>
      </c>
      <c r="H250" s="1">
        <v>36</v>
      </c>
      <c r="I250" s="1">
        <v>15</v>
      </c>
      <c r="J250" s="4">
        <v>183.6</v>
      </c>
      <c r="K250" s="4">
        <v>108.55</v>
      </c>
      <c r="L250" s="4">
        <v>75.05</v>
      </c>
      <c r="M250" s="1" t="str">
        <f>TEXT(Table1[[#This Row],[Order_Date]], "MMM")</f>
        <v>Nov</v>
      </c>
      <c r="N250" s="1">
        <f>YEAR(Table1[[#This Row],[Order_Date]])</f>
        <v>2024</v>
      </c>
      <c r="O250" s="7">
        <f>Table1[[#This Row],[Profit]]/Table1[[#This Row],[Total_Sales]]</f>
        <v>0.4087690631808279</v>
      </c>
    </row>
    <row r="251" spans="1:15" x14ac:dyDescent="0.25">
      <c r="A251" s="1">
        <v>250</v>
      </c>
      <c r="B251" s="2">
        <v>45050</v>
      </c>
      <c r="C251" s="1" t="s">
        <v>16</v>
      </c>
      <c r="D251" s="1" t="s">
        <v>32</v>
      </c>
      <c r="E251" s="1" t="s">
        <v>33</v>
      </c>
      <c r="F251" s="1" t="s">
        <v>31</v>
      </c>
      <c r="G251" s="1">
        <v>8</v>
      </c>
      <c r="H251" s="1">
        <v>306</v>
      </c>
      <c r="I251" s="1">
        <v>20</v>
      </c>
      <c r="J251" s="4">
        <v>1958.4</v>
      </c>
      <c r="K251" s="4">
        <v>1462.39</v>
      </c>
      <c r="L251" s="4">
        <v>496.01</v>
      </c>
      <c r="M251" s="1" t="str">
        <f>TEXT(Table1[[#This Row],[Order_Date]], "MMM")</f>
        <v>May</v>
      </c>
      <c r="N251" s="1">
        <f>YEAR(Table1[[#This Row],[Order_Date]])</f>
        <v>2023</v>
      </c>
      <c r="O251" s="7">
        <f>Table1[[#This Row],[Profit]]/Table1[[#This Row],[Total_Sales]]</f>
        <v>0.25327308006535948</v>
      </c>
    </row>
    <row r="252" spans="1:15" x14ac:dyDescent="0.25">
      <c r="A252" s="1">
        <v>251</v>
      </c>
      <c r="B252" s="2">
        <v>45452</v>
      </c>
      <c r="C252" s="1" t="s">
        <v>19</v>
      </c>
      <c r="D252" s="1" t="s">
        <v>26</v>
      </c>
      <c r="E252" s="1" t="s">
        <v>42</v>
      </c>
      <c r="F252" s="1" t="s">
        <v>18</v>
      </c>
      <c r="G252" s="1">
        <v>3</v>
      </c>
      <c r="H252" s="1">
        <v>193</v>
      </c>
      <c r="I252" s="1">
        <v>10</v>
      </c>
      <c r="J252" s="4">
        <v>521.1</v>
      </c>
      <c r="K252" s="4">
        <v>262.68</v>
      </c>
      <c r="L252" s="4">
        <v>258.42</v>
      </c>
      <c r="M252" s="1" t="str">
        <f>TEXT(Table1[[#This Row],[Order_Date]], "MMM")</f>
        <v>Jun</v>
      </c>
      <c r="N252" s="1">
        <f>YEAR(Table1[[#This Row],[Order_Date]])</f>
        <v>2024</v>
      </c>
      <c r="O252" s="7">
        <f>Table1[[#This Row],[Profit]]/Table1[[#This Row],[Total_Sales]]</f>
        <v>0.49591249280368455</v>
      </c>
    </row>
    <row r="253" spans="1:15" x14ac:dyDescent="0.25">
      <c r="A253" s="1">
        <v>252</v>
      </c>
      <c r="B253" s="2">
        <v>45619</v>
      </c>
      <c r="C253" s="1" t="s">
        <v>12</v>
      </c>
      <c r="D253" s="1" t="s">
        <v>20</v>
      </c>
      <c r="E253" s="1" t="s">
        <v>43</v>
      </c>
      <c r="F253" s="1" t="s">
        <v>35</v>
      </c>
      <c r="G253" s="1">
        <v>4</v>
      </c>
      <c r="H253" s="1">
        <v>844</v>
      </c>
      <c r="I253" s="1">
        <v>10</v>
      </c>
      <c r="J253" s="4">
        <v>3038.4</v>
      </c>
      <c r="K253" s="4">
        <v>2315.0100000000002</v>
      </c>
      <c r="L253" s="4">
        <v>723.39</v>
      </c>
      <c r="M253" s="1" t="str">
        <f>TEXT(Table1[[#This Row],[Order_Date]], "MMM")</f>
        <v>Nov</v>
      </c>
      <c r="N253" s="1">
        <f>YEAR(Table1[[#This Row],[Order_Date]])</f>
        <v>2024</v>
      </c>
      <c r="O253" s="7">
        <f>Table1[[#This Row],[Profit]]/Table1[[#This Row],[Total_Sales]]</f>
        <v>0.23808254344391783</v>
      </c>
    </row>
    <row r="254" spans="1:15" x14ac:dyDescent="0.25">
      <c r="A254" s="1">
        <v>253</v>
      </c>
      <c r="B254" s="2">
        <v>45446</v>
      </c>
      <c r="C254" s="1" t="s">
        <v>25</v>
      </c>
      <c r="D254" s="1" t="s">
        <v>13</v>
      </c>
      <c r="E254" s="1" t="s">
        <v>39</v>
      </c>
      <c r="F254" s="1" t="s">
        <v>18</v>
      </c>
      <c r="G254" s="1">
        <v>5</v>
      </c>
      <c r="H254" s="1">
        <v>978</v>
      </c>
      <c r="I254" s="1">
        <v>15</v>
      </c>
      <c r="J254" s="4">
        <v>4156.5</v>
      </c>
      <c r="K254" s="4">
        <v>2389.64</v>
      </c>
      <c r="L254" s="4">
        <v>1766.86</v>
      </c>
      <c r="M254" s="1" t="str">
        <f>TEXT(Table1[[#This Row],[Order_Date]], "MMM")</f>
        <v>Jun</v>
      </c>
      <c r="N254" s="1">
        <f>YEAR(Table1[[#This Row],[Order_Date]])</f>
        <v>2024</v>
      </c>
      <c r="O254" s="7">
        <f>Table1[[#This Row],[Profit]]/Table1[[#This Row],[Total_Sales]]</f>
        <v>0.42508360399374473</v>
      </c>
    </row>
    <row r="255" spans="1:15" x14ac:dyDescent="0.25">
      <c r="A255" s="1">
        <v>254</v>
      </c>
      <c r="B255" s="2">
        <v>45579</v>
      </c>
      <c r="C255" s="1" t="s">
        <v>12</v>
      </c>
      <c r="D255" s="1" t="s">
        <v>13</v>
      </c>
      <c r="E255" s="1" t="s">
        <v>17</v>
      </c>
      <c r="F255" s="1" t="s">
        <v>35</v>
      </c>
      <c r="G255" s="1">
        <v>6</v>
      </c>
      <c r="H255" s="1">
        <v>60</v>
      </c>
      <c r="I255" s="1">
        <v>20</v>
      </c>
      <c r="J255" s="4">
        <v>288</v>
      </c>
      <c r="K255" s="4">
        <v>227</v>
      </c>
      <c r="L255" s="4">
        <v>61</v>
      </c>
      <c r="M255" s="1" t="str">
        <f>TEXT(Table1[[#This Row],[Order_Date]], "MMM")</f>
        <v>Oct</v>
      </c>
      <c r="N255" s="1">
        <f>YEAR(Table1[[#This Row],[Order_Date]])</f>
        <v>2024</v>
      </c>
      <c r="O255" s="7">
        <f>Table1[[#This Row],[Profit]]/Table1[[#This Row],[Total_Sales]]</f>
        <v>0.21180555555555555</v>
      </c>
    </row>
    <row r="256" spans="1:15" x14ac:dyDescent="0.25">
      <c r="A256" s="1">
        <v>255</v>
      </c>
      <c r="B256" s="2">
        <v>45406</v>
      </c>
      <c r="C256" s="1" t="s">
        <v>12</v>
      </c>
      <c r="D256" s="1" t="s">
        <v>13</v>
      </c>
      <c r="E256" s="1" t="s">
        <v>38</v>
      </c>
      <c r="F256" s="1" t="s">
        <v>15</v>
      </c>
      <c r="G256" s="1">
        <v>2</v>
      </c>
      <c r="H256" s="1">
        <v>774</v>
      </c>
      <c r="I256" s="1">
        <v>10</v>
      </c>
      <c r="J256" s="4">
        <v>1393.2</v>
      </c>
      <c r="K256" s="4">
        <v>750.17</v>
      </c>
      <c r="L256" s="4">
        <v>643.03</v>
      </c>
      <c r="M256" s="1" t="str">
        <f>TEXT(Table1[[#This Row],[Order_Date]], "MMM")</f>
        <v>Apr</v>
      </c>
      <c r="N256" s="1">
        <f>YEAR(Table1[[#This Row],[Order_Date]])</f>
        <v>2024</v>
      </c>
      <c r="O256" s="7">
        <f>Table1[[#This Row],[Profit]]/Table1[[#This Row],[Total_Sales]]</f>
        <v>0.46154895205282798</v>
      </c>
    </row>
    <row r="257" spans="1:15" x14ac:dyDescent="0.25">
      <c r="A257" s="1">
        <v>256</v>
      </c>
      <c r="B257" s="2">
        <v>45393</v>
      </c>
      <c r="C257" s="1" t="s">
        <v>12</v>
      </c>
      <c r="D257" s="1" t="s">
        <v>26</v>
      </c>
      <c r="E257" s="1" t="s">
        <v>42</v>
      </c>
      <c r="F257" s="1" t="s">
        <v>18</v>
      </c>
      <c r="G257" s="1">
        <v>3</v>
      </c>
      <c r="H257" s="1">
        <v>643</v>
      </c>
      <c r="I257" s="1">
        <v>20</v>
      </c>
      <c r="J257" s="4">
        <v>1543.2</v>
      </c>
      <c r="K257" s="4">
        <v>1012.88</v>
      </c>
      <c r="L257" s="4">
        <v>530.32000000000005</v>
      </c>
      <c r="M257" s="1" t="str">
        <f>TEXT(Table1[[#This Row],[Order_Date]], "MMM")</f>
        <v>Apr</v>
      </c>
      <c r="N257" s="1">
        <f>YEAR(Table1[[#This Row],[Order_Date]])</f>
        <v>2024</v>
      </c>
      <c r="O257" s="7">
        <f>Table1[[#This Row],[Profit]]/Table1[[#This Row],[Total_Sales]]</f>
        <v>0.34364955935717989</v>
      </c>
    </row>
    <row r="258" spans="1:15" x14ac:dyDescent="0.25">
      <c r="A258" s="1">
        <v>257</v>
      </c>
      <c r="B258" s="2">
        <v>45476</v>
      </c>
      <c r="C258" s="1" t="s">
        <v>19</v>
      </c>
      <c r="D258" s="1" t="s">
        <v>26</v>
      </c>
      <c r="E258" s="1" t="s">
        <v>27</v>
      </c>
      <c r="F258" s="1" t="s">
        <v>35</v>
      </c>
      <c r="G258" s="1">
        <v>3</v>
      </c>
      <c r="H258" s="1">
        <v>653</v>
      </c>
      <c r="I258" s="1">
        <v>10</v>
      </c>
      <c r="J258" s="4">
        <v>1763.1</v>
      </c>
      <c r="K258" s="4">
        <v>990.29</v>
      </c>
      <c r="L258" s="4">
        <v>772.81</v>
      </c>
      <c r="M258" s="1" t="str">
        <f>TEXT(Table1[[#This Row],[Order_Date]], "MMM")</f>
        <v>Jul</v>
      </c>
      <c r="N258" s="1">
        <f>YEAR(Table1[[#This Row],[Order_Date]])</f>
        <v>2024</v>
      </c>
      <c r="O258" s="7">
        <f>Table1[[#This Row],[Profit]]/Table1[[#This Row],[Total_Sales]]</f>
        <v>0.43832454199988657</v>
      </c>
    </row>
    <row r="259" spans="1:15" x14ac:dyDescent="0.25">
      <c r="A259" s="1">
        <v>258</v>
      </c>
      <c r="B259" s="2">
        <v>45255</v>
      </c>
      <c r="C259" s="1" t="s">
        <v>25</v>
      </c>
      <c r="D259" s="1" t="s">
        <v>26</v>
      </c>
      <c r="E259" s="1" t="s">
        <v>37</v>
      </c>
      <c r="F259" s="1" t="s">
        <v>15</v>
      </c>
      <c r="G259" s="1">
        <v>8</v>
      </c>
      <c r="H259" s="1">
        <v>851</v>
      </c>
      <c r="I259" s="1">
        <v>0</v>
      </c>
      <c r="J259" s="4">
        <v>6808</v>
      </c>
      <c r="K259" s="4">
        <v>4806.87</v>
      </c>
      <c r="L259" s="4">
        <v>2001.13</v>
      </c>
      <c r="M259" s="1" t="str">
        <f>TEXT(Table1[[#This Row],[Order_Date]], "MMM")</f>
        <v>Nov</v>
      </c>
      <c r="N259" s="1">
        <f>YEAR(Table1[[#This Row],[Order_Date]])</f>
        <v>2023</v>
      </c>
      <c r="O259" s="7">
        <f>Table1[[#This Row],[Profit]]/Table1[[#This Row],[Total_Sales]]</f>
        <v>0.29393801410105758</v>
      </c>
    </row>
    <row r="260" spans="1:15" x14ac:dyDescent="0.25">
      <c r="A260" s="1">
        <v>259</v>
      </c>
      <c r="B260" s="2">
        <v>45114</v>
      </c>
      <c r="C260" s="1" t="s">
        <v>12</v>
      </c>
      <c r="D260" s="1" t="s">
        <v>13</v>
      </c>
      <c r="E260" s="1" t="s">
        <v>38</v>
      </c>
      <c r="F260" s="1" t="s">
        <v>24</v>
      </c>
      <c r="G260" s="1">
        <v>6</v>
      </c>
      <c r="H260" s="1">
        <v>701</v>
      </c>
      <c r="I260" s="1">
        <v>0</v>
      </c>
      <c r="J260" s="4">
        <v>4206</v>
      </c>
      <c r="K260" s="4">
        <v>3285.5</v>
      </c>
      <c r="L260" s="4">
        <v>920.5</v>
      </c>
      <c r="M260" s="1" t="str">
        <f>TEXT(Table1[[#This Row],[Order_Date]], "MMM")</f>
        <v>Jul</v>
      </c>
      <c r="N260" s="1">
        <f>YEAR(Table1[[#This Row],[Order_Date]])</f>
        <v>2023</v>
      </c>
      <c r="O260" s="7">
        <f>Table1[[#This Row],[Profit]]/Table1[[#This Row],[Total_Sales]]</f>
        <v>0.21885401806942464</v>
      </c>
    </row>
    <row r="261" spans="1:15" x14ac:dyDescent="0.25">
      <c r="A261" s="1">
        <v>260</v>
      </c>
      <c r="B261" s="2">
        <v>45211</v>
      </c>
      <c r="C261" s="1" t="s">
        <v>25</v>
      </c>
      <c r="D261" s="1" t="s">
        <v>22</v>
      </c>
      <c r="E261" s="1" t="s">
        <v>29</v>
      </c>
      <c r="F261" s="1" t="s">
        <v>15</v>
      </c>
      <c r="G261" s="1">
        <v>1</v>
      </c>
      <c r="H261" s="1">
        <v>269</v>
      </c>
      <c r="I261" s="1">
        <v>5</v>
      </c>
      <c r="J261" s="4">
        <v>255.55</v>
      </c>
      <c r="K261" s="4">
        <v>186.39</v>
      </c>
      <c r="L261" s="4">
        <v>69.16</v>
      </c>
      <c r="M261" s="1" t="str">
        <f>TEXT(Table1[[#This Row],[Order_Date]], "MMM")</f>
        <v>Oct</v>
      </c>
      <c r="N261" s="1">
        <f>YEAR(Table1[[#This Row],[Order_Date]])</f>
        <v>2023</v>
      </c>
      <c r="O261" s="7">
        <f>Table1[[#This Row],[Profit]]/Table1[[#This Row],[Total_Sales]]</f>
        <v>0.27063197026022301</v>
      </c>
    </row>
    <row r="262" spans="1:15" x14ac:dyDescent="0.25">
      <c r="A262" s="1">
        <v>261</v>
      </c>
      <c r="B262" s="2">
        <v>45052</v>
      </c>
      <c r="C262" s="1" t="s">
        <v>25</v>
      </c>
      <c r="D262" s="1" t="s">
        <v>20</v>
      </c>
      <c r="E262" s="1" t="s">
        <v>21</v>
      </c>
      <c r="F262" s="1" t="s">
        <v>31</v>
      </c>
      <c r="G262" s="1">
        <v>10</v>
      </c>
      <c r="H262" s="1">
        <v>598</v>
      </c>
      <c r="I262" s="1">
        <v>0</v>
      </c>
      <c r="J262" s="4">
        <v>5980</v>
      </c>
      <c r="K262" s="4">
        <v>3014</v>
      </c>
      <c r="L262" s="4">
        <v>2966</v>
      </c>
      <c r="M262" s="1" t="str">
        <f>TEXT(Table1[[#This Row],[Order_Date]], "MMM")</f>
        <v>May</v>
      </c>
      <c r="N262" s="1">
        <f>YEAR(Table1[[#This Row],[Order_Date]])</f>
        <v>2023</v>
      </c>
      <c r="O262" s="7">
        <f>Table1[[#This Row],[Profit]]/Table1[[#This Row],[Total_Sales]]</f>
        <v>0.49598662207357858</v>
      </c>
    </row>
    <row r="263" spans="1:15" x14ac:dyDescent="0.25">
      <c r="A263" s="1">
        <v>262</v>
      </c>
      <c r="B263" s="2">
        <v>45570</v>
      </c>
      <c r="C263" s="1" t="s">
        <v>19</v>
      </c>
      <c r="D263" s="1" t="s">
        <v>32</v>
      </c>
      <c r="E263" s="1" t="s">
        <v>33</v>
      </c>
      <c r="F263" s="1" t="s">
        <v>15</v>
      </c>
      <c r="G263" s="1">
        <v>10</v>
      </c>
      <c r="H263" s="1">
        <v>39</v>
      </c>
      <c r="I263" s="1">
        <v>20</v>
      </c>
      <c r="J263" s="4">
        <v>312</v>
      </c>
      <c r="K263" s="4">
        <v>204.94</v>
      </c>
      <c r="L263" s="4">
        <v>107.06</v>
      </c>
      <c r="M263" s="1" t="str">
        <f>TEXT(Table1[[#This Row],[Order_Date]], "MMM")</f>
        <v>Oct</v>
      </c>
      <c r="N263" s="1">
        <f>YEAR(Table1[[#This Row],[Order_Date]])</f>
        <v>2024</v>
      </c>
      <c r="O263" s="7">
        <f>Table1[[#This Row],[Profit]]/Table1[[#This Row],[Total_Sales]]</f>
        <v>0.34314102564102567</v>
      </c>
    </row>
    <row r="264" spans="1:15" x14ac:dyDescent="0.25">
      <c r="A264" s="1">
        <v>263</v>
      </c>
      <c r="B264" s="2">
        <v>45153</v>
      </c>
      <c r="C264" s="1" t="s">
        <v>25</v>
      </c>
      <c r="D264" s="1" t="s">
        <v>13</v>
      </c>
      <c r="E264" s="1" t="s">
        <v>14</v>
      </c>
      <c r="F264" s="1" t="s">
        <v>15</v>
      </c>
      <c r="G264" s="1">
        <v>10</v>
      </c>
      <c r="H264" s="1">
        <v>637</v>
      </c>
      <c r="I264" s="1">
        <v>10</v>
      </c>
      <c r="J264" s="4">
        <v>5733</v>
      </c>
      <c r="K264" s="4">
        <v>3157.86</v>
      </c>
      <c r="L264" s="4">
        <v>2575.14</v>
      </c>
      <c r="M264" s="1" t="str">
        <f>TEXT(Table1[[#This Row],[Order_Date]], "MMM")</f>
        <v>Aug</v>
      </c>
      <c r="N264" s="1">
        <f>YEAR(Table1[[#This Row],[Order_Date]])</f>
        <v>2023</v>
      </c>
      <c r="O264" s="7">
        <f>Table1[[#This Row],[Profit]]/Table1[[#This Row],[Total_Sales]]</f>
        <v>0.44917844060701201</v>
      </c>
    </row>
    <row r="265" spans="1:15" x14ac:dyDescent="0.25">
      <c r="A265" s="1">
        <v>264</v>
      </c>
      <c r="B265" s="2">
        <v>44969</v>
      </c>
      <c r="C265" s="1" t="s">
        <v>25</v>
      </c>
      <c r="D265" s="1" t="s">
        <v>20</v>
      </c>
      <c r="E265" s="1" t="s">
        <v>21</v>
      </c>
      <c r="F265" s="1" t="s">
        <v>24</v>
      </c>
      <c r="G265" s="1">
        <v>1</v>
      </c>
      <c r="H265" s="1">
        <v>828</v>
      </c>
      <c r="I265" s="1">
        <v>20</v>
      </c>
      <c r="J265" s="4">
        <v>662.4</v>
      </c>
      <c r="K265" s="4">
        <v>399.58</v>
      </c>
      <c r="L265" s="4">
        <v>262.82</v>
      </c>
      <c r="M265" s="1" t="str">
        <f>TEXT(Table1[[#This Row],[Order_Date]], "MMM")</f>
        <v>Feb</v>
      </c>
      <c r="N265" s="1">
        <f>YEAR(Table1[[#This Row],[Order_Date]])</f>
        <v>2023</v>
      </c>
      <c r="O265" s="7">
        <f>Table1[[#This Row],[Profit]]/Table1[[#This Row],[Total_Sales]]</f>
        <v>0.39676932367149759</v>
      </c>
    </row>
    <row r="266" spans="1:15" x14ac:dyDescent="0.25">
      <c r="A266" s="1">
        <v>265</v>
      </c>
      <c r="B266" s="2">
        <v>45254</v>
      </c>
      <c r="C266" s="1" t="s">
        <v>12</v>
      </c>
      <c r="D266" s="1" t="s">
        <v>22</v>
      </c>
      <c r="E266" s="1" t="s">
        <v>29</v>
      </c>
      <c r="F266" s="1" t="s">
        <v>18</v>
      </c>
      <c r="G266" s="1">
        <v>9</v>
      </c>
      <c r="H266" s="1">
        <v>442</v>
      </c>
      <c r="I266" s="1">
        <v>0</v>
      </c>
      <c r="J266" s="4">
        <v>3978</v>
      </c>
      <c r="K266" s="4">
        <v>2468.56</v>
      </c>
      <c r="L266" s="4">
        <v>1509.44</v>
      </c>
      <c r="M266" s="1" t="str">
        <f>TEXT(Table1[[#This Row],[Order_Date]], "MMM")</f>
        <v>Nov</v>
      </c>
      <c r="N266" s="1">
        <f>YEAR(Table1[[#This Row],[Order_Date]])</f>
        <v>2023</v>
      </c>
      <c r="O266" s="7">
        <f>Table1[[#This Row],[Profit]]/Table1[[#This Row],[Total_Sales]]</f>
        <v>0.37944695827048769</v>
      </c>
    </row>
    <row r="267" spans="1:15" x14ac:dyDescent="0.25">
      <c r="A267" s="1">
        <v>266</v>
      </c>
      <c r="B267" s="2">
        <v>45015</v>
      </c>
      <c r="C267" s="1" t="s">
        <v>19</v>
      </c>
      <c r="D267" s="1" t="s">
        <v>20</v>
      </c>
      <c r="E267" s="1" t="s">
        <v>21</v>
      </c>
      <c r="F267" s="1" t="s">
        <v>15</v>
      </c>
      <c r="G267" s="1">
        <v>9</v>
      </c>
      <c r="H267" s="1">
        <v>11</v>
      </c>
      <c r="I267" s="1">
        <v>0</v>
      </c>
      <c r="J267" s="4">
        <v>99</v>
      </c>
      <c r="K267" s="4">
        <v>70.86</v>
      </c>
      <c r="L267" s="4">
        <v>28.14</v>
      </c>
      <c r="M267" s="1" t="str">
        <f>TEXT(Table1[[#This Row],[Order_Date]], "MMM")</f>
        <v>Mar</v>
      </c>
      <c r="N267" s="1">
        <f>YEAR(Table1[[#This Row],[Order_Date]])</f>
        <v>2023</v>
      </c>
      <c r="O267" s="7">
        <f>Table1[[#This Row],[Profit]]/Table1[[#This Row],[Total_Sales]]</f>
        <v>0.28424242424242424</v>
      </c>
    </row>
    <row r="268" spans="1:15" x14ac:dyDescent="0.25">
      <c r="A268" s="1">
        <v>267</v>
      </c>
      <c r="B268" s="2">
        <v>45225</v>
      </c>
      <c r="C268" s="1" t="s">
        <v>19</v>
      </c>
      <c r="D268" s="1" t="s">
        <v>13</v>
      </c>
      <c r="E268" s="1" t="s">
        <v>39</v>
      </c>
      <c r="F268" s="1" t="s">
        <v>18</v>
      </c>
      <c r="G268" s="1">
        <v>7</v>
      </c>
      <c r="H268" s="1">
        <v>989</v>
      </c>
      <c r="I268" s="1">
        <v>0</v>
      </c>
      <c r="J268" s="4">
        <v>6923</v>
      </c>
      <c r="K268" s="4">
        <v>4802.08</v>
      </c>
      <c r="L268" s="4">
        <v>2120.92</v>
      </c>
      <c r="M268" s="1" t="str">
        <f>TEXT(Table1[[#This Row],[Order_Date]], "MMM")</f>
        <v>Oct</v>
      </c>
      <c r="N268" s="1">
        <f>YEAR(Table1[[#This Row],[Order_Date]])</f>
        <v>2023</v>
      </c>
      <c r="O268" s="7">
        <f>Table1[[#This Row],[Profit]]/Table1[[#This Row],[Total_Sales]]</f>
        <v>0.30635851509461215</v>
      </c>
    </row>
    <row r="269" spans="1:15" x14ac:dyDescent="0.25">
      <c r="A269" s="1">
        <v>268</v>
      </c>
      <c r="B269" s="2">
        <v>45225</v>
      </c>
      <c r="C269" s="1" t="s">
        <v>19</v>
      </c>
      <c r="D269" s="1" t="s">
        <v>26</v>
      </c>
      <c r="E269" s="1" t="s">
        <v>46</v>
      </c>
      <c r="F269" s="1" t="s">
        <v>18</v>
      </c>
      <c r="G269" s="1">
        <v>8</v>
      </c>
      <c r="H269" s="1">
        <v>393</v>
      </c>
      <c r="I269" s="1">
        <v>15</v>
      </c>
      <c r="J269" s="4">
        <v>2672.4</v>
      </c>
      <c r="K269" s="4">
        <v>1454.62</v>
      </c>
      <c r="L269" s="4">
        <v>1217.78</v>
      </c>
      <c r="M269" s="1" t="str">
        <f>TEXT(Table1[[#This Row],[Order_Date]], "MMM")</f>
        <v>Oct</v>
      </c>
      <c r="N269" s="1">
        <f>YEAR(Table1[[#This Row],[Order_Date]])</f>
        <v>2023</v>
      </c>
      <c r="O269" s="7">
        <f>Table1[[#This Row],[Profit]]/Table1[[#This Row],[Total_Sales]]</f>
        <v>0.45568777129172278</v>
      </c>
    </row>
    <row r="270" spans="1:15" x14ac:dyDescent="0.25">
      <c r="A270" s="1">
        <v>269</v>
      </c>
      <c r="B270" s="2">
        <v>45456</v>
      </c>
      <c r="C270" s="1" t="s">
        <v>12</v>
      </c>
      <c r="D270" s="1" t="s">
        <v>32</v>
      </c>
      <c r="E270" s="1" t="s">
        <v>41</v>
      </c>
      <c r="F270" s="1" t="s">
        <v>15</v>
      </c>
      <c r="G270" s="1">
        <v>5</v>
      </c>
      <c r="H270" s="1">
        <v>537</v>
      </c>
      <c r="I270" s="1">
        <v>15</v>
      </c>
      <c r="J270" s="4">
        <v>2282.25</v>
      </c>
      <c r="K270" s="4">
        <v>1414.63</v>
      </c>
      <c r="L270" s="4">
        <v>867.62</v>
      </c>
      <c r="M270" s="1" t="str">
        <f>TEXT(Table1[[#This Row],[Order_Date]], "MMM")</f>
        <v>Jun</v>
      </c>
      <c r="N270" s="1">
        <f>YEAR(Table1[[#This Row],[Order_Date]])</f>
        <v>2024</v>
      </c>
      <c r="O270" s="7">
        <f>Table1[[#This Row],[Profit]]/Table1[[#This Row],[Total_Sales]]</f>
        <v>0.3801599298937452</v>
      </c>
    </row>
    <row r="271" spans="1:15" x14ac:dyDescent="0.25">
      <c r="A271" s="1">
        <v>270</v>
      </c>
      <c r="B271" s="2">
        <v>44945</v>
      </c>
      <c r="C271" s="1" t="s">
        <v>25</v>
      </c>
      <c r="D271" s="1" t="s">
        <v>20</v>
      </c>
      <c r="E271" s="1" t="s">
        <v>43</v>
      </c>
      <c r="F271" s="1" t="s">
        <v>18</v>
      </c>
      <c r="G271" s="1">
        <v>2</v>
      </c>
      <c r="H271" s="1">
        <v>230</v>
      </c>
      <c r="I271" s="1">
        <v>20</v>
      </c>
      <c r="J271" s="4">
        <v>368</v>
      </c>
      <c r="K271" s="4">
        <v>245.11</v>
      </c>
      <c r="L271" s="4">
        <v>122.89</v>
      </c>
      <c r="M271" s="1" t="str">
        <f>TEXT(Table1[[#This Row],[Order_Date]], "MMM")</f>
        <v>Jan</v>
      </c>
      <c r="N271" s="1">
        <f>YEAR(Table1[[#This Row],[Order_Date]])</f>
        <v>2023</v>
      </c>
      <c r="O271" s="7">
        <f>Table1[[#This Row],[Profit]]/Table1[[#This Row],[Total_Sales]]</f>
        <v>0.33394021739130436</v>
      </c>
    </row>
    <row r="272" spans="1:15" x14ac:dyDescent="0.25">
      <c r="A272" s="1">
        <v>271</v>
      </c>
      <c r="B272" s="2">
        <v>45051</v>
      </c>
      <c r="C272" s="1" t="s">
        <v>25</v>
      </c>
      <c r="D272" s="1" t="s">
        <v>20</v>
      </c>
      <c r="E272" s="1" t="s">
        <v>43</v>
      </c>
      <c r="F272" s="1" t="s">
        <v>24</v>
      </c>
      <c r="G272" s="1">
        <v>9</v>
      </c>
      <c r="H272" s="1">
        <v>771</v>
      </c>
      <c r="I272" s="1">
        <v>0</v>
      </c>
      <c r="J272" s="4">
        <v>6939</v>
      </c>
      <c r="K272" s="4">
        <v>4710.25</v>
      </c>
      <c r="L272" s="4">
        <v>2228.75</v>
      </c>
      <c r="M272" s="1" t="str">
        <f>TEXT(Table1[[#This Row],[Order_Date]], "MMM")</f>
        <v>May</v>
      </c>
      <c r="N272" s="1">
        <f>YEAR(Table1[[#This Row],[Order_Date]])</f>
        <v>2023</v>
      </c>
      <c r="O272" s="7">
        <f>Table1[[#This Row],[Profit]]/Table1[[#This Row],[Total_Sales]]</f>
        <v>0.32119181438247585</v>
      </c>
    </row>
    <row r="273" spans="1:15" x14ac:dyDescent="0.25">
      <c r="A273" s="1">
        <v>272</v>
      </c>
      <c r="B273" s="2">
        <v>45391</v>
      </c>
      <c r="C273" s="1" t="s">
        <v>19</v>
      </c>
      <c r="D273" s="1" t="s">
        <v>32</v>
      </c>
      <c r="E273" s="1" t="s">
        <v>34</v>
      </c>
      <c r="F273" s="1" t="s">
        <v>40</v>
      </c>
      <c r="G273" s="1">
        <v>10</v>
      </c>
      <c r="H273" s="1">
        <v>272</v>
      </c>
      <c r="I273" s="1">
        <v>20</v>
      </c>
      <c r="J273" s="4">
        <v>2176</v>
      </c>
      <c r="K273" s="4">
        <v>1589.09</v>
      </c>
      <c r="L273" s="4">
        <v>586.91</v>
      </c>
      <c r="M273" s="1" t="str">
        <f>TEXT(Table1[[#This Row],[Order_Date]], "MMM")</f>
        <v>Apr</v>
      </c>
      <c r="N273" s="1">
        <f>YEAR(Table1[[#This Row],[Order_Date]])</f>
        <v>2024</v>
      </c>
      <c r="O273" s="7">
        <f>Table1[[#This Row],[Profit]]/Table1[[#This Row],[Total_Sales]]</f>
        <v>0.26971966911764705</v>
      </c>
    </row>
    <row r="274" spans="1:15" x14ac:dyDescent="0.25">
      <c r="A274" s="1">
        <v>273</v>
      </c>
      <c r="B274" s="2">
        <v>45549</v>
      </c>
      <c r="C274" s="1" t="s">
        <v>19</v>
      </c>
      <c r="D274" s="1" t="s">
        <v>20</v>
      </c>
      <c r="E274" s="1" t="s">
        <v>30</v>
      </c>
      <c r="F274" s="1" t="s">
        <v>18</v>
      </c>
      <c r="G274" s="1">
        <v>7</v>
      </c>
      <c r="H274" s="1">
        <v>523</v>
      </c>
      <c r="I274" s="1">
        <v>15</v>
      </c>
      <c r="J274" s="4">
        <v>3111.85</v>
      </c>
      <c r="K274" s="4">
        <v>2186.09</v>
      </c>
      <c r="L274" s="4">
        <v>925.76</v>
      </c>
      <c r="M274" s="1" t="str">
        <f>TEXT(Table1[[#This Row],[Order_Date]], "MMM")</f>
        <v>Sep</v>
      </c>
      <c r="N274" s="1">
        <f>YEAR(Table1[[#This Row],[Order_Date]])</f>
        <v>2024</v>
      </c>
      <c r="O274" s="7">
        <f>Table1[[#This Row],[Profit]]/Table1[[#This Row],[Total_Sales]]</f>
        <v>0.29749505920915209</v>
      </c>
    </row>
    <row r="275" spans="1:15" x14ac:dyDescent="0.25">
      <c r="A275" s="1">
        <v>274</v>
      </c>
      <c r="B275" s="2">
        <v>45586</v>
      </c>
      <c r="C275" s="1" t="s">
        <v>19</v>
      </c>
      <c r="D275" s="1" t="s">
        <v>22</v>
      </c>
      <c r="E275" s="1" t="s">
        <v>29</v>
      </c>
      <c r="F275" s="1" t="s">
        <v>24</v>
      </c>
      <c r="G275" s="1">
        <v>2</v>
      </c>
      <c r="H275" s="1">
        <v>172</v>
      </c>
      <c r="I275" s="1">
        <v>0</v>
      </c>
      <c r="J275" s="4">
        <v>344</v>
      </c>
      <c r="K275" s="4">
        <v>224.47</v>
      </c>
      <c r="L275" s="4">
        <v>119.53</v>
      </c>
      <c r="M275" s="1" t="str">
        <f>TEXT(Table1[[#This Row],[Order_Date]], "MMM")</f>
        <v>Oct</v>
      </c>
      <c r="N275" s="1">
        <f>YEAR(Table1[[#This Row],[Order_Date]])</f>
        <v>2024</v>
      </c>
      <c r="O275" s="7">
        <f>Table1[[#This Row],[Profit]]/Table1[[#This Row],[Total_Sales]]</f>
        <v>0.34747093023255815</v>
      </c>
    </row>
    <row r="276" spans="1:15" x14ac:dyDescent="0.25">
      <c r="A276" s="1">
        <v>275</v>
      </c>
      <c r="B276" s="2">
        <v>45144</v>
      </c>
      <c r="C276" s="1" t="s">
        <v>16</v>
      </c>
      <c r="D276" s="1" t="s">
        <v>26</v>
      </c>
      <c r="E276" s="1" t="s">
        <v>46</v>
      </c>
      <c r="F276" s="1" t="s">
        <v>40</v>
      </c>
      <c r="G276" s="1">
        <v>6</v>
      </c>
      <c r="H276" s="1">
        <v>396</v>
      </c>
      <c r="I276" s="1">
        <v>10</v>
      </c>
      <c r="J276" s="4">
        <v>2138.4</v>
      </c>
      <c r="K276" s="4">
        <v>1656.85</v>
      </c>
      <c r="L276" s="4">
        <v>481.55</v>
      </c>
      <c r="M276" s="1" t="str">
        <f>TEXT(Table1[[#This Row],[Order_Date]], "MMM")</f>
        <v>Aug</v>
      </c>
      <c r="N276" s="1">
        <f>YEAR(Table1[[#This Row],[Order_Date]])</f>
        <v>2023</v>
      </c>
      <c r="O276" s="7">
        <f>Table1[[#This Row],[Profit]]/Table1[[#This Row],[Total_Sales]]</f>
        <v>0.22519173213617658</v>
      </c>
    </row>
    <row r="277" spans="1:15" x14ac:dyDescent="0.25">
      <c r="A277" s="1">
        <v>276</v>
      </c>
      <c r="B277" s="2">
        <v>45585</v>
      </c>
      <c r="C277" s="1" t="s">
        <v>19</v>
      </c>
      <c r="D277" s="1" t="s">
        <v>20</v>
      </c>
      <c r="E277" s="1" t="s">
        <v>30</v>
      </c>
      <c r="F277" s="1" t="s">
        <v>15</v>
      </c>
      <c r="G277" s="1">
        <v>4</v>
      </c>
      <c r="H277" s="1">
        <v>977</v>
      </c>
      <c r="I277" s="1">
        <v>15</v>
      </c>
      <c r="J277" s="4">
        <v>3321.8</v>
      </c>
      <c r="K277" s="4">
        <v>2077.34</v>
      </c>
      <c r="L277" s="4">
        <v>1244.46</v>
      </c>
      <c r="M277" s="1" t="str">
        <f>TEXT(Table1[[#This Row],[Order_Date]], "MMM")</f>
        <v>Oct</v>
      </c>
      <c r="N277" s="1">
        <f>YEAR(Table1[[#This Row],[Order_Date]])</f>
        <v>2024</v>
      </c>
      <c r="O277" s="7">
        <f>Table1[[#This Row],[Profit]]/Table1[[#This Row],[Total_Sales]]</f>
        <v>0.37463423445120114</v>
      </c>
    </row>
    <row r="278" spans="1:15" x14ac:dyDescent="0.25">
      <c r="A278" s="1">
        <v>277</v>
      </c>
      <c r="B278" s="2">
        <v>45253</v>
      </c>
      <c r="C278" s="1" t="s">
        <v>19</v>
      </c>
      <c r="D278" s="1" t="s">
        <v>26</v>
      </c>
      <c r="E278" s="1" t="s">
        <v>27</v>
      </c>
      <c r="F278" s="1" t="s">
        <v>35</v>
      </c>
      <c r="G278" s="1">
        <v>9</v>
      </c>
      <c r="H278" s="1">
        <v>151</v>
      </c>
      <c r="I278" s="1">
        <v>5</v>
      </c>
      <c r="J278" s="4">
        <v>1291.05</v>
      </c>
      <c r="K278" s="4">
        <v>824.06</v>
      </c>
      <c r="L278" s="4">
        <v>466.99</v>
      </c>
      <c r="M278" s="1" t="str">
        <f>TEXT(Table1[[#This Row],[Order_Date]], "MMM")</f>
        <v>Nov</v>
      </c>
      <c r="N278" s="1">
        <f>YEAR(Table1[[#This Row],[Order_Date]])</f>
        <v>2023</v>
      </c>
      <c r="O278" s="7">
        <f>Table1[[#This Row],[Profit]]/Table1[[#This Row],[Total_Sales]]</f>
        <v>0.36171333410789669</v>
      </c>
    </row>
    <row r="279" spans="1:15" x14ac:dyDescent="0.25">
      <c r="A279" s="1">
        <v>278</v>
      </c>
      <c r="B279" s="2">
        <v>45011</v>
      </c>
      <c r="C279" s="1" t="s">
        <v>25</v>
      </c>
      <c r="D279" s="1" t="s">
        <v>26</v>
      </c>
      <c r="E279" s="1" t="s">
        <v>46</v>
      </c>
      <c r="F279" s="1" t="s">
        <v>35</v>
      </c>
      <c r="G279" s="1">
        <v>3</v>
      </c>
      <c r="H279" s="1">
        <v>833</v>
      </c>
      <c r="I279" s="1">
        <v>20</v>
      </c>
      <c r="J279" s="4">
        <v>1999.2</v>
      </c>
      <c r="K279" s="4">
        <v>1354.08</v>
      </c>
      <c r="L279" s="4">
        <v>645.12</v>
      </c>
      <c r="M279" s="1" t="str">
        <f>TEXT(Table1[[#This Row],[Order_Date]], "MMM")</f>
        <v>Mar</v>
      </c>
      <c r="N279" s="1">
        <f>YEAR(Table1[[#This Row],[Order_Date]])</f>
        <v>2023</v>
      </c>
      <c r="O279" s="7">
        <f>Table1[[#This Row],[Profit]]/Table1[[#This Row],[Total_Sales]]</f>
        <v>0.32268907563025212</v>
      </c>
    </row>
    <row r="280" spans="1:15" x14ac:dyDescent="0.25">
      <c r="A280" s="1">
        <v>279</v>
      </c>
      <c r="B280" s="2">
        <v>45552</v>
      </c>
      <c r="C280" s="1" t="s">
        <v>16</v>
      </c>
      <c r="D280" s="1" t="s">
        <v>26</v>
      </c>
      <c r="E280" s="1" t="s">
        <v>37</v>
      </c>
      <c r="F280" s="1" t="s">
        <v>24</v>
      </c>
      <c r="G280" s="1">
        <v>2</v>
      </c>
      <c r="H280" s="1">
        <v>417</v>
      </c>
      <c r="I280" s="1">
        <v>20</v>
      </c>
      <c r="J280" s="4">
        <v>667.2</v>
      </c>
      <c r="K280" s="4">
        <v>519.32000000000005</v>
      </c>
      <c r="L280" s="4">
        <v>147.88</v>
      </c>
      <c r="M280" s="1" t="str">
        <f>TEXT(Table1[[#This Row],[Order_Date]], "MMM")</f>
        <v>Sep</v>
      </c>
      <c r="N280" s="1">
        <f>YEAR(Table1[[#This Row],[Order_Date]])</f>
        <v>2024</v>
      </c>
      <c r="O280" s="7">
        <f>Table1[[#This Row],[Profit]]/Table1[[#This Row],[Total_Sales]]</f>
        <v>0.22164268585131891</v>
      </c>
    </row>
    <row r="281" spans="1:15" x14ac:dyDescent="0.25">
      <c r="A281" s="1">
        <v>280</v>
      </c>
      <c r="B281" s="2">
        <v>45065</v>
      </c>
      <c r="C281" s="1" t="s">
        <v>12</v>
      </c>
      <c r="D281" s="1" t="s">
        <v>20</v>
      </c>
      <c r="E281" s="1" t="s">
        <v>43</v>
      </c>
      <c r="F281" s="1" t="s">
        <v>15</v>
      </c>
      <c r="G281" s="1">
        <v>2</v>
      </c>
      <c r="H281" s="1">
        <v>137</v>
      </c>
      <c r="I281" s="1">
        <v>15</v>
      </c>
      <c r="J281" s="4">
        <v>232.9</v>
      </c>
      <c r="K281" s="4">
        <v>167.97</v>
      </c>
      <c r="L281" s="4">
        <v>64.930000000000007</v>
      </c>
      <c r="M281" s="1" t="str">
        <f>TEXT(Table1[[#This Row],[Order_Date]], "MMM")</f>
        <v>May</v>
      </c>
      <c r="N281" s="1">
        <f>YEAR(Table1[[#This Row],[Order_Date]])</f>
        <v>2023</v>
      </c>
      <c r="O281" s="7">
        <f>Table1[[#This Row],[Profit]]/Table1[[#This Row],[Total_Sales]]</f>
        <v>0.27878917990553886</v>
      </c>
    </row>
    <row r="282" spans="1:15" x14ac:dyDescent="0.25">
      <c r="A282" s="1">
        <v>281</v>
      </c>
      <c r="B282" s="2">
        <v>45320</v>
      </c>
      <c r="C282" s="1" t="s">
        <v>25</v>
      </c>
      <c r="D282" s="1" t="s">
        <v>26</v>
      </c>
      <c r="E282" s="1" t="s">
        <v>27</v>
      </c>
      <c r="F282" s="1" t="s">
        <v>18</v>
      </c>
      <c r="G282" s="1">
        <v>6</v>
      </c>
      <c r="H282" s="1">
        <v>997</v>
      </c>
      <c r="I282" s="1">
        <v>5</v>
      </c>
      <c r="J282" s="4">
        <v>5682.9</v>
      </c>
      <c r="K282" s="4">
        <v>3892.28</v>
      </c>
      <c r="L282" s="4">
        <v>1790.62</v>
      </c>
      <c r="M282" s="1" t="str">
        <f>TEXT(Table1[[#This Row],[Order_Date]], "MMM")</f>
        <v>Jan</v>
      </c>
      <c r="N282" s="1">
        <f>YEAR(Table1[[#This Row],[Order_Date]])</f>
        <v>2024</v>
      </c>
      <c r="O282" s="7">
        <f>Table1[[#This Row],[Profit]]/Table1[[#This Row],[Total_Sales]]</f>
        <v>0.31508912703021347</v>
      </c>
    </row>
    <row r="283" spans="1:15" x14ac:dyDescent="0.25">
      <c r="A283" s="1">
        <v>282</v>
      </c>
      <c r="B283" s="2">
        <v>45167</v>
      </c>
      <c r="C283" s="1" t="s">
        <v>19</v>
      </c>
      <c r="D283" s="1" t="s">
        <v>32</v>
      </c>
      <c r="E283" s="1" t="s">
        <v>41</v>
      </c>
      <c r="F283" s="1" t="s">
        <v>15</v>
      </c>
      <c r="G283" s="1">
        <v>4</v>
      </c>
      <c r="H283" s="1">
        <v>836</v>
      </c>
      <c r="I283" s="1">
        <v>10</v>
      </c>
      <c r="J283" s="4">
        <v>3009.6</v>
      </c>
      <c r="K283" s="4">
        <v>1531.53</v>
      </c>
      <c r="L283" s="4">
        <v>1478.07</v>
      </c>
      <c r="M283" s="1" t="str">
        <f>TEXT(Table1[[#This Row],[Order_Date]], "MMM")</f>
        <v>Aug</v>
      </c>
      <c r="N283" s="1">
        <f>YEAR(Table1[[#This Row],[Order_Date]])</f>
        <v>2023</v>
      </c>
      <c r="O283" s="7">
        <f>Table1[[#This Row],[Profit]]/Table1[[#This Row],[Total_Sales]]</f>
        <v>0.49111842105263159</v>
      </c>
    </row>
    <row r="284" spans="1:15" x14ac:dyDescent="0.25">
      <c r="A284" s="1">
        <v>283</v>
      </c>
      <c r="B284" s="2">
        <v>45463</v>
      </c>
      <c r="C284" s="1" t="s">
        <v>16</v>
      </c>
      <c r="D284" s="1" t="s">
        <v>13</v>
      </c>
      <c r="E284" s="1" t="s">
        <v>39</v>
      </c>
      <c r="F284" s="1" t="s">
        <v>18</v>
      </c>
      <c r="G284" s="1">
        <v>4</v>
      </c>
      <c r="H284" s="1">
        <v>588</v>
      </c>
      <c r="I284" s="1">
        <v>10</v>
      </c>
      <c r="J284" s="4">
        <v>2116.8000000000002</v>
      </c>
      <c r="K284" s="4">
        <v>1689.79</v>
      </c>
      <c r="L284" s="4">
        <v>427.01</v>
      </c>
      <c r="M284" s="1" t="str">
        <f>TEXT(Table1[[#This Row],[Order_Date]], "MMM")</f>
        <v>Jun</v>
      </c>
      <c r="N284" s="1">
        <f>YEAR(Table1[[#This Row],[Order_Date]])</f>
        <v>2024</v>
      </c>
      <c r="O284" s="7">
        <f>Table1[[#This Row],[Profit]]/Table1[[#This Row],[Total_Sales]]</f>
        <v>0.20172430083144366</v>
      </c>
    </row>
    <row r="285" spans="1:15" x14ac:dyDescent="0.25">
      <c r="A285" s="1">
        <v>284</v>
      </c>
      <c r="B285" s="2">
        <v>45604</v>
      </c>
      <c r="C285" s="1" t="s">
        <v>16</v>
      </c>
      <c r="D285" s="1" t="s">
        <v>20</v>
      </c>
      <c r="E285" s="1" t="s">
        <v>21</v>
      </c>
      <c r="F285" s="1" t="s">
        <v>35</v>
      </c>
      <c r="G285" s="1">
        <v>2</v>
      </c>
      <c r="H285" s="1">
        <v>584</v>
      </c>
      <c r="I285" s="1">
        <v>10</v>
      </c>
      <c r="J285" s="4">
        <v>1051.2</v>
      </c>
      <c r="K285" s="4">
        <v>572.89</v>
      </c>
      <c r="L285" s="4">
        <v>478.31</v>
      </c>
      <c r="M285" s="1" t="str">
        <f>TEXT(Table1[[#This Row],[Order_Date]], "MMM")</f>
        <v>Nov</v>
      </c>
      <c r="N285" s="1">
        <f>YEAR(Table1[[#This Row],[Order_Date]])</f>
        <v>2024</v>
      </c>
      <c r="O285" s="7">
        <f>Table1[[#This Row],[Profit]]/Table1[[#This Row],[Total_Sales]]</f>
        <v>0.45501331811263318</v>
      </c>
    </row>
    <row r="286" spans="1:15" x14ac:dyDescent="0.25">
      <c r="A286" s="1">
        <v>285</v>
      </c>
      <c r="B286" s="2">
        <v>45181</v>
      </c>
      <c r="C286" s="1" t="s">
        <v>19</v>
      </c>
      <c r="D286" s="1" t="s">
        <v>32</v>
      </c>
      <c r="E286" s="1" t="s">
        <v>41</v>
      </c>
      <c r="F286" s="1" t="s">
        <v>31</v>
      </c>
      <c r="G286" s="1">
        <v>6</v>
      </c>
      <c r="H286" s="1">
        <v>924</v>
      </c>
      <c r="I286" s="1">
        <v>15</v>
      </c>
      <c r="J286" s="4">
        <v>4712.3999999999996</v>
      </c>
      <c r="K286" s="4">
        <v>3478.27</v>
      </c>
      <c r="L286" s="4">
        <v>1234.1300000000001</v>
      </c>
      <c r="M286" s="1" t="str">
        <f>TEXT(Table1[[#This Row],[Order_Date]], "MMM")</f>
        <v>Sep</v>
      </c>
      <c r="N286" s="1">
        <f>YEAR(Table1[[#This Row],[Order_Date]])</f>
        <v>2023</v>
      </c>
      <c r="O286" s="7">
        <f>Table1[[#This Row],[Profit]]/Table1[[#This Row],[Total_Sales]]</f>
        <v>0.26188990747814284</v>
      </c>
    </row>
    <row r="287" spans="1:15" x14ac:dyDescent="0.25">
      <c r="A287" s="1">
        <v>286</v>
      </c>
      <c r="B287" s="2">
        <v>45226</v>
      </c>
      <c r="C287" s="1" t="s">
        <v>12</v>
      </c>
      <c r="D287" s="1" t="s">
        <v>22</v>
      </c>
      <c r="E287" s="1" t="s">
        <v>44</v>
      </c>
      <c r="F287" s="1" t="s">
        <v>35</v>
      </c>
      <c r="G287" s="1">
        <v>5</v>
      </c>
      <c r="H287" s="1">
        <v>927</v>
      </c>
      <c r="I287" s="1">
        <v>20</v>
      </c>
      <c r="J287" s="4">
        <v>3708</v>
      </c>
      <c r="K287" s="4">
        <v>1867.92</v>
      </c>
      <c r="L287" s="4">
        <v>1840.08</v>
      </c>
      <c r="M287" s="1" t="str">
        <f>TEXT(Table1[[#This Row],[Order_Date]], "MMM")</f>
        <v>Oct</v>
      </c>
      <c r="N287" s="1">
        <f>YEAR(Table1[[#This Row],[Order_Date]])</f>
        <v>2023</v>
      </c>
      <c r="O287" s="7">
        <f>Table1[[#This Row],[Profit]]/Table1[[#This Row],[Total_Sales]]</f>
        <v>0.49624595469255661</v>
      </c>
    </row>
    <row r="288" spans="1:15" x14ac:dyDescent="0.25">
      <c r="A288" s="1">
        <v>287</v>
      </c>
      <c r="B288" s="2">
        <v>45058</v>
      </c>
      <c r="C288" s="1" t="s">
        <v>16</v>
      </c>
      <c r="D288" s="1" t="s">
        <v>22</v>
      </c>
      <c r="E288" s="1" t="s">
        <v>44</v>
      </c>
      <c r="F288" s="1" t="s">
        <v>35</v>
      </c>
      <c r="G288" s="1">
        <v>8</v>
      </c>
      <c r="H288" s="1">
        <v>258</v>
      </c>
      <c r="I288" s="1">
        <v>5</v>
      </c>
      <c r="J288" s="4">
        <v>1960.8</v>
      </c>
      <c r="K288" s="4">
        <v>1354.37</v>
      </c>
      <c r="L288" s="4">
        <v>606.42999999999995</v>
      </c>
      <c r="M288" s="1" t="str">
        <f>TEXT(Table1[[#This Row],[Order_Date]], "MMM")</f>
        <v>May</v>
      </c>
      <c r="N288" s="1">
        <f>YEAR(Table1[[#This Row],[Order_Date]])</f>
        <v>2023</v>
      </c>
      <c r="O288" s="7">
        <f>Table1[[#This Row],[Profit]]/Table1[[#This Row],[Total_Sales]]</f>
        <v>0.30927682578539367</v>
      </c>
    </row>
    <row r="289" spans="1:15" x14ac:dyDescent="0.25">
      <c r="A289" s="1">
        <v>288</v>
      </c>
      <c r="B289" s="2">
        <v>45582</v>
      </c>
      <c r="C289" s="1" t="s">
        <v>25</v>
      </c>
      <c r="D289" s="1" t="s">
        <v>20</v>
      </c>
      <c r="E289" s="1" t="s">
        <v>21</v>
      </c>
      <c r="F289" s="1" t="s">
        <v>35</v>
      </c>
      <c r="G289" s="1">
        <v>7</v>
      </c>
      <c r="H289" s="1">
        <v>695</v>
      </c>
      <c r="I289" s="1">
        <v>0</v>
      </c>
      <c r="J289" s="4">
        <v>4865</v>
      </c>
      <c r="K289" s="4">
        <v>3601.03</v>
      </c>
      <c r="L289" s="4">
        <v>1263.97</v>
      </c>
      <c r="M289" s="1" t="str">
        <f>TEXT(Table1[[#This Row],[Order_Date]], "MMM")</f>
        <v>Oct</v>
      </c>
      <c r="N289" s="1">
        <f>YEAR(Table1[[#This Row],[Order_Date]])</f>
        <v>2024</v>
      </c>
      <c r="O289" s="7">
        <f>Table1[[#This Row],[Profit]]/Table1[[#This Row],[Total_Sales]]</f>
        <v>0.25980883864337101</v>
      </c>
    </row>
    <row r="290" spans="1:15" x14ac:dyDescent="0.25">
      <c r="A290" s="1">
        <v>289</v>
      </c>
      <c r="B290" s="2">
        <v>45555</v>
      </c>
      <c r="C290" s="1" t="s">
        <v>25</v>
      </c>
      <c r="D290" s="1" t="s">
        <v>26</v>
      </c>
      <c r="E290" s="1" t="s">
        <v>27</v>
      </c>
      <c r="F290" s="1" t="s">
        <v>24</v>
      </c>
      <c r="G290" s="1">
        <v>3</v>
      </c>
      <c r="H290" s="1">
        <v>58</v>
      </c>
      <c r="I290" s="1">
        <v>20</v>
      </c>
      <c r="J290" s="4">
        <v>139.19999999999999</v>
      </c>
      <c r="K290" s="4">
        <v>110.66</v>
      </c>
      <c r="L290" s="4">
        <v>28.54</v>
      </c>
      <c r="M290" s="1" t="str">
        <f>TEXT(Table1[[#This Row],[Order_Date]], "MMM")</f>
        <v>Sep</v>
      </c>
      <c r="N290" s="1">
        <f>YEAR(Table1[[#This Row],[Order_Date]])</f>
        <v>2024</v>
      </c>
      <c r="O290" s="7">
        <f>Table1[[#This Row],[Profit]]/Table1[[#This Row],[Total_Sales]]</f>
        <v>0.20502873563218391</v>
      </c>
    </row>
    <row r="291" spans="1:15" x14ac:dyDescent="0.25">
      <c r="A291" s="1">
        <v>290</v>
      </c>
      <c r="B291" s="2">
        <v>44960</v>
      </c>
      <c r="C291" s="1" t="s">
        <v>25</v>
      </c>
      <c r="D291" s="1" t="s">
        <v>20</v>
      </c>
      <c r="E291" s="1" t="s">
        <v>30</v>
      </c>
      <c r="F291" s="1" t="s">
        <v>15</v>
      </c>
      <c r="G291" s="1">
        <v>1</v>
      </c>
      <c r="H291" s="1">
        <v>162</v>
      </c>
      <c r="I291" s="1">
        <v>10</v>
      </c>
      <c r="J291" s="4">
        <v>145.80000000000001</v>
      </c>
      <c r="K291" s="4">
        <v>108.24</v>
      </c>
      <c r="L291" s="4">
        <v>37.56</v>
      </c>
      <c r="M291" s="1" t="str">
        <f>TEXT(Table1[[#This Row],[Order_Date]], "MMM")</f>
        <v>Feb</v>
      </c>
      <c r="N291" s="1">
        <f>YEAR(Table1[[#This Row],[Order_Date]])</f>
        <v>2023</v>
      </c>
      <c r="O291" s="7">
        <f>Table1[[#This Row],[Profit]]/Table1[[#This Row],[Total_Sales]]</f>
        <v>0.25761316872427981</v>
      </c>
    </row>
    <row r="292" spans="1:15" x14ac:dyDescent="0.25">
      <c r="A292" s="1">
        <v>291</v>
      </c>
      <c r="B292" s="2">
        <v>45100</v>
      </c>
      <c r="C292" s="1" t="s">
        <v>12</v>
      </c>
      <c r="D292" s="1" t="s">
        <v>32</v>
      </c>
      <c r="E292" s="1" t="s">
        <v>34</v>
      </c>
      <c r="F292" s="1" t="s">
        <v>40</v>
      </c>
      <c r="G292" s="1">
        <v>3</v>
      </c>
      <c r="H292" s="1">
        <v>498</v>
      </c>
      <c r="I292" s="1">
        <v>10</v>
      </c>
      <c r="J292" s="4">
        <v>1344.6</v>
      </c>
      <c r="K292" s="4">
        <v>919.44</v>
      </c>
      <c r="L292" s="4">
        <v>425.16</v>
      </c>
      <c r="M292" s="1" t="str">
        <f>TEXT(Table1[[#This Row],[Order_Date]], "MMM")</f>
        <v>Jun</v>
      </c>
      <c r="N292" s="1">
        <f>YEAR(Table1[[#This Row],[Order_Date]])</f>
        <v>2023</v>
      </c>
      <c r="O292" s="7">
        <f>Table1[[#This Row],[Profit]]/Table1[[#This Row],[Total_Sales]]</f>
        <v>0.31619812583668011</v>
      </c>
    </row>
    <row r="293" spans="1:15" x14ac:dyDescent="0.25">
      <c r="A293" s="1">
        <v>292</v>
      </c>
      <c r="B293" s="2">
        <v>45018</v>
      </c>
      <c r="C293" s="1" t="s">
        <v>16</v>
      </c>
      <c r="D293" s="1" t="s">
        <v>22</v>
      </c>
      <c r="E293" s="1" t="s">
        <v>44</v>
      </c>
      <c r="F293" s="1" t="s">
        <v>35</v>
      </c>
      <c r="G293" s="1">
        <v>7</v>
      </c>
      <c r="H293" s="1">
        <v>724</v>
      </c>
      <c r="I293" s="1">
        <v>10</v>
      </c>
      <c r="J293" s="4">
        <v>4561.2</v>
      </c>
      <c r="K293" s="4">
        <v>3505.28</v>
      </c>
      <c r="L293" s="4">
        <v>1055.92</v>
      </c>
      <c r="M293" s="1" t="str">
        <f>TEXT(Table1[[#This Row],[Order_Date]], "MMM")</f>
        <v>Apr</v>
      </c>
      <c r="N293" s="1">
        <f>YEAR(Table1[[#This Row],[Order_Date]])</f>
        <v>2023</v>
      </c>
      <c r="O293" s="7">
        <f>Table1[[#This Row],[Profit]]/Table1[[#This Row],[Total_Sales]]</f>
        <v>0.23150048232921164</v>
      </c>
    </row>
    <row r="294" spans="1:15" x14ac:dyDescent="0.25">
      <c r="A294" s="1">
        <v>293</v>
      </c>
      <c r="B294" s="2">
        <v>45457</v>
      </c>
      <c r="C294" s="1" t="s">
        <v>12</v>
      </c>
      <c r="D294" s="1" t="s">
        <v>13</v>
      </c>
      <c r="E294" s="1" t="s">
        <v>39</v>
      </c>
      <c r="F294" s="1" t="s">
        <v>35</v>
      </c>
      <c r="G294" s="1">
        <v>10</v>
      </c>
      <c r="H294" s="1">
        <v>468</v>
      </c>
      <c r="I294" s="1">
        <v>10</v>
      </c>
      <c r="J294" s="4">
        <v>4212</v>
      </c>
      <c r="K294" s="4">
        <v>3000.97</v>
      </c>
      <c r="L294" s="4">
        <v>1211.03</v>
      </c>
      <c r="M294" s="1" t="str">
        <f>TEXT(Table1[[#This Row],[Order_Date]], "MMM")</f>
        <v>Jun</v>
      </c>
      <c r="N294" s="1">
        <f>YEAR(Table1[[#This Row],[Order_Date]])</f>
        <v>2024</v>
      </c>
      <c r="O294" s="7">
        <f>Table1[[#This Row],[Profit]]/Table1[[#This Row],[Total_Sales]]</f>
        <v>0.28751899335232667</v>
      </c>
    </row>
    <row r="295" spans="1:15" x14ac:dyDescent="0.25">
      <c r="A295" s="1">
        <v>294</v>
      </c>
      <c r="B295" s="2">
        <v>45536</v>
      </c>
      <c r="C295" s="1" t="s">
        <v>16</v>
      </c>
      <c r="D295" s="1" t="s">
        <v>13</v>
      </c>
      <c r="E295" s="1" t="s">
        <v>14</v>
      </c>
      <c r="F295" s="1" t="s">
        <v>31</v>
      </c>
      <c r="G295" s="1">
        <v>5</v>
      </c>
      <c r="H295" s="1">
        <v>22</v>
      </c>
      <c r="I295" s="1">
        <v>20</v>
      </c>
      <c r="J295" s="4">
        <v>88</v>
      </c>
      <c r="K295" s="4">
        <v>48.35</v>
      </c>
      <c r="L295" s="4">
        <v>39.65</v>
      </c>
      <c r="M295" s="1" t="str">
        <f>TEXT(Table1[[#This Row],[Order_Date]], "MMM")</f>
        <v>Sep</v>
      </c>
      <c r="N295" s="1">
        <f>YEAR(Table1[[#This Row],[Order_Date]])</f>
        <v>2024</v>
      </c>
      <c r="O295" s="7">
        <f>Table1[[#This Row],[Profit]]/Table1[[#This Row],[Total_Sales]]</f>
        <v>0.45056818181818181</v>
      </c>
    </row>
    <row r="296" spans="1:15" x14ac:dyDescent="0.25">
      <c r="A296" s="1">
        <v>295</v>
      </c>
      <c r="B296" s="2">
        <v>45210</v>
      </c>
      <c r="C296" s="1" t="s">
        <v>12</v>
      </c>
      <c r="D296" s="1" t="s">
        <v>20</v>
      </c>
      <c r="E296" s="1" t="s">
        <v>28</v>
      </c>
      <c r="F296" s="1" t="s">
        <v>35</v>
      </c>
      <c r="G296" s="1">
        <v>10</v>
      </c>
      <c r="H296" s="1">
        <v>872</v>
      </c>
      <c r="I296" s="1">
        <v>0</v>
      </c>
      <c r="J296" s="4">
        <v>8720</v>
      </c>
      <c r="K296" s="4">
        <v>4535.83</v>
      </c>
      <c r="L296" s="4">
        <v>4184.17</v>
      </c>
      <c r="M296" s="1" t="str">
        <f>TEXT(Table1[[#This Row],[Order_Date]], "MMM")</f>
        <v>Oct</v>
      </c>
      <c r="N296" s="1">
        <f>YEAR(Table1[[#This Row],[Order_Date]])</f>
        <v>2023</v>
      </c>
      <c r="O296" s="7">
        <f>Table1[[#This Row],[Profit]]/Table1[[#This Row],[Total_Sales]]</f>
        <v>0.47983600917431196</v>
      </c>
    </row>
    <row r="297" spans="1:15" x14ac:dyDescent="0.25">
      <c r="A297" s="1">
        <v>296</v>
      </c>
      <c r="B297" s="2">
        <v>45195</v>
      </c>
      <c r="C297" s="1" t="s">
        <v>16</v>
      </c>
      <c r="D297" s="1" t="s">
        <v>22</v>
      </c>
      <c r="E297" s="1" t="s">
        <v>36</v>
      </c>
      <c r="F297" s="1" t="s">
        <v>15</v>
      </c>
      <c r="G297" s="1">
        <v>6</v>
      </c>
      <c r="H297" s="1">
        <v>572</v>
      </c>
      <c r="I297" s="1">
        <v>0</v>
      </c>
      <c r="J297" s="4">
        <v>3432</v>
      </c>
      <c r="K297" s="4">
        <v>2069.8000000000002</v>
      </c>
      <c r="L297" s="4">
        <v>1362.2</v>
      </c>
      <c r="M297" s="1" t="str">
        <f>TEXT(Table1[[#This Row],[Order_Date]], "MMM")</f>
        <v>Sep</v>
      </c>
      <c r="N297" s="1">
        <f>YEAR(Table1[[#This Row],[Order_Date]])</f>
        <v>2023</v>
      </c>
      <c r="O297" s="7">
        <f>Table1[[#This Row],[Profit]]/Table1[[#This Row],[Total_Sales]]</f>
        <v>0.39691142191142192</v>
      </c>
    </row>
    <row r="298" spans="1:15" x14ac:dyDescent="0.25">
      <c r="A298" s="1">
        <v>297</v>
      </c>
      <c r="B298" s="2">
        <v>45602</v>
      </c>
      <c r="C298" s="1" t="s">
        <v>12</v>
      </c>
      <c r="D298" s="1" t="s">
        <v>20</v>
      </c>
      <c r="E298" s="1" t="s">
        <v>28</v>
      </c>
      <c r="F298" s="1" t="s">
        <v>24</v>
      </c>
      <c r="G298" s="1">
        <v>3</v>
      </c>
      <c r="H298" s="1">
        <v>926</v>
      </c>
      <c r="I298" s="1">
        <v>15</v>
      </c>
      <c r="J298" s="4">
        <v>2361.3000000000002</v>
      </c>
      <c r="K298" s="4">
        <v>1664.38</v>
      </c>
      <c r="L298" s="4">
        <v>696.92</v>
      </c>
      <c r="M298" s="1" t="str">
        <f>TEXT(Table1[[#This Row],[Order_Date]], "MMM")</f>
        <v>Nov</v>
      </c>
      <c r="N298" s="1">
        <f>YEAR(Table1[[#This Row],[Order_Date]])</f>
        <v>2024</v>
      </c>
      <c r="O298" s="7">
        <f>Table1[[#This Row],[Profit]]/Table1[[#This Row],[Total_Sales]]</f>
        <v>0.29514250624655908</v>
      </c>
    </row>
    <row r="299" spans="1:15" x14ac:dyDescent="0.25">
      <c r="A299" s="1">
        <v>298</v>
      </c>
      <c r="B299" s="2">
        <v>45545</v>
      </c>
      <c r="C299" s="1" t="s">
        <v>16</v>
      </c>
      <c r="D299" s="1" t="s">
        <v>22</v>
      </c>
      <c r="E299" s="1" t="s">
        <v>36</v>
      </c>
      <c r="F299" s="1" t="s">
        <v>31</v>
      </c>
      <c r="G299" s="1">
        <v>8</v>
      </c>
      <c r="H299" s="1">
        <v>652</v>
      </c>
      <c r="I299" s="1">
        <v>5</v>
      </c>
      <c r="J299" s="4">
        <v>4955.2</v>
      </c>
      <c r="K299" s="4">
        <v>3867.45</v>
      </c>
      <c r="L299" s="4">
        <v>1087.75</v>
      </c>
      <c r="M299" s="1" t="str">
        <f>TEXT(Table1[[#This Row],[Order_Date]], "MMM")</f>
        <v>Sep</v>
      </c>
      <c r="N299" s="1">
        <f>YEAR(Table1[[#This Row],[Order_Date]])</f>
        <v>2024</v>
      </c>
      <c r="O299" s="7">
        <f>Table1[[#This Row],[Profit]]/Table1[[#This Row],[Total_Sales]]</f>
        <v>0.21951687116564417</v>
      </c>
    </row>
    <row r="300" spans="1:15" x14ac:dyDescent="0.25">
      <c r="A300" s="1">
        <v>299</v>
      </c>
      <c r="B300" s="2">
        <v>45507</v>
      </c>
      <c r="C300" s="1" t="s">
        <v>19</v>
      </c>
      <c r="D300" s="1" t="s">
        <v>26</v>
      </c>
      <c r="E300" s="1" t="s">
        <v>46</v>
      </c>
      <c r="F300" s="1" t="s">
        <v>15</v>
      </c>
      <c r="G300" s="1">
        <v>3</v>
      </c>
      <c r="H300" s="1">
        <v>943</v>
      </c>
      <c r="I300" s="1">
        <v>20</v>
      </c>
      <c r="J300" s="4">
        <v>2263.1999999999998</v>
      </c>
      <c r="K300" s="4">
        <v>1499.16</v>
      </c>
      <c r="L300" s="4">
        <v>764.04</v>
      </c>
      <c r="M300" s="1" t="str">
        <f>TEXT(Table1[[#This Row],[Order_Date]], "MMM")</f>
        <v>Aug</v>
      </c>
      <c r="N300" s="1">
        <f>YEAR(Table1[[#This Row],[Order_Date]])</f>
        <v>2024</v>
      </c>
      <c r="O300" s="7">
        <f>Table1[[#This Row],[Profit]]/Table1[[#This Row],[Total_Sales]]</f>
        <v>0.33759278897136796</v>
      </c>
    </row>
    <row r="301" spans="1:15" x14ac:dyDescent="0.25">
      <c r="A301" s="1">
        <v>300</v>
      </c>
      <c r="B301" s="2">
        <v>45449</v>
      </c>
      <c r="C301" s="1" t="s">
        <v>25</v>
      </c>
      <c r="D301" s="1" t="s">
        <v>26</v>
      </c>
      <c r="E301" s="1" t="s">
        <v>42</v>
      </c>
      <c r="F301" s="1" t="s">
        <v>24</v>
      </c>
      <c r="G301" s="1">
        <v>10</v>
      </c>
      <c r="H301" s="1">
        <v>180</v>
      </c>
      <c r="I301" s="1">
        <v>5</v>
      </c>
      <c r="J301" s="4">
        <v>1710</v>
      </c>
      <c r="K301" s="4">
        <v>1144.1300000000001</v>
      </c>
      <c r="L301" s="4">
        <v>565.87</v>
      </c>
      <c r="M301" s="1" t="str">
        <f>TEXT(Table1[[#This Row],[Order_Date]], "MMM")</f>
        <v>Jun</v>
      </c>
      <c r="N301" s="1">
        <f>YEAR(Table1[[#This Row],[Order_Date]])</f>
        <v>2024</v>
      </c>
      <c r="O301" s="7">
        <f>Table1[[#This Row],[Profit]]/Table1[[#This Row],[Total_Sales]]</f>
        <v>0.33091812865497078</v>
      </c>
    </row>
    <row r="302" spans="1:15" x14ac:dyDescent="0.25">
      <c r="A302" s="1">
        <v>301</v>
      </c>
      <c r="B302" s="2">
        <v>45004</v>
      </c>
      <c r="C302" s="1" t="s">
        <v>19</v>
      </c>
      <c r="D302" s="1" t="s">
        <v>13</v>
      </c>
      <c r="E302" s="1" t="s">
        <v>17</v>
      </c>
      <c r="F302" s="1" t="s">
        <v>18</v>
      </c>
      <c r="G302" s="1">
        <v>4</v>
      </c>
      <c r="H302" s="1">
        <v>108</v>
      </c>
      <c r="I302" s="1">
        <v>5</v>
      </c>
      <c r="J302" s="4">
        <v>410.4</v>
      </c>
      <c r="K302" s="4">
        <v>266.47000000000003</v>
      </c>
      <c r="L302" s="4">
        <v>143.93</v>
      </c>
      <c r="M302" s="1" t="str">
        <f>TEXT(Table1[[#This Row],[Order_Date]], "MMM")</f>
        <v>Mar</v>
      </c>
      <c r="N302" s="1">
        <f>YEAR(Table1[[#This Row],[Order_Date]])</f>
        <v>2023</v>
      </c>
      <c r="O302" s="7">
        <f>Table1[[#This Row],[Profit]]/Table1[[#This Row],[Total_Sales]]</f>
        <v>0.35070662768031191</v>
      </c>
    </row>
    <row r="303" spans="1:15" x14ac:dyDescent="0.25">
      <c r="A303" s="1">
        <v>302</v>
      </c>
      <c r="B303" s="2">
        <v>45606</v>
      </c>
      <c r="C303" s="1" t="s">
        <v>12</v>
      </c>
      <c r="D303" s="1" t="s">
        <v>20</v>
      </c>
      <c r="E303" s="1" t="s">
        <v>30</v>
      </c>
      <c r="F303" s="1" t="s">
        <v>31</v>
      </c>
      <c r="G303" s="1">
        <v>2</v>
      </c>
      <c r="H303" s="1">
        <v>470</v>
      </c>
      <c r="I303" s="1">
        <v>15</v>
      </c>
      <c r="J303" s="4">
        <v>799</v>
      </c>
      <c r="K303" s="4">
        <v>578.69000000000005</v>
      </c>
      <c r="L303" s="4">
        <v>220.31</v>
      </c>
      <c r="M303" s="1" t="str">
        <f>TEXT(Table1[[#This Row],[Order_Date]], "MMM")</f>
        <v>Nov</v>
      </c>
      <c r="N303" s="1">
        <f>YEAR(Table1[[#This Row],[Order_Date]])</f>
        <v>2024</v>
      </c>
      <c r="O303" s="7">
        <f>Table1[[#This Row],[Profit]]/Table1[[#This Row],[Total_Sales]]</f>
        <v>0.27573216520650812</v>
      </c>
    </row>
    <row r="304" spans="1:15" x14ac:dyDescent="0.25">
      <c r="A304" s="1">
        <v>303</v>
      </c>
      <c r="B304" s="2">
        <v>45263</v>
      </c>
      <c r="C304" s="1" t="s">
        <v>25</v>
      </c>
      <c r="D304" s="1" t="s">
        <v>32</v>
      </c>
      <c r="E304" s="1" t="s">
        <v>34</v>
      </c>
      <c r="F304" s="1" t="s">
        <v>35</v>
      </c>
      <c r="G304" s="1">
        <v>10</v>
      </c>
      <c r="H304" s="1">
        <v>268</v>
      </c>
      <c r="I304" s="1">
        <v>15</v>
      </c>
      <c r="J304" s="4">
        <v>2278</v>
      </c>
      <c r="K304" s="4">
        <v>1445.63</v>
      </c>
      <c r="L304" s="4">
        <v>832.37</v>
      </c>
      <c r="M304" s="1" t="str">
        <f>TEXT(Table1[[#This Row],[Order_Date]], "MMM")</f>
        <v>Dec</v>
      </c>
      <c r="N304" s="1">
        <f>YEAR(Table1[[#This Row],[Order_Date]])</f>
        <v>2023</v>
      </c>
      <c r="O304" s="7">
        <f>Table1[[#This Row],[Profit]]/Table1[[#This Row],[Total_Sales]]</f>
        <v>0.36539508340649696</v>
      </c>
    </row>
    <row r="305" spans="1:15" x14ac:dyDescent="0.25">
      <c r="A305" s="1">
        <v>304</v>
      </c>
      <c r="B305" s="2">
        <v>45421</v>
      </c>
      <c r="C305" s="1" t="s">
        <v>19</v>
      </c>
      <c r="D305" s="1" t="s">
        <v>26</v>
      </c>
      <c r="E305" s="1" t="s">
        <v>37</v>
      </c>
      <c r="F305" s="1" t="s">
        <v>18</v>
      </c>
      <c r="G305" s="1">
        <v>6</v>
      </c>
      <c r="H305" s="1">
        <v>378</v>
      </c>
      <c r="I305" s="1">
        <v>15</v>
      </c>
      <c r="J305" s="4">
        <v>1927.8</v>
      </c>
      <c r="K305" s="4">
        <v>1241.8900000000001</v>
      </c>
      <c r="L305" s="4">
        <v>685.91</v>
      </c>
      <c r="M305" s="1" t="str">
        <f>TEXT(Table1[[#This Row],[Order_Date]], "MMM")</f>
        <v>May</v>
      </c>
      <c r="N305" s="1">
        <f>YEAR(Table1[[#This Row],[Order_Date]])</f>
        <v>2024</v>
      </c>
      <c r="O305" s="7">
        <f>Table1[[#This Row],[Profit]]/Table1[[#This Row],[Total_Sales]]</f>
        <v>0.35579935677974894</v>
      </c>
    </row>
    <row r="306" spans="1:15" x14ac:dyDescent="0.25">
      <c r="A306" s="1">
        <v>305</v>
      </c>
      <c r="B306" s="2">
        <v>45487</v>
      </c>
      <c r="C306" s="1" t="s">
        <v>19</v>
      </c>
      <c r="D306" s="1" t="s">
        <v>13</v>
      </c>
      <c r="E306" s="1" t="s">
        <v>38</v>
      </c>
      <c r="F306" s="1" t="s">
        <v>24</v>
      </c>
      <c r="G306" s="1">
        <v>4</v>
      </c>
      <c r="H306" s="1">
        <v>705</v>
      </c>
      <c r="I306" s="1">
        <v>15</v>
      </c>
      <c r="J306" s="4">
        <v>2397</v>
      </c>
      <c r="K306" s="4">
        <v>1760.4</v>
      </c>
      <c r="L306" s="4">
        <v>636.6</v>
      </c>
      <c r="M306" s="1" t="str">
        <f>TEXT(Table1[[#This Row],[Order_Date]], "MMM")</f>
        <v>Jul</v>
      </c>
      <c r="N306" s="1">
        <f>YEAR(Table1[[#This Row],[Order_Date]])</f>
        <v>2024</v>
      </c>
      <c r="O306" s="7">
        <f>Table1[[#This Row],[Profit]]/Table1[[#This Row],[Total_Sales]]</f>
        <v>0.26558197747183981</v>
      </c>
    </row>
    <row r="307" spans="1:15" x14ac:dyDescent="0.25">
      <c r="A307" s="1">
        <v>306</v>
      </c>
      <c r="B307" s="2">
        <v>45240</v>
      </c>
      <c r="C307" s="1" t="s">
        <v>16</v>
      </c>
      <c r="D307" s="1" t="s">
        <v>20</v>
      </c>
      <c r="E307" s="1" t="s">
        <v>21</v>
      </c>
      <c r="F307" s="1" t="s">
        <v>15</v>
      </c>
      <c r="G307" s="1">
        <v>3</v>
      </c>
      <c r="H307" s="1">
        <v>422</v>
      </c>
      <c r="I307" s="1">
        <v>15</v>
      </c>
      <c r="J307" s="4">
        <v>1076.0999999999999</v>
      </c>
      <c r="K307" s="4">
        <v>742.44</v>
      </c>
      <c r="L307" s="4">
        <v>333.66</v>
      </c>
      <c r="M307" s="1" t="str">
        <f>TEXT(Table1[[#This Row],[Order_Date]], "MMM")</f>
        <v>Nov</v>
      </c>
      <c r="N307" s="1">
        <f>YEAR(Table1[[#This Row],[Order_Date]])</f>
        <v>2023</v>
      </c>
      <c r="O307" s="7">
        <f>Table1[[#This Row],[Profit]]/Table1[[#This Row],[Total_Sales]]</f>
        <v>0.31006412043490389</v>
      </c>
    </row>
    <row r="308" spans="1:15" x14ac:dyDescent="0.25">
      <c r="A308" s="1">
        <v>307</v>
      </c>
      <c r="B308" s="2">
        <v>45370</v>
      </c>
      <c r="C308" s="1" t="s">
        <v>19</v>
      </c>
      <c r="D308" s="1" t="s">
        <v>13</v>
      </c>
      <c r="E308" s="1" t="s">
        <v>14</v>
      </c>
      <c r="F308" s="1" t="s">
        <v>35</v>
      </c>
      <c r="G308" s="1">
        <v>5</v>
      </c>
      <c r="H308" s="1">
        <v>40</v>
      </c>
      <c r="I308" s="1">
        <v>20</v>
      </c>
      <c r="J308" s="4">
        <v>160</v>
      </c>
      <c r="K308" s="4">
        <v>100.29</v>
      </c>
      <c r="L308" s="4">
        <v>59.71</v>
      </c>
      <c r="M308" s="1" t="str">
        <f>TEXT(Table1[[#This Row],[Order_Date]], "MMM")</f>
        <v>Mar</v>
      </c>
      <c r="N308" s="1">
        <f>YEAR(Table1[[#This Row],[Order_Date]])</f>
        <v>2024</v>
      </c>
      <c r="O308" s="7">
        <f>Table1[[#This Row],[Profit]]/Table1[[#This Row],[Total_Sales]]</f>
        <v>0.37318750000000001</v>
      </c>
    </row>
    <row r="309" spans="1:15" x14ac:dyDescent="0.25">
      <c r="A309" s="1">
        <v>308</v>
      </c>
      <c r="B309" s="2">
        <v>44939</v>
      </c>
      <c r="C309" s="1" t="s">
        <v>19</v>
      </c>
      <c r="D309" s="1" t="s">
        <v>22</v>
      </c>
      <c r="E309" s="1" t="s">
        <v>23</v>
      </c>
      <c r="F309" s="1" t="s">
        <v>31</v>
      </c>
      <c r="G309" s="1">
        <v>6</v>
      </c>
      <c r="H309" s="1">
        <v>620</v>
      </c>
      <c r="I309" s="1">
        <v>0</v>
      </c>
      <c r="J309" s="4">
        <v>3720</v>
      </c>
      <c r="K309" s="4">
        <v>1958.81</v>
      </c>
      <c r="L309" s="4">
        <v>1761.19</v>
      </c>
      <c r="M309" s="1" t="str">
        <f>TEXT(Table1[[#This Row],[Order_Date]], "MMM")</f>
        <v>Jan</v>
      </c>
      <c r="N309" s="1">
        <f>YEAR(Table1[[#This Row],[Order_Date]])</f>
        <v>2023</v>
      </c>
      <c r="O309" s="7">
        <f>Table1[[#This Row],[Profit]]/Table1[[#This Row],[Total_Sales]]</f>
        <v>0.47343817204301075</v>
      </c>
    </row>
    <row r="310" spans="1:15" x14ac:dyDescent="0.25">
      <c r="A310" s="1">
        <v>309</v>
      </c>
      <c r="B310" s="2">
        <v>45001</v>
      </c>
      <c r="C310" s="1" t="s">
        <v>12</v>
      </c>
      <c r="D310" s="1" t="s">
        <v>22</v>
      </c>
      <c r="E310" s="1" t="s">
        <v>29</v>
      </c>
      <c r="F310" s="1" t="s">
        <v>18</v>
      </c>
      <c r="G310" s="1">
        <v>10</v>
      </c>
      <c r="H310" s="1">
        <v>295</v>
      </c>
      <c r="I310" s="1">
        <v>10</v>
      </c>
      <c r="J310" s="4">
        <v>2655</v>
      </c>
      <c r="K310" s="4">
        <v>1539.46</v>
      </c>
      <c r="L310" s="4">
        <v>1115.54</v>
      </c>
      <c r="M310" s="1" t="str">
        <f>TEXT(Table1[[#This Row],[Order_Date]], "MMM")</f>
        <v>Mar</v>
      </c>
      <c r="N310" s="1">
        <f>YEAR(Table1[[#This Row],[Order_Date]])</f>
        <v>2023</v>
      </c>
      <c r="O310" s="7">
        <f>Table1[[#This Row],[Profit]]/Table1[[#This Row],[Total_Sales]]</f>
        <v>0.42016572504708094</v>
      </c>
    </row>
    <row r="311" spans="1:15" x14ac:dyDescent="0.25">
      <c r="A311" s="1">
        <v>310</v>
      </c>
      <c r="B311" s="2">
        <v>45185</v>
      </c>
      <c r="C311" s="1" t="s">
        <v>19</v>
      </c>
      <c r="D311" s="1" t="s">
        <v>32</v>
      </c>
      <c r="E311" s="1" t="s">
        <v>45</v>
      </c>
      <c r="F311" s="1" t="s">
        <v>31</v>
      </c>
      <c r="G311" s="1">
        <v>8</v>
      </c>
      <c r="H311" s="1">
        <v>944</v>
      </c>
      <c r="I311" s="1">
        <v>20</v>
      </c>
      <c r="J311" s="4">
        <v>6041.6</v>
      </c>
      <c r="K311" s="4">
        <v>4287.43</v>
      </c>
      <c r="L311" s="4">
        <v>1754.17</v>
      </c>
      <c r="M311" s="1" t="str">
        <f>TEXT(Table1[[#This Row],[Order_Date]], "MMM")</f>
        <v>Sep</v>
      </c>
      <c r="N311" s="1">
        <f>YEAR(Table1[[#This Row],[Order_Date]])</f>
        <v>2023</v>
      </c>
      <c r="O311" s="7">
        <f>Table1[[#This Row],[Profit]]/Table1[[#This Row],[Total_Sales]]</f>
        <v>0.29034858315677964</v>
      </c>
    </row>
    <row r="312" spans="1:15" x14ac:dyDescent="0.25">
      <c r="A312" s="1">
        <v>311</v>
      </c>
      <c r="B312" s="2">
        <v>45527</v>
      </c>
      <c r="C312" s="1" t="s">
        <v>25</v>
      </c>
      <c r="D312" s="1" t="s">
        <v>20</v>
      </c>
      <c r="E312" s="1" t="s">
        <v>43</v>
      </c>
      <c r="F312" s="1" t="s">
        <v>18</v>
      </c>
      <c r="G312" s="1">
        <v>9</v>
      </c>
      <c r="H312" s="1">
        <v>707</v>
      </c>
      <c r="I312" s="1">
        <v>5</v>
      </c>
      <c r="J312" s="4">
        <v>6044.85</v>
      </c>
      <c r="K312" s="4">
        <v>3641.84</v>
      </c>
      <c r="L312" s="4">
        <v>2403.0100000000002</v>
      </c>
      <c r="M312" s="1" t="str">
        <f>TEXT(Table1[[#This Row],[Order_Date]], "MMM")</f>
        <v>Aug</v>
      </c>
      <c r="N312" s="1">
        <f>YEAR(Table1[[#This Row],[Order_Date]])</f>
        <v>2024</v>
      </c>
      <c r="O312" s="7">
        <f>Table1[[#This Row],[Profit]]/Table1[[#This Row],[Total_Sales]]</f>
        <v>0.39753012895274492</v>
      </c>
    </row>
    <row r="313" spans="1:15" x14ac:dyDescent="0.25">
      <c r="A313" s="1">
        <v>312</v>
      </c>
      <c r="B313" s="2">
        <v>45254</v>
      </c>
      <c r="C313" s="1" t="s">
        <v>19</v>
      </c>
      <c r="D313" s="1" t="s">
        <v>32</v>
      </c>
      <c r="E313" s="1" t="s">
        <v>33</v>
      </c>
      <c r="F313" s="1" t="s">
        <v>35</v>
      </c>
      <c r="G313" s="1">
        <v>4</v>
      </c>
      <c r="H313" s="1">
        <v>395</v>
      </c>
      <c r="I313" s="1">
        <v>10</v>
      </c>
      <c r="J313" s="4">
        <v>1422</v>
      </c>
      <c r="K313" s="4">
        <v>968.25</v>
      </c>
      <c r="L313" s="4">
        <v>453.75</v>
      </c>
      <c r="M313" s="1" t="str">
        <f>TEXT(Table1[[#This Row],[Order_Date]], "MMM")</f>
        <v>Nov</v>
      </c>
      <c r="N313" s="1">
        <f>YEAR(Table1[[#This Row],[Order_Date]])</f>
        <v>2023</v>
      </c>
      <c r="O313" s="7">
        <f>Table1[[#This Row],[Profit]]/Table1[[#This Row],[Total_Sales]]</f>
        <v>0.31909282700421943</v>
      </c>
    </row>
    <row r="314" spans="1:15" x14ac:dyDescent="0.25">
      <c r="A314" s="1">
        <v>313</v>
      </c>
      <c r="B314" s="2">
        <v>45319</v>
      </c>
      <c r="C314" s="1" t="s">
        <v>12</v>
      </c>
      <c r="D314" s="1" t="s">
        <v>22</v>
      </c>
      <c r="E314" s="1" t="s">
        <v>23</v>
      </c>
      <c r="F314" s="1" t="s">
        <v>31</v>
      </c>
      <c r="G314" s="1">
        <v>5</v>
      </c>
      <c r="H314" s="1">
        <v>180</v>
      </c>
      <c r="I314" s="1">
        <v>0</v>
      </c>
      <c r="J314" s="4">
        <v>900</v>
      </c>
      <c r="K314" s="4">
        <v>521.95000000000005</v>
      </c>
      <c r="L314" s="4">
        <v>378.05</v>
      </c>
      <c r="M314" s="1" t="str">
        <f>TEXT(Table1[[#This Row],[Order_Date]], "MMM")</f>
        <v>Jan</v>
      </c>
      <c r="N314" s="1">
        <f>YEAR(Table1[[#This Row],[Order_Date]])</f>
        <v>2024</v>
      </c>
      <c r="O314" s="7">
        <f>Table1[[#This Row],[Profit]]/Table1[[#This Row],[Total_Sales]]</f>
        <v>0.42005555555555557</v>
      </c>
    </row>
    <row r="315" spans="1:15" x14ac:dyDescent="0.25">
      <c r="A315" s="1">
        <v>314</v>
      </c>
      <c r="B315" s="2">
        <v>45197</v>
      </c>
      <c r="C315" s="1" t="s">
        <v>19</v>
      </c>
      <c r="D315" s="1" t="s">
        <v>13</v>
      </c>
      <c r="E315" s="1" t="s">
        <v>38</v>
      </c>
      <c r="F315" s="1" t="s">
        <v>24</v>
      </c>
      <c r="G315" s="1">
        <v>9</v>
      </c>
      <c r="H315" s="1">
        <v>530</v>
      </c>
      <c r="I315" s="1">
        <v>15</v>
      </c>
      <c r="J315" s="4">
        <v>4054.5</v>
      </c>
      <c r="K315" s="4">
        <v>2547.81</v>
      </c>
      <c r="L315" s="4">
        <v>1506.69</v>
      </c>
      <c r="M315" s="1" t="str">
        <f>TEXT(Table1[[#This Row],[Order_Date]], "MMM")</f>
        <v>Sep</v>
      </c>
      <c r="N315" s="1">
        <f>YEAR(Table1[[#This Row],[Order_Date]])</f>
        <v>2023</v>
      </c>
      <c r="O315" s="7">
        <f>Table1[[#This Row],[Profit]]/Table1[[#This Row],[Total_Sales]]</f>
        <v>0.3716093229744728</v>
      </c>
    </row>
    <row r="316" spans="1:15" x14ac:dyDescent="0.25">
      <c r="A316" s="1">
        <v>315</v>
      </c>
      <c r="B316" s="2">
        <v>45342</v>
      </c>
      <c r="C316" s="1" t="s">
        <v>16</v>
      </c>
      <c r="D316" s="1" t="s">
        <v>26</v>
      </c>
      <c r="E316" s="1" t="s">
        <v>42</v>
      </c>
      <c r="F316" s="1" t="s">
        <v>18</v>
      </c>
      <c r="G316" s="1">
        <v>7</v>
      </c>
      <c r="H316" s="1">
        <v>570</v>
      </c>
      <c r="I316" s="1">
        <v>20</v>
      </c>
      <c r="J316" s="4">
        <v>3192</v>
      </c>
      <c r="K316" s="4">
        <v>2383.52</v>
      </c>
      <c r="L316" s="4">
        <v>808.48</v>
      </c>
      <c r="M316" s="1" t="str">
        <f>TEXT(Table1[[#This Row],[Order_Date]], "MMM")</f>
        <v>Feb</v>
      </c>
      <c r="N316" s="1">
        <f>YEAR(Table1[[#This Row],[Order_Date]])</f>
        <v>2024</v>
      </c>
      <c r="O316" s="7">
        <f>Table1[[#This Row],[Profit]]/Table1[[#This Row],[Total_Sales]]</f>
        <v>0.25328320802005011</v>
      </c>
    </row>
    <row r="317" spans="1:15" x14ac:dyDescent="0.25">
      <c r="A317" s="1">
        <v>316</v>
      </c>
      <c r="B317" s="2">
        <v>45511</v>
      </c>
      <c r="C317" s="1" t="s">
        <v>19</v>
      </c>
      <c r="D317" s="1" t="s">
        <v>22</v>
      </c>
      <c r="E317" s="1" t="s">
        <v>29</v>
      </c>
      <c r="F317" s="1" t="s">
        <v>40</v>
      </c>
      <c r="G317" s="1">
        <v>4</v>
      </c>
      <c r="H317" s="1">
        <v>833</v>
      </c>
      <c r="I317" s="1">
        <v>10</v>
      </c>
      <c r="J317" s="4">
        <v>2998.8</v>
      </c>
      <c r="K317" s="4">
        <v>2393.0700000000002</v>
      </c>
      <c r="L317" s="4">
        <v>605.73</v>
      </c>
      <c r="M317" s="1" t="str">
        <f>TEXT(Table1[[#This Row],[Order_Date]], "MMM")</f>
        <v>Aug</v>
      </c>
      <c r="N317" s="1">
        <f>YEAR(Table1[[#This Row],[Order_Date]])</f>
        <v>2024</v>
      </c>
      <c r="O317" s="7">
        <f>Table1[[#This Row],[Profit]]/Table1[[#This Row],[Total_Sales]]</f>
        <v>0.2019907963185274</v>
      </c>
    </row>
    <row r="318" spans="1:15" x14ac:dyDescent="0.25">
      <c r="A318" s="1">
        <v>317</v>
      </c>
      <c r="B318" s="2">
        <v>45513</v>
      </c>
      <c r="C318" s="1" t="s">
        <v>12</v>
      </c>
      <c r="D318" s="1" t="s">
        <v>26</v>
      </c>
      <c r="E318" s="1" t="s">
        <v>27</v>
      </c>
      <c r="F318" s="1" t="s">
        <v>15</v>
      </c>
      <c r="G318" s="1">
        <v>10</v>
      </c>
      <c r="H318" s="1">
        <v>324</v>
      </c>
      <c r="I318" s="1">
        <v>0</v>
      </c>
      <c r="J318" s="4">
        <v>3240</v>
      </c>
      <c r="K318" s="4">
        <v>2009.77</v>
      </c>
      <c r="L318" s="4">
        <v>1230.23</v>
      </c>
      <c r="M318" s="1" t="str">
        <f>TEXT(Table1[[#This Row],[Order_Date]], "MMM")</f>
        <v>Aug</v>
      </c>
      <c r="N318" s="1">
        <f>YEAR(Table1[[#This Row],[Order_Date]])</f>
        <v>2024</v>
      </c>
      <c r="O318" s="7">
        <f>Table1[[#This Row],[Profit]]/Table1[[#This Row],[Total_Sales]]</f>
        <v>0.3797006172839506</v>
      </c>
    </row>
    <row r="319" spans="1:15" x14ac:dyDescent="0.25">
      <c r="A319" s="1">
        <v>318</v>
      </c>
      <c r="B319" s="2">
        <v>45334</v>
      </c>
      <c r="C319" s="1" t="s">
        <v>19</v>
      </c>
      <c r="D319" s="1" t="s">
        <v>32</v>
      </c>
      <c r="E319" s="1" t="s">
        <v>34</v>
      </c>
      <c r="F319" s="1" t="s">
        <v>35</v>
      </c>
      <c r="G319" s="1">
        <v>4</v>
      </c>
      <c r="H319" s="1">
        <v>400</v>
      </c>
      <c r="I319" s="1">
        <v>0</v>
      </c>
      <c r="J319" s="4">
        <v>1600</v>
      </c>
      <c r="K319" s="4">
        <v>1221.94</v>
      </c>
      <c r="L319" s="4">
        <v>378.06</v>
      </c>
      <c r="M319" s="1" t="str">
        <f>TEXT(Table1[[#This Row],[Order_Date]], "MMM")</f>
        <v>Feb</v>
      </c>
      <c r="N319" s="1">
        <f>YEAR(Table1[[#This Row],[Order_Date]])</f>
        <v>2024</v>
      </c>
      <c r="O319" s="7">
        <f>Table1[[#This Row],[Profit]]/Table1[[#This Row],[Total_Sales]]</f>
        <v>0.23628750000000001</v>
      </c>
    </row>
    <row r="320" spans="1:15" x14ac:dyDescent="0.25">
      <c r="A320" s="1">
        <v>319</v>
      </c>
      <c r="B320" s="2">
        <v>44970</v>
      </c>
      <c r="C320" s="1" t="s">
        <v>25</v>
      </c>
      <c r="D320" s="1" t="s">
        <v>13</v>
      </c>
      <c r="E320" s="1" t="s">
        <v>38</v>
      </c>
      <c r="F320" s="1" t="s">
        <v>40</v>
      </c>
      <c r="G320" s="1">
        <v>1</v>
      </c>
      <c r="H320" s="1">
        <v>61</v>
      </c>
      <c r="I320" s="1">
        <v>0</v>
      </c>
      <c r="J320" s="4">
        <v>61</v>
      </c>
      <c r="K320" s="4">
        <v>48.3</v>
      </c>
      <c r="L320" s="4">
        <v>12.7</v>
      </c>
      <c r="M320" s="1" t="str">
        <f>TEXT(Table1[[#This Row],[Order_Date]], "MMM")</f>
        <v>Feb</v>
      </c>
      <c r="N320" s="1">
        <f>YEAR(Table1[[#This Row],[Order_Date]])</f>
        <v>2023</v>
      </c>
      <c r="O320" s="7">
        <f>Table1[[#This Row],[Profit]]/Table1[[#This Row],[Total_Sales]]</f>
        <v>0.2081967213114754</v>
      </c>
    </row>
    <row r="321" spans="1:15" x14ac:dyDescent="0.25">
      <c r="A321" s="1">
        <v>320</v>
      </c>
      <c r="B321" s="2">
        <v>44996</v>
      </c>
      <c r="C321" s="1" t="s">
        <v>12</v>
      </c>
      <c r="D321" s="1" t="s">
        <v>20</v>
      </c>
      <c r="E321" s="1" t="s">
        <v>28</v>
      </c>
      <c r="F321" s="1" t="s">
        <v>40</v>
      </c>
      <c r="G321" s="1">
        <v>6</v>
      </c>
      <c r="H321" s="1">
        <v>824</v>
      </c>
      <c r="I321" s="1">
        <v>5</v>
      </c>
      <c r="J321" s="4">
        <v>4696.8</v>
      </c>
      <c r="K321" s="4">
        <v>2426.77</v>
      </c>
      <c r="L321" s="4">
        <v>2270.0300000000002</v>
      </c>
      <c r="M321" s="1" t="str">
        <f>TEXT(Table1[[#This Row],[Order_Date]], "MMM")</f>
        <v>Mar</v>
      </c>
      <c r="N321" s="1">
        <f>YEAR(Table1[[#This Row],[Order_Date]])</f>
        <v>2023</v>
      </c>
      <c r="O321" s="7">
        <f>Table1[[#This Row],[Profit]]/Table1[[#This Row],[Total_Sales]]</f>
        <v>0.48331417135070687</v>
      </c>
    </row>
    <row r="322" spans="1:15" x14ac:dyDescent="0.25">
      <c r="A322" s="1">
        <v>321</v>
      </c>
      <c r="B322" s="2">
        <v>45448</v>
      </c>
      <c r="C322" s="1" t="s">
        <v>19</v>
      </c>
      <c r="D322" s="1" t="s">
        <v>13</v>
      </c>
      <c r="E322" s="1" t="s">
        <v>17</v>
      </c>
      <c r="F322" s="1" t="s">
        <v>18</v>
      </c>
      <c r="G322" s="1">
        <v>5</v>
      </c>
      <c r="H322" s="1">
        <v>619</v>
      </c>
      <c r="I322" s="1">
        <v>10</v>
      </c>
      <c r="J322" s="4">
        <v>2785.5</v>
      </c>
      <c r="K322" s="4">
        <v>1924.87</v>
      </c>
      <c r="L322" s="4">
        <v>860.63</v>
      </c>
      <c r="M322" s="1" t="str">
        <f>TEXT(Table1[[#This Row],[Order_Date]], "MMM")</f>
        <v>Jun</v>
      </c>
      <c r="N322" s="1">
        <f>YEAR(Table1[[#This Row],[Order_Date]])</f>
        <v>2024</v>
      </c>
      <c r="O322" s="7">
        <f>Table1[[#This Row],[Profit]]/Table1[[#This Row],[Total_Sales]]</f>
        <v>0.3089678693232813</v>
      </c>
    </row>
    <row r="323" spans="1:15" x14ac:dyDescent="0.25">
      <c r="A323" s="1">
        <v>322</v>
      </c>
      <c r="B323" s="2">
        <v>45454</v>
      </c>
      <c r="C323" s="1" t="s">
        <v>25</v>
      </c>
      <c r="D323" s="1" t="s">
        <v>20</v>
      </c>
      <c r="E323" s="1" t="s">
        <v>21</v>
      </c>
      <c r="F323" s="1" t="s">
        <v>18</v>
      </c>
      <c r="G323" s="1">
        <v>10</v>
      </c>
      <c r="H323" s="1">
        <v>98</v>
      </c>
      <c r="I323" s="1">
        <v>0</v>
      </c>
      <c r="J323" s="4">
        <v>980</v>
      </c>
      <c r="K323" s="4">
        <v>691.05</v>
      </c>
      <c r="L323" s="4">
        <v>288.95</v>
      </c>
      <c r="M323" s="1" t="str">
        <f>TEXT(Table1[[#This Row],[Order_Date]], "MMM")</f>
        <v>Jun</v>
      </c>
      <c r="N323" s="1">
        <f>YEAR(Table1[[#This Row],[Order_Date]])</f>
        <v>2024</v>
      </c>
      <c r="O323" s="7">
        <f>Table1[[#This Row],[Profit]]/Table1[[#This Row],[Total_Sales]]</f>
        <v>0.29484693877551021</v>
      </c>
    </row>
    <row r="324" spans="1:15" x14ac:dyDescent="0.25">
      <c r="A324" s="1">
        <v>323</v>
      </c>
      <c r="B324" s="2">
        <v>45099</v>
      </c>
      <c r="C324" s="1" t="s">
        <v>12</v>
      </c>
      <c r="D324" s="1" t="s">
        <v>22</v>
      </c>
      <c r="E324" s="1" t="s">
        <v>23</v>
      </c>
      <c r="F324" s="1" t="s">
        <v>31</v>
      </c>
      <c r="G324" s="1">
        <v>2</v>
      </c>
      <c r="H324" s="1">
        <v>473</v>
      </c>
      <c r="I324" s="1">
        <v>15</v>
      </c>
      <c r="J324" s="4">
        <v>804.1</v>
      </c>
      <c r="K324" s="4">
        <v>547.44000000000005</v>
      </c>
      <c r="L324" s="4">
        <v>256.66000000000003</v>
      </c>
      <c r="M324" s="1" t="str">
        <f>TEXT(Table1[[#This Row],[Order_Date]], "MMM")</f>
        <v>Jun</v>
      </c>
      <c r="N324" s="1">
        <f>YEAR(Table1[[#This Row],[Order_Date]])</f>
        <v>2023</v>
      </c>
      <c r="O324" s="7">
        <f>Table1[[#This Row],[Profit]]/Table1[[#This Row],[Total_Sales]]</f>
        <v>0.31918915557766447</v>
      </c>
    </row>
    <row r="325" spans="1:15" x14ac:dyDescent="0.25">
      <c r="A325" s="1">
        <v>324</v>
      </c>
      <c r="B325" s="2">
        <v>45196</v>
      </c>
      <c r="C325" s="1" t="s">
        <v>25</v>
      </c>
      <c r="D325" s="1" t="s">
        <v>20</v>
      </c>
      <c r="E325" s="1" t="s">
        <v>30</v>
      </c>
      <c r="F325" s="1" t="s">
        <v>40</v>
      </c>
      <c r="G325" s="1">
        <v>10</v>
      </c>
      <c r="H325" s="1">
        <v>100</v>
      </c>
      <c r="I325" s="1">
        <v>20</v>
      </c>
      <c r="J325" s="4">
        <v>800</v>
      </c>
      <c r="K325" s="4">
        <v>601.79999999999995</v>
      </c>
      <c r="L325" s="4">
        <v>198.2</v>
      </c>
      <c r="M325" s="1" t="str">
        <f>TEXT(Table1[[#This Row],[Order_Date]], "MMM")</f>
        <v>Sep</v>
      </c>
      <c r="N325" s="1">
        <f>YEAR(Table1[[#This Row],[Order_Date]])</f>
        <v>2023</v>
      </c>
      <c r="O325" s="7">
        <f>Table1[[#This Row],[Profit]]/Table1[[#This Row],[Total_Sales]]</f>
        <v>0.24775</v>
      </c>
    </row>
    <row r="326" spans="1:15" x14ac:dyDescent="0.25">
      <c r="A326" s="1">
        <v>325</v>
      </c>
      <c r="B326" s="2">
        <v>45555</v>
      </c>
      <c r="C326" s="1" t="s">
        <v>12</v>
      </c>
      <c r="D326" s="1" t="s">
        <v>22</v>
      </c>
      <c r="E326" s="1" t="s">
        <v>44</v>
      </c>
      <c r="F326" s="1" t="s">
        <v>35</v>
      </c>
      <c r="G326" s="1">
        <v>8</v>
      </c>
      <c r="H326" s="1">
        <v>560</v>
      </c>
      <c r="I326" s="1">
        <v>0</v>
      </c>
      <c r="J326" s="4">
        <v>4480</v>
      </c>
      <c r="K326" s="4">
        <v>2907.17</v>
      </c>
      <c r="L326" s="4">
        <v>1572.83</v>
      </c>
      <c r="M326" s="1" t="str">
        <f>TEXT(Table1[[#This Row],[Order_Date]], "MMM")</f>
        <v>Sep</v>
      </c>
      <c r="N326" s="1">
        <f>YEAR(Table1[[#This Row],[Order_Date]])</f>
        <v>2024</v>
      </c>
      <c r="O326" s="7">
        <f>Table1[[#This Row],[Profit]]/Table1[[#This Row],[Total_Sales]]</f>
        <v>0.35107812499999996</v>
      </c>
    </row>
    <row r="327" spans="1:15" x14ac:dyDescent="0.25">
      <c r="A327" s="1">
        <v>326</v>
      </c>
      <c r="B327" s="2">
        <v>45546</v>
      </c>
      <c r="C327" s="1" t="s">
        <v>12</v>
      </c>
      <c r="D327" s="1" t="s">
        <v>13</v>
      </c>
      <c r="E327" s="1" t="s">
        <v>38</v>
      </c>
      <c r="F327" s="1" t="s">
        <v>18</v>
      </c>
      <c r="G327" s="1">
        <v>9</v>
      </c>
      <c r="H327" s="1">
        <v>193</v>
      </c>
      <c r="I327" s="1">
        <v>5</v>
      </c>
      <c r="J327" s="4">
        <v>1650.15</v>
      </c>
      <c r="K327" s="4">
        <v>941.4</v>
      </c>
      <c r="L327" s="4">
        <v>708.75</v>
      </c>
      <c r="M327" s="1" t="str">
        <f>TEXT(Table1[[#This Row],[Order_Date]], "MMM")</f>
        <v>Sep</v>
      </c>
      <c r="N327" s="1">
        <f>YEAR(Table1[[#This Row],[Order_Date]])</f>
        <v>2024</v>
      </c>
      <c r="O327" s="7">
        <f>Table1[[#This Row],[Profit]]/Table1[[#This Row],[Total_Sales]]</f>
        <v>0.42950640850831739</v>
      </c>
    </row>
    <row r="328" spans="1:15" x14ac:dyDescent="0.25">
      <c r="A328" s="1">
        <v>327</v>
      </c>
      <c r="B328" s="2">
        <v>45190</v>
      </c>
      <c r="C328" s="1" t="s">
        <v>16</v>
      </c>
      <c r="D328" s="1" t="s">
        <v>32</v>
      </c>
      <c r="E328" s="1" t="s">
        <v>34</v>
      </c>
      <c r="F328" s="1" t="s">
        <v>15</v>
      </c>
      <c r="G328" s="1">
        <v>9</v>
      </c>
      <c r="H328" s="1">
        <v>556</v>
      </c>
      <c r="I328" s="1">
        <v>5</v>
      </c>
      <c r="J328" s="4">
        <v>4753.8</v>
      </c>
      <c r="K328" s="4">
        <v>2437.1</v>
      </c>
      <c r="L328" s="4">
        <v>2316.6999999999998</v>
      </c>
      <c r="M328" s="1" t="str">
        <f>TEXT(Table1[[#This Row],[Order_Date]], "MMM")</f>
        <v>Sep</v>
      </c>
      <c r="N328" s="1">
        <f>YEAR(Table1[[#This Row],[Order_Date]])</f>
        <v>2023</v>
      </c>
      <c r="O328" s="7">
        <f>Table1[[#This Row],[Profit]]/Table1[[#This Row],[Total_Sales]]</f>
        <v>0.48733644663216791</v>
      </c>
    </row>
    <row r="329" spans="1:15" x14ac:dyDescent="0.25">
      <c r="A329" s="1">
        <v>328</v>
      </c>
      <c r="B329" s="2">
        <v>45097</v>
      </c>
      <c r="C329" s="1" t="s">
        <v>12</v>
      </c>
      <c r="D329" s="1" t="s">
        <v>32</v>
      </c>
      <c r="E329" s="1" t="s">
        <v>45</v>
      </c>
      <c r="F329" s="1" t="s">
        <v>40</v>
      </c>
      <c r="G329" s="1">
        <v>3</v>
      </c>
      <c r="H329" s="1">
        <v>131</v>
      </c>
      <c r="I329" s="1">
        <v>20</v>
      </c>
      <c r="J329" s="4">
        <v>314.39999999999998</v>
      </c>
      <c r="K329" s="4">
        <v>197.98</v>
      </c>
      <c r="L329" s="4">
        <v>116.42</v>
      </c>
      <c r="M329" s="1" t="str">
        <f>TEXT(Table1[[#This Row],[Order_Date]], "MMM")</f>
        <v>Jun</v>
      </c>
      <c r="N329" s="1">
        <f>YEAR(Table1[[#This Row],[Order_Date]])</f>
        <v>2023</v>
      </c>
      <c r="O329" s="7">
        <f>Table1[[#This Row],[Profit]]/Table1[[#This Row],[Total_Sales]]</f>
        <v>0.37029262086513998</v>
      </c>
    </row>
    <row r="330" spans="1:15" x14ac:dyDescent="0.25">
      <c r="A330" s="1">
        <v>329</v>
      </c>
      <c r="B330" s="2">
        <v>45090</v>
      </c>
      <c r="C330" s="1" t="s">
        <v>12</v>
      </c>
      <c r="D330" s="1" t="s">
        <v>20</v>
      </c>
      <c r="E330" s="1" t="s">
        <v>43</v>
      </c>
      <c r="F330" s="1" t="s">
        <v>24</v>
      </c>
      <c r="G330" s="1">
        <v>4</v>
      </c>
      <c r="H330" s="1">
        <v>714</v>
      </c>
      <c r="I330" s="1">
        <v>10</v>
      </c>
      <c r="J330" s="4">
        <v>2570.4</v>
      </c>
      <c r="K330" s="4">
        <v>1771.3</v>
      </c>
      <c r="L330" s="4">
        <v>799.1</v>
      </c>
      <c r="M330" s="1" t="str">
        <f>TEXT(Table1[[#This Row],[Order_Date]], "MMM")</f>
        <v>Jun</v>
      </c>
      <c r="N330" s="1">
        <f>YEAR(Table1[[#This Row],[Order_Date]])</f>
        <v>2023</v>
      </c>
      <c r="O330" s="7">
        <f>Table1[[#This Row],[Profit]]/Table1[[#This Row],[Total_Sales]]</f>
        <v>0.31088546529722999</v>
      </c>
    </row>
    <row r="331" spans="1:15" x14ac:dyDescent="0.25">
      <c r="A331" s="1">
        <v>330</v>
      </c>
      <c r="B331" s="2">
        <v>45318</v>
      </c>
      <c r="C331" s="1" t="s">
        <v>16</v>
      </c>
      <c r="D331" s="1" t="s">
        <v>26</v>
      </c>
      <c r="E331" s="1" t="s">
        <v>37</v>
      </c>
      <c r="F331" s="1" t="s">
        <v>31</v>
      </c>
      <c r="G331" s="1">
        <v>10</v>
      </c>
      <c r="H331" s="1">
        <v>307</v>
      </c>
      <c r="I331" s="1">
        <v>10</v>
      </c>
      <c r="J331" s="4">
        <v>2763</v>
      </c>
      <c r="K331" s="4">
        <v>2150.0300000000002</v>
      </c>
      <c r="L331" s="4">
        <v>612.97</v>
      </c>
      <c r="M331" s="1" t="str">
        <f>TEXT(Table1[[#This Row],[Order_Date]], "MMM")</f>
        <v>Jan</v>
      </c>
      <c r="N331" s="1">
        <f>YEAR(Table1[[#This Row],[Order_Date]])</f>
        <v>2024</v>
      </c>
      <c r="O331" s="7">
        <f>Table1[[#This Row],[Profit]]/Table1[[#This Row],[Total_Sales]]</f>
        <v>0.22184943901556281</v>
      </c>
    </row>
    <row r="332" spans="1:15" x14ac:dyDescent="0.25">
      <c r="A332" s="1">
        <v>331</v>
      </c>
      <c r="B332" s="2">
        <v>45377</v>
      </c>
      <c r="C332" s="1" t="s">
        <v>19</v>
      </c>
      <c r="D332" s="1" t="s">
        <v>32</v>
      </c>
      <c r="E332" s="1" t="s">
        <v>33</v>
      </c>
      <c r="F332" s="1" t="s">
        <v>31</v>
      </c>
      <c r="G332" s="1">
        <v>2</v>
      </c>
      <c r="H332" s="1">
        <v>777</v>
      </c>
      <c r="I332" s="1">
        <v>0</v>
      </c>
      <c r="J332" s="4">
        <v>1554</v>
      </c>
      <c r="K332" s="4">
        <v>1204.5999999999999</v>
      </c>
      <c r="L332" s="4">
        <v>349.4</v>
      </c>
      <c r="M332" s="1" t="str">
        <f>TEXT(Table1[[#This Row],[Order_Date]], "MMM")</f>
        <v>Mar</v>
      </c>
      <c r="N332" s="1">
        <f>YEAR(Table1[[#This Row],[Order_Date]])</f>
        <v>2024</v>
      </c>
      <c r="O332" s="7">
        <f>Table1[[#This Row],[Profit]]/Table1[[#This Row],[Total_Sales]]</f>
        <v>0.22483912483912483</v>
      </c>
    </row>
    <row r="333" spans="1:15" x14ac:dyDescent="0.25">
      <c r="A333" s="1">
        <v>332</v>
      </c>
      <c r="B333" s="2">
        <v>45297</v>
      </c>
      <c r="C333" s="1" t="s">
        <v>25</v>
      </c>
      <c r="D333" s="1" t="s">
        <v>22</v>
      </c>
      <c r="E333" s="1" t="s">
        <v>29</v>
      </c>
      <c r="F333" s="1" t="s">
        <v>15</v>
      </c>
      <c r="G333" s="1">
        <v>4</v>
      </c>
      <c r="H333" s="1">
        <v>87</v>
      </c>
      <c r="I333" s="1">
        <v>0</v>
      </c>
      <c r="J333" s="4">
        <v>348</v>
      </c>
      <c r="K333" s="4">
        <v>234.15</v>
      </c>
      <c r="L333" s="4">
        <v>113.85</v>
      </c>
      <c r="M333" s="1" t="str">
        <f>TEXT(Table1[[#This Row],[Order_Date]], "MMM")</f>
        <v>Jan</v>
      </c>
      <c r="N333" s="1">
        <f>YEAR(Table1[[#This Row],[Order_Date]])</f>
        <v>2024</v>
      </c>
      <c r="O333" s="7">
        <f>Table1[[#This Row],[Profit]]/Table1[[#This Row],[Total_Sales]]</f>
        <v>0.3271551724137931</v>
      </c>
    </row>
    <row r="334" spans="1:15" x14ac:dyDescent="0.25">
      <c r="A334" s="1">
        <v>333</v>
      </c>
      <c r="B334" s="2">
        <v>45123</v>
      </c>
      <c r="C334" s="1" t="s">
        <v>25</v>
      </c>
      <c r="D334" s="1" t="s">
        <v>20</v>
      </c>
      <c r="E334" s="1" t="s">
        <v>30</v>
      </c>
      <c r="F334" s="1" t="s">
        <v>18</v>
      </c>
      <c r="G334" s="1">
        <v>4</v>
      </c>
      <c r="H334" s="1">
        <v>794</v>
      </c>
      <c r="I334" s="1">
        <v>0</v>
      </c>
      <c r="J334" s="4">
        <v>3176</v>
      </c>
      <c r="K334" s="4">
        <v>2363.27</v>
      </c>
      <c r="L334" s="4">
        <v>812.73</v>
      </c>
      <c r="M334" s="1" t="str">
        <f>TEXT(Table1[[#This Row],[Order_Date]], "MMM")</f>
        <v>Jul</v>
      </c>
      <c r="N334" s="1">
        <f>YEAR(Table1[[#This Row],[Order_Date]])</f>
        <v>2023</v>
      </c>
      <c r="O334" s="7">
        <f>Table1[[#This Row],[Profit]]/Table1[[#This Row],[Total_Sales]]</f>
        <v>0.25589735516372797</v>
      </c>
    </row>
    <row r="335" spans="1:15" x14ac:dyDescent="0.25">
      <c r="A335" s="1">
        <v>334</v>
      </c>
      <c r="B335" s="2">
        <v>45118</v>
      </c>
      <c r="C335" s="1" t="s">
        <v>19</v>
      </c>
      <c r="D335" s="1" t="s">
        <v>20</v>
      </c>
      <c r="E335" s="1" t="s">
        <v>21</v>
      </c>
      <c r="F335" s="1" t="s">
        <v>31</v>
      </c>
      <c r="G335" s="1">
        <v>6</v>
      </c>
      <c r="H335" s="1">
        <v>436</v>
      </c>
      <c r="I335" s="1">
        <v>10</v>
      </c>
      <c r="J335" s="4">
        <v>2354.4</v>
      </c>
      <c r="K335" s="4">
        <v>1585.07</v>
      </c>
      <c r="L335" s="4">
        <v>769.33</v>
      </c>
      <c r="M335" s="1" t="str">
        <f>TEXT(Table1[[#This Row],[Order_Date]], "MMM")</f>
        <v>Jul</v>
      </c>
      <c r="N335" s="1">
        <f>YEAR(Table1[[#This Row],[Order_Date]])</f>
        <v>2023</v>
      </c>
      <c r="O335" s="7">
        <f>Table1[[#This Row],[Profit]]/Table1[[#This Row],[Total_Sales]]</f>
        <v>0.32676265715256542</v>
      </c>
    </row>
    <row r="336" spans="1:15" x14ac:dyDescent="0.25">
      <c r="A336" s="1">
        <v>335</v>
      </c>
      <c r="B336" s="2">
        <v>45185</v>
      </c>
      <c r="C336" s="1" t="s">
        <v>25</v>
      </c>
      <c r="D336" s="1" t="s">
        <v>13</v>
      </c>
      <c r="E336" s="1" t="s">
        <v>17</v>
      </c>
      <c r="F336" s="1" t="s">
        <v>31</v>
      </c>
      <c r="G336" s="1">
        <v>5</v>
      </c>
      <c r="H336" s="1">
        <v>816</v>
      </c>
      <c r="I336" s="1">
        <v>0</v>
      </c>
      <c r="J336" s="4">
        <v>4080</v>
      </c>
      <c r="K336" s="4">
        <v>2725.77</v>
      </c>
      <c r="L336" s="4">
        <v>1354.23</v>
      </c>
      <c r="M336" s="1" t="str">
        <f>TEXT(Table1[[#This Row],[Order_Date]], "MMM")</f>
        <v>Sep</v>
      </c>
      <c r="N336" s="1">
        <f>YEAR(Table1[[#This Row],[Order_Date]])</f>
        <v>2023</v>
      </c>
      <c r="O336" s="7">
        <f>Table1[[#This Row],[Profit]]/Table1[[#This Row],[Total_Sales]]</f>
        <v>0.33191911764705884</v>
      </c>
    </row>
    <row r="337" spans="1:15" x14ac:dyDescent="0.25">
      <c r="A337" s="1">
        <v>336</v>
      </c>
      <c r="B337" s="2">
        <v>45601</v>
      </c>
      <c r="C337" s="1" t="s">
        <v>12</v>
      </c>
      <c r="D337" s="1" t="s">
        <v>22</v>
      </c>
      <c r="E337" s="1" t="s">
        <v>44</v>
      </c>
      <c r="F337" s="1" t="s">
        <v>15</v>
      </c>
      <c r="G337" s="1">
        <v>9</v>
      </c>
      <c r="H337" s="1">
        <v>294</v>
      </c>
      <c r="I337" s="1">
        <v>0</v>
      </c>
      <c r="J337" s="4">
        <v>2646</v>
      </c>
      <c r="K337" s="4">
        <v>1733.03</v>
      </c>
      <c r="L337" s="4">
        <v>912.97</v>
      </c>
      <c r="M337" s="1" t="str">
        <f>TEXT(Table1[[#This Row],[Order_Date]], "MMM")</f>
        <v>Nov</v>
      </c>
      <c r="N337" s="1">
        <f>YEAR(Table1[[#This Row],[Order_Date]])</f>
        <v>2024</v>
      </c>
      <c r="O337" s="7">
        <f>Table1[[#This Row],[Profit]]/Table1[[#This Row],[Total_Sales]]</f>
        <v>0.34503779289493575</v>
      </c>
    </row>
    <row r="338" spans="1:15" x14ac:dyDescent="0.25">
      <c r="A338" s="1">
        <v>337</v>
      </c>
      <c r="B338" s="2">
        <v>45632</v>
      </c>
      <c r="C338" s="1" t="s">
        <v>16</v>
      </c>
      <c r="D338" s="1" t="s">
        <v>32</v>
      </c>
      <c r="E338" s="1" t="s">
        <v>33</v>
      </c>
      <c r="F338" s="1" t="s">
        <v>35</v>
      </c>
      <c r="G338" s="1">
        <v>4</v>
      </c>
      <c r="H338" s="1">
        <v>728</v>
      </c>
      <c r="I338" s="1">
        <v>15</v>
      </c>
      <c r="J338" s="4">
        <v>2475.1999999999998</v>
      </c>
      <c r="K338" s="4">
        <v>1839.09</v>
      </c>
      <c r="L338" s="4">
        <v>636.11</v>
      </c>
      <c r="M338" s="1" t="str">
        <f>TEXT(Table1[[#This Row],[Order_Date]], "MMM")</f>
        <v>Dec</v>
      </c>
      <c r="N338" s="1">
        <f>YEAR(Table1[[#This Row],[Order_Date]])</f>
        <v>2024</v>
      </c>
      <c r="O338" s="7">
        <f>Table1[[#This Row],[Profit]]/Table1[[#This Row],[Total_Sales]]</f>
        <v>0.25699337427278607</v>
      </c>
    </row>
    <row r="339" spans="1:15" x14ac:dyDescent="0.25">
      <c r="A339" s="1">
        <v>338</v>
      </c>
      <c r="B339" s="2">
        <v>45621</v>
      </c>
      <c r="C339" s="1" t="s">
        <v>25</v>
      </c>
      <c r="D339" s="1" t="s">
        <v>22</v>
      </c>
      <c r="E339" s="1" t="s">
        <v>29</v>
      </c>
      <c r="F339" s="1" t="s">
        <v>31</v>
      </c>
      <c r="G339" s="1">
        <v>10</v>
      </c>
      <c r="H339" s="1">
        <v>66</v>
      </c>
      <c r="I339" s="1">
        <v>10</v>
      </c>
      <c r="J339" s="4">
        <v>594</v>
      </c>
      <c r="K339" s="4">
        <v>367.02</v>
      </c>
      <c r="L339" s="4">
        <v>226.98</v>
      </c>
      <c r="M339" s="1" t="str">
        <f>TEXT(Table1[[#This Row],[Order_Date]], "MMM")</f>
        <v>Nov</v>
      </c>
      <c r="N339" s="1">
        <f>YEAR(Table1[[#This Row],[Order_Date]])</f>
        <v>2024</v>
      </c>
      <c r="O339" s="7">
        <f>Table1[[#This Row],[Profit]]/Table1[[#This Row],[Total_Sales]]</f>
        <v>0.38212121212121208</v>
      </c>
    </row>
    <row r="340" spans="1:15" x14ac:dyDescent="0.25">
      <c r="A340" s="1">
        <v>339</v>
      </c>
      <c r="B340" s="2">
        <v>45630</v>
      </c>
      <c r="C340" s="1" t="s">
        <v>25</v>
      </c>
      <c r="D340" s="1" t="s">
        <v>22</v>
      </c>
      <c r="E340" s="1" t="s">
        <v>44</v>
      </c>
      <c r="F340" s="1" t="s">
        <v>35</v>
      </c>
      <c r="G340" s="1">
        <v>1</v>
      </c>
      <c r="H340" s="1">
        <v>694</v>
      </c>
      <c r="I340" s="1">
        <v>5</v>
      </c>
      <c r="J340" s="4">
        <v>659.3</v>
      </c>
      <c r="K340" s="4">
        <v>388.72</v>
      </c>
      <c r="L340" s="4">
        <v>270.58</v>
      </c>
      <c r="M340" s="1" t="str">
        <f>TEXT(Table1[[#This Row],[Order_Date]], "MMM")</f>
        <v>Dec</v>
      </c>
      <c r="N340" s="1">
        <f>YEAR(Table1[[#This Row],[Order_Date]])</f>
        <v>2024</v>
      </c>
      <c r="O340" s="7">
        <f>Table1[[#This Row],[Profit]]/Table1[[#This Row],[Total_Sales]]</f>
        <v>0.41040497497345668</v>
      </c>
    </row>
    <row r="341" spans="1:15" x14ac:dyDescent="0.25">
      <c r="A341" s="1">
        <v>340</v>
      </c>
      <c r="B341" s="2">
        <v>45414</v>
      </c>
      <c r="C341" s="1" t="s">
        <v>16</v>
      </c>
      <c r="D341" s="1" t="s">
        <v>20</v>
      </c>
      <c r="E341" s="1" t="s">
        <v>28</v>
      </c>
      <c r="F341" s="1" t="s">
        <v>35</v>
      </c>
      <c r="G341" s="1">
        <v>5</v>
      </c>
      <c r="H341" s="1">
        <v>785</v>
      </c>
      <c r="I341" s="1">
        <v>0</v>
      </c>
      <c r="J341" s="4">
        <v>3925</v>
      </c>
      <c r="K341" s="4">
        <v>2236.16</v>
      </c>
      <c r="L341" s="4">
        <v>1688.84</v>
      </c>
      <c r="M341" s="1" t="str">
        <f>TEXT(Table1[[#This Row],[Order_Date]], "MMM")</f>
        <v>May</v>
      </c>
      <c r="N341" s="1">
        <f>YEAR(Table1[[#This Row],[Order_Date]])</f>
        <v>2024</v>
      </c>
      <c r="O341" s="7">
        <f>Table1[[#This Row],[Profit]]/Table1[[#This Row],[Total_Sales]]</f>
        <v>0.43027770700636941</v>
      </c>
    </row>
    <row r="342" spans="1:15" x14ac:dyDescent="0.25">
      <c r="A342" s="1">
        <v>341</v>
      </c>
      <c r="B342" s="2">
        <v>45335</v>
      </c>
      <c r="C342" s="1" t="s">
        <v>25</v>
      </c>
      <c r="D342" s="1" t="s">
        <v>26</v>
      </c>
      <c r="E342" s="1" t="s">
        <v>46</v>
      </c>
      <c r="F342" s="1" t="s">
        <v>24</v>
      </c>
      <c r="G342" s="1">
        <v>2</v>
      </c>
      <c r="H342" s="1">
        <v>165</v>
      </c>
      <c r="I342" s="1">
        <v>0</v>
      </c>
      <c r="J342" s="4">
        <v>330</v>
      </c>
      <c r="K342" s="4">
        <v>234.37</v>
      </c>
      <c r="L342" s="4">
        <v>95.63</v>
      </c>
      <c r="M342" s="1" t="str">
        <f>TEXT(Table1[[#This Row],[Order_Date]], "MMM")</f>
        <v>Feb</v>
      </c>
      <c r="N342" s="1">
        <f>YEAR(Table1[[#This Row],[Order_Date]])</f>
        <v>2024</v>
      </c>
      <c r="O342" s="7">
        <f>Table1[[#This Row],[Profit]]/Table1[[#This Row],[Total_Sales]]</f>
        <v>0.28978787878787876</v>
      </c>
    </row>
    <row r="343" spans="1:15" x14ac:dyDescent="0.25">
      <c r="A343" s="1">
        <v>342</v>
      </c>
      <c r="B343" s="2">
        <v>45485</v>
      </c>
      <c r="C343" s="1" t="s">
        <v>19</v>
      </c>
      <c r="D343" s="1" t="s">
        <v>32</v>
      </c>
      <c r="E343" s="1" t="s">
        <v>33</v>
      </c>
      <c r="F343" s="1" t="s">
        <v>40</v>
      </c>
      <c r="G343" s="1">
        <v>2</v>
      </c>
      <c r="H343" s="1">
        <v>811</v>
      </c>
      <c r="I343" s="1">
        <v>20</v>
      </c>
      <c r="J343" s="4">
        <v>1297.5999999999999</v>
      </c>
      <c r="K343" s="4">
        <v>897.7</v>
      </c>
      <c r="L343" s="4">
        <v>399.9</v>
      </c>
      <c r="M343" s="1" t="str">
        <f>TEXT(Table1[[#This Row],[Order_Date]], "MMM")</f>
        <v>Jul</v>
      </c>
      <c r="N343" s="1">
        <f>YEAR(Table1[[#This Row],[Order_Date]])</f>
        <v>2024</v>
      </c>
      <c r="O343" s="7">
        <f>Table1[[#This Row],[Profit]]/Table1[[#This Row],[Total_Sales]]</f>
        <v>0.30818434032059189</v>
      </c>
    </row>
    <row r="344" spans="1:15" x14ac:dyDescent="0.25">
      <c r="A344" s="1">
        <v>343</v>
      </c>
      <c r="B344" s="2">
        <v>45278</v>
      </c>
      <c r="C344" s="1" t="s">
        <v>16</v>
      </c>
      <c r="D344" s="1" t="s">
        <v>32</v>
      </c>
      <c r="E344" s="1" t="s">
        <v>41</v>
      </c>
      <c r="F344" s="1" t="s">
        <v>31</v>
      </c>
      <c r="G344" s="1">
        <v>8</v>
      </c>
      <c r="H344" s="1">
        <v>163</v>
      </c>
      <c r="I344" s="1">
        <v>20</v>
      </c>
      <c r="J344" s="4">
        <v>1043.2</v>
      </c>
      <c r="K344" s="4">
        <v>626.34</v>
      </c>
      <c r="L344" s="4">
        <v>416.86</v>
      </c>
      <c r="M344" s="1" t="str">
        <f>TEXT(Table1[[#This Row],[Order_Date]], "MMM")</f>
        <v>Dec</v>
      </c>
      <c r="N344" s="1">
        <f>YEAR(Table1[[#This Row],[Order_Date]])</f>
        <v>2023</v>
      </c>
      <c r="O344" s="7">
        <f>Table1[[#This Row],[Profit]]/Table1[[#This Row],[Total_Sales]]</f>
        <v>0.39959739263803679</v>
      </c>
    </row>
    <row r="345" spans="1:15" x14ac:dyDescent="0.25">
      <c r="A345" s="1">
        <v>344</v>
      </c>
      <c r="B345" s="2">
        <v>45327</v>
      </c>
      <c r="C345" s="1" t="s">
        <v>19</v>
      </c>
      <c r="D345" s="1" t="s">
        <v>22</v>
      </c>
      <c r="E345" s="1" t="s">
        <v>36</v>
      </c>
      <c r="F345" s="1" t="s">
        <v>24</v>
      </c>
      <c r="G345" s="1">
        <v>4</v>
      </c>
      <c r="H345" s="1">
        <v>481</v>
      </c>
      <c r="I345" s="1">
        <v>0</v>
      </c>
      <c r="J345" s="4">
        <v>1924</v>
      </c>
      <c r="K345" s="4">
        <v>1009.51</v>
      </c>
      <c r="L345" s="4">
        <v>914.49</v>
      </c>
      <c r="M345" s="1" t="str">
        <f>TEXT(Table1[[#This Row],[Order_Date]], "MMM")</f>
        <v>Feb</v>
      </c>
      <c r="N345" s="1">
        <f>YEAR(Table1[[#This Row],[Order_Date]])</f>
        <v>2024</v>
      </c>
      <c r="O345" s="7">
        <f>Table1[[#This Row],[Profit]]/Table1[[#This Row],[Total_Sales]]</f>
        <v>0.4753066528066528</v>
      </c>
    </row>
    <row r="346" spans="1:15" x14ac:dyDescent="0.25">
      <c r="A346" s="1">
        <v>345</v>
      </c>
      <c r="B346" s="2">
        <v>45124</v>
      </c>
      <c r="C346" s="1" t="s">
        <v>19</v>
      </c>
      <c r="D346" s="1" t="s">
        <v>22</v>
      </c>
      <c r="E346" s="1" t="s">
        <v>29</v>
      </c>
      <c r="F346" s="1" t="s">
        <v>35</v>
      </c>
      <c r="G346" s="1">
        <v>7</v>
      </c>
      <c r="H346" s="1">
        <v>417</v>
      </c>
      <c r="I346" s="1">
        <v>15</v>
      </c>
      <c r="J346" s="4">
        <v>2481.15</v>
      </c>
      <c r="K346" s="4">
        <v>1890.59</v>
      </c>
      <c r="L346" s="4">
        <v>590.55999999999995</v>
      </c>
      <c r="M346" s="1" t="str">
        <f>TEXT(Table1[[#This Row],[Order_Date]], "MMM")</f>
        <v>Jul</v>
      </c>
      <c r="N346" s="1">
        <f>YEAR(Table1[[#This Row],[Order_Date]])</f>
        <v>2023</v>
      </c>
      <c r="O346" s="7">
        <f>Table1[[#This Row],[Profit]]/Table1[[#This Row],[Total_Sales]]</f>
        <v>0.23801866070169073</v>
      </c>
    </row>
    <row r="347" spans="1:15" x14ac:dyDescent="0.25">
      <c r="A347" s="1">
        <v>346</v>
      </c>
      <c r="B347" s="2">
        <v>45229</v>
      </c>
      <c r="C347" s="1" t="s">
        <v>25</v>
      </c>
      <c r="D347" s="1" t="s">
        <v>26</v>
      </c>
      <c r="E347" s="1" t="s">
        <v>27</v>
      </c>
      <c r="F347" s="1" t="s">
        <v>24</v>
      </c>
      <c r="G347" s="1">
        <v>3</v>
      </c>
      <c r="H347" s="1">
        <v>475</v>
      </c>
      <c r="I347" s="1">
        <v>20</v>
      </c>
      <c r="J347" s="4">
        <v>1140</v>
      </c>
      <c r="K347" s="4">
        <v>639</v>
      </c>
      <c r="L347" s="4">
        <v>501</v>
      </c>
      <c r="M347" s="1" t="str">
        <f>TEXT(Table1[[#This Row],[Order_Date]], "MMM")</f>
        <v>Oct</v>
      </c>
      <c r="N347" s="1">
        <f>YEAR(Table1[[#This Row],[Order_Date]])</f>
        <v>2023</v>
      </c>
      <c r="O347" s="7">
        <f>Table1[[#This Row],[Profit]]/Table1[[#This Row],[Total_Sales]]</f>
        <v>0.43947368421052629</v>
      </c>
    </row>
    <row r="348" spans="1:15" x14ac:dyDescent="0.25">
      <c r="A348" s="1">
        <v>347</v>
      </c>
      <c r="B348" s="2">
        <v>45234</v>
      </c>
      <c r="C348" s="1" t="s">
        <v>19</v>
      </c>
      <c r="D348" s="1" t="s">
        <v>20</v>
      </c>
      <c r="E348" s="1" t="s">
        <v>28</v>
      </c>
      <c r="F348" s="1" t="s">
        <v>18</v>
      </c>
      <c r="G348" s="1">
        <v>8</v>
      </c>
      <c r="H348" s="1">
        <v>651</v>
      </c>
      <c r="I348" s="1">
        <v>15</v>
      </c>
      <c r="J348" s="4">
        <v>4426.8</v>
      </c>
      <c r="K348" s="4">
        <v>3505.85</v>
      </c>
      <c r="L348" s="4">
        <v>920.95</v>
      </c>
      <c r="M348" s="1" t="str">
        <f>TEXT(Table1[[#This Row],[Order_Date]], "MMM")</f>
        <v>Nov</v>
      </c>
      <c r="N348" s="1">
        <f>YEAR(Table1[[#This Row],[Order_Date]])</f>
        <v>2023</v>
      </c>
      <c r="O348" s="7">
        <f>Table1[[#This Row],[Profit]]/Table1[[#This Row],[Total_Sales]]</f>
        <v>0.20803966747989519</v>
      </c>
    </row>
    <row r="349" spans="1:15" x14ac:dyDescent="0.25">
      <c r="A349" s="1">
        <v>348</v>
      </c>
      <c r="B349" s="2">
        <v>45415</v>
      </c>
      <c r="C349" s="1" t="s">
        <v>16</v>
      </c>
      <c r="D349" s="1" t="s">
        <v>32</v>
      </c>
      <c r="E349" s="1" t="s">
        <v>45</v>
      </c>
      <c r="F349" s="1" t="s">
        <v>18</v>
      </c>
      <c r="G349" s="1">
        <v>10</v>
      </c>
      <c r="H349" s="1">
        <v>205</v>
      </c>
      <c r="I349" s="1">
        <v>10</v>
      </c>
      <c r="J349" s="4">
        <v>1845</v>
      </c>
      <c r="K349" s="4">
        <v>1112.25</v>
      </c>
      <c r="L349" s="4">
        <v>732.75</v>
      </c>
      <c r="M349" s="1" t="str">
        <f>TEXT(Table1[[#This Row],[Order_Date]], "MMM")</f>
        <v>May</v>
      </c>
      <c r="N349" s="1">
        <f>YEAR(Table1[[#This Row],[Order_Date]])</f>
        <v>2024</v>
      </c>
      <c r="O349" s="7">
        <f>Table1[[#This Row],[Profit]]/Table1[[#This Row],[Total_Sales]]</f>
        <v>0.39715447154471545</v>
      </c>
    </row>
    <row r="350" spans="1:15" x14ac:dyDescent="0.25">
      <c r="A350" s="1">
        <v>349</v>
      </c>
      <c r="B350" s="2">
        <v>45289</v>
      </c>
      <c r="C350" s="1" t="s">
        <v>25</v>
      </c>
      <c r="D350" s="1" t="s">
        <v>32</v>
      </c>
      <c r="E350" s="1" t="s">
        <v>45</v>
      </c>
      <c r="F350" s="1" t="s">
        <v>18</v>
      </c>
      <c r="G350" s="1">
        <v>7</v>
      </c>
      <c r="H350" s="1">
        <v>467</v>
      </c>
      <c r="I350" s="1">
        <v>5</v>
      </c>
      <c r="J350" s="4">
        <v>3105.55</v>
      </c>
      <c r="K350" s="4">
        <v>2445.8000000000002</v>
      </c>
      <c r="L350" s="4">
        <v>659.75</v>
      </c>
      <c r="M350" s="1" t="str">
        <f>TEXT(Table1[[#This Row],[Order_Date]], "MMM")</f>
        <v>Dec</v>
      </c>
      <c r="N350" s="1">
        <f>YEAR(Table1[[#This Row],[Order_Date]])</f>
        <v>2023</v>
      </c>
      <c r="O350" s="7">
        <f>Table1[[#This Row],[Profit]]/Table1[[#This Row],[Total_Sales]]</f>
        <v>0.21244224050490251</v>
      </c>
    </row>
    <row r="351" spans="1:15" x14ac:dyDescent="0.25">
      <c r="A351" s="1">
        <v>350</v>
      </c>
      <c r="B351" s="2">
        <v>45628</v>
      </c>
      <c r="C351" s="1" t="s">
        <v>12</v>
      </c>
      <c r="D351" s="1" t="s">
        <v>26</v>
      </c>
      <c r="E351" s="1" t="s">
        <v>42</v>
      </c>
      <c r="F351" s="1" t="s">
        <v>24</v>
      </c>
      <c r="G351" s="1">
        <v>4</v>
      </c>
      <c r="H351" s="1">
        <v>586</v>
      </c>
      <c r="I351" s="1">
        <v>5</v>
      </c>
      <c r="J351" s="4">
        <v>2226.8000000000002</v>
      </c>
      <c r="K351" s="4">
        <v>1709.58</v>
      </c>
      <c r="L351" s="4">
        <v>517.22</v>
      </c>
      <c r="M351" s="1" t="str">
        <f>TEXT(Table1[[#This Row],[Order_Date]], "MMM")</f>
        <v>Dec</v>
      </c>
      <c r="N351" s="1">
        <f>YEAR(Table1[[#This Row],[Order_Date]])</f>
        <v>2024</v>
      </c>
      <c r="O351" s="7">
        <f>Table1[[#This Row],[Profit]]/Table1[[#This Row],[Total_Sales]]</f>
        <v>0.23227052272319021</v>
      </c>
    </row>
    <row r="352" spans="1:15" x14ac:dyDescent="0.25">
      <c r="A352" s="1">
        <v>351</v>
      </c>
      <c r="B352" s="2">
        <v>45287</v>
      </c>
      <c r="C352" s="1" t="s">
        <v>25</v>
      </c>
      <c r="D352" s="1" t="s">
        <v>26</v>
      </c>
      <c r="E352" s="1" t="s">
        <v>46</v>
      </c>
      <c r="F352" s="1" t="s">
        <v>40</v>
      </c>
      <c r="G352" s="1">
        <v>9</v>
      </c>
      <c r="H352" s="1">
        <v>626</v>
      </c>
      <c r="I352" s="1">
        <v>15</v>
      </c>
      <c r="J352" s="4">
        <v>4788.8999999999996</v>
      </c>
      <c r="K352" s="4">
        <v>3005.28</v>
      </c>
      <c r="L352" s="4">
        <v>1783.62</v>
      </c>
      <c r="M352" s="1" t="str">
        <f>TEXT(Table1[[#This Row],[Order_Date]], "MMM")</f>
        <v>Dec</v>
      </c>
      <c r="N352" s="1">
        <f>YEAR(Table1[[#This Row],[Order_Date]])</f>
        <v>2023</v>
      </c>
      <c r="O352" s="7">
        <f>Table1[[#This Row],[Profit]]/Table1[[#This Row],[Total_Sales]]</f>
        <v>0.37244878782183799</v>
      </c>
    </row>
    <row r="353" spans="1:15" x14ac:dyDescent="0.25">
      <c r="A353" s="1">
        <v>352</v>
      </c>
      <c r="B353" s="2">
        <v>45218</v>
      </c>
      <c r="C353" s="1" t="s">
        <v>12</v>
      </c>
      <c r="D353" s="1" t="s">
        <v>13</v>
      </c>
      <c r="E353" s="1" t="s">
        <v>14</v>
      </c>
      <c r="F353" s="1" t="s">
        <v>24</v>
      </c>
      <c r="G353" s="1">
        <v>1</v>
      </c>
      <c r="H353" s="1">
        <v>644</v>
      </c>
      <c r="I353" s="1">
        <v>0</v>
      </c>
      <c r="J353" s="4">
        <v>644</v>
      </c>
      <c r="K353" s="4">
        <v>357.01</v>
      </c>
      <c r="L353" s="4">
        <v>286.99</v>
      </c>
      <c r="M353" s="1" t="str">
        <f>TEXT(Table1[[#This Row],[Order_Date]], "MMM")</f>
        <v>Oct</v>
      </c>
      <c r="N353" s="1">
        <f>YEAR(Table1[[#This Row],[Order_Date]])</f>
        <v>2023</v>
      </c>
      <c r="O353" s="7">
        <f>Table1[[#This Row],[Profit]]/Table1[[#This Row],[Total_Sales]]</f>
        <v>0.44563664596273295</v>
      </c>
    </row>
    <row r="354" spans="1:15" x14ac:dyDescent="0.25">
      <c r="A354" s="1">
        <v>353</v>
      </c>
      <c r="B354" s="2">
        <v>45228</v>
      </c>
      <c r="C354" s="1" t="s">
        <v>12</v>
      </c>
      <c r="D354" s="1" t="s">
        <v>13</v>
      </c>
      <c r="E354" s="1" t="s">
        <v>14</v>
      </c>
      <c r="F354" s="1" t="s">
        <v>24</v>
      </c>
      <c r="G354" s="1">
        <v>1</v>
      </c>
      <c r="H354" s="1">
        <v>562</v>
      </c>
      <c r="I354" s="1">
        <v>5</v>
      </c>
      <c r="J354" s="4">
        <v>533.9</v>
      </c>
      <c r="K354" s="4">
        <v>312</v>
      </c>
      <c r="L354" s="4">
        <v>221.9</v>
      </c>
      <c r="M354" s="1" t="str">
        <f>TEXT(Table1[[#This Row],[Order_Date]], "MMM")</f>
        <v>Oct</v>
      </c>
      <c r="N354" s="1">
        <f>YEAR(Table1[[#This Row],[Order_Date]])</f>
        <v>2023</v>
      </c>
      <c r="O354" s="7">
        <f>Table1[[#This Row],[Profit]]/Table1[[#This Row],[Total_Sales]]</f>
        <v>0.41562090279078484</v>
      </c>
    </row>
    <row r="355" spans="1:15" x14ac:dyDescent="0.25">
      <c r="A355" s="1">
        <v>354</v>
      </c>
      <c r="B355" s="2">
        <v>45334</v>
      </c>
      <c r="C355" s="1" t="s">
        <v>16</v>
      </c>
      <c r="D355" s="1" t="s">
        <v>22</v>
      </c>
      <c r="E355" s="1" t="s">
        <v>36</v>
      </c>
      <c r="F355" s="1" t="s">
        <v>24</v>
      </c>
      <c r="G355" s="1">
        <v>7</v>
      </c>
      <c r="H355" s="1">
        <v>893</v>
      </c>
      <c r="I355" s="1">
        <v>5</v>
      </c>
      <c r="J355" s="4">
        <v>5938.45</v>
      </c>
      <c r="K355" s="4">
        <v>4472.0200000000004</v>
      </c>
      <c r="L355" s="4">
        <v>1466.43</v>
      </c>
      <c r="M355" s="1" t="str">
        <f>TEXT(Table1[[#This Row],[Order_Date]], "MMM")</f>
        <v>Feb</v>
      </c>
      <c r="N355" s="1">
        <f>YEAR(Table1[[#This Row],[Order_Date]])</f>
        <v>2024</v>
      </c>
      <c r="O355" s="7">
        <f>Table1[[#This Row],[Profit]]/Table1[[#This Row],[Total_Sales]]</f>
        <v>0.24693817410266991</v>
      </c>
    </row>
    <row r="356" spans="1:15" x14ac:dyDescent="0.25">
      <c r="A356" s="1">
        <v>355</v>
      </c>
      <c r="B356" s="2">
        <v>45105</v>
      </c>
      <c r="C356" s="1" t="s">
        <v>25</v>
      </c>
      <c r="D356" s="1" t="s">
        <v>26</v>
      </c>
      <c r="E356" s="1" t="s">
        <v>37</v>
      </c>
      <c r="F356" s="1" t="s">
        <v>24</v>
      </c>
      <c r="G356" s="1">
        <v>9</v>
      </c>
      <c r="H356" s="1">
        <v>322</v>
      </c>
      <c r="I356" s="1">
        <v>5</v>
      </c>
      <c r="J356" s="4">
        <v>2753.1</v>
      </c>
      <c r="K356" s="4">
        <v>1751.29</v>
      </c>
      <c r="L356" s="4">
        <v>1001.81</v>
      </c>
      <c r="M356" s="1" t="str">
        <f>TEXT(Table1[[#This Row],[Order_Date]], "MMM")</f>
        <v>Jun</v>
      </c>
      <c r="N356" s="1">
        <f>YEAR(Table1[[#This Row],[Order_Date]])</f>
        <v>2023</v>
      </c>
      <c r="O356" s="7">
        <f>Table1[[#This Row],[Profit]]/Table1[[#This Row],[Total_Sales]]</f>
        <v>0.36388434855254076</v>
      </c>
    </row>
    <row r="357" spans="1:15" x14ac:dyDescent="0.25">
      <c r="A357" s="1">
        <v>356</v>
      </c>
      <c r="B357" s="2">
        <v>44930</v>
      </c>
      <c r="C357" s="1" t="s">
        <v>19</v>
      </c>
      <c r="D357" s="1" t="s">
        <v>20</v>
      </c>
      <c r="E357" s="1" t="s">
        <v>43</v>
      </c>
      <c r="F357" s="1" t="s">
        <v>15</v>
      </c>
      <c r="G357" s="1">
        <v>1</v>
      </c>
      <c r="H357" s="1">
        <v>406</v>
      </c>
      <c r="I357" s="1">
        <v>5</v>
      </c>
      <c r="J357" s="4">
        <v>385.7</v>
      </c>
      <c r="K357" s="4">
        <v>253.24</v>
      </c>
      <c r="L357" s="4">
        <v>132.46</v>
      </c>
      <c r="M357" s="1" t="str">
        <f>TEXT(Table1[[#This Row],[Order_Date]], "MMM")</f>
        <v>Jan</v>
      </c>
      <c r="N357" s="1">
        <f>YEAR(Table1[[#This Row],[Order_Date]])</f>
        <v>2023</v>
      </c>
      <c r="O357" s="7">
        <f>Table1[[#This Row],[Profit]]/Table1[[#This Row],[Total_Sales]]</f>
        <v>0.34342753435312423</v>
      </c>
    </row>
    <row r="358" spans="1:15" x14ac:dyDescent="0.25">
      <c r="A358" s="1">
        <v>357</v>
      </c>
      <c r="B358" s="2">
        <v>45264</v>
      </c>
      <c r="C358" s="1" t="s">
        <v>12</v>
      </c>
      <c r="D358" s="1" t="s">
        <v>26</v>
      </c>
      <c r="E358" s="1" t="s">
        <v>42</v>
      </c>
      <c r="F358" s="1" t="s">
        <v>15</v>
      </c>
      <c r="G358" s="1">
        <v>9</v>
      </c>
      <c r="H358" s="1">
        <v>947</v>
      </c>
      <c r="I358" s="1">
        <v>5</v>
      </c>
      <c r="J358" s="4">
        <v>8096.85</v>
      </c>
      <c r="K358" s="4">
        <v>6456.14</v>
      </c>
      <c r="L358" s="4">
        <v>1640.71</v>
      </c>
      <c r="M358" s="1" t="str">
        <f>TEXT(Table1[[#This Row],[Order_Date]], "MMM")</f>
        <v>Dec</v>
      </c>
      <c r="N358" s="1">
        <f>YEAR(Table1[[#This Row],[Order_Date]])</f>
        <v>2023</v>
      </c>
      <c r="O358" s="7">
        <f>Table1[[#This Row],[Profit]]/Table1[[#This Row],[Total_Sales]]</f>
        <v>0.20263559285401112</v>
      </c>
    </row>
    <row r="359" spans="1:15" x14ac:dyDescent="0.25">
      <c r="A359" s="1">
        <v>358</v>
      </c>
      <c r="B359" s="2">
        <v>45080</v>
      </c>
      <c r="C359" s="1" t="s">
        <v>12</v>
      </c>
      <c r="D359" s="1" t="s">
        <v>26</v>
      </c>
      <c r="E359" s="1" t="s">
        <v>27</v>
      </c>
      <c r="F359" s="1" t="s">
        <v>18</v>
      </c>
      <c r="G359" s="1">
        <v>4</v>
      </c>
      <c r="H359" s="1">
        <v>399</v>
      </c>
      <c r="I359" s="1">
        <v>5</v>
      </c>
      <c r="J359" s="4">
        <v>1516.2</v>
      </c>
      <c r="K359" s="4">
        <v>760.38</v>
      </c>
      <c r="L359" s="4">
        <v>755.82</v>
      </c>
      <c r="M359" s="1" t="str">
        <f>TEXT(Table1[[#This Row],[Order_Date]], "MMM")</f>
        <v>Jun</v>
      </c>
      <c r="N359" s="1">
        <f>YEAR(Table1[[#This Row],[Order_Date]])</f>
        <v>2023</v>
      </c>
      <c r="O359" s="7">
        <f>Table1[[#This Row],[Profit]]/Table1[[#This Row],[Total_Sales]]</f>
        <v>0.49849624060150377</v>
      </c>
    </row>
    <row r="360" spans="1:15" x14ac:dyDescent="0.25">
      <c r="A360" s="1">
        <v>359</v>
      </c>
      <c r="B360" s="2">
        <v>45654</v>
      </c>
      <c r="C360" s="1" t="s">
        <v>16</v>
      </c>
      <c r="D360" s="1" t="s">
        <v>26</v>
      </c>
      <c r="E360" s="1" t="s">
        <v>46</v>
      </c>
      <c r="F360" s="1" t="s">
        <v>24</v>
      </c>
      <c r="G360" s="1">
        <v>8</v>
      </c>
      <c r="H360" s="1">
        <v>77</v>
      </c>
      <c r="I360" s="1">
        <v>10</v>
      </c>
      <c r="J360" s="4">
        <v>554.4</v>
      </c>
      <c r="K360" s="4">
        <v>300.88</v>
      </c>
      <c r="L360" s="4">
        <v>253.52</v>
      </c>
      <c r="M360" s="1" t="str">
        <f>TEXT(Table1[[#This Row],[Order_Date]], "MMM")</f>
        <v>Dec</v>
      </c>
      <c r="N360" s="1">
        <f>YEAR(Table1[[#This Row],[Order_Date]])</f>
        <v>2024</v>
      </c>
      <c r="O360" s="7">
        <f>Table1[[#This Row],[Profit]]/Table1[[#This Row],[Total_Sales]]</f>
        <v>0.4572871572871573</v>
      </c>
    </row>
    <row r="361" spans="1:15" x14ac:dyDescent="0.25">
      <c r="A361" s="1">
        <v>360</v>
      </c>
      <c r="B361" s="2">
        <v>45251</v>
      </c>
      <c r="C361" s="1" t="s">
        <v>19</v>
      </c>
      <c r="D361" s="1" t="s">
        <v>13</v>
      </c>
      <c r="E361" s="1" t="s">
        <v>38</v>
      </c>
      <c r="F361" s="1" t="s">
        <v>35</v>
      </c>
      <c r="G361" s="1">
        <v>3</v>
      </c>
      <c r="H361" s="1">
        <v>240</v>
      </c>
      <c r="I361" s="1">
        <v>15</v>
      </c>
      <c r="J361" s="4">
        <v>612</v>
      </c>
      <c r="K361" s="4">
        <v>354.36</v>
      </c>
      <c r="L361" s="4">
        <v>257.64</v>
      </c>
      <c r="M361" s="1" t="str">
        <f>TEXT(Table1[[#This Row],[Order_Date]], "MMM")</f>
        <v>Nov</v>
      </c>
      <c r="N361" s="1">
        <f>YEAR(Table1[[#This Row],[Order_Date]])</f>
        <v>2023</v>
      </c>
      <c r="O361" s="7">
        <f>Table1[[#This Row],[Profit]]/Table1[[#This Row],[Total_Sales]]</f>
        <v>0.42098039215686273</v>
      </c>
    </row>
    <row r="362" spans="1:15" x14ac:dyDescent="0.25">
      <c r="A362" s="1">
        <v>361</v>
      </c>
      <c r="B362" s="2">
        <v>45335</v>
      </c>
      <c r="C362" s="1" t="s">
        <v>12</v>
      </c>
      <c r="D362" s="1" t="s">
        <v>20</v>
      </c>
      <c r="E362" s="1" t="s">
        <v>30</v>
      </c>
      <c r="F362" s="1" t="s">
        <v>40</v>
      </c>
      <c r="G362" s="1">
        <v>6</v>
      </c>
      <c r="H362" s="1">
        <v>767</v>
      </c>
      <c r="I362" s="1">
        <v>15</v>
      </c>
      <c r="J362" s="4">
        <v>3911.7</v>
      </c>
      <c r="K362" s="4">
        <v>2411.79</v>
      </c>
      <c r="L362" s="4">
        <v>1499.91</v>
      </c>
      <c r="M362" s="1" t="str">
        <f>TEXT(Table1[[#This Row],[Order_Date]], "MMM")</f>
        <v>Feb</v>
      </c>
      <c r="N362" s="1">
        <f>YEAR(Table1[[#This Row],[Order_Date]])</f>
        <v>2024</v>
      </c>
      <c r="O362" s="7">
        <f>Table1[[#This Row],[Profit]]/Table1[[#This Row],[Total_Sales]]</f>
        <v>0.38344198174706651</v>
      </c>
    </row>
    <row r="363" spans="1:15" x14ac:dyDescent="0.25">
      <c r="A363" s="1">
        <v>362</v>
      </c>
      <c r="B363" s="2">
        <v>45295</v>
      </c>
      <c r="C363" s="1" t="s">
        <v>25</v>
      </c>
      <c r="D363" s="1" t="s">
        <v>32</v>
      </c>
      <c r="E363" s="1" t="s">
        <v>45</v>
      </c>
      <c r="F363" s="1" t="s">
        <v>35</v>
      </c>
      <c r="G363" s="1">
        <v>3</v>
      </c>
      <c r="H363" s="1">
        <v>921</v>
      </c>
      <c r="I363" s="1">
        <v>5</v>
      </c>
      <c r="J363" s="4">
        <v>2624.85</v>
      </c>
      <c r="K363" s="4">
        <v>1464.14</v>
      </c>
      <c r="L363" s="4">
        <v>1160.71</v>
      </c>
      <c r="M363" s="1" t="str">
        <f>TEXT(Table1[[#This Row],[Order_Date]], "MMM")</f>
        <v>Jan</v>
      </c>
      <c r="N363" s="1">
        <f>YEAR(Table1[[#This Row],[Order_Date]])</f>
        <v>2024</v>
      </c>
      <c r="O363" s="7">
        <f>Table1[[#This Row],[Profit]]/Table1[[#This Row],[Total_Sales]]</f>
        <v>0.44220050669562072</v>
      </c>
    </row>
    <row r="364" spans="1:15" x14ac:dyDescent="0.25">
      <c r="A364" s="1">
        <v>363</v>
      </c>
      <c r="B364" s="2">
        <v>45458</v>
      </c>
      <c r="C364" s="1" t="s">
        <v>16</v>
      </c>
      <c r="D364" s="1" t="s">
        <v>20</v>
      </c>
      <c r="E364" s="1" t="s">
        <v>21</v>
      </c>
      <c r="F364" s="1" t="s">
        <v>40</v>
      </c>
      <c r="G364" s="1">
        <v>1</v>
      </c>
      <c r="H364" s="1">
        <v>922</v>
      </c>
      <c r="I364" s="1">
        <v>0</v>
      </c>
      <c r="J364" s="4">
        <v>922</v>
      </c>
      <c r="K364" s="4">
        <v>539.20000000000005</v>
      </c>
      <c r="L364" s="4">
        <v>382.8</v>
      </c>
      <c r="M364" s="1" t="str">
        <f>TEXT(Table1[[#This Row],[Order_Date]], "MMM")</f>
        <v>Jun</v>
      </c>
      <c r="N364" s="1">
        <f>YEAR(Table1[[#This Row],[Order_Date]])</f>
        <v>2024</v>
      </c>
      <c r="O364" s="7">
        <f>Table1[[#This Row],[Profit]]/Table1[[#This Row],[Total_Sales]]</f>
        <v>0.4151843817787419</v>
      </c>
    </row>
    <row r="365" spans="1:15" x14ac:dyDescent="0.25">
      <c r="A365" s="1">
        <v>364</v>
      </c>
      <c r="B365" s="2">
        <v>44996</v>
      </c>
      <c r="C365" s="1" t="s">
        <v>16</v>
      </c>
      <c r="D365" s="1" t="s">
        <v>26</v>
      </c>
      <c r="E365" s="1" t="s">
        <v>37</v>
      </c>
      <c r="F365" s="1" t="s">
        <v>24</v>
      </c>
      <c r="G365" s="1">
        <v>6</v>
      </c>
      <c r="H365" s="1">
        <v>616</v>
      </c>
      <c r="I365" s="1">
        <v>10</v>
      </c>
      <c r="J365" s="4">
        <v>3326.4</v>
      </c>
      <c r="K365" s="4">
        <v>1810.24</v>
      </c>
      <c r="L365" s="4">
        <v>1516.16</v>
      </c>
      <c r="M365" s="1" t="str">
        <f>TEXT(Table1[[#This Row],[Order_Date]], "MMM")</f>
        <v>Mar</v>
      </c>
      <c r="N365" s="1">
        <f>YEAR(Table1[[#This Row],[Order_Date]])</f>
        <v>2023</v>
      </c>
      <c r="O365" s="7">
        <f>Table1[[#This Row],[Profit]]/Table1[[#This Row],[Total_Sales]]</f>
        <v>0.45579605579605581</v>
      </c>
    </row>
    <row r="366" spans="1:15" x14ac:dyDescent="0.25">
      <c r="A366" s="1">
        <v>365</v>
      </c>
      <c r="B366" s="2">
        <v>45012</v>
      </c>
      <c r="C366" s="1" t="s">
        <v>16</v>
      </c>
      <c r="D366" s="1" t="s">
        <v>26</v>
      </c>
      <c r="E366" s="1" t="s">
        <v>46</v>
      </c>
      <c r="F366" s="1" t="s">
        <v>15</v>
      </c>
      <c r="G366" s="1">
        <v>8</v>
      </c>
      <c r="H366" s="1">
        <v>33</v>
      </c>
      <c r="I366" s="1">
        <v>0</v>
      </c>
      <c r="J366" s="4">
        <v>264</v>
      </c>
      <c r="K366" s="4">
        <v>163.95</v>
      </c>
      <c r="L366" s="4">
        <v>100.05</v>
      </c>
      <c r="M366" s="1" t="str">
        <f>TEXT(Table1[[#This Row],[Order_Date]], "MMM")</f>
        <v>Mar</v>
      </c>
      <c r="N366" s="1">
        <f>YEAR(Table1[[#This Row],[Order_Date]])</f>
        <v>2023</v>
      </c>
      <c r="O366" s="7">
        <f>Table1[[#This Row],[Profit]]/Table1[[#This Row],[Total_Sales]]</f>
        <v>0.37897727272727272</v>
      </c>
    </row>
    <row r="367" spans="1:15" x14ac:dyDescent="0.25">
      <c r="A367" s="1">
        <v>366</v>
      </c>
      <c r="B367" s="2">
        <v>45453</v>
      </c>
      <c r="C367" s="1" t="s">
        <v>25</v>
      </c>
      <c r="D367" s="1" t="s">
        <v>26</v>
      </c>
      <c r="E367" s="1" t="s">
        <v>27</v>
      </c>
      <c r="F367" s="1" t="s">
        <v>18</v>
      </c>
      <c r="G367" s="1">
        <v>3</v>
      </c>
      <c r="H367" s="1">
        <v>331</v>
      </c>
      <c r="I367" s="1">
        <v>15</v>
      </c>
      <c r="J367" s="4">
        <v>844.05</v>
      </c>
      <c r="K367" s="4">
        <v>492.12</v>
      </c>
      <c r="L367" s="4">
        <v>351.93</v>
      </c>
      <c r="M367" s="1" t="str">
        <f>TEXT(Table1[[#This Row],[Order_Date]], "MMM")</f>
        <v>Jun</v>
      </c>
      <c r="N367" s="1">
        <f>YEAR(Table1[[#This Row],[Order_Date]])</f>
        <v>2024</v>
      </c>
      <c r="O367" s="7">
        <f>Table1[[#This Row],[Profit]]/Table1[[#This Row],[Total_Sales]]</f>
        <v>0.41695397192109473</v>
      </c>
    </row>
    <row r="368" spans="1:15" x14ac:dyDescent="0.25">
      <c r="A368" s="1">
        <v>367</v>
      </c>
      <c r="B368" s="2">
        <v>45318</v>
      </c>
      <c r="C368" s="1" t="s">
        <v>25</v>
      </c>
      <c r="D368" s="1" t="s">
        <v>13</v>
      </c>
      <c r="E368" s="1" t="s">
        <v>38</v>
      </c>
      <c r="F368" s="1" t="s">
        <v>15</v>
      </c>
      <c r="G368" s="1">
        <v>1</v>
      </c>
      <c r="H368" s="1">
        <v>579</v>
      </c>
      <c r="I368" s="1">
        <v>10</v>
      </c>
      <c r="J368" s="4">
        <v>521.1</v>
      </c>
      <c r="K368" s="4">
        <v>361.26</v>
      </c>
      <c r="L368" s="4">
        <v>159.84</v>
      </c>
      <c r="M368" s="1" t="str">
        <f>TEXT(Table1[[#This Row],[Order_Date]], "MMM")</f>
        <v>Jan</v>
      </c>
      <c r="N368" s="1">
        <f>YEAR(Table1[[#This Row],[Order_Date]])</f>
        <v>2024</v>
      </c>
      <c r="O368" s="7">
        <f>Table1[[#This Row],[Profit]]/Table1[[#This Row],[Total_Sales]]</f>
        <v>0.30673575129533676</v>
      </c>
    </row>
    <row r="369" spans="1:15" x14ac:dyDescent="0.25">
      <c r="A369" s="1">
        <v>368</v>
      </c>
      <c r="B369" s="2">
        <v>44941</v>
      </c>
      <c r="C369" s="1" t="s">
        <v>19</v>
      </c>
      <c r="D369" s="1" t="s">
        <v>13</v>
      </c>
      <c r="E369" s="1" t="s">
        <v>17</v>
      </c>
      <c r="F369" s="1" t="s">
        <v>15</v>
      </c>
      <c r="G369" s="1">
        <v>3</v>
      </c>
      <c r="H369" s="1">
        <v>834</v>
      </c>
      <c r="I369" s="1">
        <v>10</v>
      </c>
      <c r="J369" s="4">
        <v>2251.8000000000002</v>
      </c>
      <c r="K369" s="4">
        <v>1529.07</v>
      </c>
      <c r="L369" s="4">
        <v>722.73</v>
      </c>
      <c r="M369" s="1" t="str">
        <f>TEXT(Table1[[#This Row],[Order_Date]], "MMM")</f>
        <v>Jan</v>
      </c>
      <c r="N369" s="1">
        <f>YEAR(Table1[[#This Row],[Order_Date]])</f>
        <v>2023</v>
      </c>
      <c r="O369" s="7">
        <f>Table1[[#This Row],[Profit]]/Table1[[#This Row],[Total_Sales]]</f>
        <v>0.32095656807887024</v>
      </c>
    </row>
    <row r="370" spans="1:15" x14ac:dyDescent="0.25">
      <c r="A370" s="1">
        <v>369</v>
      </c>
      <c r="B370" s="2">
        <v>45632</v>
      </c>
      <c r="C370" s="1" t="s">
        <v>16</v>
      </c>
      <c r="D370" s="1" t="s">
        <v>26</v>
      </c>
      <c r="E370" s="1" t="s">
        <v>37</v>
      </c>
      <c r="F370" s="1" t="s">
        <v>15</v>
      </c>
      <c r="G370" s="1">
        <v>3</v>
      </c>
      <c r="H370" s="1">
        <v>961</v>
      </c>
      <c r="I370" s="1">
        <v>10</v>
      </c>
      <c r="J370" s="4">
        <v>2594.6999999999998</v>
      </c>
      <c r="K370" s="4">
        <v>1515.18</v>
      </c>
      <c r="L370" s="4">
        <v>1079.52</v>
      </c>
      <c r="M370" s="1" t="str">
        <f>TEXT(Table1[[#This Row],[Order_Date]], "MMM")</f>
        <v>Dec</v>
      </c>
      <c r="N370" s="1">
        <f>YEAR(Table1[[#This Row],[Order_Date]])</f>
        <v>2024</v>
      </c>
      <c r="O370" s="7">
        <f>Table1[[#This Row],[Profit]]/Table1[[#This Row],[Total_Sales]]</f>
        <v>0.41604809804601689</v>
      </c>
    </row>
    <row r="371" spans="1:15" x14ac:dyDescent="0.25">
      <c r="A371" s="1">
        <v>370</v>
      </c>
      <c r="B371" s="2">
        <v>45530</v>
      </c>
      <c r="C371" s="1" t="s">
        <v>16</v>
      </c>
      <c r="D371" s="1" t="s">
        <v>22</v>
      </c>
      <c r="E371" s="1" t="s">
        <v>44</v>
      </c>
      <c r="F371" s="1" t="s">
        <v>31</v>
      </c>
      <c r="G371" s="1">
        <v>2</v>
      </c>
      <c r="H371" s="1">
        <v>805</v>
      </c>
      <c r="I371" s="1">
        <v>0</v>
      </c>
      <c r="J371" s="4">
        <v>1610</v>
      </c>
      <c r="K371" s="4">
        <v>1190.96</v>
      </c>
      <c r="L371" s="4">
        <v>419.04</v>
      </c>
      <c r="M371" s="1" t="str">
        <f>TEXT(Table1[[#This Row],[Order_Date]], "MMM")</f>
        <v>Aug</v>
      </c>
      <c r="N371" s="1">
        <f>YEAR(Table1[[#This Row],[Order_Date]])</f>
        <v>2024</v>
      </c>
      <c r="O371" s="7">
        <f>Table1[[#This Row],[Profit]]/Table1[[#This Row],[Total_Sales]]</f>
        <v>0.26027329192546583</v>
      </c>
    </row>
    <row r="372" spans="1:15" x14ac:dyDescent="0.25">
      <c r="A372" s="1">
        <v>371</v>
      </c>
      <c r="B372" s="2">
        <v>45165</v>
      </c>
      <c r="C372" s="1" t="s">
        <v>19</v>
      </c>
      <c r="D372" s="1" t="s">
        <v>32</v>
      </c>
      <c r="E372" s="1" t="s">
        <v>45</v>
      </c>
      <c r="F372" s="1" t="s">
        <v>35</v>
      </c>
      <c r="G372" s="1">
        <v>3</v>
      </c>
      <c r="H372" s="1">
        <v>98</v>
      </c>
      <c r="I372" s="1">
        <v>15</v>
      </c>
      <c r="J372" s="4">
        <v>249.9</v>
      </c>
      <c r="K372" s="4">
        <v>156.96</v>
      </c>
      <c r="L372" s="4">
        <v>92.94</v>
      </c>
      <c r="M372" s="1" t="str">
        <f>TEXT(Table1[[#This Row],[Order_Date]], "MMM")</f>
        <v>Aug</v>
      </c>
      <c r="N372" s="1">
        <f>YEAR(Table1[[#This Row],[Order_Date]])</f>
        <v>2023</v>
      </c>
      <c r="O372" s="7">
        <f>Table1[[#This Row],[Profit]]/Table1[[#This Row],[Total_Sales]]</f>
        <v>0.37190876350540214</v>
      </c>
    </row>
    <row r="373" spans="1:15" x14ac:dyDescent="0.25">
      <c r="A373" s="1">
        <v>372</v>
      </c>
      <c r="B373" s="2">
        <v>45607</v>
      </c>
      <c r="C373" s="1" t="s">
        <v>25</v>
      </c>
      <c r="D373" s="1" t="s">
        <v>32</v>
      </c>
      <c r="E373" s="1" t="s">
        <v>34</v>
      </c>
      <c r="F373" s="1" t="s">
        <v>18</v>
      </c>
      <c r="G373" s="1">
        <v>8</v>
      </c>
      <c r="H373" s="1">
        <v>16</v>
      </c>
      <c r="I373" s="1">
        <v>20</v>
      </c>
      <c r="J373" s="4">
        <v>102.4</v>
      </c>
      <c r="K373" s="4">
        <v>52.05</v>
      </c>
      <c r="L373" s="4">
        <v>50.35</v>
      </c>
      <c r="M373" s="1" t="str">
        <f>TEXT(Table1[[#This Row],[Order_Date]], "MMM")</f>
        <v>Nov</v>
      </c>
      <c r="N373" s="1">
        <f>YEAR(Table1[[#This Row],[Order_Date]])</f>
        <v>2024</v>
      </c>
      <c r="O373" s="7">
        <f>Table1[[#This Row],[Profit]]/Table1[[#This Row],[Total_Sales]]</f>
        <v>0.49169921875</v>
      </c>
    </row>
    <row r="374" spans="1:15" x14ac:dyDescent="0.25">
      <c r="A374" s="1">
        <v>373</v>
      </c>
      <c r="B374" s="2">
        <v>45329</v>
      </c>
      <c r="C374" s="1" t="s">
        <v>12</v>
      </c>
      <c r="D374" s="1" t="s">
        <v>20</v>
      </c>
      <c r="E374" s="1" t="s">
        <v>30</v>
      </c>
      <c r="F374" s="1" t="s">
        <v>15</v>
      </c>
      <c r="G374" s="1">
        <v>2</v>
      </c>
      <c r="H374" s="1">
        <v>423</v>
      </c>
      <c r="I374" s="1">
        <v>5</v>
      </c>
      <c r="J374" s="4">
        <v>803.7</v>
      </c>
      <c r="K374" s="4">
        <v>403.13</v>
      </c>
      <c r="L374" s="4">
        <v>400.57</v>
      </c>
      <c r="M374" s="1" t="str">
        <f>TEXT(Table1[[#This Row],[Order_Date]], "MMM")</f>
        <v>Feb</v>
      </c>
      <c r="N374" s="1">
        <f>YEAR(Table1[[#This Row],[Order_Date]])</f>
        <v>2024</v>
      </c>
      <c r="O374" s="7">
        <f>Table1[[#This Row],[Profit]]/Table1[[#This Row],[Total_Sales]]</f>
        <v>0.49840736593256185</v>
      </c>
    </row>
    <row r="375" spans="1:15" x14ac:dyDescent="0.25">
      <c r="A375" s="1">
        <v>374</v>
      </c>
      <c r="B375" s="2">
        <v>45368</v>
      </c>
      <c r="C375" s="1" t="s">
        <v>12</v>
      </c>
      <c r="D375" s="1" t="s">
        <v>22</v>
      </c>
      <c r="E375" s="1" t="s">
        <v>23</v>
      </c>
      <c r="F375" s="1" t="s">
        <v>18</v>
      </c>
      <c r="G375" s="1">
        <v>6</v>
      </c>
      <c r="H375" s="1">
        <v>324</v>
      </c>
      <c r="I375" s="1">
        <v>20</v>
      </c>
      <c r="J375" s="4">
        <v>1555.2</v>
      </c>
      <c r="K375" s="4">
        <v>1148.32</v>
      </c>
      <c r="L375" s="4">
        <v>406.88</v>
      </c>
      <c r="M375" s="1" t="str">
        <f>TEXT(Table1[[#This Row],[Order_Date]], "MMM")</f>
        <v>Mar</v>
      </c>
      <c r="N375" s="1">
        <f>YEAR(Table1[[#This Row],[Order_Date]])</f>
        <v>2024</v>
      </c>
      <c r="O375" s="7">
        <f>Table1[[#This Row],[Profit]]/Table1[[#This Row],[Total_Sales]]</f>
        <v>0.26162551440329218</v>
      </c>
    </row>
    <row r="376" spans="1:15" x14ac:dyDescent="0.25">
      <c r="A376" s="1">
        <v>375</v>
      </c>
      <c r="B376" s="2">
        <v>45046</v>
      </c>
      <c r="C376" s="1" t="s">
        <v>25</v>
      </c>
      <c r="D376" s="1" t="s">
        <v>20</v>
      </c>
      <c r="E376" s="1" t="s">
        <v>28</v>
      </c>
      <c r="F376" s="1" t="s">
        <v>35</v>
      </c>
      <c r="G376" s="1">
        <v>3</v>
      </c>
      <c r="H376" s="1">
        <v>175</v>
      </c>
      <c r="I376" s="1">
        <v>20</v>
      </c>
      <c r="J376" s="4">
        <v>420</v>
      </c>
      <c r="K376" s="4">
        <v>287.52</v>
      </c>
      <c r="L376" s="4">
        <v>132.47999999999999</v>
      </c>
      <c r="M376" s="1" t="str">
        <f>TEXT(Table1[[#This Row],[Order_Date]], "MMM")</f>
        <v>Apr</v>
      </c>
      <c r="N376" s="1">
        <f>YEAR(Table1[[#This Row],[Order_Date]])</f>
        <v>2023</v>
      </c>
      <c r="O376" s="7">
        <f>Table1[[#This Row],[Profit]]/Table1[[#This Row],[Total_Sales]]</f>
        <v>0.31542857142857139</v>
      </c>
    </row>
    <row r="377" spans="1:15" x14ac:dyDescent="0.25">
      <c r="A377" s="1">
        <v>376</v>
      </c>
      <c r="B377" s="2">
        <v>44945</v>
      </c>
      <c r="C377" s="1" t="s">
        <v>25</v>
      </c>
      <c r="D377" s="1" t="s">
        <v>13</v>
      </c>
      <c r="E377" s="1" t="s">
        <v>39</v>
      </c>
      <c r="F377" s="1" t="s">
        <v>18</v>
      </c>
      <c r="G377" s="1">
        <v>2</v>
      </c>
      <c r="H377" s="1">
        <v>513</v>
      </c>
      <c r="I377" s="1">
        <v>15</v>
      </c>
      <c r="J377" s="4">
        <v>872.1</v>
      </c>
      <c r="K377" s="4">
        <v>528.16</v>
      </c>
      <c r="L377" s="4">
        <v>343.94</v>
      </c>
      <c r="M377" s="1" t="str">
        <f>TEXT(Table1[[#This Row],[Order_Date]], "MMM")</f>
        <v>Jan</v>
      </c>
      <c r="N377" s="1">
        <f>YEAR(Table1[[#This Row],[Order_Date]])</f>
        <v>2023</v>
      </c>
      <c r="O377" s="7">
        <f>Table1[[#This Row],[Profit]]/Table1[[#This Row],[Total_Sales]]</f>
        <v>0.39438137828230707</v>
      </c>
    </row>
    <row r="378" spans="1:15" x14ac:dyDescent="0.25">
      <c r="A378" s="1">
        <v>377</v>
      </c>
      <c r="B378" s="2">
        <v>45354</v>
      </c>
      <c r="C378" s="1" t="s">
        <v>12</v>
      </c>
      <c r="D378" s="1" t="s">
        <v>13</v>
      </c>
      <c r="E378" s="1" t="s">
        <v>39</v>
      </c>
      <c r="F378" s="1" t="s">
        <v>24</v>
      </c>
      <c r="G378" s="1">
        <v>7</v>
      </c>
      <c r="H378" s="1">
        <v>981</v>
      </c>
      <c r="I378" s="1">
        <v>5</v>
      </c>
      <c r="J378" s="4">
        <v>6523.65</v>
      </c>
      <c r="K378" s="4">
        <v>4512.3999999999996</v>
      </c>
      <c r="L378" s="4">
        <v>2011.25</v>
      </c>
      <c r="M378" s="1" t="str">
        <f>TEXT(Table1[[#This Row],[Order_Date]], "MMM")</f>
        <v>Mar</v>
      </c>
      <c r="N378" s="1">
        <f>YEAR(Table1[[#This Row],[Order_Date]])</f>
        <v>2024</v>
      </c>
      <c r="O378" s="7">
        <f>Table1[[#This Row],[Profit]]/Table1[[#This Row],[Total_Sales]]</f>
        <v>0.30830133437569462</v>
      </c>
    </row>
    <row r="379" spans="1:15" x14ac:dyDescent="0.25">
      <c r="A379" s="1">
        <v>378</v>
      </c>
      <c r="B379" s="2">
        <v>45190</v>
      </c>
      <c r="C379" s="1" t="s">
        <v>25</v>
      </c>
      <c r="D379" s="1" t="s">
        <v>22</v>
      </c>
      <c r="E379" s="1" t="s">
        <v>23</v>
      </c>
      <c r="F379" s="1" t="s">
        <v>24</v>
      </c>
      <c r="G379" s="1">
        <v>3</v>
      </c>
      <c r="H379" s="1">
        <v>694</v>
      </c>
      <c r="I379" s="1">
        <v>0</v>
      </c>
      <c r="J379" s="4">
        <v>2082</v>
      </c>
      <c r="K379" s="4">
        <v>1418.14</v>
      </c>
      <c r="L379" s="4">
        <v>663.86</v>
      </c>
      <c r="M379" s="1" t="str">
        <f>TEXT(Table1[[#This Row],[Order_Date]], "MMM")</f>
        <v>Sep</v>
      </c>
      <c r="N379" s="1">
        <f>YEAR(Table1[[#This Row],[Order_Date]])</f>
        <v>2023</v>
      </c>
      <c r="O379" s="7">
        <f>Table1[[#This Row],[Profit]]/Table1[[#This Row],[Total_Sales]]</f>
        <v>0.31885686839577332</v>
      </c>
    </row>
    <row r="380" spans="1:15" x14ac:dyDescent="0.25">
      <c r="A380" s="1">
        <v>379</v>
      </c>
      <c r="B380" s="2">
        <v>45425</v>
      </c>
      <c r="C380" s="1" t="s">
        <v>19</v>
      </c>
      <c r="D380" s="1" t="s">
        <v>32</v>
      </c>
      <c r="E380" s="1" t="s">
        <v>41</v>
      </c>
      <c r="F380" s="1" t="s">
        <v>35</v>
      </c>
      <c r="G380" s="1">
        <v>7</v>
      </c>
      <c r="H380" s="1">
        <v>957</v>
      </c>
      <c r="I380" s="1">
        <v>15</v>
      </c>
      <c r="J380" s="4">
        <v>5694.15</v>
      </c>
      <c r="K380" s="4">
        <v>4240.76</v>
      </c>
      <c r="L380" s="4">
        <v>1453.39</v>
      </c>
      <c r="M380" s="1" t="str">
        <f>TEXT(Table1[[#This Row],[Order_Date]], "MMM")</f>
        <v>May</v>
      </c>
      <c r="N380" s="1">
        <f>YEAR(Table1[[#This Row],[Order_Date]])</f>
        <v>2024</v>
      </c>
      <c r="O380" s="7">
        <f>Table1[[#This Row],[Profit]]/Table1[[#This Row],[Total_Sales]]</f>
        <v>0.25524266132785406</v>
      </c>
    </row>
    <row r="381" spans="1:15" x14ac:dyDescent="0.25">
      <c r="A381" s="1">
        <v>380</v>
      </c>
      <c r="B381" s="2">
        <v>45418</v>
      </c>
      <c r="C381" s="1" t="s">
        <v>16</v>
      </c>
      <c r="D381" s="1" t="s">
        <v>32</v>
      </c>
      <c r="E381" s="1" t="s">
        <v>34</v>
      </c>
      <c r="F381" s="1" t="s">
        <v>24</v>
      </c>
      <c r="G381" s="1">
        <v>2</v>
      </c>
      <c r="H381" s="1">
        <v>809</v>
      </c>
      <c r="I381" s="1">
        <v>5</v>
      </c>
      <c r="J381" s="4">
        <v>1537.1</v>
      </c>
      <c r="K381" s="4">
        <v>880.46</v>
      </c>
      <c r="L381" s="4">
        <v>656.64</v>
      </c>
      <c r="M381" s="1" t="str">
        <f>TEXT(Table1[[#This Row],[Order_Date]], "MMM")</f>
        <v>May</v>
      </c>
      <c r="N381" s="1">
        <f>YEAR(Table1[[#This Row],[Order_Date]])</f>
        <v>2024</v>
      </c>
      <c r="O381" s="7">
        <f>Table1[[#This Row],[Profit]]/Table1[[#This Row],[Total_Sales]]</f>
        <v>0.42719406674907295</v>
      </c>
    </row>
    <row r="382" spans="1:15" x14ac:dyDescent="0.25">
      <c r="A382" s="1">
        <v>381</v>
      </c>
      <c r="B382" s="2">
        <v>45036</v>
      </c>
      <c r="C382" s="1" t="s">
        <v>12</v>
      </c>
      <c r="D382" s="1" t="s">
        <v>20</v>
      </c>
      <c r="E382" s="1" t="s">
        <v>30</v>
      </c>
      <c r="F382" s="1" t="s">
        <v>18</v>
      </c>
      <c r="G382" s="1">
        <v>7</v>
      </c>
      <c r="H382" s="1">
        <v>811</v>
      </c>
      <c r="I382" s="1">
        <v>0</v>
      </c>
      <c r="J382" s="4">
        <v>5677</v>
      </c>
      <c r="K382" s="4">
        <v>3691.85</v>
      </c>
      <c r="L382" s="4">
        <v>1985.15</v>
      </c>
      <c r="M382" s="1" t="str">
        <f>TEXT(Table1[[#This Row],[Order_Date]], "MMM")</f>
        <v>Apr</v>
      </c>
      <c r="N382" s="1">
        <f>YEAR(Table1[[#This Row],[Order_Date]])</f>
        <v>2023</v>
      </c>
      <c r="O382" s="7">
        <f>Table1[[#This Row],[Profit]]/Table1[[#This Row],[Total_Sales]]</f>
        <v>0.34968293112559451</v>
      </c>
    </row>
    <row r="383" spans="1:15" x14ac:dyDescent="0.25">
      <c r="A383" s="1">
        <v>382</v>
      </c>
      <c r="B383" s="2">
        <v>45207</v>
      </c>
      <c r="C383" s="1" t="s">
        <v>25</v>
      </c>
      <c r="D383" s="1" t="s">
        <v>22</v>
      </c>
      <c r="E383" s="1" t="s">
        <v>23</v>
      </c>
      <c r="F383" s="1" t="s">
        <v>18</v>
      </c>
      <c r="G383" s="1">
        <v>8</v>
      </c>
      <c r="H383" s="1">
        <v>82</v>
      </c>
      <c r="I383" s="1">
        <v>0</v>
      </c>
      <c r="J383" s="4">
        <v>656</v>
      </c>
      <c r="K383" s="4">
        <v>391.69</v>
      </c>
      <c r="L383" s="4">
        <v>264.31</v>
      </c>
      <c r="M383" s="1" t="str">
        <f>TEXT(Table1[[#This Row],[Order_Date]], "MMM")</f>
        <v>Oct</v>
      </c>
      <c r="N383" s="1">
        <f>YEAR(Table1[[#This Row],[Order_Date]])</f>
        <v>2023</v>
      </c>
      <c r="O383" s="7">
        <f>Table1[[#This Row],[Profit]]/Table1[[#This Row],[Total_Sales]]</f>
        <v>0.40291158536585364</v>
      </c>
    </row>
    <row r="384" spans="1:15" x14ac:dyDescent="0.25">
      <c r="A384" s="1">
        <v>383</v>
      </c>
      <c r="B384" s="2">
        <v>45588</v>
      </c>
      <c r="C384" s="1" t="s">
        <v>16</v>
      </c>
      <c r="D384" s="1" t="s">
        <v>22</v>
      </c>
      <c r="E384" s="1" t="s">
        <v>29</v>
      </c>
      <c r="F384" s="1" t="s">
        <v>31</v>
      </c>
      <c r="G384" s="1">
        <v>9</v>
      </c>
      <c r="H384" s="1">
        <v>374</v>
      </c>
      <c r="I384" s="1">
        <v>5</v>
      </c>
      <c r="J384" s="4">
        <v>3197.7</v>
      </c>
      <c r="K384" s="4">
        <v>1657.27</v>
      </c>
      <c r="L384" s="4">
        <v>1540.43</v>
      </c>
      <c r="M384" s="1" t="str">
        <f>TEXT(Table1[[#This Row],[Order_Date]], "MMM")</f>
        <v>Oct</v>
      </c>
      <c r="N384" s="1">
        <f>YEAR(Table1[[#This Row],[Order_Date]])</f>
        <v>2024</v>
      </c>
      <c r="O384" s="7">
        <f>Table1[[#This Row],[Profit]]/Table1[[#This Row],[Total_Sales]]</f>
        <v>0.48173061888232172</v>
      </c>
    </row>
    <row r="385" spans="1:15" x14ac:dyDescent="0.25">
      <c r="A385" s="1">
        <v>384</v>
      </c>
      <c r="B385" s="2">
        <v>45575</v>
      </c>
      <c r="C385" s="1" t="s">
        <v>16</v>
      </c>
      <c r="D385" s="1" t="s">
        <v>26</v>
      </c>
      <c r="E385" s="1" t="s">
        <v>27</v>
      </c>
      <c r="F385" s="1" t="s">
        <v>18</v>
      </c>
      <c r="G385" s="1">
        <v>4</v>
      </c>
      <c r="H385" s="1">
        <v>113</v>
      </c>
      <c r="I385" s="1">
        <v>20</v>
      </c>
      <c r="J385" s="4">
        <v>361.6</v>
      </c>
      <c r="K385" s="4">
        <v>243.98</v>
      </c>
      <c r="L385" s="4">
        <v>117.62</v>
      </c>
      <c r="M385" s="1" t="str">
        <f>TEXT(Table1[[#This Row],[Order_Date]], "MMM")</f>
        <v>Oct</v>
      </c>
      <c r="N385" s="1">
        <f>YEAR(Table1[[#This Row],[Order_Date]])</f>
        <v>2024</v>
      </c>
      <c r="O385" s="7">
        <f>Table1[[#This Row],[Profit]]/Table1[[#This Row],[Total_Sales]]</f>
        <v>0.32527654867256639</v>
      </c>
    </row>
    <row r="386" spans="1:15" x14ac:dyDescent="0.25">
      <c r="A386" s="1">
        <v>385</v>
      </c>
      <c r="B386" s="2">
        <v>45038</v>
      </c>
      <c r="C386" s="1" t="s">
        <v>19</v>
      </c>
      <c r="D386" s="1" t="s">
        <v>22</v>
      </c>
      <c r="E386" s="1" t="s">
        <v>36</v>
      </c>
      <c r="F386" s="1" t="s">
        <v>35</v>
      </c>
      <c r="G386" s="1">
        <v>2</v>
      </c>
      <c r="H386" s="1">
        <v>692</v>
      </c>
      <c r="I386" s="1">
        <v>15</v>
      </c>
      <c r="J386" s="4">
        <v>1176.4000000000001</v>
      </c>
      <c r="K386" s="4">
        <v>686.25</v>
      </c>
      <c r="L386" s="4">
        <v>490.15</v>
      </c>
      <c r="M386" s="1" t="str">
        <f>TEXT(Table1[[#This Row],[Order_Date]], "MMM")</f>
        <v>Apr</v>
      </c>
      <c r="N386" s="1">
        <f>YEAR(Table1[[#This Row],[Order_Date]])</f>
        <v>2023</v>
      </c>
      <c r="O386" s="7">
        <f>Table1[[#This Row],[Profit]]/Table1[[#This Row],[Total_Sales]]</f>
        <v>0.41665249914994895</v>
      </c>
    </row>
    <row r="387" spans="1:15" x14ac:dyDescent="0.25">
      <c r="A387" s="1">
        <v>386</v>
      </c>
      <c r="B387" s="2">
        <v>45641</v>
      </c>
      <c r="C387" s="1" t="s">
        <v>19</v>
      </c>
      <c r="D387" s="1" t="s">
        <v>26</v>
      </c>
      <c r="E387" s="1" t="s">
        <v>46</v>
      </c>
      <c r="F387" s="1" t="s">
        <v>31</v>
      </c>
      <c r="G387" s="1">
        <v>3</v>
      </c>
      <c r="H387" s="1">
        <v>550</v>
      </c>
      <c r="I387" s="1">
        <v>10</v>
      </c>
      <c r="J387" s="4">
        <v>1485</v>
      </c>
      <c r="K387" s="4">
        <v>807</v>
      </c>
      <c r="L387" s="4">
        <v>678</v>
      </c>
      <c r="M387" s="1" t="str">
        <f>TEXT(Table1[[#This Row],[Order_Date]], "MMM")</f>
        <v>Dec</v>
      </c>
      <c r="N387" s="1">
        <f>YEAR(Table1[[#This Row],[Order_Date]])</f>
        <v>2024</v>
      </c>
      <c r="O387" s="7">
        <f>Table1[[#This Row],[Profit]]/Table1[[#This Row],[Total_Sales]]</f>
        <v>0.45656565656565656</v>
      </c>
    </row>
    <row r="388" spans="1:15" x14ac:dyDescent="0.25">
      <c r="A388" s="1">
        <v>387</v>
      </c>
      <c r="B388" s="2">
        <v>45151</v>
      </c>
      <c r="C388" s="1" t="s">
        <v>19</v>
      </c>
      <c r="D388" s="1" t="s">
        <v>22</v>
      </c>
      <c r="E388" s="1" t="s">
        <v>36</v>
      </c>
      <c r="F388" s="1" t="s">
        <v>40</v>
      </c>
      <c r="G388" s="1">
        <v>8</v>
      </c>
      <c r="H388" s="1">
        <v>273</v>
      </c>
      <c r="I388" s="1">
        <v>10</v>
      </c>
      <c r="J388" s="4">
        <v>1965.6</v>
      </c>
      <c r="K388" s="4">
        <v>1125.48</v>
      </c>
      <c r="L388" s="4">
        <v>840.12</v>
      </c>
      <c r="M388" s="1" t="str">
        <f>TEXT(Table1[[#This Row],[Order_Date]], "MMM")</f>
        <v>Aug</v>
      </c>
      <c r="N388" s="1">
        <f>YEAR(Table1[[#This Row],[Order_Date]])</f>
        <v>2023</v>
      </c>
      <c r="O388" s="7">
        <f>Table1[[#This Row],[Profit]]/Table1[[#This Row],[Total_Sales]]</f>
        <v>0.42741147741147745</v>
      </c>
    </row>
    <row r="389" spans="1:15" x14ac:dyDescent="0.25">
      <c r="A389" s="1">
        <v>388</v>
      </c>
      <c r="B389" s="2">
        <v>45058</v>
      </c>
      <c r="C389" s="1" t="s">
        <v>25</v>
      </c>
      <c r="D389" s="1" t="s">
        <v>26</v>
      </c>
      <c r="E389" s="1" t="s">
        <v>46</v>
      </c>
      <c r="F389" s="1" t="s">
        <v>15</v>
      </c>
      <c r="G389" s="1">
        <v>5</v>
      </c>
      <c r="H389" s="1">
        <v>743</v>
      </c>
      <c r="I389" s="1">
        <v>10</v>
      </c>
      <c r="J389" s="4">
        <v>3343.5</v>
      </c>
      <c r="K389" s="4">
        <v>2136.29</v>
      </c>
      <c r="L389" s="4">
        <v>1207.21</v>
      </c>
      <c r="M389" s="1" t="str">
        <f>TEXT(Table1[[#This Row],[Order_Date]], "MMM")</f>
        <v>May</v>
      </c>
      <c r="N389" s="1">
        <f>YEAR(Table1[[#This Row],[Order_Date]])</f>
        <v>2023</v>
      </c>
      <c r="O389" s="7">
        <f>Table1[[#This Row],[Profit]]/Table1[[#This Row],[Total_Sales]]</f>
        <v>0.36106176162703757</v>
      </c>
    </row>
    <row r="390" spans="1:15" x14ac:dyDescent="0.25">
      <c r="A390" s="1">
        <v>389</v>
      </c>
      <c r="B390" s="2">
        <v>45422</v>
      </c>
      <c r="C390" s="1" t="s">
        <v>25</v>
      </c>
      <c r="D390" s="1" t="s">
        <v>20</v>
      </c>
      <c r="E390" s="1" t="s">
        <v>21</v>
      </c>
      <c r="F390" s="1" t="s">
        <v>15</v>
      </c>
      <c r="G390" s="1">
        <v>2</v>
      </c>
      <c r="H390" s="1">
        <v>839</v>
      </c>
      <c r="I390" s="1">
        <v>15</v>
      </c>
      <c r="J390" s="4">
        <v>1426.3</v>
      </c>
      <c r="K390" s="4">
        <v>1137.04</v>
      </c>
      <c r="L390" s="4">
        <v>289.26</v>
      </c>
      <c r="M390" s="1" t="str">
        <f>TEXT(Table1[[#This Row],[Order_Date]], "MMM")</f>
        <v>May</v>
      </c>
      <c r="N390" s="1">
        <f>YEAR(Table1[[#This Row],[Order_Date]])</f>
        <v>2024</v>
      </c>
      <c r="O390" s="7">
        <f>Table1[[#This Row],[Profit]]/Table1[[#This Row],[Total_Sales]]</f>
        <v>0.20280445908995304</v>
      </c>
    </row>
    <row r="391" spans="1:15" x14ac:dyDescent="0.25">
      <c r="A391" s="1">
        <v>390</v>
      </c>
      <c r="B391" s="2">
        <v>45180</v>
      </c>
      <c r="C391" s="1" t="s">
        <v>16</v>
      </c>
      <c r="D391" s="1" t="s">
        <v>13</v>
      </c>
      <c r="E391" s="1" t="s">
        <v>39</v>
      </c>
      <c r="F391" s="1" t="s">
        <v>40</v>
      </c>
      <c r="G391" s="1">
        <v>10</v>
      </c>
      <c r="H391" s="1">
        <v>253</v>
      </c>
      <c r="I391" s="1">
        <v>15</v>
      </c>
      <c r="J391" s="4">
        <v>2150.5</v>
      </c>
      <c r="K391" s="4">
        <v>1349.17</v>
      </c>
      <c r="L391" s="4">
        <v>801.33</v>
      </c>
      <c r="M391" s="1" t="str">
        <f>TEXT(Table1[[#This Row],[Order_Date]], "MMM")</f>
        <v>Sep</v>
      </c>
      <c r="N391" s="1">
        <f>YEAR(Table1[[#This Row],[Order_Date]])</f>
        <v>2023</v>
      </c>
      <c r="O391" s="7">
        <f>Table1[[#This Row],[Profit]]/Table1[[#This Row],[Total_Sales]]</f>
        <v>0.37262497093699143</v>
      </c>
    </row>
    <row r="392" spans="1:15" x14ac:dyDescent="0.25">
      <c r="A392" s="1">
        <v>391</v>
      </c>
      <c r="B392" s="2">
        <v>45177</v>
      </c>
      <c r="C392" s="1" t="s">
        <v>12</v>
      </c>
      <c r="D392" s="1" t="s">
        <v>32</v>
      </c>
      <c r="E392" s="1" t="s">
        <v>34</v>
      </c>
      <c r="F392" s="1" t="s">
        <v>15</v>
      </c>
      <c r="G392" s="1">
        <v>6</v>
      </c>
      <c r="H392" s="1">
        <v>42</v>
      </c>
      <c r="I392" s="1">
        <v>20</v>
      </c>
      <c r="J392" s="4">
        <v>201.6</v>
      </c>
      <c r="K392" s="4">
        <v>122.37</v>
      </c>
      <c r="L392" s="4">
        <v>79.23</v>
      </c>
      <c r="M392" s="1" t="str">
        <f>TEXT(Table1[[#This Row],[Order_Date]], "MMM")</f>
        <v>Sep</v>
      </c>
      <c r="N392" s="1">
        <f>YEAR(Table1[[#This Row],[Order_Date]])</f>
        <v>2023</v>
      </c>
      <c r="O392" s="7">
        <f>Table1[[#This Row],[Profit]]/Table1[[#This Row],[Total_Sales]]</f>
        <v>0.39300595238095243</v>
      </c>
    </row>
    <row r="393" spans="1:15" x14ac:dyDescent="0.25">
      <c r="A393" s="1">
        <v>392</v>
      </c>
      <c r="B393" s="2">
        <v>45167</v>
      </c>
      <c r="C393" s="1" t="s">
        <v>12</v>
      </c>
      <c r="D393" s="1" t="s">
        <v>26</v>
      </c>
      <c r="E393" s="1" t="s">
        <v>37</v>
      </c>
      <c r="F393" s="1" t="s">
        <v>18</v>
      </c>
      <c r="G393" s="1">
        <v>5</v>
      </c>
      <c r="H393" s="1">
        <v>661</v>
      </c>
      <c r="I393" s="1">
        <v>5</v>
      </c>
      <c r="J393" s="4">
        <v>3139.75</v>
      </c>
      <c r="K393" s="4">
        <v>1668.67</v>
      </c>
      <c r="L393" s="4">
        <v>1471.08</v>
      </c>
      <c r="M393" s="1" t="str">
        <f>TEXT(Table1[[#This Row],[Order_Date]], "MMM")</f>
        <v>Aug</v>
      </c>
      <c r="N393" s="1">
        <f>YEAR(Table1[[#This Row],[Order_Date]])</f>
        <v>2023</v>
      </c>
      <c r="O393" s="7">
        <f>Table1[[#This Row],[Profit]]/Table1[[#This Row],[Total_Sales]]</f>
        <v>0.46853411895851577</v>
      </c>
    </row>
    <row r="394" spans="1:15" x14ac:dyDescent="0.25">
      <c r="A394" s="1">
        <v>393</v>
      </c>
      <c r="B394" s="2">
        <v>45472</v>
      </c>
      <c r="C394" s="1" t="s">
        <v>12</v>
      </c>
      <c r="D394" s="1" t="s">
        <v>20</v>
      </c>
      <c r="E394" s="1" t="s">
        <v>21</v>
      </c>
      <c r="F394" s="1" t="s">
        <v>24</v>
      </c>
      <c r="G394" s="1">
        <v>10</v>
      </c>
      <c r="H394" s="1">
        <v>496</v>
      </c>
      <c r="I394" s="1">
        <v>5</v>
      </c>
      <c r="J394" s="4">
        <v>4712</v>
      </c>
      <c r="K394" s="4">
        <v>3226.83</v>
      </c>
      <c r="L394" s="4">
        <v>1485.17</v>
      </c>
      <c r="M394" s="1" t="str">
        <f>TEXT(Table1[[#This Row],[Order_Date]], "MMM")</f>
        <v>Jun</v>
      </c>
      <c r="N394" s="1">
        <f>YEAR(Table1[[#This Row],[Order_Date]])</f>
        <v>2024</v>
      </c>
      <c r="O394" s="7">
        <f>Table1[[#This Row],[Profit]]/Table1[[#This Row],[Total_Sales]]</f>
        <v>0.31518887945670632</v>
      </c>
    </row>
    <row r="395" spans="1:15" x14ac:dyDescent="0.25">
      <c r="A395" s="1">
        <v>394</v>
      </c>
      <c r="B395" s="2">
        <v>44942</v>
      </c>
      <c r="C395" s="1" t="s">
        <v>16</v>
      </c>
      <c r="D395" s="1" t="s">
        <v>13</v>
      </c>
      <c r="E395" s="1" t="s">
        <v>38</v>
      </c>
      <c r="F395" s="1" t="s">
        <v>15</v>
      </c>
      <c r="G395" s="1">
        <v>4</v>
      </c>
      <c r="H395" s="1">
        <v>918</v>
      </c>
      <c r="I395" s="1">
        <v>0</v>
      </c>
      <c r="J395" s="4">
        <v>3672</v>
      </c>
      <c r="K395" s="4">
        <v>2240.1799999999998</v>
      </c>
      <c r="L395" s="4">
        <v>1431.82</v>
      </c>
      <c r="M395" s="1" t="str">
        <f>TEXT(Table1[[#This Row],[Order_Date]], "MMM")</f>
        <v>Jan</v>
      </c>
      <c r="N395" s="1">
        <f>YEAR(Table1[[#This Row],[Order_Date]])</f>
        <v>2023</v>
      </c>
      <c r="O395" s="7">
        <f>Table1[[#This Row],[Profit]]/Table1[[#This Row],[Total_Sales]]</f>
        <v>0.38992919389978214</v>
      </c>
    </row>
    <row r="396" spans="1:15" x14ac:dyDescent="0.25">
      <c r="A396" s="1">
        <v>395</v>
      </c>
      <c r="B396" s="2">
        <v>45280</v>
      </c>
      <c r="C396" s="1" t="s">
        <v>19</v>
      </c>
      <c r="D396" s="1" t="s">
        <v>22</v>
      </c>
      <c r="E396" s="1" t="s">
        <v>36</v>
      </c>
      <c r="F396" s="1" t="s">
        <v>24</v>
      </c>
      <c r="G396" s="1">
        <v>5</v>
      </c>
      <c r="H396" s="1">
        <v>317</v>
      </c>
      <c r="I396" s="1">
        <v>10</v>
      </c>
      <c r="J396" s="4">
        <v>1426.5</v>
      </c>
      <c r="K396" s="4">
        <v>901.21</v>
      </c>
      <c r="L396" s="4">
        <v>525.29</v>
      </c>
      <c r="M396" s="1" t="str">
        <f>TEXT(Table1[[#This Row],[Order_Date]], "MMM")</f>
        <v>Dec</v>
      </c>
      <c r="N396" s="1">
        <f>YEAR(Table1[[#This Row],[Order_Date]])</f>
        <v>2023</v>
      </c>
      <c r="O396" s="7">
        <f>Table1[[#This Row],[Profit]]/Table1[[#This Row],[Total_Sales]]</f>
        <v>0.36823694356817382</v>
      </c>
    </row>
    <row r="397" spans="1:15" x14ac:dyDescent="0.25">
      <c r="A397" s="1">
        <v>396</v>
      </c>
      <c r="B397" s="2">
        <v>45337</v>
      </c>
      <c r="C397" s="1" t="s">
        <v>25</v>
      </c>
      <c r="D397" s="1" t="s">
        <v>20</v>
      </c>
      <c r="E397" s="1" t="s">
        <v>43</v>
      </c>
      <c r="F397" s="1" t="s">
        <v>31</v>
      </c>
      <c r="G397" s="1">
        <v>1</v>
      </c>
      <c r="H397" s="1">
        <v>305</v>
      </c>
      <c r="I397" s="1">
        <v>5</v>
      </c>
      <c r="J397" s="4">
        <v>289.75</v>
      </c>
      <c r="K397" s="4">
        <v>197.43</v>
      </c>
      <c r="L397" s="4">
        <v>92.32</v>
      </c>
      <c r="M397" s="1" t="str">
        <f>TEXT(Table1[[#This Row],[Order_Date]], "MMM")</f>
        <v>Feb</v>
      </c>
      <c r="N397" s="1">
        <f>YEAR(Table1[[#This Row],[Order_Date]])</f>
        <v>2024</v>
      </c>
      <c r="O397" s="7">
        <f>Table1[[#This Row],[Profit]]/Table1[[#This Row],[Total_Sales]]</f>
        <v>0.31861949956859359</v>
      </c>
    </row>
    <row r="398" spans="1:15" x14ac:dyDescent="0.25">
      <c r="A398" s="1">
        <v>397</v>
      </c>
      <c r="B398" s="2">
        <v>44947</v>
      </c>
      <c r="C398" s="1" t="s">
        <v>16</v>
      </c>
      <c r="D398" s="1" t="s">
        <v>13</v>
      </c>
      <c r="E398" s="1" t="s">
        <v>14</v>
      </c>
      <c r="F398" s="1" t="s">
        <v>15</v>
      </c>
      <c r="G398" s="1">
        <v>10</v>
      </c>
      <c r="H398" s="1">
        <v>665</v>
      </c>
      <c r="I398" s="1">
        <v>0</v>
      </c>
      <c r="J398" s="4">
        <v>6650</v>
      </c>
      <c r="K398" s="4">
        <v>4888.4399999999996</v>
      </c>
      <c r="L398" s="4">
        <v>1761.56</v>
      </c>
      <c r="M398" s="1" t="str">
        <f>TEXT(Table1[[#This Row],[Order_Date]], "MMM")</f>
        <v>Jan</v>
      </c>
      <c r="N398" s="1">
        <f>YEAR(Table1[[#This Row],[Order_Date]])</f>
        <v>2023</v>
      </c>
      <c r="O398" s="7">
        <f>Table1[[#This Row],[Profit]]/Table1[[#This Row],[Total_Sales]]</f>
        <v>0.26489624060150374</v>
      </c>
    </row>
    <row r="399" spans="1:15" x14ac:dyDescent="0.25">
      <c r="A399" s="1">
        <v>398</v>
      </c>
      <c r="B399" s="2">
        <v>45139</v>
      </c>
      <c r="C399" s="1" t="s">
        <v>12</v>
      </c>
      <c r="D399" s="1" t="s">
        <v>32</v>
      </c>
      <c r="E399" s="1" t="s">
        <v>45</v>
      </c>
      <c r="F399" s="1" t="s">
        <v>15</v>
      </c>
      <c r="G399" s="1">
        <v>8</v>
      </c>
      <c r="H399" s="1">
        <v>951</v>
      </c>
      <c r="I399" s="1">
        <v>10</v>
      </c>
      <c r="J399" s="4">
        <v>6847.2</v>
      </c>
      <c r="K399" s="4">
        <v>3945.85</v>
      </c>
      <c r="L399" s="4">
        <v>2901.35</v>
      </c>
      <c r="M399" s="1" t="str">
        <f>TEXT(Table1[[#This Row],[Order_Date]], "MMM")</f>
        <v>Aug</v>
      </c>
      <c r="N399" s="1">
        <f>YEAR(Table1[[#This Row],[Order_Date]])</f>
        <v>2023</v>
      </c>
      <c r="O399" s="7">
        <f>Table1[[#This Row],[Profit]]/Table1[[#This Row],[Total_Sales]]</f>
        <v>0.42372794719009232</v>
      </c>
    </row>
    <row r="400" spans="1:15" x14ac:dyDescent="0.25">
      <c r="A400" s="1">
        <v>399</v>
      </c>
      <c r="B400" s="2">
        <v>45250</v>
      </c>
      <c r="C400" s="1" t="s">
        <v>25</v>
      </c>
      <c r="D400" s="1" t="s">
        <v>22</v>
      </c>
      <c r="E400" s="1" t="s">
        <v>29</v>
      </c>
      <c r="F400" s="1" t="s">
        <v>40</v>
      </c>
      <c r="G400" s="1">
        <v>9</v>
      </c>
      <c r="H400" s="1">
        <v>341</v>
      </c>
      <c r="I400" s="1">
        <v>10</v>
      </c>
      <c r="J400" s="4">
        <v>2762.1</v>
      </c>
      <c r="K400" s="4">
        <v>1830.25</v>
      </c>
      <c r="L400" s="4">
        <v>931.85</v>
      </c>
      <c r="M400" s="1" t="str">
        <f>TEXT(Table1[[#This Row],[Order_Date]], "MMM")</f>
        <v>Nov</v>
      </c>
      <c r="N400" s="1">
        <f>YEAR(Table1[[#This Row],[Order_Date]])</f>
        <v>2023</v>
      </c>
      <c r="O400" s="7">
        <f>Table1[[#This Row],[Profit]]/Table1[[#This Row],[Total_Sales]]</f>
        <v>0.33737011694000946</v>
      </c>
    </row>
    <row r="401" spans="1:15" x14ac:dyDescent="0.25">
      <c r="A401" s="1">
        <v>400</v>
      </c>
      <c r="B401" s="2">
        <v>45655</v>
      </c>
      <c r="C401" s="1" t="s">
        <v>16</v>
      </c>
      <c r="D401" s="1" t="s">
        <v>32</v>
      </c>
      <c r="E401" s="1" t="s">
        <v>45</v>
      </c>
      <c r="F401" s="1" t="s">
        <v>31</v>
      </c>
      <c r="G401" s="1">
        <v>1</v>
      </c>
      <c r="H401" s="1">
        <v>427</v>
      </c>
      <c r="I401" s="1">
        <v>20</v>
      </c>
      <c r="J401" s="4">
        <v>341.6</v>
      </c>
      <c r="K401" s="4">
        <v>225.91</v>
      </c>
      <c r="L401" s="4">
        <v>115.69</v>
      </c>
      <c r="M401" s="1" t="str">
        <f>TEXT(Table1[[#This Row],[Order_Date]], "MMM")</f>
        <v>Dec</v>
      </c>
      <c r="N401" s="1">
        <f>YEAR(Table1[[#This Row],[Order_Date]])</f>
        <v>2024</v>
      </c>
      <c r="O401" s="7">
        <f>Table1[[#This Row],[Profit]]/Table1[[#This Row],[Total_Sales]]</f>
        <v>0.3386709601873536</v>
      </c>
    </row>
    <row r="402" spans="1:15" x14ac:dyDescent="0.25">
      <c r="A402" s="1">
        <v>401</v>
      </c>
      <c r="B402" s="2">
        <v>45129</v>
      </c>
      <c r="C402" s="1" t="s">
        <v>16</v>
      </c>
      <c r="D402" s="1" t="s">
        <v>32</v>
      </c>
      <c r="E402" s="1" t="s">
        <v>34</v>
      </c>
      <c r="F402" s="1" t="s">
        <v>15</v>
      </c>
      <c r="G402" s="1">
        <v>3</v>
      </c>
      <c r="H402" s="1">
        <v>542</v>
      </c>
      <c r="I402" s="1">
        <v>15</v>
      </c>
      <c r="J402" s="4">
        <v>1382.1</v>
      </c>
      <c r="K402" s="4">
        <v>1043.9000000000001</v>
      </c>
      <c r="L402" s="4">
        <v>338.2</v>
      </c>
      <c r="M402" s="1" t="str">
        <f>TEXT(Table1[[#This Row],[Order_Date]], "MMM")</f>
        <v>Jul</v>
      </c>
      <c r="N402" s="1">
        <f>YEAR(Table1[[#This Row],[Order_Date]])</f>
        <v>2023</v>
      </c>
      <c r="O402" s="7">
        <f>Table1[[#This Row],[Profit]]/Table1[[#This Row],[Total_Sales]]</f>
        <v>0.24470009405976414</v>
      </c>
    </row>
    <row r="403" spans="1:15" x14ac:dyDescent="0.25">
      <c r="A403" s="1">
        <v>402</v>
      </c>
      <c r="B403" s="2">
        <v>45257</v>
      </c>
      <c r="C403" s="1" t="s">
        <v>16</v>
      </c>
      <c r="D403" s="1" t="s">
        <v>13</v>
      </c>
      <c r="E403" s="1" t="s">
        <v>17</v>
      </c>
      <c r="F403" s="1" t="s">
        <v>31</v>
      </c>
      <c r="G403" s="1">
        <v>3</v>
      </c>
      <c r="H403" s="1">
        <v>746</v>
      </c>
      <c r="I403" s="1">
        <v>10</v>
      </c>
      <c r="J403" s="4">
        <v>2014.2</v>
      </c>
      <c r="K403" s="4">
        <v>1199.8800000000001</v>
      </c>
      <c r="L403" s="4">
        <v>814.32</v>
      </c>
      <c r="M403" s="1" t="str">
        <f>TEXT(Table1[[#This Row],[Order_Date]], "MMM")</f>
        <v>Nov</v>
      </c>
      <c r="N403" s="1">
        <f>YEAR(Table1[[#This Row],[Order_Date]])</f>
        <v>2023</v>
      </c>
      <c r="O403" s="7">
        <f>Table1[[#This Row],[Profit]]/Table1[[#This Row],[Total_Sales]]</f>
        <v>0.40428954423592495</v>
      </c>
    </row>
    <row r="404" spans="1:15" x14ac:dyDescent="0.25">
      <c r="A404" s="1">
        <v>403</v>
      </c>
      <c r="B404" s="2">
        <v>45526</v>
      </c>
      <c r="C404" s="1" t="s">
        <v>25</v>
      </c>
      <c r="D404" s="1" t="s">
        <v>22</v>
      </c>
      <c r="E404" s="1" t="s">
        <v>29</v>
      </c>
      <c r="F404" s="1" t="s">
        <v>24</v>
      </c>
      <c r="G404" s="1">
        <v>8</v>
      </c>
      <c r="H404" s="1">
        <v>905</v>
      </c>
      <c r="I404" s="1">
        <v>0</v>
      </c>
      <c r="J404" s="4">
        <v>7240</v>
      </c>
      <c r="K404" s="4">
        <v>3953.14</v>
      </c>
      <c r="L404" s="4">
        <v>3286.86</v>
      </c>
      <c r="M404" s="1" t="str">
        <f>TEXT(Table1[[#This Row],[Order_Date]], "MMM")</f>
        <v>Aug</v>
      </c>
      <c r="N404" s="1">
        <f>YEAR(Table1[[#This Row],[Order_Date]])</f>
        <v>2024</v>
      </c>
      <c r="O404" s="7">
        <f>Table1[[#This Row],[Profit]]/Table1[[#This Row],[Total_Sales]]</f>
        <v>0.45398618784530387</v>
      </c>
    </row>
    <row r="405" spans="1:15" x14ac:dyDescent="0.25">
      <c r="A405" s="1">
        <v>404</v>
      </c>
      <c r="B405" s="2">
        <v>45640</v>
      </c>
      <c r="C405" s="1" t="s">
        <v>16</v>
      </c>
      <c r="D405" s="1" t="s">
        <v>20</v>
      </c>
      <c r="E405" s="1" t="s">
        <v>43</v>
      </c>
      <c r="F405" s="1" t="s">
        <v>31</v>
      </c>
      <c r="G405" s="1">
        <v>10</v>
      </c>
      <c r="H405" s="1">
        <v>896</v>
      </c>
      <c r="I405" s="1">
        <v>10</v>
      </c>
      <c r="J405" s="4">
        <v>8064</v>
      </c>
      <c r="K405" s="4">
        <v>4434.72</v>
      </c>
      <c r="L405" s="4">
        <v>3629.28</v>
      </c>
      <c r="M405" s="1" t="str">
        <f>TEXT(Table1[[#This Row],[Order_Date]], "MMM")</f>
        <v>Dec</v>
      </c>
      <c r="N405" s="1">
        <f>YEAR(Table1[[#This Row],[Order_Date]])</f>
        <v>2024</v>
      </c>
      <c r="O405" s="7">
        <f>Table1[[#This Row],[Profit]]/Table1[[#This Row],[Total_Sales]]</f>
        <v>0.45005952380952385</v>
      </c>
    </row>
    <row r="406" spans="1:15" x14ac:dyDescent="0.25">
      <c r="A406" s="1">
        <v>405</v>
      </c>
      <c r="B406" s="2">
        <v>45247</v>
      </c>
      <c r="C406" s="1" t="s">
        <v>19</v>
      </c>
      <c r="D406" s="1" t="s">
        <v>22</v>
      </c>
      <c r="E406" s="1" t="s">
        <v>29</v>
      </c>
      <c r="F406" s="1" t="s">
        <v>18</v>
      </c>
      <c r="G406" s="1">
        <v>1</v>
      </c>
      <c r="H406" s="1">
        <v>998</v>
      </c>
      <c r="I406" s="1">
        <v>10</v>
      </c>
      <c r="J406" s="4">
        <v>898.2</v>
      </c>
      <c r="K406" s="4">
        <v>472.75</v>
      </c>
      <c r="L406" s="4">
        <v>425.45</v>
      </c>
      <c r="M406" s="1" t="str">
        <f>TEXT(Table1[[#This Row],[Order_Date]], "MMM")</f>
        <v>Nov</v>
      </c>
      <c r="N406" s="1">
        <f>YEAR(Table1[[#This Row],[Order_Date]])</f>
        <v>2023</v>
      </c>
      <c r="O406" s="7">
        <f>Table1[[#This Row],[Profit]]/Table1[[#This Row],[Total_Sales]]</f>
        <v>0.473669561344912</v>
      </c>
    </row>
    <row r="407" spans="1:15" x14ac:dyDescent="0.25">
      <c r="A407" s="1">
        <v>406</v>
      </c>
      <c r="B407" s="2">
        <v>45358</v>
      </c>
      <c r="C407" s="1" t="s">
        <v>16</v>
      </c>
      <c r="D407" s="1" t="s">
        <v>32</v>
      </c>
      <c r="E407" s="1" t="s">
        <v>34</v>
      </c>
      <c r="F407" s="1" t="s">
        <v>35</v>
      </c>
      <c r="G407" s="1">
        <v>6</v>
      </c>
      <c r="H407" s="1">
        <v>504</v>
      </c>
      <c r="I407" s="1">
        <v>10</v>
      </c>
      <c r="J407" s="4">
        <v>2721.6</v>
      </c>
      <c r="K407" s="4">
        <v>1476.3</v>
      </c>
      <c r="L407" s="4">
        <v>1245.3</v>
      </c>
      <c r="M407" s="1" t="str">
        <f>TEXT(Table1[[#This Row],[Order_Date]], "MMM")</f>
        <v>Mar</v>
      </c>
      <c r="N407" s="1">
        <f>YEAR(Table1[[#This Row],[Order_Date]])</f>
        <v>2024</v>
      </c>
      <c r="O407" s="7">
        <f>Table1[[#This Row],[Profit]]/Table1[[#This Row],[Total_Sales]]</f>
        <v>0.45756172839506171</v>
      </c>
    </row>
    <row r="408" spans="1:15" x14ac:dyDescent="0.25">
      <c r="A408" s="1">
        <v>407</v>
      </c>
      <c r="B408" s="2">
        <v>45250</v>
      </c>
      <c r="C408" s="1" t="s">
        <v>12</v>
      </c>
      <c r="D408" s="1" t="s">
        <v>32</v>
      </c>
      <c r="E408" s="1" t="s">
        <v>34</v>
      </c>
      <c r="F408" s="1" t="s">
        <v>24</v>
      </c>
      <c r="G408" s="1">
        <v>1</v>
      </c>
      <c r="H408" s="1">
        <v>126</v>
      </c>
      <c r="I408" s="1">
        <v>15</v>
      </c>
      <c r="J408" s="4">
        <v>107.1</v>
      </c>
      <c r="K408" s="4">
        <v>75.23</v>
      </c>
      <c r="L408" s="4">
        <v>31.87</v>
      </c>
      <c r="M408" s="1" t="str">
        <f>TEXT(Table1[[#This Row],[Order_Date]], "MMM")</f>
        <v>Nov</v>
      </c>
      <c r="N408" s="1">
        <f>YEAR(Table1[[#This Row],[Order_Date]])</f>
        <v>2023</v>
      </c>
      <c r="O408" s="7">
        <f>Table1[[#This Row],[Profit]]/Table1[[#This Row],[Total_Sales]]</f>
        <v>0.29757236227824463</v>
      </c>
    </row>
    <row r="409" spans="1:15" x14ac:dyDescent="0.25">
      <c r="A409" s="1">
        <v>408</v>
      </c>
      <c r="B409" s="2">
        <v>45312</v>
      </c>
      <c r="C409" s="1" t="s">
        <v>16</v>
      </c>
      <c r="D409" s="1" t="s">
        <v>32</v>
      </c>
      <c r="E409" s="1" t="s">
        <v>33</v>
      </c>
      <c r="F409" s="1" t="s">
        <v>31</v>
      </c>
      <c r="G409" s="1">
        <v>9</v>
      </c>
      <c r="H409" s="1">
        <v>966</v>
      </c>
      <c r="I409" s="1">
        <v>15</v>
      </c>
      <c r="J409" s="4">
        <v>7389.9</v>
      </c>
      <c r="K409" s="4">
        <v>4204.24</v>
      </c>
      <c r="L409" s="4">
        <v>3185.66</v>
      </c>
      <c r="M409" s="1" t="str">
        <f>TEXT(Table1[[#This Row],[Order_Date]], "MMM")</f>
        <v>Jan</v>
      </c>
      <c r="N409" s="1">
        <f>YEAR(Table1[[#This Row],[Order_Date]])</f>
        <v>2024</v>
      </c>
      <c r="O409" s="7">
        <f>Table1[[#This Row],[Profit]]/Table1[[#This Row],[Total_Sales]]</f>
        <v>0.4310829645868009</v>
      </c>
    </row>
    <row r="410" spans="1:15" x14ac:dyDescent="0.25">
      <c r="A410" s="1">
        <v>409</v>
      </c>
      <c r="B410" s="2">
        <v>45524</v>
      </c>
      <c r="C410" s="1" t="s">
        <v>19</v>
      </c>
      <c r="D410" s="1" t="s">
        <v>20</v>
      </c>
      <c r="E410" s="1" t="s">
        <v>43</v>
      </c>
      <c r="F410" s="1" t="s">
        <v>15</v>
      </c>
      <c r="G410" s="1">
        <v>8</v>
      </c>
      <c r="H410" s="1">
        <v>95</v>
      </c>
      <c r="I410" s="1">
        <v>20</v>
      </c>
      <c r="J410" s="4">
        <v>608</v>
      </c>
      <c r="K410" s="4">
        <v>448.06</v>
      </c>
      <c r="L410" s="4">
        <v>159.94</v>
      </c>
      <c r="M410" s="1" t="str">
        <f>TEXT(Table1[[#This Row],[Order_Date]], "MMM")</f>
        <v>Aug</v>
      </c>
      <c r="N410" s="1">
        <f>YEAR(Table1[[#This Row],[Order_Date]])</f>
        <v>2024</v>
      </c>
      <c r="O410" s="7">
        <f>Table1[[#This Row],[Profit]]/Table1[[#This Row],[Total_Sales]]</f>
        <v>0.26305921052631581</v>
      </c>
    </row>
    <row r="411" spans="1:15" x14ac:dyDescent="0.25">
      <c r="A411" s="1">
        <v>410</v>
      </c>
      <c r="B411" s="2">
        <v>45155</v>
      </c>
      <c r="C411" s="1" t="s">
        <v>19</v>
      </c>
      <c r="D411" s="1" t="s">
        <v>20</v>
      </c>
      <c r="E411" s="1" t="s">
        <v>43</v>
      </c>
      <c r="F411" s="1" t="s">
        <v>15</v>
      </c>
      <c r="G411" s="1">
        <v>7</v>
      </c>
      <c r="H411" s="1">
        <v>139</v>
      </c>
      <c r="I411" s="1">
        <v>10</v>
      </c>
      <c r="J411" s="4">
        <v>875.7</v>
      </c>
      <c r="K411" s="4">
        <v>565.95000000000005</v>
      </c>
      <c r="L411" s="4">
        <v>309.75</v>
      </c>
      <c r="M411" s="1" t="str">
        <f>TEXT(Table1[[#This Row],[Order_Date]], "MMM")</f>
        <v>Aug</v>
      </c>
      <c r="N411" s="1">
        <f>YEAR(Table1[[#This Row],[Order_Date]])</f>
        <v>2023</v>
      </c>
      <c r="O411" s="7">
        <f>Table1[[#This Row],[Profit]]/Table1[[#This Row],[Total_Sales]]</f>
        <v>0.35371702637889685</v>
      </c>
    </row>
    <row r="412" spans="1:15" x14ac:dyDescent="0.25">
      <c r="A412" s="1">
        <v>411</v>
      </c>
      <c r="B412" s="2">
        <v>45042</v>
      </c>
      <c r="C412" s="1" t="s">
        <v>12</v>
      </c>
      <c r="D412" s="1" t="s">
        <v>20</v>
      </c>
      <c r="E412" s="1" t="s">
        <v>43</v>
      </c>
      <c r="F412" s="1" t="s">
        <v>18</v>
      </c>
      <c r="G412" s="1">
        <v>7</v>
      </c>
      <c r="H412" s="1">
        <v>283</v>
      </c>
      <c r="I412" s="1">
        <v>10</v>
      </c>
      <c r="J412" s="4">
        <v>1782.9</v>
      </c>
      <c r="K412" s="4">
        <v>1028.8699999999999</v>
      </c>
      <c r="L412" s="4">
        <v>754.03</v>
      </c>
      <c r="M412" s="1" t="str">
        <f>TEXT(Table1[[#This Row],[Order_Date]], "MMM")</f>
        <v>Apr</v>
      </c>
      <c r="N412" s="1">
        <f>YEAR(Table1[[#This Row],[Order_Date]])</f>
        <v>2023</v>
      </c>
      <c r="O412" s="7">
        <f>Table1[[#This Row],[Profit]]/Table1[[#This Row],[Total_Sales]]</f>
        <v>0.42292332716360981</v>
      </c>
    </row>
    <row r="413" spans="1:15" x14ac:dyDescent="0.25">
      <c r="A413" s="1">
        <v>412</v>
      </c>
      <c r="B413" s="2">
        <v>44953</v>
      </c>
      <c r="C413" s="1" t="s">
        <v>19</v>
      </c>
      <c r="D413" s="1" t="s">
        <v>20</v>
      </c>
      <c r="E413" s="1" t="s">
        <v>30</v>
      </c>
      <c r="F413" s="1" t="s">
        <v>31</v>
      </c>
      <c r="G413" s="1">
        <v>5</v>
      </c>
      <c r="H413" s="1">
        <v>426</v>
      </c>
      <c r="I413" s="1">
        <v>10</v>
      </c>
      <c r="J413" s="4">
        <v>1917</v>
      </c>
      <c r="K413" s="4">
        <v>1354.86</v>
      </c>
      <c r="L413" s="4">
        <v>562.14</v>
      </c>
      <c r="M413" s="1" t="str">
        <f>TEXT(Table1[[#This Row],[Order_Date]], "MMM")</f>
        <v>Jan</v>
      </c>
      <c r="N413" s="1">
        <f>YEAR(Table1[[#This Row],[Order_Date]])</f>
        <v>2023</v>
      </c>
      <c r="O413" s="7">
        <f>Table1[[#This Row],[Profit]]/Table1[[#This Row],[Total_Sales]]</f>
        <v>0.2932394366197183</v>
      </c>
    </row>
    <row r="414" spans="1:15" x14ac:dyDescent="0.25">
      <c r="A414" s="1">
        <v>413</v>
      </c>
      <c r="B414" s="2">
        <v>45192</v>
      </c>
      <c r="C414" s="1" t="s">
        <v>19</v>
      </c>
      <c r="D414" s="1" t="s">
        <v>13</v>
      </c>
      <c r="E414" s="1" t="s">
        <v>38</v>
      </c>
      <c r="F414" s="1" t="s">
        <v>24</v>
      </c>
      <c r="G414" s="1">
        <v>3</v>
      </c>
      <c r="H414" s="1">
        <v>163</v>
      </c>
      <c r="I414" s="1">
        <v>0</v>
      </c>
      <c r="J414" s="4">
        <v>489</v>
      </c>
      <c r="K414" s="4">
        <v>386.73</v>
      </c>
      <c r="L414" s="4">
        <v>102.27</v>
      </c>
      <c r="M414" s="1" t="str">
        <f>TEXT(Table1[[#This Row],[Order_Date]], "MMM")</f>
        <v>Sep</v>
      </c>
      <c r="N414" s="1">
        <f>YEAR(Table1[[#This Row],[Order_Date]])</f>
        <v>2023</v>
      </c>
      <c r="O414" s="7">
        <f>Table1[[#This Row],[Profit]]/Table1[[#This Row],[Total_Sales]]</f>
        <v>0.20914110429447852</v>
      </c>
    </row>
    <row r="415" spans="1:15" x14ac:dyDescent="0.25">
      <c r="A415" s="1">
        <v>414</v>
      </c>
      <c r="B415" s="2">
        <v>45271</v>
      </c>
      <c r="C415" s="1" t="s">
        <v>16</v>
      </c>
      <c r="D415" s="1" t="s">
        <v>32</v>
      </c>
      <c r="E415" s="1" t="s">
        <v>34</v>
      </c>
      <c r="F415" s="1" t="s">
        <v>35</v>
      </c>
      <c r="G415" s="1">
        <v>9</v>
      </c>
      <c r="H415" s="1">
        <v>787</v>
      </c>
      <c r="I415" s="1">
        <v>0</v>
      </c>
      <c r="J415" s="4">
        <v>7083</v>
      </c>
      <c r="K415" s="4">
        <v>4124.6899999999996</v>
      </c>
      <c r="L415" s="4">
        <v>2958.31</v>
      </c>
      <c r="M415" s="1" t="str">
        <f>TEXT(Table1[[#This Row],[Order_Date]], "MMM")</f>
        <v>Dec</v>
      </c>
      <c r="N415" s="1">
        <f>YEAR(Table1[[#This Row],[Order_Date]])</f>
        <v>2023</v>
      </c>
      <c r="O415" s="7">
        <f>Table1[[#This Row],[Profit]]/Table1[[#This Row],[Total_Sales]]</f>
        <v>0.41766341945503316</v>
      </c>
    </row>
    <row r="416" spans="1:15" x14ac:dyDescent="0.25">
      <c r="A416" s="1">
        <v>415</v>
      </c>
      <c r="B416" s="2">
        <v>45525</v>
      </c>
      <c r="C416" s="1" t="s">
        <v>25</v>
      </c>
      <c r="D416" s="1" t="s">
        <v>32</v>
      </c>
      <c r="E416" s="1" t="s">
        <v>41</v>
      </c>
      <c r="F416" s="1" t="s">
        <v>18</v>
      </c>
      <c r="G416" s="1">
        <v>10</v>
      </c>
      <c r="H416" s="1">
        <v>987</v>
      </c>
      <c r="I416" s="1">
        <v>10</v>
      </c>
      <c r="J416" s="4">
        <v>8883</v>
      </c>
      <c r="K416" s="4">
        <v>5152.0200000000004</v>
      </c>
      <c r="L416" s="4">
        <v>3730.98</v>
      </c>
      <c r="M416" s="1" t="str">
        <f>TEXT(Table1[[#This Row],[Order_Date]], "MMM")</f>
        <v>Aug</v>
      </c>
      <c r="N416" s="1">
        <f>YEAR(Table1[[#This Row],[Order_Date]])</f>
        <v>2024</v>
      </c>
      <c r="O416" s="7">
        <f>Table1[[#This Row],[Profit]]/Table1[[#This Row],[Total_Sales]]</f>
        <v>0.42001350894967915</v>
      </c>
    </row>
    <row r="417" spans="1:15" x14ac:dyDescent="0.25">
      <c r="A417" s="1">
        <v>416</v>
      </c>
      <c r="B417" s="2">
        <v>45510</v>
      </c>
      <c r="C417" s="1" t="s">
        <v>25</v>
      </c>
      <c r="D417" s="1" t="s">
        <v>26</v>
      </c>
      <c r="E417" s="1" t="s">
        <v>37</v>
      </c>
      <c r="F417" s="1" t="s">
        <v>31</v>
      </c>
      <c r="G417" s="1">
        <v>4</v>
      </c>
      <c r="H417" s="1">
        <v>949</v>
      </c>
      <c r="I417" s="1">
        <v>5</v>
      </c>
      <c r="J417" s="4">
        <v>3606.2</v>
      </c>
      <c r="K417" s="4">
        <v>2342.23</v>
      </c>
      <c r="L417" s="4">
        <v>1263.97</v>
      </c>
      <c r="M417" s="1" t="str">
        <f>TEXT(Table1[[#This Row],[Order_Date]], "MMM")</f>
        <v>Aug</v>
      </c>
      <c r="N417" s="1">
        <f>YEAR(Table1[[#This Row],[Order_Date]])</f>
        <v>2024</v>
      </c>
      <c r="O417" s="7">
        <f>Table1[[#This Row],[Profit]]/Table1[[#This Row],[Total_Sales]]</f>
        <v>0.35049914036936392</v>
      </c>
    </row>
    <row r="418" spans="1:15" x14ac:dyDescent="0.25">
      <c r="A418" s="1">
        <v>417</v>
      </c>
      <c r="B418" s="2">
        <v>45296</v>
      </c>
      <c r="C418" s="1" t="s">
        <v>16</v>
      </c>
      <c r="D418" s="1" t="s">
        <v>26</v>
      </c>
      <c r="E418" s="1" t="s">
        <v>37</v>
      </c>
      <c r="F418" s="1" t="s">
        <v>40</v>
      </c>
      <c r="G418" s="1">
        <v>1</v>
      </c>
      <c r="H418" s="1">
        <v>116</v>
      </c>
      <c r="I418" s="1">
        <v>0</v>
      </c>
      <c r="J418" s="4">
        <v>116</v>
      </c>
      <c r="K418" s="4">
        <v>84.88</v>
      </c>
      <c r="L418" s="4">
        <v>31.12</v>
      </c>
      <c r="M418" s="1" t="str">
        <f>TEXT(Table1[[#This Row],[Order_Date]], "MMM")</f>
        <v>Jan</v>
      </c>
      <c r="N418" s="1">
        <f>YEAR(Table1[[#This Row],[Order_Date]])</f>
        <v>2024</v>
      </c>
      <c r="O418" s="7">
        <f>Table1[[#This Row],[Profit]]/Table1[[#This Row],[Total_Sales]]</f>
        <v>0.26827586206896553</v>
      </c>
    </row>
    <row r="419" spans="1:15" x14ac:dyDescent="0.25">
      <c r="A419" s="1">
        <v>418</v>
      </c>
      <c r="B419" s="2">
        <v>45045</v>
      </c>
      <c r="C419" s="1" t="s">
        <v>25</v>
      </c>
      <c r="D419" s="1" t="s">
        <v>32</v>
      </c>
      <c r="E419" s="1" t="s">
        <v>41</v>
      </c>
      <c r="F419" s="1" t="s">
        <v>31</v>
      </c>
      <c r="G419" s="1">
        <v>10</v>
      </c>
      <c r="H419" s="1">
        <v>565</v>
      </c>
      <c r="I419" s="1">
        <v>0</v>
      </c>
      <c r="J419" s="4">
        <v>5650</v>
      </c>
      <c r="K419" s="4">
        <v>3648.59</v>
      </c>
      <c r="L419" s="4">
        <v>2001.41</v>
      </c>
      <c r="M419" s="1" t="str">
        <f>TEXT(Table1[[#This Row],[Order_Date]], "MMM")</f>
        <v>Apr</v>
      </c>
      <c r="N419" s="1">
        <f>YEAR(Table1[[#This Row],[Order_Date]])</f>
        <v>2023</v>
      </c>
      <c r="O419" s="7">
        <f>Table1[[#This Row],[Profit]]/Table1[[#This Row],[Total_Sales]]</f>
        <v>0.35423185840707966</v>
      </c>
    </row>
    <row r="420" spans="1:15" x14ac:dyDescent="0.25">
      <c r="A420" s="1">
        <v>419</v>
      </c>
      <c r="B420" s="2">
        <v>45498</v>
      </c>
      <c r="C420" s="1" t="s">
        <v>12</v>
      </c>
      <c r="D420" s="1" t="s">
        <v>20</v>
      </c>
      <c r="E420" s="1" t="s">
        <v>30</v>
      </c>
      <c r="F420" s="1" t="s">
        <v>18</v>
      </c>
      <c r="G420" s="1">
        <v>6</v>
      </c>
      <c r="H420" s="1">
        <v>333</v>
      </c>
      <c r="I420" s="1">
        <v>20</v>
      </c>
      <c r="J420" s="4">
        <v>1598.4</v>
      </c>
      <c r="K420" s="4">
        <v>1253.26</v>
      </c>
      <c r="L420" s="4">
        <v>345.14</v>
      </c>
      <c r="M420" s="1" t="str">
        <f>TEXT(Table1[[#This Row],[Order_Date]], "MMM")</f>
        <v>Jul</v>
      </c>
      <c r="N420" s="1">
        <f>YEAR(Table1[[#This Row],[Order_Date]])</f>
        <v>2024</v>
      </c>
      <c r="O420" s="7">
        <f>Table1[[#This Row],[Profit]]/Table1[[#This Row],[Total_Sales]]</f>
        <v>0.21592842842842841</v>
      </c>
    </row>
    <row r="421" spans="1:15" x14ac:dyDescent="0.25">
      <c r="A421" s="1">
        <v>420</v>
      </c>
      <c r="B421" s="2">
        <v>45474</v>
      </c>
      <c r="C421" s="1" t="s">
        <v>25</v>
      </c>
      <c r="D421" s="1" t="s">
        <v>26</v>
      </c>
      <c r="E421" s="1" t="s">
        <v>46</v>
      </c>
      <c r="F421" s="1" t="s">
        <v>18</v>
      </c>
      <c r="G421" s="1">
        <v>8</v>
      </c>
      <c r="H421" s="1">
        <v>921</v>
      </c>
      <c r="I421" s="1">
        <v>20</v>
      </c>
      <c r="J421" s="4">
        <v>5894.4</v>
      </c>
      <c r="K421" s="4">
        <v>3284.09</v>
      </c>
      <c r="L421" s="4">
        <v>2610.31</v>
      </c>
      <c r="M421" s="1" t="str">
        <f>TEXT(Table1[[#This Row],[Order_Date]], "MMM")</f>
        <v>Jul</v>
      </c>
      <c r="N421" s="1">
        <f>YEAR(Table1[[#This Row],[Order_Date]])</f>
        <v>2024</v>
      </c>
      <c r="O421" s="7">
        <f>Table1[[#This Row],[Profit]]/Table1[[#This Row],[Total_Sales]]</f>
        <v>0.44284575190010861</v>
      </c>
    </row>
    <row r="422" spans="1:15" x14ac:dyDescent="0.25">
      <c r="A422" s="1">
        <v>421</v>
      </c>
      <c r="B422" s="2">
        <v>45371</v>
      </c>
      <c r="C422" s="1" t="s">
        <v>19</v>
      </c>
      <c r="D422" s="1" t="s">
        <v>32</v>
      </c>
      <c r="E422" s="1" t="s">
        <v>33</v>
      </c>
      <c r="F422" s="1" t="s">
        <v>31</v>
      </c>
      <c r="G422" s="1">
        <v>5</v>
      </c>
      <c r="H422" s="1">
        <v>227</v>
      </c>
      <c r="I422" s="1">
        <v>10</v>
      </c>
      <c r="J422" s="4">
        <v>1021.5</v>
      </c>
      <c r="K422" s="4">
        <v>527.25</v>
      </c>
      <c r="L422" s="4">
        <v>494.25</v>
      </c>
      <c r="M422" s="1" t="str">
        <f>TEXT(Table1[[#This Row],[Order_Date]], "MMM")</f>
        <v>Mar</v>
      </c>
      <c r="N422" s="1">
        <f>YEAR(Table1[[#This Row],[Order_Date]])</f>
        <v>2024</v>
      </c>
      <c r="O422" s="7">
        <f>Table1[[#This Row],[Profit]]/Table1[[#This Row],[Total_Sales]]</f>
        <v>0.48384728340675476</v>
      </c>
    </row>
    <row r="423" spans="1:15" x14ac:dyDescent="0.25">
      <c r="A423" s="1">
        <v>422</v>
      </c>
      <c r="B423" s="2">
        <v>45299</v>
      </c>
      <c r="C423" s="1" t="s">
        <v>19</v>
      </c>
      <c r="D423" s="1" t="s">
        <v>13</v>
      </c>
      <c r="E423" s="1" t="s">
        <v>17</v>
      </c>
      <c r="F423" s="1" t="s">
        <v>31</v>
      </c>
      <c r="G423" s="1">
        <v>1</v>
      </c>
      <c r="H423" s="1">
        <v>410</v>
      </c>
      <c r="I423" s="1">
        <v>15</v>
      </c>
      <c r="J423" s="4">
        <v>348.5</v>
      </c>
      <c r="K423" s="4">
        <v>217.85</v>
      </c>
      <c r="L423" s="4">
        <v>130.65</v>
      </c>
      <c r="M423" s="1" t="str">
        <f>TEXT(Table1[[#This Row],[Order_Date]], "MMM")</f>
        <v>Jan</v>
      </c>
      <c r="N423" s="1">
        <f>YEAR(Table1[[#This Row],[Order_Date]])</f>
        <v>2024</v>
      </c>
      <c r="O423" s="7">
        <f>Table1[[#This Row],[Profit]]/Table1[[#This Row],[Total_Sales]]</f>
        <v>0.3748923959827834</v>
      </c>
    </row>
    <row r="424" spans="1:15" x14ac:dyDescent="0.25">
      <c r="A424" s="1">
        <v>423</v>
      </c>
      <c r="B424" s="2">
        <v>45633</v>
      </c>
      <c r="C424" s="1" t="s">
        <v>25</v>
      </c>
      <c r="D424" s="1" t="s">
        <v>26</v>
      </c>
      <c r="E424" s="1" t="s">
        <v>46</v>
      </c>
      <c r="F424" s="1" t="s">
        <v>35</v>
      </c>
      <c r="G424" s="1">
        <v>9</v>
      </c>
      <c r="H424" s="1">
        <v>694</v>
      </c>
      <c r="I424" s="1">
        <v>20</v>
      </c>
      <c r="J424" s="4">
        <v>4996.8</v>
      </c>
      <c r="K424" s="4">
        <v>3129.22</v>
      </c>
      <c r="L424" s="4">
        <v>1867.58</v>
      </c>
      <c r="M424" s="1" t="str">
        <f>TEXT(Table1[[#This Row],[Order_Date]], "MMM")</f>
        <v>Dec</v>
      </c>
      <c r="N424" s="1">
        <f>YEAR(Table1[[#This Row],[Order_Date]])</f>
        <v>2024</v>
      </c>
      <c r="O424" s="7">
        <f>Table1[[#This Row],[Profit]]/Table1[[#This Row],[Total_Sales]]</f>
        <v>0.37375520333013124</v>
      </c>
    </row>
    <row r="425" spans="1:15" x14ac:dyDescent="0.25">
      <c r="A425" s="1">
        <v>424</v>
      </c>
      <c r="B425" s="2">
        <v>44993</v>
      </c>
      <c r="C425" s="1" t="s">
        <v>19</v>
      </c>
      <c r="D425" s="1" t="s">
        <v>20</v>
      </c>
      <c r="E425" s="1" t="s">
        <v>30</v>
      </c>
      <c r="F425" s="1" t="s">
        <v>31</v>
      </c>
      <c r="G425" s="1">
        <v>2</v>
      </c>
      <c r="H425" s="1">
        <v>92</v>
      </c>
      <c r="I425" s="1">
        <v>15</v>
      </c>
      <c r="J425" s="4">
        <v>156.4</v>
      </c>
      <c r="K425" s="4">
        <v>106.94</v>
      </c>
      <c r="L425" s="4">
        <v>49.46</v>
      </c>
      <c r="M425" s="1" t="str">
        <f>TEXT(Table1[[#This Row],[Order_Date]], "MMM")</f>
        <v>Mar</v>
      </c>
      <c r="N425" s="1">
        <f>YEAR(Table1[[#This Row],[Order_Date]])</f>
        <v>2023</v>
      </c>
      <c r="O425" s="7">
        <f>Table1[[#This Row],[Profit]]/Table1[[#This Row],[Total_Sales]]</f>
        <v>0.31624040920716112</v>
      </c>
    </row>
    <row r="426" spans="1:15" x14ac:dyDescent="0.25">
      <c r="A426" s="1">
        <v>425</v>
      </c>
      <c r="B426" s="2">
        <v>45592</v>
      </c>
      <c r="C426" s="1" t="s">
        <v>12</v>
      </c>
      <c r="D426" s="1" t="s">
        <v>20</v>
      </c>
      <c r="E426" s="1" t="s">
        <v>21</v>
      </c>
      <c r="F426" s="1" t="s">
        <v>24</v>
      </c>
      <c r="G426" s="1">
        <v>10</v>
      </c>
      <c r="H426" s="1">
        <v>68</v>
      </c>
      <c r="I426" s="1">
        <v>0</v>
      </c>
      <c r="J426" s="4">
        <v>680</v>
      </c>
      <c r="K426" s="4">
        <v>513.79999999999995</v>
      </c>
      <c r="L426" s="4">
        <v>166.2</v>
      </c>
      <c r="M426" s="1" t="str">
        <f>TEXT(Table1[[#This Row],[Order_Date]], "MMM")</f>
        <v>Oct</v>
      </c>
      <c r="N426" s="1">
        <f>YEAR(Table1[[#This Row],[Order_Date]])</f>
        <v>2024</v>
      </c>
      <c r="O426" s="7">
        <f>Table1[[#This Row],[Profit]]/Table1[[#This Row],[Total_Sales]]</f>
        <v>0.24441176470588233</v>
      </c>
    </row>
    <row r="427" spans="1:15" x14ac:dyDescent="0.25">
      <c r="A427" s="1">
        <v>426</v>
      </c>
      <c r="B427" s="2">
        <v>45286</v>
      </c>
      <c r="C427" s="1" t="s">
        <v>12</v>
      </c>
      <c r="D427" s="1" t="s">
        <v>13</v>
      </c>
      <c r="E427" s="1" t="s">
        <v>14</v>
      </c>
      <c r="F427" s="1" t="s">
        <v>40</v>
      </c>
      <c r="G427" s="1">
        <v>9</v>
      </c>
      <c r="H427" s="1">
        <v>943</v>
      </c>
      <c r="I427" s="1">
        <v>0</v>
      </c>
      <c r="J427" s="4">
        <v>8487</v>
      </c>
      <c r="K427" s="4">
        <v>5410.21</v>
      </c>
      <c r="L427" s="4">
        <v>3076.79</v>
      </c>
      <c r="M427" s="1" t="str">
        <f>TEXT(Table1[[#This Row],[Order_Date]], "MMM")</f>
        <v>Dec</v>
      </c>
      <c r="N427" s="1">
        <f>YEAR(Table1[[#This Row],[Order_Date]])</f>
        <v>2023</v>
      </c>
      <c r="O427" s="7">
        <f>Table1[[#This Row],[Profit]]/Table1[[#This Row],[Total_Sales]]</f>
        <v>0.36252975138447036</v>
      </c>
    </row>
    <row r="428" spans="1:15" x14ac:dyDescent="0.25">
      <c r="A428" s="1">
        <v>427</v>
      </c>
      <c r="B428" s="2">
        <v>45224</v>
      </c>
      <c r="C428" s="1" t="s">
        <v>16</v>
      </c>
      <c r="D428" s="1" t="s">
        <v>32</v>
      </c>
      <c r="E428" s="1" t="s">
        <v>34</v>
      </c>
      <c r="F428" s="1" t="s">
        <v>31</v>
      </c>
      <c r="G428" s="1">
        <v>2</v>
      </c>
      <c r="H428" s="1">
        <v>546</v>
      </c>
      <c r="I428" s="1">
        <v>15</v>
      </c>
      <c r="J428" s="4">
        <v>928.2</v>
      </c>
      <c r="K428" s="4">
        <v>702.08</v>
      </c>
      <c r="L428" s="4">
        <v>226.12</v>
      </c>
      <c r="M428" s="1" t="str">
        <f>TEXT(Table1[[#This Row],[Order_Date]], "MMM")</f>
        <v>Oct</v>
      </c>
      <c r="N428" s="1">
        <f>YEAR(Table1[[#This Row],[Order_Date]])</f>
        <v>2023</v>
      </c>
      <c r="O428" s="7">
        <f>Table1[[#This Row],[Profit]]/Table1[[#This Row],[Total_Sales]]</f>
        <v>0.24361129067011419</v>
      </c>
    </row>
    <row r="429" spans="1:15" x14ac:dyDescent="0.25">
      <c r="A429" s="1">
        <v>428</v>
      </c>
      <c r="B429" s="2">
        <v>45086</v>
      </c>
      <c r="C429" s="1" t="s">
        <v>19</v>
      </c>
      <c r="D429" s="1" t="s">
        <v>26</v>
      </c>
      <c r="E429" s="1" t="s">
        <v>37</v>
      </c>
      <c r="F429" s="1" t="s">
        <v>31</v>
      </c>
      <c r="G429" s="1">
        <v>5</v>
      </c>
      <c r="H429" s="1">
        <v>271</v>
      </c>
      <c r="I429" s="1">
        <v>15</v>
      </c>
      <c r="J429" s="4">
        <v>1151.75</v>
      </c>
      <c r="K429" s="4">
        <v>588.14</v>
      </c>
      <c r="L429" s="4">
        <v>563.61</v>
      </c>
      <c r="M429" s="1" t="str">
        <f>TEXT(Table1[[#This Row],[Order_Date]], "MMM")</f>
        <v>Jun</v>
      </c>
      <c r="N429" s="1">
        <f>YEAR(Table1[[#This Row],[Order_Date]])</f>
        <v>2023</v>
      </c>
      <c r="O429" s="7">
        <f>Table1[[#This Row],[Profit]]/Table1[[#This Row],[Total_Sales]]</f>
        <v>0.48935098762752333</v>
      </c>
    </row>
    <row r="430" spans="1:15" x14ac:dyDescent="0.25">
      <c r="A430" s="1">
        <v>429</v>
      </c>
      <c r="B430" s="2">
        <v>45062</v>
      </c>
      <c r="C430" s="1" t="s">
        <v>12</v>
      </c>
      <c r="D430" s="1" t="s">
        <v>22</v>
      </c>
      <c r="E430" s="1" t="s">
        <v>29</v>
      </c>
      <c r="F430" s="1" t="s">
        <v>31</v>
      </c>
      <c r="G430" s="1">
        <v>5</v>
      </c>
      <c r="H430" s="1">
        <v>344</v>
      </c>
      <c r="I430" s="1">
        <v>10</v>
      </c>
      <c r="J430" s="4">
        <v>1548</v>
      </c>
      <c r="K430" s="4">
        <v>996.1</v>
      </c>
      <c r="L430" s="4">
        <v>551.9</v>
      </c>
      <c r="M430" s="1" t="str">
        <f>TEXT(Table1[[#This Row],[Order_Date]], "MMM")</f>
        <v>May</v>
      </c>
      <c r="N430" s="1">
        <f>YEAR(Table1[[#This Row],[Order_Date]])</f>
        <v>2023</v>
      </c>
      <c r="O430" s="7">
        <f>Table1[[#This Row],[Profit]]/Table1[[#This Row],[Total_Sales]]</f>
        <v>0.35652454780361753</v>
      </c>
    </row>
    <row r="431" spans="1:15" x14ac:dyDescent="0.25">
      <c r="A431" s="1">
        <v>430</v>
      </c>
      <c r="B431" s="2">
        <v>44977</v>
      </c>
      <c r="C431" s="1" t="s">
        <v>19</v>
      </c>
      <c r="D431" s="1" t="s">
        <v>32</v>
      </c>
      <c r="E431" s="1" t="s">
        <v>34</v>
      </c>
      <c r="F431" s="1" t="s">
        <v>15</v>
      </c>
      <c r="G431" s="1">
        <v>6</v>
      </c>
      <c r="H431" s="1">
        <v>232</v>
      </c>
      <c r="I431" s="1">
        <v>20</v>
      </c>
      <c r="J431" s="4">
        <v>1113.5999999999999</v>
      </c>
      <c r="K431" s="4">
        <v>637.05999999999995</v>
      </c>
      <c r="L431" s="4">
        <v>476.54</v>
      </c>
      <c r="M431" s="1" t="str">
        <f>TEXT(Table1[[#This Row],[Order_Date]], "MMM")</f>
        <v>Feb</v>
      </c>
      <c r="N431" s="1">
        <f>YEAR(Table1[[#This Row],[Order_Date]])</f>
        <v>2023</v>
      </c>
      <c r="O431" s="7">
        <f>Table1[[#This Row],[Profit]]/Table1[[#This Row],[Total_Sales]]</f>
        <v>0.42792744252873571</v>
      </c>
    </row>
    <row r="432" spans="1:15" x14ac:dyDescent="0.25">
      <c r="A432" s="1">
        <v>431</v>
      </c>
      <c r="B432" s="2">
        <v>45630</v>
      </c>
      <c r="C432" s="1" t="s">
        <v>16</v>
      </c>
      <c r="D432" s="1" t="s">
        <v>32</v>
      </c>
      <c r="E432" s="1" t="s">
        <v>34</v>
      </c>
      <c r="F432" s="1" t="s">
        <v>18</v>
      </c>
      <c r="G432" s="1">
        <v>8</v>
      </c>
      <c r="H432" s="1">
        <v>632</v>
      </c>
      <c r="I432" s="1">
        <v>5</v>
      </c>
      <c r="J432" s="4">
        <v>4803.2</v>
      </c>
      <c r="K432" s="4">
        <v>3391.61</v>
      </c>
      <c r="L432" s="4">
        <v>1411.59</v>
      </c>
      <c r="M432" s="1" t="str">
        <f>TEXT(Table1[[#This Row],[Order_Date]], "MMM")</f>
        <v>Dec</v>
      </c>
      <c r="N432" s="1">
        <f>YEAR(Table1[[#This Row],[Order_Date]])</f>
        <v>2024</v>
      </c>
      <c r="O432" s="7">
        <f>Table1[[#This Row],[Profit]]/Table1[[#This Row],[Total_Sales]]</f>
        <v>0.29388532644903398</v>
      </c>
    </row>
    <row r="433" spans="1:15" x14ac:dyDescent="0.25">
      <c r="A433" s="1">
        <v>432</v>
      </c>
      <c r="B433" s="2">
        <v>44953</v>
      </c>
      <c r="C433" s="1" t="s">
        <v>19</v>
      </c>
      <c r="D433" s="1" t="s">
        <v>26</v>
      </c>
      <c r="E433" s="1" t="s">
        <v>42</v>
      </c>
      <c r="F433" s="1" t="s">
        <v>40</v>
      </c>
      <c r="G433" s="1">
        <v>3</v>
      </c>
      <c r="H433" s="1">
        <v>774</v>
      </c>
      <c r="I433" s="1">
        <v>20</v>
      </c>
      <c r="J433" s="4">
        <v>1857.6</v>
      </c>
      <c r="K433" s="4">
        <v>1236.6400000000001</v>
      </c>
      <c r="L433" s="4">
        <v>620.96</v>
      </c>
      <c r="M433" s="1" t="str">
        <f>TEXT(Table1[[#This Row],[Order_Date]], "MMM")</f>
        <v>Jan</v>
      </c>
      <c r="N433" s="1">
        <f>YEAR(Table1[[#This Row],[Order_Date]])</f>
        <v>2023</v>
      </c>
      <c r="O433" s="7">
        <f>Table1[[#This Row],[Profit]]/Table1[[#This Row],[Total_Sales]]</f>
        <v>0.33428079242032732</v>
      </c>
    </row>
    <row r="434" spans="1:15" x14ac:dyDescent="0.25">
      <c r="A434" s="1">
        <v>433</v>
      </c>
      <c r="B434" s="2">
        <v>45577</v>
      </c>
      <c r="C434" s="1" t="s">
        <v>12</v>
      </c>
      <c r="D434" s="1" t="s">
        <v>20</v>
      </c>
      <c r="E434" s="1" t="s">
        <v>21</v>
      </c>
      <c r="F434" s="1" t="s">
        <v>40</v>
      </c>
      <c r="G434" s="1">
        <v>10</v>
      </c>
      <c r="H434" s="1">
        <v>262</v>
      </c>
      <c r="I434" s="1">
        <v>5</v>
      </c>
      <c r="J434" s="4">
        <v>2489</v>
      </c>
      <c r="K434" s="4">
        <v>1644.6</v>
      </c>
      <c r="L434" s="4">
        <v>844.4</v>
      </c>
      <c r="M434" s="1" t="str">
        <f>TEXT(Table1[[#This Row],[Order_Date]], "MMM")</f>
        <v>Oct</v>
      </c>
      <c r="N434" s="1">
        <f>YEAR(Table1[[#This Row],[Order_Date]])</f>
        <v>2024</v>
      </c>
      <c r="O434" s="7">
        <f>Table1[[#This Row],[Profit]]/Table1[[#This Row],[Total_Sales]]</f>
        <v>0.339252711932503</v>
      </c>
    </row>
    <row r="435" spans="1:15" x14ac:dyDescent="0.25">
      <c r="A435" s="1">
        <v>434</v>
      </c>
      <c r="B435" s="2">
        <v>45446</v>
      </c>
      <c r="C435" s="1" t="s">
        <v>25</v>
      </c>
      <c r="D435" s="1" t="s">
        <v>22</v>
      </c>
      <c r="E435" s="1" t="s">
        <v>29</v>
      </c>
      <c r="F435" s="1" t="s">
        <v>40</v>
      </c>
      <c r="G435" s="1">
        <v>6</v>
      </c>
      <c r="H435" s="1">
        <v>274</v>
      </c>
      <c r="I435" s="1">
        <v>15</v>
      </c>
      <c r="J435" s="4">
        <v>1397.4</v>
      </c>
      <c r="K435" s="4">
        <v>889.68</v>
      </c>
      <c r="L435" s="4">
        <v>507.72</v>
      </c>
      <c r="M435" s="1" t="str">
        <f>TEXT(Table1[[#This Row],[Order_Date]], "MMM")</f>
        <v>Jun</v>
      </c>
      <c r="N435" s="1">
        <f>YEAR(Table1[[#This Row],[Order_Date]])</f>
        <v>2024</v>
      </c>
      <c r="O435" s="7">
        <f>Table1[[#This Row],[Profit]]/Table1[[#This Row],[Total_Sales]]</f>
        <v>0.36333190210390726</v>
      </c>
    </row>
    <row r="436" spans="1:15" x14ac:dyDescent="0.25">
      <c r="A436" s="1">
        <v>435</v>
      </c>
      <c r="B436" s="2">
        <v>45394</v>
      </c>
      <c r="C436" s="1" t="s">
        <v>12</v>
      </c>
      <c r="D436" s="1" t="s">
        <v>22</v>
      </c>
      <c r="E436" s="1" t="s">
        <v>36</v>
      </c>
      <c r="F436" s="1" t="s">
        <v>35</v>
      </c>
      <c r="G436" s="1">
        <v>5</v>
      </c>
      <c r="H436" s="1">
        <v>883</v>
      </c>
      <c r="I436" s="1">
        <v>20</v>
      </c>
      <c r="J436" s="4">
        <v>3532</v>
      </c>
      <c r="K436" s="4">
        <v>2153.63</v>
      </c>
      <c r="L436" s="4">
        <v>1378.37</v>
      </c>
      <c r="M436" s="1" t="str">
        <f>TEXT(Table1[[#This Row],[Order_Date]], "MMM")</f>
        <v>Apr</v>
      </c>
      <c r="N436" s="1">
        <f>YEAR(Table1[[#This Row],[Order_Date]])</f>
        <v>2024</v>
      </c>
      <c r="O436" s="7">
        <f>Table1[[#This Row],[Profit]]/Table1[[#This Row],[Total_Sales]]</f>
        <v>0.39025198187995469</v>
      </c>
    </row>
    <row r="437" spans="1:15" x14ac:dyDescent="0.25">
      <c r="A437" s="1">
        <v>436</v>
      </c>
      <c r="B437" s="2">
        <v>45102</v>
      </c>
      <c r="C437" s="1" t="s">
        <v>19</v>
      </c>
      <c r="D437" s="1" t="s">
        <v>22</v>
      </c>
      <c r="E437" s="1" t="s">
        <v>29</v>
      </c>
      <c r="F437" s="1" t="s">
        <v>40</v>
      </c>
      <c r="G437" s="1">
        <v>8</v>
      </c>
      <c r="H437" s="1">
        <v>17</v>
      </c>
      <c r="I437" s="1">
        <v>15</v>
      </c>
      <c r="J437" s="4">
        <v>115.6</v>
      </c>
      <c r="K437" s="4">
        <v>76.69</v>
      </c>
      <c r="L437" s="4">
        <v>38.909999999999997</v>
      </c>
      <c r="M437" s="1" t="str">
        <f>TEXT(Table1[[#This Row],[Order_Date]], "MMM")</f>
        <v>Jun</v>
      </c>
      <c r="N437" s="1">
        <f>YEAR(Table1[[#This Row],[Order_Date]])</f>
        <v>2023</v>
      </c>
      <c r="O437" s="7">
        <f>Table1[[#This Row],[Profit]]/Table1[[#This Row],[Total_Sales]]</f>
        <v>0.33659169550173007</v>
      </c>
    </row>
    <row r="438" spans="1:15" x14ac:dyDescent="0.25">
      <c r="A438" s="1">
        <v>437</v>
      </c>
      <c r="B438" s="2">
        <v>45328</v>
      </c>
      <c r="C438" s="1" t="s">
        <v>25</v>
      </c>
      <c r="D438" s="1" t="s">
        <v>32</v>
      </c>
      <c r="E438" s="1" t="s">
        <v>45</v>
      </c>
      <c r="F438" s="1" t="s">
        <v>15</v>
      </c>
      <c r="G438" s="1">
        <v>5</v>
      </c>
      <c r="H438" s="1">
        <v>179</v>
      </c>
      <c r="I438" s="1">
        <v>0</v>
      </c>
      <c r="J438" s="4">
        <v>895</v>
      </c>
      <c r="K438" s="4">
        <v>660.11</v>
      </c>
      <c r="L438" s="4">
        <v>234.89</v>
      </c>
      <c r="M438" s="1" t="str">
        <f>TEXT(Table1[[#This Row],[Order_Date]], "MMM")</f>
        <v>Feb</v>
      </c>
      <c r="N438" s="1">
        <f>YEAR(Table1[[#This Row],[Order_Date]])</f>
        <v>2024</v>
      </c>
      <c r="O438" s="7">
        <f>Table1[[#This Row],[Profit]]/Table1[[#This Row],[Total_Sales]]</f>
        <v>0.26244692737430164</v>
      </c>
    </row>
    <row r="439" spans="1:15" x14ac:dyDescent="0.25">
      <c r="A439" s="1">
        <v>438</v>
      </c>
      <c r="B439" s="2">
        <v>45218</v>
      </c>
      <c r="C439" s="1" t="s">
        <v>12</v>
      </c>
      <c r="D439" s="1" t="s">
        <v>26</v>
      </c>
      <c r="E439" s="1" t="s">
        <v>42</v>
      </c>
      <c r="F439" s="1" t="s">
        <v>31</v>
      </c>
      <c r="G439" s="1">
        <v>6</v>
      </c>
      <c r="H439" s="1">
        <v>372</v>
      </c>
      <c r="I439" s="1">
        <v>5</v>
      </c>
      <c r="J439" s="4">
        <v>2120.4</v>
      </c>
      <c r="K439" s="4">
        <v>1329.79</v>
      </c>
      <c r="L439" s="4">
        <v>790.61</v>
      </c>
      <c r="M439" s="1" t="str">
        <f>TEXT(Table1[[#This Row],[Order_Date]], "MMM")</f>
        <v>Oct</v>
      </c>
      <c r="N439" s="1">
        <f>YEAR(Table1[[#This Row],[Order_Date]])</f>
        <v>2023</v>
      </c>
      <c r="O439" s="7">
        <f>Table1[[#This Row],[Profit]]/Table1[[#This Row],[Total_Sales]]</f>
        <v>0.37285889454819843</v>
      </c>
    </row>
    <row r="440" spans="1:15" x14ac:dyDescent="0.25">
      <c r="A440" s="1">
        <v>439</v>
      </c>
      <c r="B440" s="2">
        <v>45258</v>
      </c>
      <c r="C440" s="1" t="s">
        <v>25</v>
      </c>
      <c r="D440" s="1" t="s">
        <v>32</v>
      </c>
      <c r="E440" s="1" t="s">
        <v>45</v>
      </c>
      <c r="F440" s="1" t="s">
        <v>18</v>
      </c>
      <c r="G440" s="1">
        <v>3</v>
      </c>
      <c r="H440" s="1">
        <v>46</v>
      </c>
      <c r="I440" s="1">
        <v>15</v>
      </c>
      <c r="J440" s="4">
        <v>117.3</v>
      </c>
      <c r="K440" s="4">
        <v>78.599999999999994</v>
      </c>
      <c r="L440" s="4">
        <v>38.700000000000003</v>
      </c>
      <c r="M440" s="1" t="str">
        <f>TEXT(Table1[[#This Row],[Order_Date]], "MMM")</f>
        <v>Nov</v>
      </c>
      <c r="N440" s="1">
        <f>YEAR(Table1[[#This Row],[Order_Date]])</f>
        <v>2023</v>
      </c>
      <c r="O440" s="7">
        <f>Table1[[#This Row],[Profit]]/Table1[[#This Row],[Total_Sales]]</f>
        <v>0.32992327365728902</v>
      </c>
    </row>
    <row r="441" spans="1:15" x14ac:dyDescent="0.25">
      <c r="A441" s="1">
        <v>440</v>
      </c>
      <c r="B441" s="2">
        <v>44942</v>
      </c>
      <c r="C441" s="1" t="s">
        <v>12</v>
      </c>
      <c r="D441" s="1" t="s">
        <v>13</v>
      </c>
      <c r="E441" s="1" t="s">
        <v>38</v>
      </c>
      <c r="F441" s="1" t="s">
        <v>18</v>
      </c>
      <c r="G441" s="1">
        <v>1</v>
      </c>
      <c r="H441" s="1">
        <v>294</v>
      </c>
      <c r="I441" s="1">
        <v>15</v>
      </c>
      <c r="J441" s="4">
        <v>249.9</v>
      </c>
      <c r="K441" s="4">
        <v>175.48</v>
      </c>
      <c r="L441" s="4">
        <v>74.42</v>
      </c>
      <c r="M441" s="1" t="str">
        <f>TEXT(Table1[[#This Row],[Order_Date]], "MMM")</f>
        <v>Jan</v>
      </c>
      <c r="N441" s="1">
        <f>YEAR(Table1[[#This Row],[Order_Date]])</f>
        <v>2023</v>
      </c>
      <c r="O441" s="7">
        <f>Table1[[#This Row],[Profit]]/Table1[[#This Row],[Total_Sales]]</f>
        <v>0.29779911964785916</v>
      </c>
    </row>
    <row r="442" spans="1:15" x14ac:dyDescent="0.25">
      <c r="A442" s="1">
        <v>441</v>
      </c>
      <c r="B442" s="2">
        <v>45231</v>
      </c>
      <c r="C442" s="1" t="s">
        <v>25</v>
      </c>
      <c r="D442" s="1" t="s">
        <v>26</v>
      </c>
      <c r="E442" s="1" t="s">
        <v>46</v>
      </c>
      <c r="F442" s="1" t="s">
        <v>15</v>
      </c>
      <c r="G442" s="1">
        <v>4</v>
      </c>
      <c r="H442" s="1">
        <v>891</v>
      </c>
      <c r="I442" s="1">
        <v>0</v>
      </c>
      <c r="J442" s="4">
        <v>3564</v>
      </c>
      <c r="K442" s="4">
        <v>2552.38</v>
      </c>
      <c r="L442" s="4">
        <v>1011.62</v>
      </c>
      <c r="M442" s="1" t="str">
        <f>TEXT(Table1[[#This Row],[Order_Date]], "MMM")</f>
        <v>Nov</v>
      </c>
      <c r="N442" s="1">
        <f>YEAR(Table1[[#This Row],[Order_Date]])</f>
        <v>2023</v>
      </c>
      <c r="O442" s="7">
        <f>Table1[[#This Row],[Profit]]/Table1[[#This Row],[Total_Sales]]</f>
        <v>0.28384399551066219</v>
      </c>
    </row>
    <row r="443" spans="1:15" x14ac:dyDescent="0.25">
      <c r="A443" s="1">
        <v>442</v>
      </c>
      <c r="B443" s="2">
        <v>45258</v>
      </c>
      <c r="C443" s="1" t="s">
        <v>19</v>
      </c>
      <c r="D443" s="1" t="s">
        <v>20</v>
      </c>
      <c r="E443" s="1" t="s">
        <v>30</v>
      </c>
      <c r="F443" s="1" t="s">
        <v>40</v>
      </c>
      <c r="G443" s="1">
        <v>2</v>
      </c>
      <c r="H443" s="1">
        <v>574</v>
      </c>
      <c r="I443" s="1">
        <v>0</v>
      </c>
      <c r="J443" s="4">
        <v>1148</v>
      </c>
      <c r="K443" s="4">
        <v>749.37</v>
      </c>
      <c r="L443" s="4">
        <v>398.63</v>
      </c>
      <c r="M443" s="1" t="str">
        <f>TEXT(Table1[[#This Row],[Order_Date]], "MMM")</f>
        <v>Nov</v>
      </c>
      <c r="N443" s="1">
        <f>YEAR(Table1[[#This Row],[Order_Date]])</f>
        <v>2023</v>
      </c>
      <c r="O443" s="7">
        <f>Table1[[#This Row],[Profit]]/Table1[[#This Row],[Total_Sales]]</f>
        <v>0.34723867595818814</v>
      </c>
    </row>
    <row r="444" spans="1:15" x14ac:dyDescent="0.25">
      <c r="A444" s="1">
        <v>443</v>
      </c>
      <c r="B444" s="2">
        <v>45353</v>
      </c>
      <c r="C444" s="1" t="s">
        <v>19</v>
      </c>
      <c r="D444" s="1" t="s">
        <v>26</v>
      </c>
      <c r="E444" s="1" t="s">
        <v>42</v>
      </c>
      <c r="F444" s="1" t="s">
        <v>15</v>
      </c>
      <c r="G444" s="1">
        <v>6</v>
      </c>
      <c r="H444" s="1">
        <v>316</v>
      </c>
      <c r="I444" s="1">
        <v>0</v>
      </c>
      <c r="J444" s="4">
        <v>1896</v>
      </c>
      <c r="K444" s="4">
        <v>1110.44</v>
      </c>
      <c r="L444" s="4">
        <v>785.56</v>
      </c>
      <c r="M444" s="1" t="str">
        <f>TEXT(Table1[[#This Row],[Order_Date]], "MMM")</f>
        <v>Mar</v>
      </c>
      <c r="N444" s="1">
        <f>YEAR(Table1[[#This Row],[Order_Date]])</f>
        <v>2024</v>
      </c>
      <c r="O444" s="7">
        <f>Table1[[#This Row],[Profit]]/Table1[[#This Row],[Total_Sales]]</f>
        <v>0.41432489451476789</v>
      </c>
    </row>
    <row r="445" spans="1:15" x14ac:dyDescent="0.25">
      <c r="A445" s="1">
        <v>444</v>
      </c>
      <c r="B445" s="2">
        <v>45605</v>
      </c>
      <c r="C445" s="1" t="s">
        <v>16</v>
      </c>
      <c r="D445" s="1" t="s">
        <v>32</v>
      </c>
      <c r="E445" s="1" t="s">
        <v>34</v>
      </c>
      <c r="F445" s="1" t="s">
        <v>15</v>
      </c>
      <c r="G445" s="1">
        <v>5</v>
      </c>
      <c r="H445" s="1">
        <v>743</v>
      </c>
      <c r="I445" s="1">
        <v>15</v>
      </c>
      <c r="J445" s="4">
        <v>3157.75</v>
      </c>
      <c r="K445" s="4">
        <v>1759.31</v>
      </c>
      <c r="L445" s="4">
        <v>1398.44</v>
      </c>
      <c r="M445" s="1" t="str">
        <f>TEXT(Table1[[#This Row],[Order_Date]], "MMM")</f>
        <v>Nov</v>
      </c>
      <c r="N445" s="1">
        <f>YEAR(Table1[[#This Row],[Order_Date]])</f>
        <v>2024</v>
      </c>
      <c r="O445" s="7">
        <f>Table1[[#This Row],[Profit]]/Table1[[#This Row],[Total_Sales]]</f>
        <v>0.4428596310664239</v>
      </c>
    </row>
    <row r="446" spans="1:15" x14ac:dyDescent="0.25">
      <c r="A446" s="1">
        <v>445</v>
      </c>
      <c r="B446" s="2">
        <v>45438</v>
      </c>
      <c r="C446" s="1" t="s">
        <v>16</v>
      </c>
      <c r="D446" s="1" t="s">
        <v>26</v>
      </c>
      <c r="E446" s="1" t="s">
        <v>37</v>
      </c>
      <c r="F446" s="1" t="s">
        <v>15</v>
      </c>
      <c r="G446" s="1">
        <v>4</v>
      </c>
      <c r="H446" s="1">
        <v>957</v>
      </c>
      <c r="I446" s="1">
        <v>10</v>
      </c>
      <c r="J446" s="4">
        <v>3445.2</v>
      </c>
      <c r="K446" s="4">
        <v>1934.37</v>
      </c>
      <c r="L446" s="4">
        <v>1510.83</v>
      </c>
      <c r="M446" s="1" t="str">
        <f>TEXT(Table1[[#This Row],[Order_Date]], "MMM")</f>
        <v>May</v>
      </c>
      <c r="N446" s="1">
        <f>YEAR(Table1[[#This Row],[Order_Date]])</f>
        <v>2024</v>
      </c>
      <c r="O446" s="7">
        <f>Table1[[#This Row],[Profit]]/Table1[[#This Row],[Total_Sales]]</f>
        <v>0.43853187042842218</v>
      </c>
    </row>
    <row r="447" spans="1:15" x14ac:dyDescent="0.25">
      <c r="A447" s="1">
        <v>446</v>
      </c>
      <c r="B447" s="2">
        <v>45499</v>
      </c>
      <c r="C447" s="1" t="s">
        <v>25</v>
      </c>
      <c r="D447" s="1" t="s">
        <v>13</v>
      </c>
      <c r="E447" s="1" t="s">
        <v>38</v>
      </c>
      <c r="F447" s="1" t="s">
        <v>40</v>
      </c>
      <c r="G447" s="1">
        <v>10</v>
      </c>
      <c r="H447" s="1">
        <v>807</v>
      </c>
      <c r="I447" s="1">
        <v>20</v>
      </c>
      <c r="J447" s="4">
        <v>6456</v>
      </c>
      <c r="K447" s="4">
        <v>3573.62</v>
      </c>
      <c r="L447" s="4">
        <v>2882.38</v>
      </c>
      <c r="M447" s="1" t="str">
        <f>TEXT(Table1[[#This Row],[Order_Date]], "MMM")</f>
        <v>Jul</v>
      </c>
      <c r="N447" s="1">
        <f>YEAR(Table1[[#This Row],[Order_Date]])</f>
        <v>2024</v>
      </c>
      <c r="O447" s="7">
        <f>Table1[[#This Row],[Profit]]/Table1[[#This Row],[Total_Sales]]</f>
        <v>0.44646530359355641</v>
      </c>
    </row>
    <row r="448" spans="1:15" x14ac:dyDescent="0.25">
      <c r="A448" s="1">
        <v>447</v>
      </c>
      <c r="B448" s="2">
        <v>45227</v>
      </c>
      <c r="C448" s="1" t="s">
        <v>19</v>
      </c>
      <c r="D448" s="1" t="s">
        <v>13</v>
      </c>
      <c r="E448" s="1" t="s">
        <v>17</v>
      </c>
      <c r="F448" s="1" t="s">
        <v>15</v>
      </c>
      <c r="G448" s="1">
        <v>9</v>
      </c>
      <c r="H448" s="1">
        <v>413</v>
      </c>
      <c r="I448" s="1">
        <v>20</v>
      </c>
      <c r="J448" s="4">
        <v>2973.6</v>
      </c>
      <c r="K448" s="4">
        <v>1577.1</v>
      </c>
      <c r="L448" s="4">
        <v>1396.5</v>
      </c>
      <c r="M448" s="1" t="str">
        <f>TEXT(Table1[[#This Row],[Order_Date]], "MMM")</f>
        <v>Oct</v>
      </c>
      <c r="N448" s="1">
        <f>YEAR(Table1[[#This Row],[Order_Date]])</f>
        <v>2023</v>
      </c>
      <c r="O448" s="7">
        <f>Table1[[#This Row],[Profit]]/Table1[[#This Row],[Total_Sales]]</f>
        <v>0.46963276836158191</v>
      </c>
    </row>
    <row r="449" spans="1:15" x14ac:dyDescent="0.25">
      <c r="A449" s="1">
        <v>448</v>
      </c>
      <c r="B449" s="2">
        <v>45375</v>
      </c>
      <c r="C449" s="1" t="s">
        <v>12</v>
      </c>
      <c r="D449" s="1" t="s">
        <v>22</v>
      </c>
      <c r="E449" s="1" t="s">
        <v>29</v>
      </c>
      <c r="F449" s="1" t="s">
        <v>40</v>
      </c>
      <c r="G449" s="1">
        <v>10</v>
      </c>
      <c r="H449" s="1">
        <v>706</v>
      </c>
      <c r="I449" s="1">
        <v>0</v>
      </c>
      <c r="J449" s="4">
        <v>7060</v>
      </c>
      <c r="K449" s="4">
        <v>5117.74</v>
      </c>
      <c r="L449" s="4">
        <v>1942.26</v>
      </c>
      <c r="M449" s="1" t="str">
        <f>TEXT(Table1[[#This Row],[Order_Date]], "MMM")</f>
        <v>Mar</v>
      </c>
      <c r="N449" s="1">
        <f>YEAR(Table1[[#This Row],[Order_Date]])</f>
        <v>2024</v>
      </c>
      <c r="O449" s="7">
        <f>Table1[[#This Row],[Profit]]/Table1[[#This Row],[Total_Sales]]</f>
        <v>0.27510764872521248</v>
      </c>
    </row>
    <row r="450" spans="1:15" x14ac:dyDescent="0.25">
      <c r="A450" s="1">
        <v>449</v>
      </c>
      <c r="B450" s="2">
        <v>45598</v>
      </c>
      <c r="C450" s="1" t="s">
        <v>12</v>
      </c>
      <c r="D450" s="1" t="s">
        <v>32</v>
      </c>
      <c r="E450" s="1" t="s">
        <v>45</v>
      </c>
      <c r="F450" s="1" t="s">
        <v>40</v>
      </c>
      <c r="G450" s="1">
        <v>10</v>
      </c>
      <c r="H450" s="1">
        <v>119</v>
      </c>
      <c r="I450" s="1">
        <v>0</v>
      </c>
      <c r="J450" s="4">
        <v>1190</v>
      </c>
      <c r="K450" s="4">
        <v>845.98</v>
      </c>
      <c r="L450" s="4">
        <v>344.02</v>
      </c>
      <c r="M450" s="1" t="str">
        <f>TEXT(Table1[[#This Row],[Order_Date]], "MMM")</f>
        <v>Nov</v>
      </c>
      <c r="N450" s="1">
        <f>YEAR(Table1[[#This Row],[Order_Date]])</f>
        <v>2024</v>
      </c>
      <c r="O450" s="7">
        <f>Table1[[#This Row],[Profit]]/Table1[[#This Row],[Total_Sales]]</f>
        <v>0.28909243697478992</v>
      </c>
    </row>
    <row r="451" spans="1:15" x14ac:dyDescent="0.25">
      <c r="A451" s="1">
        <v>450</v>
      </c>
      <c r="B451" s="2">
        <v>45141</v>
      </c>
      <c r="C451" s="1" t="s">
        <v>19</v>
      </c>
      <c r="D451" s="1" t="s">
        <v>20</v>
      </c>
      <c r="E451" s="1" t="s">
        <v>21</v>
      </c>
      <c r="F451" s="1" t="s">
        <v>18</v>
      </c>
      <c r="G451" s="1">
        <v>3</v>
      </c>
      <c r="H451" s="1">
        <v>51</v>
      </c>
      <c r="I451" s="1">
        <v>15</v>
      </c>
      <c r="J451" s="4">
        <v>130.05000000000001</v>
      </c>
      <c r="K451" s="4">
        <v>97.45</v>
      </c>
      <c r="L451" s="4">
        <v>32.6</v>
      </c>
      <c r="M451" s="1" t="str">
        <f>TEXT(Table1[[#This Row],[Order_Date]], "MMM")</f>
        <v>Aug</v>
      </c>
      <c r="N451" s="1">
        <f>YEAR(Table1[[#This Row],[Order_Date]])</f>
        <v>2023</v>
      </c>
      <c r="O451" s="7">
        <f>Table1[[#This Row],[Profit]]/Table1[[#This Row],[Total_Sales]]</f>
        <v>0.25067281814686659</v>
      </c>
    </row>
    <row r="452" spans="1:15" x14ac:dyDescent="0.25">
      <c r="A452" s="1">
        <v>451</v>
      </c>
      <c r="B452" s="2">
        <v>45552</v>
      </c>
      <c r="C452" s="1" t="s">
        <v>16</v>
      </c>
      <c r="D452" s="1" t="s">
        <v>26</v>
      </c>
      <c r="E452" s="1" t="s">
        <v>46</v>
      </c>
      <c r="F452" s="1" t="s">
        <v>18</v>
      </c>
      <c r="G452" s="1">
        <v>10</v>
      </c>
      <c r="H452" s="1">
        <v>671</v>
      </c>
      <c r="I452" s="1">
        <v>0</v>
      </c>
      <c r="J452" s="4">
        <v>6710</v>
      </c>
      <c r="K452" s="4">
        <v>4338.26</v>
      </c>
      <c r="L452" s="4">
        <v>2371.7399999999998</v>
      </c>
      <c r="M452" s="1" t="str">
        <f>TEXT(Table1[[#This Row],[Order_Date]], "MMM")</f>
        <v>Sep</v>
      </c>
      <c r="N452" s="1">
        <f>YEAR(Table1[[#This Row],[Order_Date]])</f>
        <v>2024</v>
      </c>
      <c r="O452" s="7">
        <f>Table1[[#This Row],[Profit]]/Table1[[#This Row],[Total_Sales]]</f>
        <v>0.35346348733233973</v>
      </c>
    </row>
    <row r="453" spans="1:15" x14ac:dyDescent="0.25">
      <c r="A453" s="1">
        <v>452</v>
      </c>
      <c r="B453" s="2">
        <v>45622</v>
      </c>
      <c r="C453" s="1" t="s">
        <v>25</v>
      </c>
      <c r="D453" s="1" t="s">
        <v>13</v>
      </c>
      <c r="E453" s="1" t="s">
        <v>17</v>
      </c>
      <c r="F453" s="1" t="s">
        <v>15</v>
      </c>
      <c r="G453" s="1">
        <v>8</v>
      </c>
      <c r="H453" s="1">
        <v>72</v>
      </c>
      <c r="I453" s="1">
        <v>15</v>
      </c>
      <c r="J453" s="4">
        <v>489.6</v>
      </c>
      <c r="K453" s="4">
        <v>313.66000000000003</v>
      </c>
      <c r="L453" s="4">
        <v>175.94</v>
      </c>
      <c r="M453" s="1" t="str">
        <f>TEXT(Table1[[#This Row],[Order_Date]], "MMM")</f>
        <v>Nov</v>
      </c>
      <c r="N453" s="1">
        <f>YEAR(Table1[[#This Row],[Order_Date]])</f>
        <v>2024</v>
      </c>
      <c r="O453" s="7">
        <f>Table1[[#This Row],[Profit]]/Table1[[#This Row],[Total_Sales]]</f>
        <v>0.35935457516339869</v>
      </c>
    </row>
    <row r="454" spans="1:15" x14ac:dyDescent="0.25">
      <c r="A454" s="1">
        <v>453</v>
      </c>
      <c r="B454" s="2">
        <v>45114</v>
      </c>
      <c r="C454" s="1" t="s">
        <v>16</v>
      </c>
      <c r="D454" s="1" t="s">
        <v>13</v>
      </c>
      <c r="E454" s="1" t="s">
        <v>17</v>
      </c>
      <c r="F454" s="1" t="s">
        <v>31</v>
      </c>
      <c r="G454" s="1">
        <v>7</v>
      </c>
      <c r="H454" s="1">
        <v>12</v>
      </c>
      <c r="I454" s="1">
        <v>20</v>
      </c>
      <c r="J454" s="4">
        <v>67.2</v>
      </c>
      <c r="K454" s="4">
        <v>44.55</v>
      </c>
      <c r="L454" s="4">
        <v>22.65</v>
      </c>
      <c r="M454" s="1" t="str">
        <f>TEXT(Table1[[#This Row],[Order_Date]], "MMM")</f>
        <v>Jul</v>
      </c>
      <c r="N454" s="1">
        <f>YEAR(Table1[[#This Row],[Order_Date]])</f>
        <v>2023</v>
      </c>
      <c r="O454" s="7">
        <f>Table1[[#This Row],[Profit]]/Table1[[#This Row],[Total_Sales]]</f>
        <v>0.3370535714285714</v>
      </c>
    </row>
    <row r="455" spans="1:15" x14ac:dyDescent="0.25">
      <c r="A455" s="1">
        <v>454</v>
      </c>
      <c r="B455" s="2">
        <v>45107</v>
      </c>
      <c r="C455" s="1" t="s">
        <v>25</v>
      </c>
      <c r="D455" s="1" t="s">
        <v>13</v>
      </c>
      <c r="E455" s="1" t="s">
        <v>38</v>
      </c>
      <c r="F455" s="1" t="s">
        <v>31</v>
      </c>
      <c r="G455" s="1">
        <v>2</v>
      </c>
      <c r="H455" s="1">
        <v>925</v>
      </c>
      <c r="I455" s="1">
        <v>10</v>
      </c>
      <c r="J455" s="4">
        <v>1665</v>
      </c>
      <c r="K455" s="4">
        <v>1149.04</v>
      </c>
      <c r="L455" s="4">
        <v>515.96</v>
      </c>
      <c r="M455" s="1" t="str">
        <f>TEXT(Table1[[#This Row],[Order_Date]], "MMM")</f>
        <v>Jun</v>
      </c>
      <c r="N455" s="1">
        <f>YEAR(Table1[[#This Row],[Order_Date]])</f>
        <v>2023</v>
      </c>
      <c r="O455" s="7">
        <f>Table1[[#This Row],[Profit]]/Table1[[#This Row],[Total_Sales]]</f>
        <v>0.30988588588588589</v>
      </c>
    </row>
    <row r="456" spans="1:15" x14ac:dyDescent="0.25">
      <c r="A456" s="1">
        <v>455</v>
      </c>
      <c r="B456" s="2">
        <v>45383</v>
      </c>
      <c r="C456" s="1" t="s">
        <v>25</v>
      </c>
      <c r="D456" s="1" t="s">
        <v>20</v>
      </c>
      <c r="E456" s="1" t="s">
        <v>28</v>
      </c>
      <c r="F456" s="1" t="s">
        <v>18</v>
      </c>
      <c r="G456" s="1">
        <v>8</v>
      </c>
      <c r="H456" s="1">
        <v>778</v>
      </c>
      <c r="I456" s="1">
        <v>15</v>
      </c>
      <c r="J456" s="4">
        <v>5290.4</v>
      </c>
      <c r="K456" s="4">
        <v>3551.08</v>
      </c>
      <c r="L456" s="4">
        <v>1739.32</v>
      </c>
      <c r="M456" s="1" t="str">
        <f>TEXT(Table1[[#This Row],[Order_Date]], "MMM")</f>
        <v>Apr</v>
      </c>
      <c r="N456" s="1">
        <f>YEAR(Table1[[#This Row],[Order_Date]])</f>
        <v>2024</v>
      </c>
      <c r="O456" s="7">
        <f>Table1[[#This Row],[Profit]]/Table1[[#This Row],[Total_Sales]]</f>
        <v>0.32876909118403147</v>
      </c>
    </row>
    <row r="457" spans="1:15" x14ac:dyDescent="0.25">
      <c r="A457" s="1">
        <v>456</v>
      </c>
      <c r="B457" s="2">
        <v>44973</v>
      </c>
      <c r="C457" s="1" t="s">
        <v>19</v>
      </c>
      <c r="D457" s="1" t="s">
        <v>22</v>
      </c>
      <c r="E457" s="1" t="s">
        <v>29</v>
      </c>
      <c r="F457" s="1" t="s">
        <v>35</v>
      </c>
      <c r="G457" s="1">
        <v>5</v>
      </c>
      <c r="H457" s="1">
        <v>788</v>
      </c>
      <c r="I457" s="1">
        <v>10</v>
      </c>
      <c r="J457" s="4">
        <v>3546</v>
      </c>
      <c r="K457" s="4">
        <v>2323.4499999999998</v>
      </c>
      <c r="L457" s="4">
        <v>1222.55</v>
      </c>
      <c r="M457" s="1" t="str">
        <f>TEXT(Table1[[#This Row],[Order_Date]], "MMM")</f>
        <v>Feb</v>
      </c>
      <c r="N457" s="1">
        <f>YEAR(Table1[[#This Row],[Order_Date]])</f>
        <v>2023</v>
      </c>
      <c r="O457" s="7">
        <f>Table1[[#This Row],[Profit]]/Table1[[#This Row],[Total_Sales]]</f>
        <v>0.34476875352509867</v>
      </c>
    </row>
    <row r="458" spans="1:15" x14ac:dyDescent="0.25">
      <c r="A458" s="1">
        <v>457</v>
      </c>
      <c r="B458" s="2">
        <v>45001</v>
      </c>
      <c r="C458" s="1" t="s">
        <v>12</v>
      </c>
      <c r="D458" s="1" t="s">
        <v>22</v>
      </c>
      <c r="E458" s="1" t="s">
        <v>23</v>
      </c>
      <c r="F458" s="1" t="s">
        <v>15</v>
      </c>
      <c r="G458" s="1">
        <v>7</v>
      </c>
      <c r="H458" s="1">
        <v>795</v>
      </c>
      <c r="I458" s="1">
        <v>0</v>
      </c>
      <c r="J458" s="4">
        <v>5565</v>
      </c>
      <c r="K458" s="4">
        <v>3878.71</v>
      </c>
      <c r="L458" s="4">
        <v>1686.29</v>
      </c>
      <c r="M458" s="1" t="str">
        <f>TEXT(Table1[[#This Row],[Order_Date]], "MMM")</f>
        <v>Mar</v>
      </c>
      <c r="N458" s="1">
        <f>YEAR(Table1[[#This Row],[Order_Date]])</f>
        <v>2023</v>
      </c>
      <c r="O458" s="7">
        <f>Table1[[#This Row],[Profit]]/Table1[[#This Row],[Total_Sales]]</f>
        <v>0.30301707097933511</v>
      </c>
    </row>
    <row r="459" spans="1:15" x14ac:dyDescent="0.25">
      <c r="A459" s="1">
        <v>458</v>
      </c>
      <c r="B459" s="2">
        <v>45007</v>
      </c>
      <c r="C459" s="1" t="s">
        <v>16</v>
      </c>
      <c r="D459" s="1" t="s">
        <v>20</v>
      </c>
      <c r="E459" s="1" t="s">
        <v>21</v>
      </c>
      <c r="F459" s="1" t="s">
        <v>40</v>
      </c>
      <c r="G459" s="1">
        <v>6</v>
      </c>
      <c r="H459" s="1">
        <v>756</v>
      </c>
      <c r="I459" s="1">
        <v>10</v>
      </c>
      <c r="J459" s="4">
        <v>4082.4</v>
      </c>
      <c r="K459" s="4">
        <v>3233.93</v>
      </c>
      <c r="L459" s="4">
        <v>848.47</v>
      </c>
      <c r="M459" s="1" t="str">
        <f>TEXT(Table1[[#This Row],[Order_Date]], "MMM")</f>
        <v>Mar</v>
      </c>
      <c r="N459" s="1">
        <f>YEAR(Table1[[#This Row],[Order_Date]])</f>
        <v>2023</v>
      </c>
      <c r="O459" s="7">
        <f>Table1[[#This Row],[Profit]]/Table1[[#This Row],[Total_Sales]]</f>
        <v>0.20783607681755831</v>
      </c>
    </row>
    <row r="460" spans="1:15" x14ac:dyDescent="0.25">
      <c r="A460" s="1">
        <v>459</v>
      </c>
      <c r="B460" s="2">
        <v>45614</v>
      </c>
      <c r="C460" s="1" t="s">
        <v>12</v>
      </c>
      <c r="D460" s="1" t="s">
        <v>26</v>
      </c>
      <c r="E460" s="1" t="s">
        <v>42</v>
      </c>
      <c r="F460" s="1" t="s">
        <v>40</v>
      </c>
      <c r="G460" s="1">
        <v>1</v>
      </c>
      <c r="H460" s="1">
        <v>446</v>
      </c>
      <c r="I460" s="1">
        <v>20</v>
      </c>
      <c r="J460" s="4">
        <v>356.8</v>
      </c>
      <c r="K460" s="4">
        <v>221.44</v>
      </c>
      <c r="L460" s="4">
        <v>135.36000000000001</v>
      </c>
      <c r="M460" s="1" t="str">
        <f>TEXT(Table1[[#This Row],[Order_Date]], "MMM")</f>
        <v>Nov</v>
      </c>
      <c r="N460" s="1">
        <f>YEAR(Table1[[#This Row],[Order_Date]])</f>
        <v>2024</v>
      </c>
      <c r="O460" s="7">
        <f>Table1[[#This Row],[Profit]]/Table1[[#This Row],[Total_Sales]]</f>
        <v>0.37937219730941707</v>
      </c>
    </row>
    <row r="461" spans="1:15" x14ac:dyDescent="0.25">
      <c r="A461" s="1">
        <v>460</v>
      </c>
      <c r="B461" s="2">
        <v>45628</v>
      </c>
      <c r="C461" s="1" t="s">
        <v>25</v>
      </c>
      <c r="D461" s="1" t="s">
        <v>20</v>
      </c>
      <c r="E461" s="1" t="s">
        <v>21</v>
      </c>
      <c r="F461" s="1" t="s">
        <v>15</v>
      </c>
      <c r="G461" s="1">
        <v>9</v>
      </c>
      <c r="H461" s="1">
        <v>392</v>
      </c>
      <c r="I461" s="1">
        <v>20</v>
      </c>
      <c r="J461" s="4">
        <v>2822.4</v>
      </c>
      <c r="K461" s="4">
        <v>1646.52</v>
      </c>
      <c r="L461" s="4">
        <v>1175.8800000000001</v>
      </c>
      <c r="M461" s="1" t="str">
        <f>TEXT(Table1[[#This Row],[Order_Date]], "MMM")</f>
        <v>Dec</v>
      </c>
      <c r="N461" s="1">
        <f>YEAR(Table1[[#This Row],[Order_Date]])</f>
        <v>2024</v>
      </c>
      <c r="O461" s="7">
        <f>Table1[[#This Row],[Profit]]/Table1[[#This Row],[Total_Sales]]</f>
        <v>0.416624149659864</v>
      </c>
    </row>
    <row r="462" spans="1:15" x14ac:dyDescent="0.25">
      <c r="A462" s="1">
        <v>461</v>
      </c>
      <c r="B462" s="2">
        <v>44994</v>
      </c>
      <c r="C462" s="1" t="s">
        <v>19</v>
      </c>
      <c r="D462" s="1" t="s">
        <v>22</v>
      </c>
      <c r="E462" s="1" t="s">
        <v>44</v>
      </c>
      <c r="F462" s="1" t="s">
        <v>18</v>
      </c>
      <c r="G462" s="1">
        <v>6</v>
      </c>
      <c r="H462" s="1">
        <v>826</v>
      </c>
      <c r="I462" s="1">
        <v>20</v>
      </c>
      <c r="J462" s="4">
        <v>3964.8</v>
      </c>
      <c r="K462" s="4">
        <v>2101.62</v>
      </c>
      <c r="L462" s="4">
        <v>1863.18</v>
      </c>
      <c r="M462" s="1" t="str">
        <f>TEXT(Table1[[#This Row],[Order_Date]], "MMM")</f>
        <v>Mar</v>
      </c>
      <c r="N462" s="1">
        <f>YEAR(Table1[[#This Row],[Order_Date]])</f>
        <v>2023</v>
      </c>
      <c r="O462" s="7">
        <f>Table1[[#This Row],[Profit]]/Table1[[#This Row],[Total_Sales]]</f>
        <v>0.46993038740920096</v>
      </c>
    </row>
    <row r="463" spans="1:15" x14ac:dyDescent="0.25">
      <c r="A463" s="1">
        <v>462</v>
      </c>
      <c r="B463" s="2">
        <v>45111</v>
      </c>
      <c r="C463" s="1" t="s">
        <v>12</v>
      </c>
      <c r="D463" s="1" t="s">
        <v>20</v>
      </c>
      <c r="E463" s="1" t="s">
        <v>21</v>
      </c>
      <c r="F463" s="1" t="s">
        <v>35</v>
      </c>
      <c r="G463" s="1">
        <v>8</v>
      </c>
      <c r="H463" s="1">
        <v>118</v>
      </c>
      <c r="I463" s="1">
        <v>0</v>
      </c>
      <c r="J463" s="4">
        <v>944</v>
      </c>
      <c r="K463" s="4">
        <v>703.27</v>
      </c>
      <c r="L463" s="4">
        <v>240.73</v>
      </c>
      <c r="M463" s="1" t="str">
        <f>TEXT(Table1[[#This Row],[Order_Date]], "MMM")</f>
        <v>Jul</v>
      </c>
      <c r="N463" s="1">
        <f>YEAR(Table1[[#This Row],[Order_Date]])</f>
        <v>2023</v>
      </c>
      <c r="O463" s="7">
        <f>Table1[[#This Row],[Profit]]/Table1[[#This Row],[Total_Sales]]</f>
        <v>0.25501059322033898</v>
      </c>
    </row>
    <row r="464" spans="1:15" x14ac:dyDescent="0.25">
      <c r="A464" s="1">
        <v>463</v>
      </c>
      <c r="B464" s="2">
        <v>45154</v>
      </c>
      <c r="C464" s="1" t="s">
        <v>19</v>
      </c>
      <c r="D464" s="1" t="s">
        <v>26</v>
      </c>
      <c r="E464" s="1" t="s">
        <v>37</v>
      </c>
      <c r="F464" s="1" t="s">
        <v>24</v>
      </c>
      <c r="G464" s="1">
        <v>5</v>
      </c>
      <c r="H464" s="1">
        <v>30</v>
      </c>
      <c r="I464" s="1">
        <v>5</v>
      </c>
      <c r="J464" s="4">
        <v>142.5</v>
      </c>
      <c r="K464" s="4">
        <v>71.38</v>
      </c>
      <c r="L464" s="4">
        <v>71.12</v>
      </c>
      <c r="M464" s="1" t="str">
        <f>TEXT(Table1[[#This Row],[Order_Date]], "MMM")</f>
        <v>Aug</v>
      </c>
      <c r="N464" s="1">
        <f>YEAR(Table1[[#This Row],[Order_Date]])</f>
        <v>2023</v>
      </c>
      <c r="O464" s="7">
        <f>Table1[[#This Row],[Profit]]/Table1[[#This Row],[Total_Sales]]</f>
        <v>0.49908771929824564</v>
      </c>
    </row>
    <row r="465" spans="1:15" x14ac:dyDescent="0.25">
      <c r="A465" s="1">
        <v>464</v>
      </c>
      <c r="B465" s="2">
        <v>45093</v>
      </c>
      <c r="C465" s="1" t="s">
        <v>25</v>
      </c>
      <c r="D465" s="1" t="s">
        <v>22</v>
      </c>
      <c r="E465" s="1" t="s">
        <v>36</v>
      </c>
      <c r="F465" s="1" t="s">
        <v>31</v>
      </c>
      <c r="G465" s="1">
        <v>5</v>
      </c>
      <c r="H465" s="1">
        <v>671</v>
      </c>
      <c r="I465" s="1">
        <v>0</v>
      </c>
      <c r="J465" s="4">
        <v>3355</v>
      </c>
      <c r="K465" s="4">
        <v>2087.1</v>
      </c>
      <c r="L465" s="4">
        <v>1267.9000000000001</v>
      </c>
      <c r="M465" s="1" t="str">
        <f>TEXT(Table1[[#This Row],[Order_Date]], "MMM")</f>
        <v>Jun</v>
      </c>
      <c r="N465" s="1">
        <f>YEAR(Table1[[#This Row],[Order_Date]])</f>
        <v>2023</v>
      </c>
      <c r="O465" s="7">
        <f>Table1[[#This Row],[Profit]]/Table1[[#This Row],[Total_Sales]]</f>
        <v>0.37791356184798808</v>
      </c>
    </row>
    <row r="466" spans="1:15" x14ac:dyDescent="0.25">
      <c r="A466" s="1">
        <v>465</v>
      </c>
      <c r="B466" s="2">
        <v>45282</v>
      </c>
      <c r="C466" s="1" t="s">
        <v>16</v>
      </c>
      <c r="D466" s="1" t="s">
        <v>26</v>
      </c>
      <c r="E466" s="1" t="s">
        <v>42</v>
      </c>
      <c r="F466" s="1" t="s">
        <v>35</v>
      </c>
      <c r="G466" s="1">
        <v>5</v>
      </c>
      <c r="H466" s="1">
        <v>169</v>
      </c>
      <c r="I466" s="1">
        <v>15</v>
      </c>
      <c r="J466" s="4">
        <v>718.25</v>
      </c>
      <c r="K466" s="4">
        <v>532.21</v>
      </c>
      <c r="L466" s="4">
        <v>186.04</v>
      </c>
      <c r="M466" s="1" t="str">
        <f>TEXT(Table1[[#This Row],[Order_Date]], "MMM")</f>
        <v>Dec</v>
      </c>
      <c r="N466" s="1">
        <f>YEAR(Table1[[#This Row],[Order_Date]])</f>
        <v>2023</v>
      </c>
      <c r="O466" s="7">
        <f>Table1[[#This Row],[Profit]]/Table1[[#This Row],[Total_Sales]]</f>
        <v>0.25901844761573267</v>
      </c>
    </row>
    <row r="467" spans="1:15" x14ac:dyDescent="0.25">
      <c r="A467" s="1">
        <v>466</v>
      </c>
      <c r="B467" s="2">
        <v>45310</v>
      </c>
      <c r="C467" s="1" t="s">
        <v>19</v>
      </c>
      <c r="D467" s="1" t="s">
        <v>22</v>
      </c>
      <c r="E467" s="1" t="s">
        <v>44</v>
      </c>
      <c r="F467" s="1" t="s">
        <v>35</v>
      </c>
      <c r="G467" s="1">
        <v>4</v>
      </c>
      <c r="H467" s="1">
        <v>868</v>
      </c>
      <c r="I467" s="1">
        <v>10</v>
      </c>
      <c r="J467" s="4">
        <v>3124.8</v>
      </c>
      <c r="K467" s="4">
        <v>1581.23</v>
      </c>
      <c r="L467" s="4">
        <v>1543.57</v>
      </c>
      <c r="M467" s="1" t="str">
        <f>TEXT(Table1[[#This Row],[Order_Date]], "MMM")</f>
        <v>Jan</v>
      </c>
      <c r="N467" s="1">
        <f>YEAR(Table1[[#This Row],[Order_Date]])</f>
        <v>2024</v>
      </c>
      <c r="O467" s="7">
        <f>Table1[[#This Row],[Profit]]/Table1[[#This Row],[Total_Sales]]</f>
        <v>0.49397401433691751</v>
      </c>
    </row>
    <row r="468" spans="1:15" x14ac:dyDescent="0.25">
      <c r="A468" s="1">
        <v>467</v>
      </c>
      <c r="B468" s="2">
        <v>45431</v>
      </c>
      <c r="C468" s="1" t="s">
        <v>16</v>
      </c>
      <c r="D468" s="1" t="s">
        <v>13</v>
      </c>
      <c r="E468" s="1" t="s">
        <v>17</v>
      </c>
      <c r="F468" s="1" t="s">
        <v>18</v>
      </c>
      <c r="G468" s="1">
        <v>8</v>
      </c>
      <c r="H468" s="1">
        <v>396</v>
      </c>
      <c r="I468" s="1">
        <v>0</v>
      </c>
      <c r="J468" s="4">
        <v>3168</v>
      </c>
      <c r="K468" s="4">
        <v>2256.7800000000002</v>
      </c>
      <c r="L468" s="4">
        <v>911.22</v>
      </c>
      <c r="M468" s="1" t="str">
        <f>TEXT(Table1[[#This Row],[Order_Date]], "MMM")</f>
        <v>May</v>
      </c>
      <c r="N468" s="1">
        <f>YEAR(Table1[[#This Row],[Order_Date]])</f>
        <v>2024</v>
      </c>
      <c r="O468" s="7">
        <f>Table1[[#This Row],[Profit]]/Table1[[#This Row],[Total_Sales]]</f>
        <v>0.28763257575757578</v>
      </c>
    </row>
    <row r="469" spans="1:15" x14ac:dyDescent="0.25">
      <c r="A469" s="1">
        <v>468</v>
      </c>
      <c r="B469" s="2">
        <v>44944</v>
      </c>
      <c r="C469" s="1" t="s">
        <v>12</v>
      </c>
      <c r="D469" s="1" t="s">
        <v>26</v>
      </c>
      <c r="E469" s="1" t="s">
        <v>27</v>
      </c>
      <c r="F469" s="1" t="s">
        <v>24</v>
      </c>
      <c r="G469" s="1">
        <v>8</v>
      </c>
      <c r="H469" s="1">
        <v>864</v>
      </c>
      <c r="I469" s="1">
        <v>10</v>
      </c>
      <c r="J469" s="4">
        <v>6220.8</v>
      </c>
      <c r="K469" s="4">
        <v>3168.31</v>
      </c>
      <c r="L469" s="4">
        <v>3052.49</v>
      </c>
      <c r="M469" s="1" t="str">
        <f>TEXT(Table1[[#This Row],[Order_Date]], "MMM")</f>
        <v>Jan</v>
      </c>
      <c r="N469" s="1">
        <f>YEAR(Table1[[#This Row],[Order_Date]])</f>
        <v>2023</v>
      </c>
      <c r="O469" s="7">
        <f>Table1[[#This Row],[Profit]]/Table1[[#This Row],[Total_Sales]]</f>
        <v>0.49069090792181064</v>
      </c>
    </row>
    <row r="470" spans="1:15" x14ac:dyDescent="0.25">
      <c r="A470" s="1">
        <v>469</v>
      </c>
      <c r="B470" s="2">
        <v>45272</v>
      </c>
      <c r="C470" s="1" t="s">
        <v>12</v>
      </c>
      <c r="D470" s="1" t="s">
        <v>22</v>
      </c>
      <c r="E470" s="1" t="s">
        <v>36</v>
      </c>
      <c r="F470" s="1" t="s">
        <v>40</v>
      </c>
      <c r="G470" s="1">
        <v>9</v>
      </c>
      <c r="H470" s="1">
        <v>870</v>
      </c>
      <c r="I470" s="1">
        <v>10</v>
      </c>
      <c r="J470" s="4">
        <v>7047</v>
      </c>
      <c r="K470" s="4">
        <v>5252.84</v>
      </c>
      <c r="L470" s="4">
        <v>1794.16</v>
      </c>
      <c r="M470" s="1" t="str">
        <f>TEXT(Table1[[#This Row],[Order_Date]], "MMM")</f>
        <v>Dec</v>
      </c>
      <c r="N470" s="1">
        <f>YEAR(Table1[[#This Row],[Order_Date]])</f>
        <v>2023</v>
      </c>
      <c r="O470" s="7">
        <f>Table1[[#This Row],[Profit]]/Table1[[#This Row],[Total_Sales]]</f>
        <v>0.25459912019298991</v>
      </c>
    </row>
    <row r="471" spans="1:15" x14ac:dyDescent="0.25">
      <c r="A471" s="1">
        <v>470</v>
      </c>
      <c r="B471" s="2">
        <v>45498</v>
      </c>
      <c r="C471" s="1" t="s">
        <v>16</v>
      </c>
      <c r="D471" s="1" t="s">
        <v>22</v>
      </c>
      <c r="E471" s="1" t="s">
        <v>23</v>
      </c>
      <c r="F471" s="1" t="s">
        <v>31</v>
      </c>
      <c r="G471" s="1">
        <v>10</v>
      </c>
      <c r="H471" s="1">
        <v>190</v>
      </c>
      <c r="I471" s="1">
        <v>0</v>
      </c>
      <c r="J471" s="4">
        <v>1900</v>
      </c>
      <c r="K471" s="4">
        <v>1138.99</v>
      </c>
      <c r="L471" s="4">
        <v>761.01</v>
      </c>
      <c r="M471" s="1" t="str">
        <f>TEXT(Table1[[#This Row],[Order_Date]], "MMM")</f>
        <v>Jul</v>
      </c>
      <c r="N471" s="1">
        <f>YEAR(Table1[[#This Row],[Order_Date]])</f>
        <v>2024</v>
      </c>
      <c r="O471" s="7">
        <f>Table1[[#This Row],[Profit]]/Table1[[#This Row],[Total_Sales]]</f>
        <v>0.40053157894736841</v>
      </c>
    </row>
    <row r="472" spans="1:15" x14ac:dyDescent="0.25">
      <c r="A472" s="1">
        <v>471</v>
      </c>
      <c r="B472" s="2">
        <v>45630</v>
      </c>
      <c r="C472" s="1" t="s">
        <v>19</v>
      </c>
      <c r="D472" s="1" t="s">
        <v>13</v>
      </c>
      <c r="E472" s="1" t="s">
        <v>14</v>
      </c>
      <c r="F472" s="1" t="s">
        <v>15</v>
      </c>
      <c r="G472" s="1">
        <v>5</v>
      </c>
      <c r="H472" s="1">
        <v>103</v>
      </c>
      <c r="I472" s="1">
        <v>0</v>
      </c>
      <c r="J472" s="4">
        <v>515</v>
      </c>
      <c r="K472" s="4">
        <v>279.2</v>
      </c>
      <c r="L472" s="4">
        <v>235.8</v>
      </c>
      <c r="M472" s="1" t="str">
        <f>TEXT(Table1[[#This Row],[Order_Date]], "MMM")</f>
        <v>Dec</v>
      </c>
      <c r="N472" s="1">
        <f>YEAR(Table1[[#This Row],[Order_Date]])</f>
        <v>2024</v>
      </c>
      <c r="O472" s="7">
        <f>Table1[[#This Row],[Profit]]/Table1[[#This Row],[Total_Sales]]</f>
        <v>0.45786407766990295</v>
      </c>
    </row>
    <row r="473" spans="1:15" x14ac:dyDescent="0.25">
      <c r="A473" s="1">
        <v>472</v>
      </c>
      <c r="B473" s="2">
        <v>45529</v>
      </c>
      <c r="C473" s="1" t="s">
        <v>19</v>
      </c>
      <c r="D473" s="1" t="s">
        <v>13</v>
      </c>
      <c r="E473" s="1" t="s">
        <v>38</v>
      </c>
      <c r="F473" s="1" t="s">
        <v>24</v>
      </c>
      <c r="G473" s="1">
        <v>5</v>
      </c>
      <c r="H473" s="1">
        <v>495</v>
      </c>
      <c r="I473" s="1">
        <v>20</v>
      </c>
      <c r="J473" s="4">
        <v>1980</v>
      </c>
      <c r="K473" s="4">
        <v>1332.89</v>
      </c>
      <c r="L473" s="4">
        <v>647.11</v>
      </c>
      <c r="M473" s="1" t="str">
        <f>TEXT(Table1[[#This Row],[Order_Date]], "MMM")</f>
        <v>Aug</v>
      </c>
      <c r="N473" s="1">
        <f>YEAR(Table1[[#This Row],[Order_Date]])</f>
        <v>2024</v>
      </c>
      <c r="O473" s="7">
        <f>Table1[[#This Row],[Profit]]/Table1[[#This Row],[Total_Sales]]</f>
        <v>0.32682323232323235</v>
      </c>
    </row>
    <row r="474" spans="1:15" x14ac:dyDescent="0.25">
      <c r="A474" s="1">
        <v>473</v>
      </c>
      <c r="B474" s="2">
        <v>45313</v>
      </c>
      <c r="C474" s="1" t="s">
        <v>16</v>
      </c>
      <c r="D474" s="1" t="s">
        <v>22</v>
      </c>
      <c r="E474" s="1" t="s">
        <v>44</v>
      </c>
      <c r="F474" s="1" t="s">
        <v>35</v>
      </c>
      <c r="G474" s="1">
        <v>6</v>
      </c>
      <c r="H474" s="1">
        <v>688</v>
      </c>
      <c r="I474" s="1">
        <v>5</v>
      </c>
      <c r="J474" s="4">
        <v>3921.6</v>
      </c>
      <c r="K474" s="4">
        <v>2199</v>
      </c>
      <c r="L474" s="4">
        <v>1722.6</v>
      </c>
      <c r="M474" s="1" t="str">
        <f>TEXT(Table1[[#This Row],[Order_Date]], "MMM")</f>
        <v>Jan</v>
      </c>
      <c r="N474" s="1">
        <f>YEAR(Table1[[#This Row],[Order_Date]])</f>
        <v>2024</v>
      </c>
      <c r="O474" s="7">
        <f>Table1[[#This Row],[Profit]]/Table1[[#This Row],[Total_Sales]]</f>
        <v>0.43925948592411257</v>
      </c>
    </row>
    <row r="475" spans="1:15" x14ac:dyDescent="0.25">
      <c r="A475" s="1">
        <v>474</v>
      </c>
      <c r="B475" s="2">
        <v>45464</v>
      </c>
      <c r="C475" s="1" t="s">
        <v>12</v>
      </c>
      <c r="D475" s="1" t="s">
        <v>20</v>
      </c>
      <c r="E475" s="1" t="s">
        <v>21</v>
      </c>
      <c r="F475" s="1" t="s">
        <v>40</v>
      </c>
      <c r="G475" s="1">
        <v>3</v>
      </c>
      <c r="H475" s="1">
        <v>306</v>
      </c>
      <c r="I475" s="1">
        <v>5</v>
      </c>
      <c r="J475" s="4">
        <v>872.1</v>
      </c>
      <c r="K475" s="4">
        <v>536.83000000000004</v>
      </c>
      <c r="L475" s="4">
        <v>335.27</v>
      </c>
      <c r="M475" s="1" t="str">
        <f>TEXT(Table1[[#This Row],[Order_Date]], "MMM")</f>
        <v>Jun</v>
      </c>
      <c r="N475" s="1">
        <f>YEAR(Table1[[#This Row],[Order_Date]])</f>
        <v>2024</v>
      </c>
      <c r="O475" s="7">
        <f>Table1[[#This Row],[Profit]]/Table1[[#This Row],[Total_Sales]]</f>
        <v>0.38443985781447076</v>
      </c>
    </row>
    <row r="476" spans="1:15" x14ac:dyDescent="0.25">
      <c r="A476" s="1">
        <v>475</v>
      </c>
      <c r="B476" s="2">
        <v>45642</v>
      </c>
      <c r="C476" s="1" t="s">
        <v>16</v>
      </c>
      <c r="D476" s="1" t="s">
        <v>32</v>
      </c>
      <c r="E476" s="1" t="s">
        <v>41</v>
      </c>
      <c r="F476" s="1" t="s">
        <v>35</v>
      </c>
      <c r="G476" s="1">
        <v>7</v>
      </c>
      <c r="H476" s="1">
        <v>626</v>
      </c>
      <c r="I476" s="1">
        <v>10</v>
      </c>
      <c r="J476" s="4">
        <v>3943.8</v>
      </c>
      <c r="K476" s="4">
        <v>2941.7</v>
      </c>
      <c r="L476" s="4">
        <v>1002.1</v>
      </c>
      <c r="M476" s="1" t="str">
        <f>TEXT(Table1[[#This Row],[Order_Date]], "MMM")</f>
        <v>Dec</v>
      </c>
      <c r="N476" s="1">
        <f>YEAR(Table1[[#This Row],[Order_Date]])</f>
        <v>2024</v>
      </c>
      <c r="O476" s="7">
        <f>Table1[[#This Row],[Profit]]/Table1[[#This Row],[Total_Sales]]</f>
        <v>0.254095035245195</v>
      </c>
    </row>
    <row r="477" spans="1:15" x14ac:dyDescent="0.25">
      <c r="A477" s="1">
        <v>476</v>
      </c>
      <c r="B477" s="2">
        <v>45133</v>
      </c>
      <c r="C477" s="1" t="s">
        <v>25</v>
      </c>
      <c r="D477" s="1" t="s">
        <v>26</v>
      </c>
      <c r="E477" s="1" t="s">
        <v>46</v>
      </c>
      <c r="F477" s="1" t="s">
        <v>40</v>
      </c>
      <c r="G477" s="1">
        <v>3</v>
      </c>
      <c r="H477" s="1">
        <v>68</v>
      </c>
      <c r="I477" s="1">
        <v>15</v>
      </c>
      <c r="J477" s="4">
        <v>173.4</v>
      </c>
      <c r="K477" s="4">
        <v>98.19</v>
      </c>
      <c r="L477" s="4">
        <v>75.209999999999994</v>
      </c>
      <c r="M477" s="1" t="str">
        <f>TEXT(Table1[[#This Row],[Order_Date]], "MMM")</f>
        <v>Jul</v>
      </c>
      <c r="N477" s="1">
        <f>YEAR(Table1[[#This Row],[Order_Date]])</f>
        <v>2023</v>
      </c>
      <c r="O477" s="7">
        <f>Table1[[#This Row],[Profit]]/Table1[[#This Row],[Total_Sales]]</f>
        <v>0.43373702422145322</v>
      </c>
    </row>
    <row r="478" spans="1:15" x14ac:dyDescent="0.25">
      <c r="A478" s="1">
        <v>477</v>
      </c>
      <c r="B478" s="2">
        <v>45267</v>
      </c>
      <c r="C478" s="1" t="s">
        <v>25</v>
      </c>
      <c r="D478" s="1" t="s">
        <v>26</v>
      </c>
      <c r="E478" s="1" t="s">
        <v>27</v>
      </c>
      <c r="F478" s="1" t="s">
        <v>24</v>
      </c>
      <c r="G478" s="1">
        <v>6</v>
      </c>
      <c r="H478" s="1">
        <v>71</v>
      </c>
      <c r="I478" s="1">
        <v>10</v>
      </c>
      <c r="J478" s="4">
        <v>383.4</v>
      </c>
      <c r="K478" s="4">
        <v>242.12</v>
      </c>
      <c r="L478" s="4">
        <v>141.28</v>
      </c>
      <c r="M478" s="1" t="str">
        <f>TEXT(Table1[[#This Row],[Order_Date]], "MMM")</f>
        <v>Dec</v>
      </c>
      <c r="N478" s="1">
        <f>YEAR(Table1[[#This Row],[Order_Date]])</f>
        <v>2023</v>
      </c>
      <c r="O478" s="7">
        <f>Table1[[#This Row],[Profit]]/Table1[[#This Row],[Total_Sales]]</f>
        <v>0.36849243609806992</v>
      </c>
    </row>
    <row r="479" spans="1:15" x14ac:dyDescent="0.25">
      <c r="A479" s="1">
        <v>478</v>
      </c>
      <c r="B479" s="2">
        <v>45185</v>
      </c>
      <c r="C479" s="1" t="s">
        <v>25</v>
      </c>
      <c r="D479" s="1" t="s">
        <v>32</v>
      </c>
      <c r="E479" s="1" t="s">
        <v>41</v>
      </c>
      <c r="F479" s="1" t="s">
        <v>24</v>
      </c>
      <c r="G479" s="1">
        <v>6</v>
      </c>
      <c r="H479" s="1">
        <v>746</v>
      </c>
      <c r="I479" s="1">
        <v>15</v>
      </c>
      <c r="J479" s="4">
        <v>3804.6</v>
      </c>
      <c r="K479" s="4">
        <v>2799.13</v>
      </c>
      <c r="L479" s="4">
        <v>1005.47</v>
      </c>
      <c r="M479" s="1" t="str">
        <f>TEXT(Table1[[#This Row],[Order_Date]], "MMM")</f>
        <v>Sep</v>
      </c>
      <c r="N479" s="1">
        <f>YEAR(Table1[[#This Row],[Order_Date]])</f>
        <v>2023</v>
      </c>
      <c r="O479" s="7">
        <f>Table1[[#This Row],[Profit]]/Table1[[#This Row],[Total_Sales]]</f>
        <v>0.26427745360878935</v>
      </c>
    </row>
    <row r="480" spans="1:15" x14ac:dyDescent="0.25">
      <c r="A480" s="1">
        <v>479</v>
      </c>
      <c r="B480" s="2">
        <v>45651</v>
      </c>
      <c r="C480" s="1" t="s">
        <v>19</v>
      </c>
      <c r="D480" s="1" t="s">
        <v>20</v>
      </c>
      <c r="E480" s="1" t="s">
        <v>28</v>
      </c>
      <c r="F480" s="1" t="s">
        <v>18</v>
      </c>
      <c r="G480" s="1">
        <v>6</v>
      </c>
      <c r="H480" s="1">
        <v>581</v>
      </c>
      <c r="I480" s="1">
        <v>5</v>
      </c>
      <c r="J480" s="4">
        <v>3311.7</v>
      </c>
      <c r="K480" s="4">
        <v>2094.83</v>
      </c>
      <c r="L480" s="4">
        <v>1216.8699999999999</v>
      </c>
      <c r="M480" s="1" t="str">
        <f>TEXT(Table1[[#This Row],[Order_Date]], "MMM")</f>
        <v>Dec</v>
      </c>
      <c r="N480" s="1">
        <f>YEAR(Table1[[#This Row],[Order_Date]])</f>
        <v>2024</v>
      </c>
      <c r="O480" s="7">
        <f>Table1[[#This Row],[Profit]]/Table1[[#This Row],[Total_Sales]]</f>
        <v>0.3674457227405864</v>
      </c>
    </row>
    <row r="481" spans="1:15" x14ac:dyDescent="0.25">
      <c r="A481" s="1">
        <v>480</v>
      </c>
      <c r="B481" s="2">
        <v>45391</v>
      </c>
      <c r="C481" s="1" t="s">
        <v>16</v>
      </c>
      <c r="D481" s="1" t="s">
        <v>20</v>
      </c>
      <c r="E481" s="1" t="s">
        <v>30</v>
      </c>
      <c r="F481" s="1" t="s">
        <v>35</v>
      </c>
      <c r="G481" s="1">
        <v>2</v>
      </c>
      <c r="H481" s="1">
        <v>250</v>
      </c>
      <c r="I481" s="1">
        <v>10</v>
      </c>
      <c r="J481" s="4">
        <v>450</v>
      </c>
      <c r="K481" s="4">
        <v>267.3</v>
      </c>
      <c r="L481" s="4">
        <v>182.7</v>
      </c>
      <c r="M481" s="1" t="str">
        <f>TEXT(Table1[[#This Row],[Order_Date]], "MMM")</f>
        <v>Apr</v>
      </c>
      <c r="N481" s="1">
        <f>YEAR(Table1[[#This Row],[Order_Date]])</f>
        <v>2024</v>
      </c>
      <c r="O481" s="7">
        <f>Table1[[#This Row],[Profit]]/Table1[[#This Row],[Total_Sales]]</f>
        <v>0.40599999999999997</v>
      </c>
    </row>
    <row r="482" spans="1:15" x14ac:dyDescent="0.25">
      <c r="A482" s="1">
        <v>481</v>
      </c>
      <c r="B482" s="2">
        <v>45329</v>
      </c>
      <c r="C482" s="1" t="s">
        <v>16</v>
      </c>
      <c r="D482" s="1" t="s">
        <v>13</v>
      </c>
      <c r="E482" s="1" t="s">
        <v>39</v>
      </c>
      <c r="F482" s="1" t="s">
        <v>18</v>
      </c>
      <c r="G482" s="1">
        <v>6</v>
      </c>
      <c r="H482" s="1">
        <v>107</v>
      </c>
      <c r="I482" s="1">
        <v>10</v>
      </c>
      <c r="J482" s="4">
        <v>577.79999999999995</v>
      </c>
      <c r="K482" s="4">
        <v>424.72</v>
      </c>
      <c r="L482" s="4">
        <v>153.08000000000001</v>
      </c>
      <c r="M482" s="1" t="str">
        <f>TEXT(Table1[[#This Row],[Order_Date]], "MMM")</f>
        <v>Feb</v>
      </c>
      <c r="N482" s="1">
        <f>YEAR(Table1[[#This Row],[Order_Date]])</f>
        <v>2024</v>
      </c>
      <c r="O482" s="7">
        <f>Table1[[#This Row],[Profit]]/Table1[[#This Row],[Total_Sales]]</f>
        <v>0.26493596400138458</v>
      </c>
    </row>
    <row r="483" spans="1:15" x14ac:dyDescent="0.25">
      <c r="A483" s="1">
        <v>482</v>
      </c>
      <c r="B483" s="2">
        <v>45151</v>
      </c>
      <c r="C483" s="1" t="s">
        <v>12</v>
      </c>
      <c r="D483" s="1" t="s">
        <v>26</v>
      </c>
      <c r="E483" s="1" t="s">
        <v>27</v>
      </c>
      <c r="F483" s="1" t="s">
        <v>31</v>
      </c>
      <c r="G483" s="1">
        <v>6</v>
      </c>
      <c r="H483" s="1">
        <v>119</v>
      </c>
      <c r="I483" s="1">
        <v>15</v>
      </c>
      <c r="J483" s="4">
        <v>606.9</v>
      </c>
      <c r="K483" s="4">
        <v>340.07</v>
      </c>
      <c r="L483" s="4">
        <v>266.83</v>
      </c>
      <c r="M483" s="1" t="str">
        <f>TEXT(Table1[[#This Row],[Order_Date]], "MMM")</f>
        <v>Aug</v>
      </c>
      <c r="N483" s="1">
        <f>YEAR(Table1[[#This Row],[Order_Date]])</f>
        <v>2023</v>
      </c>
      <c r="O483" s="7">
        <f>Table1[[#This Row],[Profit]]/Table1[[#This Row],[Total_Sales]]</f>
        <v>0.43966057011039711</v>
      </c>
    </row>
    <row r="484" spans="1:15" x14ac:dyDescent="0.25">
      <c r="A484" s="1">
        <v>483</v>
      </c>
      <c r="B484" s="2">
        <v>45339</v>
      </c>
      <c r="C484" s="1" t="s">
        <v>25</v>
      </c>
      <c r="D484" s="1" t="s">
        <v>20</v>
      </c>
      <c r="E484" s="1" t="s">
        <v>21</v>
      </c>
      <c r="F484" s="1" t="s">
        <v>15</v>
      </c>
      <c r="G484" s="1">
        <v>1</v>
      </c>
      <c r="H484" s="1">
        <v>858</v>
      </c>
      <c r="I484" s="1">
        <v>0</v>
      </c>
      <c r="J484" s="4">
        <v>858</v>
      </c>
      <c r="K484" s="4">
        <v>472.29</v>
      </c>
      <c r="L484" s="4">
        <v>385.71</v>
      </c>
      <c r="M484" s="1" t="str">
        <f>TEXT(Table1[[#This Row],[Order_Date]], "MMM")</f>
        <v>Feb</v>
      </c>
      <c r="N484" s="1">
        <f>YEAR(Table1[[#This Row],[Order_Date]])</f>
        <v>2024</v>
      </c>
      <c r="O484" s="7">
        <f>Table1[[#This Row],[Profit]]/Table1[[#This Row],[Total_Sales]]</f>
        <v>0.44954545454545453</v>
      </c>
    </row>
    <row r="485" spans="1:15" x14ac:dyDescent="0.25">
      <c r="A485" s="1">
        <v>484</v>
      </c>
      <c r="B485" s="2">
        <v>45581</v>
      </c>
      <c r="C485" s="1" t="s">
        <v>25</v>
      </c>
      <c r="D485" s="1" t="s">
        <v>22</v>
      </c>
      <c r="E485" s="1" t="s">
        <v>36</v>
      </c>
      <c r="F485" s="1" t="s">
        <v>35</v>
      </c>
      <c r="G485" s="1">
        <v>2</v>
      </c>
      <c r="H485" s="1">
        <v>958</v>
      </c>
      <c r="I485" s="1">
        <v>10</v>
      </c>
      <c r="J485" s="4">
        <v>1724.4</v>
      </c>
      <c r="K485" s="4">
        <v>996.04</v>
      </c>
      <c r="L485" s="4">
        <v>728.36</v>
      </c>
      <c r="M485" s="1" t="str">
        <f>TEXT(Table1[[#This Row],[Order_Date]], "MMM")</f>
        <v>Oct</v>
      </c>
      <c r="N485" s="1">
        <f>YEAR(Table1[[#This Row],[Order_Date]])</f>
        <v>2024</v>
      </c>
      <c r="O485" s="7">
        <f>Table1[[#This Row],[Profit]]/Table1[[#This Row],[Total_Sales]]</f>
        <v>0.42238459754117375</v>
      </c>
    </row>
    <row r="486" spans="1:15" x14ac:dyDescent="0.25">
      <c r="A486" s="1">
        <v>485</v>
      </c>
      <c r="B486" s="2">
        <v>45406</v>
      </c>
      <c r="C486" s="1" t="s">
        <v>19</v>
      </c>
      <c r="D486" s="1" t="s">
        <v>22</v>
      </c>
      <c r="E486" s="1" t="s">
        <v>36</v>
      </c>
      <c r="F486" s="1" t="s">
        <v>24</v>
      </c>
      <c r="G486" s="1">
        <v>2</v>
      </c>
      <c r="H486" s="1">
        <v>139</v>
      </c>
      <c r="I486" s="1">
        <v>10</v>
      </c>
      <c r="J486" s="4">
        <v>250.2</v>
      </c>
      <c r="K486" s="4">
        <v>191.67</v>
      </c>
      <c r="L486" s="4">
        <v>58.53</v>
      </c>
      <c r="M486" s="1" t="str">
        <f>TEXT(Table1[[#This Row],[Order_Date]], "MMM")</f>
        <v>Apr</v>
      </c>
      <c r="N486" s="1">
        <f>YEAR(Table1[[#This Row],[Order_Date]])</f>
        <v>2024</v>
      </c>
      <c r="O486" s="7">
        <f>Table1[[#This Row],[Profit]]/Table1[[#This Row],[Total_Sales]]</f>
        <v>0.23393285371702641</v>
      </c>
    </row>
    <row r="487" spans="1:15" x14ac:dyDescent="0.25">
      <c r="A487" s="1">
        <v>486</v>
      </c>
      <c r="B487" s="2">
        <v>45561</v>
      </c>
      <c r="C487" s="1" t="s">
        <v>12</v>
      </c>
      <c r="D487" s="1" t="s">
        <v>20</v>
      </c>
      <c r="E487" s="1" t="s">
        <v>21</v>
      </c>
      <c r="F487" s="1" t="s">
        <v>31</v>
      </c>
      <c r="G487" s="1">
        <v>3</v>
      </c>
      <c r="H487" s="1">
        <v>905</v>
      </c>
      <c r="I487" s="1">
        <v>5</v>
      </c>
      <c r="J487" s="4">
        <v>2579.25</v>
      </c>
      <c r="K487" s="4">
        <v>1576.48</v>
      </c>
      <c r="L487" s="4">
        <v>1002.77</v>
      </c>
      <c r="M487" s="1" t="str">
        <f>TEXT(Table1[[#This Row],[Order_Date]], "MMM")</f>
        <v>Sep</v>
      </c>
      <c r="N487" s="1">
        <f>YEAR(Table1[[#This Row],[Order_Date]])</f>
        <v>2024</v>
      </c>
      <c r="O487" s="7">
        <f>Table1[[#This Row],[Profit]]/Table1[[#This Row],[Total_Sales]]</f>
        <v>0.38878356111272655</v>
      </c>
    </row>
    <row r="488" spans="1:15" x14ac:dyDescent="0.25">
      <c r="A488" s="1">
        <v>487</v>
      </c>
      <c r="B488" s="2">
        <v>44994</v>
      </c>
      <c r="C488" s="1" t="s">
        <v>25</v>
      </c>
      <c r="D488" s="1" t="s">
        <v>13</v>
      </c>
      <c r="E488" s="1" t="s">
        <v>14</v>
      </c>
      <c r="F488" s="1" t="s">
        <v>24</v>
      </c>
      <c r="G488" s="1">
        <v>1</v>
      </c>
      <c r="H488" s="1">
        <v>322</v>
      </c>
      <c r="I488" s="1">
        <v>5</v>
      </c>
      <c r="J488" s="4">
        <v>305.89999999999998</v>
      </c>
      <c r="K488" s="4">
        <v>189.9</v>
      </c>
      <c r="L488" s="4">
        <v>116</v>
      </c>
      <c r="M488" s="1" t="str">
        <f>TEXT(Table1[[#This Row],[Order_Date]], "MMM")</f>
        <v>Mar</v>
      </c>
      <c r="N488" s="1">
        <f>YEAR(Table1[[#This Row],[Order_Date]])</f>
        <v>2023</v>
      </c>
      <c r="O488" s="7">
        <f>Table1[[#This Row],[Profit]]/Table1[[#This Row],[Total_Sales]]</f>
        <v>0.37920889179470418</v>
      </c>
    </row>
    <row r="489" spans="1:15" x14ac:dyDescent="0.25">
      <c r="A489" s="1">
        <v>488</v>
      </c>
      <c r="B489" s="2">
        <v>45037</v>
      </c>
      <c r="C489" s="1" t="s">
        <v>19</v>
      </c>
      <c r="D489" s="1" t="s">
        <v>32</v>
      </c>
      <c r="E489" s="1" t="s">
        <v>45</v>
      </c>
      <c r="F489" s="1" t="s">
        <v>24</v>
      </c>
      <c r="G489" s="1">
        <v>7</v>
      </c>
      <c r="H489" s="1">
        <v>580</v>
      </c>
      <c r="I489" s="1">
        <v>10</v>
      </c>
      <c r="J489" s="4">
        <v>3654</v>
      </c>
      <c r="K489" s="4">
        <v>2198.58</v>
      </c>
      <c r="L489" s="4">
        <v>1455.42</v>
      </c>
      <c r="M489" s="1" t="str">
        <f>TEXT(Table1[[#This Row],[Order_Date]], "MMM")</f>
        <v>Apr</v>
      </c>
      <c r="N489" s="1">
        <f>YEAR(Table1[[#This Row],[Order_Date]])</f>
        <v>2023</v>
      </c>
      <c r="O489" s="7">
        <f>Table1[[#This Row],[Profit]]/Table1[[#This Row],[Total_Sales]]</f>
        <v>0.39830870279146141</v>
      </c>
    </row>
    <row r="490" spans="1:15" x14ac:dyDescent="0.25">
      <c r="A490" s="1">
        <v>489</v>
      </c>
      <c r="B490" s="2">
        <v>45421</v>
      </c>
      <c r="C490" s="1" t="s">
        <v>19</v>
      </c>
      <c r="D490" s="1" t="s">
        <v>26</v>
      </c>
      <c r="E490" s="1" t="s">
        <v>42</v>
      </c>
      <c r="F490" s="1" t="s">
        <v>15</v>
      </c>
      <c r="G490" s="1">
        <v>6</v>
      </c>
      <c r="H490" s="1">
        <v>372</v>
      </c>
      <c r="I490" s="1">
        <v>0</v>
      </c>
      <c r="J490" s="4">
        <v>2232</v>
      </c>
      <c r="K490" s="4">
        <v>1306.5899999999999</v>
      </c>
      <c r="L490" s="4">
        <v>925.41</v>
      </c>
      <c r="M490" s="1" t="str">
        <f>TEXT(Table1[[#This Row],[Order_Date]], "MMM")</f>
        <v>May</v>
      </c>
      <c r="N490" s="1">
        <f>YEAR(Table1[[#This Row],[Order_Date]])</f>
        <v>2024</v>
      </c>
      <c r="O490" s="7">
        <f>Table1[[#This Row],[Profit]]/Table1[[#This Row],[Total_Sales]]</f>
        <v>0.41461021505376344</v>
      </c>
    </row>
    <row r="491" spans="1:15" x14ac:dyDescent="0.25">
      <c r="A491" s="1">
        <v>490</v>
      </c>
      <c r="B491" s="2">
        <v>45430</v>
      </c>
      <c r="C491" s="1" t="s">
        <v>19</v>
      </c>
      <c r="D491" s="1" t="s">
        <v>13</v>
      </c>
      <c r="E491" s="1" t="s">
        <v>17</v>
      </c>
      <c r="F491" s="1" t="s">
        <v>15</v>
      </c>
      <c r="G491" s="1">
        <v>1</v>
      </c>
      <c r="H491" s="1">
        <v>648</v>
      </c>
      <c r="I491" s="1">
        <v>15</v>
      </c>
      <c r="J491" s="4">
        <v>550.79999999999995</v>
      </c>
      <c r="K491" s="4">
        <v>438.71</v>
      </c>
      <c r="L491" s="4">
        <v>112.09</v>
      </c>
      <c r="M491" s="1" t="str">
        <f>TEXT(Table1[[#This Row],[Order_Date]], "MMM")</f>
        <v>May</v>
      </c>
      <c r="N491" s="1">
        <f>YEAR(Table1[[#This Row],[Order_Date]])</f>
        <v>2024</v>
      </c>
      <c r="O491" s="7">
        <f>Table1[[#This Row],[Profit]]/Table1[[#This Row],[Total_Sales]]</f>
        <v>0.20350399419026871</v>
      </c>
    </row>
    <row r="492" spans="1:15" x14ac:dyDescent="0.25">
      <c r="A492" s="1">
        <v>491</v>
      </c>
      <c r="B492" s="2">
        <v>45344</v>
      </c>
      <c r="C492" s="1" t="s">
        <v>12</v>
      </c>
      <c r="D492" s="1" t="s">
        <v>26</v>
      </c>
      <c r="E492" s="1" t="s">
        <v>46</v>
      </c>
      <c r="F492" s="1" t="s">
        <v>31</v>
      </c>
      <c r="G492" s="1">
        <v>2</v>
      </c>
      <c r="H492" s="1">
        <v>934</v>
      </c>
      <c r="I492" s="1">
        <v>10</v>
      </c>
      <c r="J492" s="4">
        <v>1681.2</v>
      </c>
      <c r="K492" s="4">
        <v>1209.29</v>
      </c>
      <c r="L492" s="4">
        <v>471.91</v>
      </c>
      <c r="M492" s="1" t="str">
        <f>TEXT(Table1[[#This Row],[Order_Date]], "MMM")</f>
        <v>Feb</v>
      </c>
      <c r="N492" s="1">
        <f>YEAR(Table1[[#This Row],[Order_Date]])</f>
        <v>2024</v>
      </c>
      <c r="O492" s="7">
        <f>Table1[[#This Row],[Profit]]/Table1[[#This Row],[Total_Sales]]</f>
        <v>0.28069831073043067</v>
      </c>
    </row>
    <row r="493" spans="1:15" x14ac:dyDescent="0.25">
      <c r="A493" s="1">
        <v>492</v>
      </c>
      <c r="B493" s="2">
        <v>45332</v>
      </c>
      <c r="C493" s="1" t="s">
        <v>12</v>
      </c>
      <c r="D493" s="1" t="s">
        <v>13</v>
      </c>
      <c r="E493" s="1" t="s">
        <v>17</v>
      </c>
      <c r="F493" s="1" t="s">
        <v>18</v>
      </c>
      <c r="G493" s="1">
        <v>10</v>
      </c>
      <c r="H493" s="1">
        <v>82</v>
      </c>
      <c r="I493" s="1">
        <v>0</v>
      </c>
      <c r="J493" s="4">
        <v>820</v>
      </c>
      <c r="K493" s="4">
        <v>573.99</v>
      </c>
      <c r="L493" s="4">
        <v>246.01</v>
      </c>
      <c r="M493" s="1" t="str">
        <f>TEXT(Table1[[#This Row],[Order_Date]], "MMM")</f>
        <v>Feb</v>
      </c>
      <c r="N493" s="1">
        <f>YEAR(Table1[[#This Row],[Order_Date]])</f>
        <v>2024</v>
      </c>
      <c r="O493" s="7">
        <f>Table1[[#This Row],[Profit]]/Table1[[#This Row],[Total_Sales]]</f>
        <v>0.30001219512195121</v>
      </c>
    </row>
    <row r="494" spans="1:15" x14ac:dyDescent="0.25">
      <c r="A494" s="1">
        <v>493</v>
      </c>
      <c r="B494" s="2">
        <v>45196</v>
      </c>
      <c r="C494" s="1" t="s">
        <v>19</v>
      </c>
      <c r="D494" s="1" t="s">
        <v>20</v>
      </c>
      <c r="E494" s="1" t="s">
        <v>30</v>
      </c>
      <c r="F494" s="1" t="s">
        <v>18</v>
      </c>
      <c r="G494" s="1">
        <v>4</v>
      </c>
      <c r="H494" s="1">
        <v>351</v>
      </c>
      <c r="I494" s="1">
        <v>15</v>
      </c>
      <c r="J494" s="4">
        <v>1193.4000000000001</v>
      </c>
      <c r="K494" s="4">
        <v>606.79999999999995</v>
      </c>
      <c r="L494" s="4">
        <v>586.6</v>
      </c>
      <c r="M494" s="1" t="str">
        <f>TEXT(Table1[[#This Row],[Order_Date]], "MMM")</f>
        <v>Sep</v>
      </c>
      <c r="N494" s="1">
        <f>YEAR(Table1[[#This Row],[Order_Date]])</f>
        <v>2023</v>
      </c>
      <c r="O494" s="7">
        <f>Table1[[#This Row],[Profit]]/Table1[[#This Row],[Total_Sales]]</f>
        <v>0.49153678565443271</v>
      </c>
    </row>
    <row r="495" spans="1:15" x14ac:dyDescent="0.25">
      <c r="A495" s="1">
        <v>494</v>
      </c>
      <c r="B495" s="2">
        <v>45525</v>
      </c>
      <c r="C495" s="1" t="s">
        <v>16</v>
      </c>
      <c r="D495" s="1" t="s">
        <v>13</v>
      </c>
      <c r="E495" s="1" t="s">
        <v>14</v>
      </c>
      <c r="F495" s="1" t="s">
        <v>24</v>
      </c>
      <c r="G495" s="1">
        <v>7</v>
      </c>
      <c r="H495" s="1">
        <v>914</v>
      </c>
      <c r="I495" s="1">
        <v>0</v>
      </c>
      <c r="J495" s="4">
        <v>6398</v>
      </c>
      <c r="K495" s="4">
        <v>4508.78</v>
      </c>
      <c r="L495" s="4">
        <v>1889.22</v>
      </c>
      <c r="M495" s="1" t="str">
        <f>TEXT(Table1[[#This Row],[Order_Date]], "MMM")</f>
        <v>Aug</v>
      </c>
      <c r="N495" s="1">
        <f>YEAR(Table1[[#This Row],[Order_Date]])</f>
        <v>2024</v>
      </c>
      <c r="O495" s="7">
        <f>Table1[[#This Row],[Profit]]/Table1[[#This Row],[Total_Sales]]</f>
        <v>0.29528290090653331</v>
      </c>
    </row>
    <row r="496" spans="1:15" x14ac:dyDescent="0.25">
      <c r="A496" s="1">
        <v>495</v>
      </c>
      <c r="B496" s="2">
        <v>45391</v>
      </c>
      <c r="C496" s="1" t="s">
        <v>16</v>
      </c>
      <c r="D496" s="1" t="s">
        <v>26</v>
      </c>
      <c r="E496" s="1" t="s">
        <v>27</v>
      </c>
      <c r="F496" s="1" t="s">
        <v>24</v>
      </c>
      <c r="G496" s="1">
        <v>3</v>
      </c>
      <c r="H496" s="1">
        <v>926</v>
      </c>
      <c r="I496" s="1">
        <v>15</v>
      </c>
      <c r="J496" s="4">
        <v>2361.3000000000002</v>
      </c>
      <c r="K496" s="4">
        <v>1349.06</v>
      </c>
      <c r="L496" s="4">
        <v>1012.24</v>
      </c>
      <c r="M496" s="1" t="str">
        <f>TEXT(Table1[[#This Row],[Order_Date]], "MMM")</f>
        <v>Apr</v>
      </c>
      <c r="N496" s="1">
        <f>YEAR(Table1[[#This Row],[Order_Date]])</f>
        <v>2024</v>
      </c>
      <c r="O496" s="7">
        <f>Table1[[#This Row],[Profit]]/Table1[[#This Row],[Total_Sales]]</f>
        <v>0.42867911743531101</v>
      </c>
    </row>
    <row r="497" spans="1:15" x14ac:dyDescent="0.25">
      <c r="A497" s="1">
        <v>496</v>
      </c>
      <c r="B497" s="2">
        <v>44935</v>
      </c>
      <c r="C497" s="1" t="s">
        <v>25</v>
      </c>
      <c r="D497" s="1" t="s">
        <v>20</v>
      </c>
      <c r="E497" s="1" t="s">
        <v>30</v>
      </c>
      <c r="F497" s="1" t="s">
        <v>24</v>
      </c>
      <c r="G497" s="1">
        <v>10</v>
      </c>
      <c r="H497" s="1">
        <v>940</v>
      </c>
      <c r="I497" s="1">
        <v>15</v>
      </c>
      <c r="J497" s="4">
        <v>7990</v>
      </c>
      <c r="K497" s="4">
        <v>5150.47</v>
      </c>
      <c r="L497" s="4">
        <v>2839.53</v>
      </c>
      <c r="M497" s="1" t="str">
        <f>TEXT(Table1[[#This Row],[Order_Date]], "MMM")</f>
        <v>Jan</v>
      </c>
      <c r="N497" s="1">
        <f>YEAR(Table1[[#This Row],[Order_Date]])</f>
        <v>2023</v>
      </c>
      <c r="O497" s="7">
        <f>Table1[[#This Row],[Profit]]/Table1[[#This Row],[Total_Sales]]</f>
        <v>0.35538548185231544</v>
      </c>
    </row>
    <row r="498" spans="1:15" x14ac:dyDescent="0.25">
      <c r="A498" s="1">
        <v>497</v>
      </c>
      <c r="B498" s="2">
        <v>45454</v>
      </c>
      <c r="C498" s="1" t="s">
        <v>19</v>
      </c>
      <c r="D498" s="1" t="s">
        <v>13</v>
      </c>
      <c r="E498" s="1" t="s">
        <v>38</v>
      </c>
      <c r="F498" s="1" t="s">
        <v>40</v>
      </c>
      <c r="G498" s="1">
        <v>4</v>
      </c>
      <c r="H498" s="1">
        <v>552</v>
      </c>
      <c r="I498" s="1">
        <v>10</v>
      </c>
      <c r="J498" s="4">
        <v>1987.2</v>
      </c>
      <c r="K498" s="4">
        <v>1234.47</v>
      </c>
      <c r="L498" s="4">
        <v>752.73</v>
      </c>
      <c r="M498" s="1" t="str">
        <f>TEXT(Table1[[#This Row],[Order_Date]], "MMM")</f>
        <v>Jun</v>
      </c>
      <c r="N498" s="1">
        <f>YEAR(Table1[[#This Row],[Order_Date]])</f>
        <v>2024</v>
      </c>
      <c r="O498" s="7">
        <f>Table1[[#This Row],[Profit]]/Table1[[#This Row],[Total_Sales]]</f>
        <v>0.37878925120772949</v>
      </c>
    </row>
    <row r="499" spans="1:15" x14ac:dyDescent="0.25">
      <c r="A499" s="1">
        <v>498</v>
      </c>
      <c r="B499" s="2">
        <v>45472</v>
      </c>
      <c r="C499" s="1" t="s">
        <v>25</v>
      </c>
      <c r="D499" s="1" t="s">
        <v>26</v>
      </c>
      <c r="E499" s="1" t="s">
        <v>27</v>
      </c>
      <c r="F499" s="1" t="s">
        <v>15</v>
      </c>
      <c r="G499" s="1">
        <v>2</v>
      </c>
      <c r="H499" s="1">
        <v>842</v>
      </c>
      <c r="I499" s="1">
        <v>15</v>
      </c>
      <c r="J499" s="4">
        <v>1431.4</v>
      </c>
      <c r="K499" s="4">
        <v>809.49</v>
      </c>
      <c r="L499" s="4">
        <v>621.91</v>
      </c>
      <c r="M499" s="1" t="str">
        <f>TEXT(Table1[[#This Row],[Order_Date]], "MMM")</f>
        <v>Jun</v>
      </c>
      <c r="N499" s="1">
        <f>YEAR(Table1[[#This Row],[Order_Date]])</f>
        <v>2024</v>
      </c>
      <c r="O499" s="7">
        <f>Table1[[#This Row],[Profit]]/Table1[[#This Row],[Total_Sales]]</f>
        <v>0.43447673606259601</v>
      </c>
    </row>
    <row r="500" spans="1:15" x14ac:dyDescent="0.25">
      <c r="A500" s="1">
        <v>499</v>
      </c>
      <c r="B500" s="2">
        <v>45145</v>
      </c>
      <c r="C500" s="1" t="s">
        <v>25</v>
      </c>
      <c r="D500" s="1" t="s">
        <v>22</v>
      </c>
      <c r="E500" s="1" t="s">
        <v>23</v>
      </c>
      <c r="F500" s="1" t="s">
        <v>31</v>
      </c>
      <c r="G500" s="1">
        <v>6</v>
      </c>
      <c r="H500" s="1">
        <v>318</v>
      </c>
      <c r="I500" s="1">
        <v>5</v>
      </c>
      <c r="J500" s="4">
        <v>1812.6</v>
      </c>
      <c r="K500" s="4">
        <v>1132.8</v>
      </c>
      <c r="L500" s="4">
        <v>679.8</v>
      </c>
      <c r="M500" s="1" t="str">
        <f>TEXT(Table1[[#This Row],[Order_Date]], "MMM")</f>
        <v>Aug</v>
      </c>
      <c r="N500" s="1">
        <f>YEAR(Table1[[#This Row],[Order_Date]])</f>
        <v>2023</v>
      </c>
      <c r="O500" s="7">
        <f>Table1[[#This Row],[Profit]]/Table1[[#This Row],[Total_Sales]]</f>
        <v>0.37504137702747437</v>
      </c>
    </row>
    <row r="501" spans="1:15" x14ac:dyDescent="0.25">
      <c r="A501" s="1">
        <v>500</v>
      </c>
      <c r="B501" s="2">
        <v>45601</v>
      </c>
      <c r="C501" s="1" t="s">
        <v>25</v>
      </c>
      <c r="D501" s="1" t="s">
        <v>32</v>
      </c>
      <c r="E501" s="1" t="s">
        <v>41</v>
      </c>
      <c r="F501" s="1" t="s">
        <v>18</v>
      </c>
      <c r="G501" s="1">
        <v>4</v>
      </c>
      <c r="H501" s="1">
        <v>983</v>
      </c>
      <c r="I501" s="1">
        <v>5</v>
      </c>
      <c r="J501" s="4">
        <v>3735.4</v>
      </c>
      <c r="K501" s="4">
        <v>2602.56</v>
      </c>
      <c r="L501" s="4">
        <v>1132.8399999999999</v>
      </c>
      <c r="M501" s="1" t="str">
        <f>TEXT(Table1[[#This Row],[Order_Date]], "MMM")</f>
        <v>Nov</v>
      </c>
      <c r="N501" s="1">
        <f>YEAR(Table1[[#This Row],[Order_Date]])</f>
        <v>2024</v>
      </c>
      <c r="O501" s="7">
        <f>Table1[[#This Row],[Profit]]/Table1[[#This Row],[Total_Sales]]</f>
        <v>0.30327140333029928</v>
      </c>
    </row>
    <row r="502" spans="1:15" x14ac:dyDescent="0.25">
      <c r="A502" s="1">
        <v>501</v>
      </c>
      <c r="B502" s="2">
        <v>44929</v>
      </c>
      <c r="C502" s="1" t="s">
        <v>25</v>
      </c>
      <c r="D502" s="1" t="s">
        <v>26</v>
      </c>
      <c r="E502" s="1" t="s">
        <v>27</v>
      </c>
      <c r="F502" s="1" t="s">
        <v>35</v>
      </c>
      <c r="G502" s="1">
        <v>5</v>
      </c>
      <c r="H502" s="1">
        <v>903</v>
      </c>
      <c r="I502" s="1">
        <v>15</v>
      </c>
      <c r="J502" s="4">
        <v>3837.75</v>
      </c>
      <c r="K502" s="4">
        <v>2470.65</v>
      </c>
      <c r="L502" s="4">
        <v>1367.1</v>
      </c>
      <c r="M502" s="1" t="str">
        <f>TEXT(Table1[[#This Row],[Order_Date]], "MMM")</f>
        <v>Jan</v>
      </c>
      <c r="N502" s="1">
        <f>YEAR(Table1[[#This Row],[Order_Date]])</f>
        <v>2023</v>
      </c>
      <c r="O502" s="7">
        <f>Table1[[#This Row],[Profit]]/Table1[[#This Row],[Total_Sales]]</f>
        <v>0.35622435020519833</v>
      </c>
    </row>
    <row r="503" spans="1:15" x14ac:dyDescent="0.25">
      <c r="A503" s="1">
        <v>502</v>
      </c>
      <c r="B503" s="2">
        <v>45606</v>
      </c>
      <c r="C503" s="1" t="s">
        <v>16</v>
      </c>
      <c r="D503" s="1" t="s">
        <v>20</v>
      </c>
      <c r="E503" s="1" t="s">
        <v>43</v>
      </c>
      <c r="F503" s="1" t="s">
        <v>31</v>
      </c>
      <c r="G503" s="1">
        <v>4</v>
      </c>
      <c r="H503" s="1">
        <v>746</v>
      </c>
      <c r="I503" s="1">
        <v>10</v>
      </c>
      <c r="J503" s="4">
        <v>2685.6</v>
      </c>
      <c r="K503" s="4">
        <v>1727.85</v>
      </c>
      <c r="L503" s="4">
        <v>957.75</v>
      </c>
      <c r="M503" s="1" t="str">
        <f>TEXT(Table1[[#This Row],[Order_Date]], "MMM")</f>
        <v>Nov</v>
      </c>
      <c r="N503" s="1">
        <f>YEAR(Table1[[#This Row],[Order_Date]])</f>
        <v>2024</v>
      </c>
      <c r="O503" s="7">
        <f>Table1[[#This Row],[Profit]]/Table1[[#This Row],[Total_Sales]]</f>
        <v>0.35662421805183203</v>
      </c>
    </row>
    <row r="504" spans="1:15" x14ac:dyDescent="0.25">
      <c r="A504" s="1">
        <v>503</v>
      </c>
      <c r="B504" s="2">
        <v>45138</v>
      </c>
      <c r="C504" s="1" t="s">
        <v>25</v>
      </c>
      <c r="D504" s="1" t="s">
        <v>26</v>
      </c>
      <c r="E504" s="1" t="s">
        <v>46</v>
      </c>
      <c r="F504" s="1" t="s">
        <v>31</v>
      </c>
      <c r="G504" s="1">
        <v>8</v>
      </c>
      <c r="H504" s="1">
        <v>746</v>
      </c>
      <c r="I504" s="1">
        <v>10</v>
      </c>
      <c r="J504" s="4">
        <v>5371.2</v>
      </c>
      <c r="K504" s="4">
        <v>3221.32</v>
      </c>
      <c r="L504" s="4">
        <v>2149.88</v>
      </c>
      <c r="M504" s="1" t="str">
        <f>TEXT(Table1[[#This Row],[Order_Date]], "MMM")</f>
        <v>Jul</v>
      </c>
      <c r="N504" s="1">
        <f>YEAR(Table1[[#This Row],[Order_Date]])</f>
        <v>2023</v>
      </c>
      <c r="O504" s="7">
        <f>Table1[[#This Row],[Profit]]/Table1[[#This Row],[Total_Sales]]</f>
        <v>0.40026064938933575</v>
      </c>
    </row>
    <row r="505" spans="1:15" x14ac:dyDescent="0.25">
      <c r="A505" s="1">
        <v>504</v>
      </c>
      <c r="B505" s="2">
        <v>45481</v>
      </c>
      <c r="C505" s="1" t="s">
        <v>25</v>
      </c>
      <c r="D505" s="1" t="s">
        <v>20</v>
      </c>
      <c r="E505" s="1" t="s">
        <v>43</v>
      </c>
      <c r="F505" s="1" t="s">
        <v>35</v>
      </c>
      <c r="G505" s="1">
        <v>6</v>
      </c>
      <c r="H505" s="1">
        <v>907</v>
      </c>
      <c r="I505" s="1">
        <v>0</v>
      </c>
      <c r="J505" s="4">
        <v>5442</v>
      </c>
      <c r="K505" s="4">
        <v>3188.8</v>
      </c>
      <c r="L505" s="4">
        <v>2253.1999999999998</v>
      </c>
      <c r="M505" s="1" t="str">
        <f>TEXT(Table1[[#This Row],[Order_Date]], "MMM")</f>
        <v>Jul</v>
      </c>
      <c r="N505" s="1">
        <f>YEAR(Table1[[#This Row],[Order_Date]])</f>
        <v>2024</v>
      </c>
      <c r="O505" s="7">
        <f>Table1[[#This Row],[Profit]]/Table1[[#This Row],[Total_Sales]]</f>
        <v>0.41403895626607862</v>
      </c>
    </row>
    <row r="506" spans="1:15" x14ac:dyDescent="0.25">
      <c r="A506" s="1">
        <v>505</v>
      </c>
      <c r="B506" s="2">
        <v>45000</v>
      </c>
      <c r="C506" s="1" t="s">
        <v>19</v>
      </c>
      <c r="D506" s="1" t="s">
        <v>22</v>
      </c>
      <c r="E506" s="1" t="s">
        <v>29</v>
      </c>
      <c r="F506" s="1" t="s">
        <v>24</v>
      </c>
      <c r="G506" s="1">
        <v>7</v>
      </c>
      <c r="H506" s="1">
        <v>621</v>
      </c>
      <c r="I506" s="1">
        <v>0</v>
      </c>
      <c r="J506" s="4">
        <v>4347</v>
      </c>
      <c r="K506" s="4">
        <v>2860.26</v>
      </c>
      <c r="L506" s="4">
        <v>1486.74</v>
      </c>
      <c r="M506" s="1" t="str">
        <f>TEXT(Table1[[#This Row],[Order_Date]], "MMM")</f>
        <v>Mar</v>
      </c>
      <c r="N506" s="1">
        <f>YEAR(Table1[[#This Row],[Order_Date]])</f>
        <v>2023</v>
      </c>
      <c r="O506" s="7">
        <f>Table1[[#This Row],[Profit]]/Table1[[#This Row],[Total_Sales]]</f>
        <v>0.34201518288474808</v>
      </c>
    </row>
    <row r="507" spans="1:15" x14ac:dyDescent="0.25">
      <c r="A507" s="1">
        <v>506</v>
      </c>
      <c r="B507" s="2">
        <v>45544</v>
      </c>
      <c r="C507" s="1" t="s">
        <v>12</v>
      </c>
      <c r="D507" s="1" t="s">
        <v>13</v>
      </c>
      <c r="E507" s="1" t="s">
        <v>39</v>
      </c>
      <c r="F507" s="1" t="s">
        <v>18</v>
      </c>
      <c r="G507" s="1">
        <v>5</v>
      </c>
      <c r="H507" s="1">
        <v>388</v>
      </c>
      <c r="I507" s="1">
        <v>10</v>
      </c>
      <c r="J507" s="4">
        <v>1746</v>
      </c>
      <c r="K507" s="4">
        <v>1381.45</v>
      </c>
      <c r="L507" s="4">
        <v>364.55</v>
      </c>
      <c r="M507" s="1" t="str">
        <f>TEXT(Table1[[#This Row],[Order_Date]], "MMM")</f>
        <v>Sep</v>
      </c>
      <c r="N507" s="1">
        <f>YEAR(Table1[[#This Row],[Order_Date]])</f>
        <v>2024</v>
      </c>
      <c r="O507" s="7">
        <f>Table1[[#This Row],[Profit]]/Table1[[#This Row],[Total_Sales]]</f>
        <v>0.20879152348224514</v>
      </c>
    </row>
    <row r="508" spans="1:15" x14ac:dyDescent="0.25">
      <c r="A508" s="1">
        <v>507</v>
      </c>
      <c r="B508" s="2">
        <v>45635</v>
      </c>
      <c r="C508" s="1" t="s">
        <v>25</v>
      </c>
      <c r="D508" s="1" t="s">
        <v>32</v>
      </c>
      <c r="E508" s="1" t="s">
        <v>45</v>
      </c>
      <c r="F508" s="1" t="s">
        <v>24</v>
      </c>
      <c r="G508" s="1">
        <v>7</v>
      </c>
      <c r="H508" s="1">
        <v>148</v>
      </c>
      <c r="I508" s="1">
        <v>5</v>
      </c>
      <c r="J508" s="4">
        <v>984.2</v>
      </c>
      <c r="K508" s="4">
        <v>712.39</v>
      </c>
      <c r="L508" s="4">
        <v>271.81</v>
      </c>
      <c r="M508" s="1" t="str">
        <f>TEXT(Table1[[#This Row],[Order_Date]], "MMM")</f>
        <v>Dec</v>
      </c>
      <c r="N508" s="1">
        <f>YEAR(Table1[[#This Row],[Order_Date]])</f>
        <v>2024</v>
      </c>
      <c r="O508" s="7">
        <f>Table1[[#This Row],[Profit]]/Table1[[#This Row],[Total_Sales]]</f>
        <v>0.27617354196301563</v>
      </c>
    </row>
    <row r="509" spans="1:15" x14ac:dyDescent="0.25">
      <c r="A509" s="1">
        <v>508</v>
      </c>
      <c r="B509" s="2">
        <v>45418</v>
      </c>
      <c r="C509" s="1" t="s">
        <v>12</v>
      </c>
      <c r="D509" s="1" t="s">
        <v>20</v>
      </c>
      <c r="E509" s="1" t="s">
        <v>43</v>
      </c>
      <c r="F509" s="1" t="s">
        <v>40</v>
      </c>
      <c r="G509" s="1">
        <v>3</v>
      </c>
      <c r="H509" s="1">
        <v>362</v>
      </c>
      <c r="I509" s="1">
        <v>0</v>
      </c>
      <c r="J509" s="4">
        <v>1086</v>
      </c>
      <c r="K509" s="4">
        <v>779.94</v>
      </c>
      <c r="L509" s="4">
        <v>306.06</v>
      </c>
      <c r="M509" s="1" t="str">
        <f>TEXT(Table1[[#This Row],[Order_Date]], "MMM")</f>
        <v>May</v>
      </c>
      <c r="N509" s="1">
        <f>YEAR(Table1[[#This Row],[Order_Date]])</f>
        <v>2024</v>
      </c>
      <c r="O509" s="7">
        <f>Table1[[#This Row],[Profit]]/Table1[[#This Row],[Total_Sales]]</f>
        <v>0.28182320441988951</v>
      </c>
    </row>
    <row r="510" spans="1:15" x14ac:dyDescent="0.25">
      <c r="A510" s="1">
        <v>509</v>
      </c>
      <c r="B510" s="2">
        <v>45172</v>
      </c>
      <c r="C510" s="1" t="s">
        <v>19</v>
      </c>
      <c r="D510" s="1" t="s">
        <v>32</v>
      </c>
      <c r="E510" s="1" t="s">
        <v>41</v>
      </c>
      <c r="F510" s="1" t="s">
        <v>35</v>
      </c>
      <c r="G510" s="1">
        <v>10</v>
      </c>
      <c r="H510" s="1">
        <v>954</v>
      </c>
      <c r="I510" s="1">
        <v>20</v>
      </c>
      <c r="J510" s="4">
        <v>7632</v>
      </c>
      <c r="K510" s="4">
        <v>3972.66</v>
      </c>
      <c r="L510" s="4">
        <v>3659.34</v>
      </c>
      <c r="M510" s="1" t="str">
        <f>TEXT(Table1[[#This Row],[Order_Date]], "MMM")</f>
        <v>Sep</v>
      </c>
      <c r="N510" s="1">
        <f>YEAR(Table1[[#This Row],[Order_Date]])</f>
        <v>2023</v>
      </c>
      <c r="O510" s="7">
        <f>Table1[[#This Row],[Profit]]/Table1[[#This Row],[Total_Sales]]</f>
        <v>0.47947327044025156</v>
      </c>
    </row>
    <row r="511" spans="1:15" x14ac:dyDescent="0.25">
      <c r="A511" s="1">
        <v>510</v>
      </c>
      <c r="B511" s="2">
        <v>45052</v>
      </c>
      <c r="C511" s="1" t="s">
        <v>25</v>
      </c>
      <c r="D511" s="1" t="s">
        <v>32</v>
      </c>
      <c r="E511" s="1" t="s">
        <v>34</v>
      </c>
      <c r="F511" s="1" t="s">
        <v>40</v>
      </c>
      <c r="G511" s="1">
        <v>1</v>
      </c>
      <c r="H511" s="1">
        <v>474</v>
      </c>
      <c r="I511" s="1">
        <v>15</v>
      </c>
      <c r="J511" s="4">
        <v>402.9</v>
      </c>
      <c r="K511" s="4">
        <v>319.70999999999998</v>
      </c>
      <c r="L511" s="4">
        <v>83.19</v>
      </c>
      <c r="M511" s="1" t="str">
        <f>TEXT(Table1[[#This Row],[Order_Date]], "MMM")</f>
        <v>May</v>
      </c>
      <c r="N511" s="1">
        <f>YEAR(Table1[[#This Row],[Order_Date]])</f>
        <v>2023</v>
      </c>
      <c r="O511" s="7">
        <f>Table1[[#This Row],[Profit]]/Table1[[#This Row],[Total_Sales]]</f>
        <v>0.20647803425167535</v>
      </c>
    </row>
    <row r="512" spans="1:15" x14ac:dyDescent="0.25">
      <c r="A512" s="1">
        <v>511</v>
      </c>
      <c r="B512" s="2">
        <v>44950</v>
      </c>
      <c r="C512" s="1" t="s">
        <v>19</v>
      </c>
      <c r="D512" s="1" t="s">
        <v>20</v>
      </c>
      <c r="E512" s="1" t="s">
        <v>43</v>
      </c>
      <c r="F512" s="1" t="s">
        <v>24</v>
      </c>
      <c r="G512" s="1">
        <v>6</v>
      </c>
      <c r="H512" s="1">
        <v>107</v>
      </c>
      <c r="I512" s="1">
        <v>20</v>
      </c>
      <c r="J512" s="4">
        <v>513.6</v>
      </c>
      <c r="K512" s="4">
        <v>325.81</v>
      </c>
      <c r="L512" s="4">
        <v>187.79</v>
      </c>
      <c r="M512" s="1" t="str">
        <f>TEXT(Table1[[#This Row],[Order_Date]], "MMM")</f>
        <v>Jan</v>
      </c>
      <c r="N512" s="1">
        <f>YEAR(Table1[[#This Row],[Order_Date]])</f>
        <v>2023</v>
      </c>
      <c r="O512" s="7">
        <f>Table1[[#This Row],[Profit]]/Table1[[#This Row],[Total_Sales]]</f>
        <v>0.36563473520249218</v>
      </c>
    </row>
    <row r="513" spans="1:15" x14ac:dyDescent="0.25">
      <c r="A513" s="1">
        <v>512</v>
      </c>
      <c r="B513" s="2">
        <v>45284</v>
      </c>
      <c r="C513" s="1" t="s">
        <v>25</v>
      </c>
      <c r="D513" s="1" t="s">
        <v>22</v>
      </c>
      <c r="E513" s="1" t="s">
        <v>44</v>
      </c>
      <c r="F513" s="1" t="s">
        <v>24</v>
      </c>
      <c r="G513" s="1">
        <v>4</v>
      </c>
      <c r="H513" s="1">
        <v>578</v>
      </c>
      <c r="I513" s="1">
        <v>15</v>
      </c>
      <c r="J513" s="4">
        <v>1965.2</v>
      </c>
      <c r="K513" s="4">
        <v>1175.24</v>
      </c>
      <c r="L513" s="4">
        <v>789.96</v>
      </c>
      <c r="M513" s="1" t="str">
        <f>TEXT(Table1[[#This Row],[Order_Date]], "MMM")</f>
        <v>Dec</v>
      </c>
      <c r="N513" s="1">
        <f>YEAR(Table1[[#This Row],[Order_Date]])</f>
        <v>2023</v>
      </c>
      <c r="O513" s="7">
        <f>Table1[[#This Row],[Profit]]/Table1[[#This Row],[Total_Sales]]</f>
        <v>0.40197435375534296</v>
      </c>
    </row>
    <row r="514" spans="1:15" x14ac:dyDescent="0.25">
      <c r="A514" s="1">
        <v>513</v>
      </c>
      <c r="B514" s="2">
        <v>45126</v>
      </c>
      <c r="C514" s="1" t="s">
        <v>19</v>
      </c>
      <c r="D514" s="1" t="s">
        <v>32</v>
      </c>
      <c r="E514" s="1" t="s">
        <v>41</v>
      </c>
      <c r="F514" s="1" t="s">
        <v>31</v>
      </c>
      <c r="G514" s="1">
        <v>8</v>
      </c>
      <c r="H514" s="1">
        <v>826</v>
      </c>
      <c r="I514" s="1">
        <v>20</v>
      </c>
      <c r="J514" s="4">
        <v>5286.4</v>
      </c>
      <c r="K514" s="4">
        <v>4226.5200000000004</v>
      </c>
      <c r="L514" s="4">
        <v>1059.8800000000001</v>
      </c>
      <c r="M514" s="1" t="str">
        <f>TEXT(Table1[[#This Row],[Order_Date]], "MMM")</f>
        <v>Jul</v>
      </c>
      <c r="N514" s="1">
        <f>YEAR(Table1[[#This Row],[Order_Date]])</f>
        <v>2023</v>
      </c>
      <c r="O514" s="7">
        <f>Table1[[#This Row],[Profit]]/Table1[[#This Row],[Total_Sales]]</f>
        <v>0.20049182808716712</v>
      </c>
    </row>
    <row r="515" spans="1:15" x14ac:dyDescent="0.25">
      <c r="A515" s="1">
        <v>514</v>
      </c>
      <c r="B515" s="2">
        <v>45135</v>
      </c>
      <c r="C515" s="1" t="s">
        <v>25</v>
      </c>
      <c r="D515" s="1" t="s">
        <v>32</v>
      </c>
      <c r="E515" s="1" t="s">
        <v>41</v>
      </c>
      <c r="F515" s="1" t="s">
        <v>18</v>
      </c>
      <c r="G515" s="1">
        <v>4</v>
      </c>
      <c r="H515" s="1">
        <v>168</v>
      </c>
      <c r="I515" s="1">
        <v>0</v>
      </c>
      <c r="J515" s="4">
        <v>672</v>
      </c>
      <c r="K515" s="4">
        <v>354.62</v>
      </c>
      <c r="L515" s="4">
        <v>317.38</v>
      </c>
      <c r="M515" s="1" t="str">
        <f>TEXT(Table1[[#This Row],[Order_Date]], "MMM")</f>
        <v>Jul</v>
      </c>
      <c r="N515" s="1">
        <f>YEAR(Table1[[#This Row],[Order_Date]])</f>
        <v>2023</v>
      </c>
      <c r="O515" s="7">
        <f>Table1[[#This Row],[Profit]]/Table1[[#This Row],[Total_Sales]]</f>
        <v>0.47229166666666667</v>
      </c>
    </row>
    <row r="516" spans="1:15" x14ac:dyDescent="0.25">
      <c r="A516" s="1">
        <v>515</v>
      </c>
      <c r="B516" s="2">
        <v>45402</v>
      </c>
      <c r="C516" s="1" t="s">
        <v>16</v>
      </c>
      <c r="D516" s="1" t="s">
        <v>13</v>
      </c>
      <c r="E516" s="1" t="s">
        <v>17</v>
      </c>
      <c r="F516" s="1" t="s">
        <v>15</v>
      </c>
      <c r="G516" s="1">
        <v>2</v>
      </c>
      <c r="H516" s="1">
        <v>814</v>
      </c>
      <c r="I516" s="1">
        <v>15</v>
      </c>
      <c r="J516" s="4">
        <v>1383.8</v>
      </c>
      <c r="K516" s="4">
        <v>1073.4000000000001</v>
      </c>
      <c r="L516" s="4">
        <v>310.39999999999998</v>
      </c>
      <c r="M516" s="1" t="str">
        <f>TEXT(Table1[[#This Row],[Order_Date]], "MMM")</f>
        <v>Apr</v>
      </c>
      <c r="N516" s="1">
        <f>YEAR(Table1[[#This Row],[Order_Date]])</f>
        <v>2024</v>
      </c>
      <c r="O516" s="7">
        <f>Table1[[#This Row],[Profit]]/Table1[[#This Row],[Total_Sales]]</f>
        <v>0.2243098713686949</v>
      </c>
    </row>
    <row r="517" spans="1:15" x14ac:dyDescent="0.25">
      <c r="A517" s="1">
        <v>516</v>
      </c>
      <c r="B517" s="2">
        <v>45517</v>
      </c>
      <c r="C517" s="1" t="s">
        <v>19</v>
      </c>
      <c r="D517" s="1" t="s">
        <v>26</v>
      </c>
      <c r="E517" s="1" t="s">
        <v>46</v>
      </c>
      <c r="F517" s="1" t="s">
        <v>40</v>
      </c>
      <c r="G517" s="1">
        <v>3</v>
      </c>
      <c r="H517" s="1">
        <v>677</v>
      </c>
      <c r="I517" s="1">
        <v>15</v>
      </c>
      <c r="J517" s="4">
        <v>1726.35</v>
      </c>
      <c r="K517" s="4">
        <v>948.61</v>
      </c>
      <c r="L517" s="4">
        <v>777.74</v>
      </c>
      <c r="M517" s="1" t="str">
        <f>TEXT(Table1[[#This Row],[Order_Date]], "MMM")</f>
        <v>Aug</v>
      </c>
      <c r="N517" s="1">
        <f>YEAR(Table1[[#This Row],[Order_Date]])</f>
        <v>2024</v>
      </c>
      <c r="O517" s="7">
        <f>Table1[[#This Row],[Profit]]/Table1[[#This Row],[Total_Sales]]</f>
        <v>0.45051119413792107</v>
      </c>
    </row>
    <row r="518" spans="1:15" x14ac:dyDescent="0.25">
      <c r="A518" s="1">
        <v>517</v>
      </c>
      <c r="B518" s="2">
        <v>45343</v>
      </c>
      <c r="C518" s="1" t="s">
        <v>16</v>
      </c>
      <c r="D518" s="1" t="s">
        <v>20</v>
      </c>
      <c r="E518" s="1" t="s">
        <v>28</v>
      </c>
      <c r="F518" s="1" t="s">
        <v>35</v>
      </c>
      <c r="G518" s="1">
        <v>9</v>
      </c>
      <c r="H518" s="1">
        <v>744</v>
      </c>
      <c r="I518" s="1">
        <v>15</v>
      </c>
      <c r="J518" s="4">
        <v>5691.6</v>
      </c>
      <c r="K518" s="4">
        <v>3146.29</v>
      </c>
      <c r="L518" s="4">
        <v>2545.31</v>
      </c>
      <c r="M518" s="1" t="str">
        <f>TEXT(Table1[[#This Row],[Order_Date]], "MMM")</f>
        <v>Feb</v>
      </c>
      <c r="N518" s="1">
        <f>YEAR(Table1[[#This Row],[Order_Date]])</f>
        <v>2024</v>
      </c>
      <c r="O518" s="7">
        <f>Table1[[#This Row],[Profit]]/Table1[[#This Row],[Total_Sales]]</f>
        <v>0.44720465247030711</v>
      </c>
    </row>
    <row r="519" spans="1:15" x14ac:dyDescent="0.25">
      <c r="A519" s="1">
        <v>518</v>
      </c>
      <c r="B519" s="2">
        <v>45369</v>
      </c>
      <c r="C519" s="1" t="s">
        <v>19</v>
      </c>
      <c r="D519" s="1" t="s">
        <v>20</v>
      </c>
      <c r="E519" s="1" t="s">
        <v>30</v>
      </c>
      <c r="F519" s="1" t="s">
        <v>35</v>
      </c>
      <c r="G519" s="1">
        <v>1</v>
      </c>
      <c r="H519" s="1">
        <v>840</v>
      </c>
      <c r="I519" s="1">
        <v>0</v>
      </c>
      <c r="J519" s="4">
        <v>840</v>
      </c>
      <c r="K519" s="4">
        <v>569.62</v>
      </c>
      <c r="L519" s="4">
        <v>270.38</v>
      </c>
      <c r="M519" s="1" t="str">
        <f>TEXT(Table1[[#This Row],[Order_Date]], "MMM")</f>
        <v>Mar</v>
      </c>
      <c r="N519" s="1">
        <f>YEAR(Table1[[#This Row],[Order_Date]])</f>
        <v>2024</v>
      </c>
      <c r="O519" s="7">
        <f>Table1[[#This Row],[Profit]]/Table1[[#This Row],[Total_Sales]]</f>
        <v>0.32188095238095238</v>
      </c>
    </row>
    <row r="520" spans="1:15" x14ac:dyDescent="0.25">
      <c r="A520" s="1">
        <v>519</v>
      </c>
      <c r="B520" s="2">
        <v>44956</v>
      </c>
      <c r="C520" s="1" t="s">
        <v>12</v>
      </c>
      <c r="D520" s="1" t="s">
        <v>13</v>
      </c>
      <c r="E520" s="1" t="s">
        <v>39</v>
      </c>
      <c r="F520" s="1" t="s">
        <v>40</v>
      </c>
      <c r="G520" s="1">
        <v>2</v>
      </c>
      <c r="H520" s="1">
        <v>283</v>
      </c>
      <c r="I520" s="1">
        <v>10</v>
      </c>
      <c r="J520" s="4">
        <v>509.4</v>
      </c>
      <c r="K520" s="4">
        <v>328</v>
      </c>
      <c r="L520" s="4">
        <v>181.4</v>
      </c>
      <c r="M520" s="1" t="str">
        <f>TEXT(Table1[[#This Row],[Order_Date]], "MMM")</f>
        <v>Jan</v>
      </c>
      <c r="N520" s="1">
        <f>YEAR(Table1[[#This Row],[Order_Date]])</f>
        <v>2023</v>
      </c>
      <c r="O520" s="7">
        <f>Table1[[#This Row],[Profit]]/Table1[[#This Row],[Total_Sales]]</f>
        <v>0.35610522182960347</v>
      </c>
    </row>
    <row r="521" spans="1:15" x14ac:dyDescent="0.25">
      <c r="A521" s="1">
        <v>520</v>
      </c>
      <c r="B521" s="2">
        <v>45452</v>
      </c>
      <c r="C521" s="1" t="s">
        <v>19</v>
      </c>
      <c r="D521" s="1" t="s">
        <v>20</v>
      </c>
      <c r="E521" s="1" t="s">
        <v>28</v>
      </c>
      <c r="F521" s="1" t="s">
        <v>31</v>
      </c>
      <c r="G521" s="1">
        <v>3</v>
      </c>
      <c r="H521" s="1">
        <v>868</v>
      </c>
      <c r="I521" s="1">
        <v>0</v>
      </c>
      <c r="J521" s="4">
        <v>2604</v>
      </c>
      <c r="K521" s="4">
        <v>2080.2199999999998</v>
      </c>
      <c r="L521" s="4">
        <v>523.78</v>
      </c>
      <c r="M521" s="1" t="str">
        <f>TEXT(Table1[[#This Row],[Order_Date]], "MMM")</f>
        <v>Jun</v>
      </c>
      <c r="N521" s="1">
        <f>YEAR(Table1[[#This Row],[Order_Date]])</f>
        <v>2024</v>
      </c>
      <c r="O521" s="7">
        <f>Table1[[#This Row],[Profit]]/Table1[[#This Row],[Total_Sales]]</f>
        <v>0.20114439324116742</v>
      </c>
    </row>
    <row r="522" spans="1:15" x14ac:dyDescent="0.25">
      <c r="A522" s="1">
        <v>521</v>
      </c>
      <c r="B522" s="2">
        <v>45019</v>
      </c>
      <c r="C522" s="1" t="s">
        <v>19</v>
      </c>
      <c r="D522" s="1" t="s">
        <v>13</v>
      </c>
      <c r="E522" s="1" t="s">
        <v>38</v>
      </c>
      <c r="F522" s="1" t="s">
        <v>18</v>
      </c>
      <c r="G522" s="1">
        <v>2</v>
      </c>
      <c r="H522" s="1">
        <v>607</v>
      </c>
      <c r="I522" s="1">
        <v>15</v>
      </c>
      <c r="J522" s="4">
        <v>1031.9000000000001</v>
      </c>
      <c r="K522" s="4">
        <v>746.27</v>
      </c>
      <c r="L522" s="4">
        <v>285.63</v>
      </c>
      <c r="M522" s="1" t="str">
        <f>TEXT(Table1[[#This Row],[Order_Date]], "MMM")</f>
        <v>Apr</v>
      </c>
      <c r="N522" s="1">
        <f>YEAR(Table1[[#This Row],[Order_Date]])</f>
        <v>2023</v>
      </c>
      <c r="O522" s="7">
        <f>Table1[[#This Row],[Profit]]/Table1[[#This Row],[Total_Sales]]</f>
        <v>0.27680007752689212</v>
      </c>
    </row>
    <row r="523" spans="1:15" x14ac:dyDescent="0.25">
      <c r="A523" s="1">
        <v>522</v>
      </c>
      <c r="B523" s="2">
        <v>45618</v>
      </c>
      <c r="C523" s="1" t="s">
        <v>19</v>
      </c>
      <c r="D523" s="1" t="s">
        <v>13</v>
      </c>
      <c r="E523" s="1" t="s">
        <v>39</v>
      </c>
      <c r="F523" s="1" t="s">
        <v>15</v>
      </c>
      <c r="G523" s="1">
        <v>5</v>
      </c>
      <c r="H523" s="1">
        <v>442</v>
      </c>
      <c r="I523" s="1">
        <v>15</v>
      </c>
      <c r="J523" s="4">
        <v>1878.5</v>
      </c>
      <c r="K523" s="4">
        <v>1335.39</v>
      </c>
      <c r="L523" s="4">
        <v>543.11</v>
      </c>
      <c r="M523" s="1" t="str">
        <f>TEXT(Table1[[#This Row],[Order_Date]], "MMM")</f>
        <v>Nov</v>
      </c>
      <c r="N523" s="1">
        <f>YEAR(Table1[[#This Row],[Order_Date]])</f>
        <v>2024</v>
      </c>
      <c r="O523" s="7">
        <f>Table1[[#This Row],[Profit]]/Table1[[#This Row],[Total_Sales]]</f>
        <v>0.28911897790790525</v>
      </c>
    </row>
    <row r="524" spans="1:15" x14ac:dyDescent="0.25">
      <c r="A524" s="1">
        <v>523</v>
      </c>
      <c r="B524" s="2">
        <v>44966</v>
      </c>
      <c r="C524" s="1" t="s">
        <v>19</v>
      </c>
      <c r="D524" s="1" t="s">
        <v>32</v>
      </c>
      <c r="E524" s="1" t="s">
        <v>33</v>
      </c>
      <c r="F524" s="1" t="s">
        <v>31</v>
      </c>
      <c r="G524" s="1">
        <v>8</v>
      </c>
      <c r="H524" s="1">
        <v>696</v>
      </c>
      <c r="I524" s="1">
        <v>0</v>
      </c>
      <c r="J524" s="4">
        <v>5568</v>
      </c>
      <c r="K524" s="4">
        <v>3382.02</v>
      </c>
      <c r="L524" s="4">
        <v>2185.98</v>
      </c>
      <c r="M524" s="1" t="str">
        <f>TEXT(Table1[[#This Row],[Order_Date]], "MMM")</f>
        <v>Feb</v>
      </c>
      <c r="N524" s="1">
        <f>YEAR(Table1[[#This Row],[Order_Date]])</f>
        <v>2023</v>
      </c>
      <c r="O524" s="7">
        <f>Table1[[#This Row],[Profit]]/Table1[[#This Row],[Total_Sales]]</f>
        <v>0.39259698275862071</v>
      </c>
    </row>
    <row r="525" spans="1:15" x14ac:dyDescent="0.25">
      <c r="A525" s="1">
        <v>524</v>
      </c>
      <c r="B525" s="2">
        <v>45526</v>
      </c>
      <c r="C525" s="1" t="s">
        <v>19</v>
      </c>
      <c r="D525" s="1" t="s">
        <v>26</v>
      </c>
      <c r="E525" s="1" t="s">
        <v>42</v>
      </c>
      <c r="F525" s="1" t="s">
        <v>40</v>
      </c>
      <c r="G525" s="1">
        <v>8</v>
      </c>
      <c r="H525" s="1">
        <v>800</v>
      </c>
      <c r="I525" s="1">
        <v>10</v>
      </c>
      <c r="J525" s="4">
        <v>5760</v>
      </c>
      <c r="K525" s="4">
        <v>3959.77</v>
      </c>
      <c r="L525" s="4">
        <v>1800.23</v>
      </c>
      <c r="M525" s="1" t="str">
        <f>TEXT(Table1[[#This Row],[Order_Date]], "MMM")</f>
        <v>Aug</v>
      </c>
      <c r="N525" s="1">
        <f>YEAR(Table1[[#This Row],[Order_Date]])</f>
        <v>2024</v>
      </c>
      <c r="O525" s="7">
        <f>Table1[[#This Row],[Profit]]/Table1[[#This Row],[Total_Sales]]</f>
        <v>0.31253993055555557</v>
      </c>
    </row>
    <row r="526" spans="1:15" x14ac:dyDescent="0.25">
      <c r="A526" s="1">
        <v>525</v>
      </c>
      <c r="B526" s="2">
        <v>45243</v>
      </c>
      <c r="C526" s="1" t="s">
        <v>16</v>
      </c>
      <c r="D526" s="1" t="s">
        <v>32</v>
      </c>
      <c r="E526" s="1" t="s">
        <v>34</v>
      </c>
      <c r="F526" s="1" t="s">
        <v>31</v>
      </c>
      <c r="G526" s="1">
        <v>4</v>
      </c>
      <c r="H526" s="1">
        <v>960</v>
      </c>
      <c r="I526" s="1">
        <v>5</v>
      </c>
      <c r="J526" s="4">
        <v>3648</v>
      </c>
      <c r="K526" s="4">
        <v>2506.4899999999998</v>
      </c>
      <c r="L526" s="4">
        <v>1141.51</v>
      </c>
      <c r="M526" s="1" t="str">
        <f>TEXT(Table1[[#This Row],[Order_Date]], "MMM")</f>
        <v>Nov</v>
      </c>
      <c r="N526" s="1">
        <f>YEAR(Table1[[#This Row],[Order_Date]])</f>
        <v>2023</v>
      </c>
      <c r="O526" s="7">
        <f>Table1[[#This Row],[Profit]]/Table1[[#This Row],[Total_Sales]]</f>
        <v>0.31291392543859647</v>
      </c>
    </row>
    <row r="527" spans="1:15" x14ac:dyDescent="0.25">
      <c r="A527" s="1">
        <v>526</v>
      </c>
      <c r="B527" s="2">
        <v>45292</v>
      </c>
      <c r="C527" s="1" t="s">
        <v>19</v>
      </c>
      <c r="D527" s="1" t="s">
        <v>20</v>
      </c>
      <c r="E527" s="1" t="s">
        <v>28</v>
      </c>
      <c r="F527" s="1" t="s">
        <v>18</v>
      </c>
      <c r="G527" s="1">
        <v>6</v>
      </c>
      <c r="H527" s="1">
        <v>525</v>
      </c>
      <c r="I527" s="1">
        <v>0</v>
      </c>
      <c r="J527" s="4">
        <v>3150</v>
      </c>
      <c r="K527" s="4">
        <v>2100.58</v>
      </c>
      <c r="L527" s="4">
        <v>1049.42</v>
      </c>
      <c r="M527" s="1" t="str">
        <f>TEXT(Table1[[#This Row],[Order_Date]], "MMM")</f>
        <v>Jan</v>
      </c>
      <c r="N527" s="1">
        <f>YEAR(Table1[[#This Row],[Order_Date]])</f>
        <v>2024</v>
      </c>
      <c r="O527" s="7">
        <f>Table1[[#This Row],[Profit]]/Table1[[#This Row],[Total_Sales]]</f>
        <v>0.33314920634920636</v>
      </c>
    </row>
    <row r="528" spans="1:15" x14ac:dyDescent="0.25">
      <c r="A528" s="1">
        <v>527</v>
      </c>
      <c r="B528" s="2">
        <v>45518</v>
      </c>
      <c r="C528" s="1" t="s">
        <v>12</v>
      </c>
      <c r="D528" s="1" t="s">
        <v>22</v>
      </c>
      <c r="E528" s="1" t="s">
        <v>36</v>
      </c>
      <c r="F528" s="1" t="s">
        <v>18</v>
      </c>
      <c r="G528" s="1">
        <v>5</v>
      </c>
      <c r="H528" s="1">
        <v>926</v>
      </c>
      <c r="I528" s="1">
        <v>10</v>
      </c>
      <c r="J528" s="4">
        <v>4167</v>
      </c>
      <c r="K528" s="4">
        <v>2829.9</v>
      </c>
      <c r="L528" s="4">
        <v>1337.1</v>
      </c>
      <c r="M528" s="1" t="str">
        <f>TEXT(Table1[[#This Row],[Order_Date]], "MMM")</f>
        <v>Aug</v>
      </c>
      <c r="N528" s="1">
        <f>YEAR(Table1[[#This Row],[Order_Date]])</f>
        <v>2024</v>
      </c>
      <c r="O528" s="7">
        <f>Table1[[#This Row],[Profit]]/Table1[[#This Row],[Total_Sales]]</f>
        <v>0.32087832973362129</v>
      </c>
    </row>
    <row r="529" spans="1:15" x14ac:dyDescent="0.25">
      <c r="A529" s="1">
        <v>528</v>
      </c>
      <c r="B529" s="2">
        <v>45302</v>
      </c>
      <c r="C529" s="1" t="s">
        <v>12</v>
      </c>
      <c r="D529" s="1" t="s">
        <v>26</v>
      </c>
      <c r="E529" s="1" t="s">
        <v>46</v>
      </c>
      <c r="F529" s="1" t="s">
        <v>15</v>
      </c>
      <c r="G529" s="1">
        <v>9</v>
      </c>
      <c r="H529" s="1">
        <v>153</v>
      </c>
      <c r="I529" s="1">
        <v>0</v>
      </c>
      <c r="J529" s="4">
        <v>1377</v>
      </c>
      <c r="K529" s="4">
        <v>958.08</v>
      </c>
      <c r="L529" s="4">
        <v>418.92</v>
      </c>
      <c r="M529" s="1" t="str">
        <f>TEXT(Table1[[#This Row],[Order_Date]], "MMM")</f>
        <v>Jan</v>
      </c>
      <c r="N529" s="1">
        <f>YEAR(Table1[[#This Row],[Order_Date]])</f>
        <v>2024</v>
      </c>
      <c r="O529" s="7">
        <f>Table1[[#This Row],[Profit]]/Table1[[#This Row],[Total_Sales]]</f>
        <v>0.3042265795206972</v>
      </c>
    </row>
    <row r="530" spans="1:15" x14ac:dyDescent="0.25">
      <c r="A530" s="1">
        <v>529</v>
      </c>
      <c r="B530" s="2">
        <v>45104</v>
      </c>
      <c r="C530" s="1" t="s">
        <v>16</v>
      </c>
      <c r="D530" s="1" t="s">
        <v>13</v>
      </c>
      <c r="E530" s="1" t="s">
        <v>14</v>
      </c>
      <c r="F530" s="1" t="s">
        <v>31</v>
      </c>
      <c r="G530" s="1">
        <v>10</v>
      </c>
      <c r="H530" s="1">
        <v>706</v>
      </c>
      <c r="I530" s="1">
        <v>20</v>
      </c>
      <c r="J530" s="4">
        <v>5648</v>
      </c>
      <c r="K530" s="4">
        <v>3680.96</v>
      </c>
      <c r="L530" s="4">
        <v>1967.04</v>
      </c>
      <c r="M530" s="1" t="str">
        <f>TEXT(Table1[[#This Row],[Order_Date]], "MMM")</f>
        <v>Jun</v>
      </c>
      <c r="N530" s="1">
        <f>YEAR(Table1[[#This Row],[Order_Date]])</f>
        <v>2023</v>
      </c>
      <c r="O530" s="7">
        <f>Table1[[#This Row],[Profit]]/Table1[[#This Row],[Total_Sales]]</f>
        <v>0.34827195467422095</v>
      </c>
    </row>
    <row r="531" spans="1:15" x14ac:dyDescent="0.25">
      <c r="A531" s="1">
        <v>530</v>
      </c>
      <c r="B531" s="2">
        <v>45397</v>
      </c>
      <c r="C531" s="1" t="s">
        <v>16</v>
      </c>
      <c r="D531" s="1" t="s">
        <v>26</v>
      </c>
      <c r="E531" s="1" t="s">
        <v>37</v>
      </c>
      <c r="F531" s="1" t="s">
        <v>24</v>
      </c>
      <c r="G531" s="1">
        <v>1</v>
      </c>
      <c r="H531" s="1">
        <v>586</v>
      </c>
      <c r="I531" s="1">
        <v>5</v>
      </c>
      <c r="J531" s="4">
        <v>556.70000000000005</v>
      </c>
      <c r="K531" s="4">
        <v>305.77</v>
      </c>
      <c r="L531" s="4">
        <v>250.93</v>
      </c>
      <c r="M531" s="1" t="str">
        <f>TEXT(Table1[[#This Row],[Order_Date]], "MMM")</f>
        <v>Apr</v>
      </c>
      <c r="N531" s="1">
        <f>YEAR(Table1[[#This Row],[Order_Date]])</f>
        <v>2024</v>
      </c>
      <c r="O531" s="7">
        <f>Table1[[#This Row],[Profit]]/Table1[[#This Row],[Total_Sales]]</f>
        <v>0.45074546434345247</v>
      </c>
    </row>
    <row r="532" spans="1:15" x14ac:dyDescent="0.25">
      <c r="A532" s="1">
        <v>531</v>
      </c>
      <c r="B532" s="2">
        <v>45012</v>
      </c>
      <c r="C532" s="1" t="s">
        <v>12</v>
      </c>
      <c r="D532" s="1" t="s">
        <v>22</v>
      </c>
      <c r="E532" s="1" t="s">
        <v>29</v>
      </c>
      <c r="F532" s="1" t="s">
        <v>35</v>
      </c>
      <c r="G532" s="1">
        <v>4</v>
      </c>
      <c r="H532" s="1">
        <v>751</v>
      </c>
      <c r="I532" s="1">
        <v>5</v>
      </c>
      <c r="J532" s="4">
        <v>2853.8</v>
      </c>
      <c r="K532" s="4">
        <v>1880.17</v>
      </c>
      <c r="L532" s="4">
        <v>973.63</v>
      </c>
      <c r="M532" s="1" t="str">
        <f>TEXT(Table1[[#This Row],[Order_Date]], "MMM")</f>
        <v>Mar</v>
      </c>
      <c r="N532" s="1">
        <f>YEAR(Table1[[#This Row],[Order_Date]])</f>
        <v>2023</v>
      </c>
      <c r="O532" s="7">
        <f>Table1[[#This Row],[Profit]]/Table1[[#This Row],[Total_Sales]]</f>
        <v>0.34116966851215919</v>
      </c>
    </row>
    <row r="533" spans="1:15" x14ac:dyDescent="0.25">
      <c r="A533" s="1">
        <v>532</v>
      </c>
      <c r="B533" s="2">
        <v>45318</v>
      </c>
      <c r="C533" s="1" t="s">
        <v>19</v>
      </c>
      <c r="D533" s="1" t="s">
        <v>13</v>
      </c>
      <c r="E533" s="1" t="s">
        <v>17</v>
      </c>
      <c r="F533" s="1" t="s">
        <v>18</v>
      </c>
      <c r="G533" s="1">
        <v>7</v>
      </c>
      <c r="H533" s="1">
        <v>107</v>
      </c>
      <c r="I533" s="1">
        <v>0</v>
      </c>
      <c r="J533" s="4">
        <v>749</v>
      </c>
      <c r="K533" s="4">
        <v>584.86</v>
      </c>
      <c r="L533" s="4">
        <v>164.14</v>
      </c>
      <c r="M533" s="1" t="str">
        <f>TEXT(Table1[[#This Row],[Order_Date]], "MMM")</f>
        <v>Jan</v>
      </c>
      <c r="N533" s="1">
        <f>YEAR(Table1[[#This Row],[Order_Date]])</f>
        <v>2024</v>
      </c>
      <c r="O533" s="7">
        <f>Table1[[#This Row],[Profit]]/Table1[[#This Row],[Total_Sales]]</f>
        <v>0.21914552736982643</v>
      </c>
    </row>
    <row r="534" spans="1:15" x14ac:dyDescent="0.25">
      <c r="A534" s="1">
        <v>533</v>
      </c>
      <c r="B534" s="2">
        <v>45306</v>
      </c>
      <c r="C534" s="1" t="s">
        <v>12</v>
      </c>
      <c r="D534" s="1" t="s">
        <v>32</v>
      </c>
      <c r="E534" s="1" t="s">
        <v>34</v>
      </c>
      <c r="F534" s="1" t="s">
        <v>31</v>
      </c>
      <c r="G534" s="1">
        <v>6</v>
      </c>
      <c r="H534" s="1">
        <v>744</v>
      </c>
      <c r="I534" s="1">
        <v>15</v>
      </c>
      <c r="J534" s="4">
        <v>3794.4</v>
      </c>
      <c r="K534" s="4">
        <v>1949.01</v>
      </c>
      <c r="L534" s="4">
        <v>1845.39</v>
      </c>
      <c r="M534" s="1" t="str">
        <f>TEXT(Table1[[#This Row],[Order_Date]], "MMM")</f>
        <v>Jan</v>
      </c>
      <c r="N534" s="1">
        <f>YEAR(Table1[[#This Row],[Order_Date]])</f>
        <v>2024</v>
      </c>
      <c r="O534" s="7">
        <f>Table1[[#This Row],[Profit]]/Table1[[#This Row],[Total_Sales]]</f>
        <v>0.48634566729917778</v>
      </c>
    </row>
    <row r="535" spans="1:15" x14ac:dyDescent="0.25">
      <c r="A535" s="1">
        <v>534</v>
      </c>
      <c r="B535" s="2">
        <v>45408</v>
      </c>
      <c r="C535" s="1" t="s">
        <v>12</v>
      </c>
      <c r="D535" s="1" t="s">
        <v>13</v>
      </c>
      <c r="E535" s="1" t="s">
        <v>38</v>
      </c>
      <c r="F535" s="1" t="s">
        <v>35</v>
      </c>
      <c r="G535" s="1">
        <v>3</v>
      </c>
      <c r="H535" s="1">
        <v>105</v>
      </c>
      <c r="I535" s="1">
        <v>5</v>
      </c>
      <c r="J535" s="4">
        <v>299.25</v>
      </c>
      <c r="K535" s="4">
        <v>213.36</v>
      </c>
      <c r="L535" s="4">
        <v>85.89</v>
      </c>
      <c r="M535" s="1" t="str">
        <f>TEXT(Table1[[#This Row],[Order_Date]], "MMM")</f>
        <v>Apr</v>
      </c>
      <c r="N535" s="1">
        <f>YEAR(Table1[[#This Row],[Order_Date]])</f>
        <v>2024</v>
      </c>
      <c r="O535" s="7">
        <f>Table1[[#This Row],[Profit]]/Table1[[#This Row],[Total_Sales]]</f>
        <v>0.28701754385964912</v>
      </c>
    </row>
    <row r="536" spans="1:15" x14ac:dyDescent="0.25">
      <c r="A536" s="1">
        <v>535</v>
      </c>
      <c r="B536" s="2">
        <v>45175</v>
      </c>
      <c r="C536" s="1" t="s">
        <v>25</v>
      </c>
      <c r="D536" s="1" t="s">
        <v>32</v>
      </c>
      <c r="E536" s="1" t="s">
        <v>33</v>
      </c>
      <c r="F536" s="1" t="s">
        <v>15</v>
      </c>
      <c r="G536" s="1">
        <v>1</v>
      </c>
      <c r="H536" s="1">
        <v>523</v>
      </c>
      <c r="I536" s="1">
        <v>15</v>
      </c>
      <c r="J536" s="4">
        <v>444.55</v>
      </c>
      <c r="K536" s="4">
        <v>330.65</v>
      </c>
      <c r="L536" s="4">
        <v>113.9</v>
      </c>
      <c r="M536" s="1" t="str">
        <f>TEXT(Table1[[#This Row],[Order_Date]], "MMM")</f>
        <v>Sep</v>
      </c>
      <c r="N536" s="1">
        <f>YEAR(Table1[[#This Row],[Order_Date]])</f>
        <v>2023</v>
      </c>
      <c r="O536" s="7">
        <f>Table1[[#This Row],[Profit]]/Table1[[#This Row],[Total_Sales]]</f>
        <v>0.25621414913957935</v>
      </c>
    </row>
    <row r="537" spans="1:15" x14ac:dyDescent="0.25">
      <c r="A537" s="1">
        <v>536</v>
      </c>
      <c r="B537" s="2">
        <v>45116</v>
      </c>
      <c r="C537" s="1" t="s">
        <v>25</v>
      </c>
      <c r="D537" s="1" t="s">
        <v>13</v>
      </c>
      <c r="E537" s="1" t="s">
        <v>14</v>
      </c>
      <c r="F537" s="1" t="s">
        <v>40</v>
      </c>
      <c r="G537" s="1">
        <v>6</v>
      </c>
      <c r="H537" s="1">
        <v>205</v>
      </c>
      <c r="I537" s="1">
        <v>20</v>
      </c>
      <c r="J537" s="4">
        <v>984</v>
      </c>
      <c r="K537" s="4">
        <v>726.56</v>
      </c>
      <c r="L537" s="4">
        <v>257.44</v>
      </c>
      <c r="M537" s="1" t="str">
        <f>TEXT(Table1[[#This Row],[Order_Date]], "MMM")</f>
        <v>Jul</v>
      </c>
      <c r="N537" s="1">
        <f>YEAR(Table1[[#This Row],[Order_Date]])</f>
        <v>2023</v>
      </c>
      <c r="O537" s="7">
        <f>Table1[[#This Row],[Profit]]/Table1[[#This Row],[Total_Sales]]</f>
        <v>0.26162601626016257</v>
      </c>
    </row>
    <row r="538" spans="1:15" x14ac:dyDescent="0.25">
      <c r="A538" s="1">
        <v>537</v>
      </c>
      <c r="B538" s="2">
        <v>45395</v>
      </c>
      <c r="C538" s="1" t="s">
        <v>25</v>
      </c>
      <c r="D538" s="1" t="s">
        <v>13</v>
      </c>
      <c r="E538" s="1" t="s">
        <v>39</v>
      </c>
      <c r="F538" s="1" t="s">
        <v>24</v>
      </c>
      <c r="G538" s="1">
        <v>1</v>
      </c>
      <c r="H538" s="1">
        <v>578</v>
      </c>
      <c r="I538" s="1">
        <v>0</v>
      </c>
      <c r="J538" s="4">
        <v>578</v>
      </c>
      <c r="K538" s="4">
        <v>332.94</v>
      </c>
      <c r="L538" s="4">
        <v>245.06</v>
      </c>
      <c r="M538" s="1" t="str">
        <f>TEXT(Table1[[#This Row],[Order_Date]], "MMM")</f>
        <v>Apr</v>
      </c>
      <c r="N538" s="1">
        <f>YEAR(Table1[[#This Row],[Order_Date]])</f>
        <v>2024</v>
      </c>
      <c r="O538" s="7">
        <f>Table1[[#This Row],[Profit]]/Table1[[#This Row],[Total_Sales]]</f>
        <v>0.42397923875432525</v>
      </c>
    </row>
    <row r="539" spans="1:15" x14ac:dyDescent="0.25">
      <c r="A539" s="1">
        <v>538</v>
      </c>
      <c r="B539" s="2">
        <v>45076</v>
      </c>
      <c r="C539" s="1" t="s">
        <v>25</v>
      </c>
      <c r="D539" s="1" t="s">
        <v>32</v>
      </c>
      <c r="E539" s="1" t="s">
        <v>34</v>
      </c>
      <c r="F539" s="1" t="s">
        <v>31</v>
      </c>
      <c r="G539" s="1">
        <v>8</v>
      </c>
      <c r="H539" s="1">
        <v>208</v>
      </c>
      <c r="I539" s="1">
        <v>5</v>
      </c>
      <c r="J539" s="4">
        <v>1580.8</v>
      </c>
      <c r="K539" s="4">
        <v>851.49</v>
      </c>
      <c r="L539" s="4">
        <v>729.31</v>
      </c>
      <c r="M539" s="1" t="str">
        <f>TEXT(Table1[[#This Row],[Order_Date]], "MMM")</f>
        <v>May</v>
      </c>
      <c r="N539" s="1">
        <f>YEAR(Table1[[#This Row],[Order_Date]])</f>
        <v>2023</v>
      </c>
      <c r="O539" s="7">
        <f>Table1[[#This Row],[Profit]]/Table1[[#This Row],[Total_Sales]]</f>
        <v>0.46135501012145747</v>
      </c>
    </row>
    <row r="540" spans="1:15" x14ac:dyDescent="0.25">
      <c r="A540" s="1">
        <v>539</v>
      </c>
      <c r="B540" s="2">
        <v>45327</v>
      </c>
      <c r="C540" s="1" t="s">
        <v>12</v>
      </c>
      <c r="D540" s="1" t="s">
        <v>26</v>
      </c>
      <c r="E540" s="1" t="s">
        <v>37</v>
      </c>
      <c r="F540" s="1" t="s">
        <v>31</v>
      </c>
      <c r="G540" s="1">
        <v>5</v>
      </c>
      <c r="H540" s="1">
        <v>254</v>
      </c>
      <c r="I540" s="1">
        <v>15</v>
      </c>
      <c r="J540" s="4">
        <v>1079.5</v>
      </c>
      <c r="K540" s="4">
        <v>683.31</v>
      </c>
      <c r="L540" s="4">
        <v>396.19</v>
      </c>
      <c r="M540" s="1" t="str">
        <f>TEXT(Table1[[#This Row],[Order_Date]], "MMM")</f>
        <v>Feb</v>
      </c>
      <c r="N540" s="1">
        <f>YEAR(Table1[[#This Row],[Order_Date]])</f>
        <v>2024</v>
      </c>
      <c r="O540" s="7">
        <f>Table1[[#This Row],[Profit]]/Table1[[#This Row],[Total_Sales]]</f>
        <v>0.36701250578971745</v>
      </c>
    </row>
    <row r="541" spans="1:15" x14ac:dyDescent="0.25">
      <c r="A541" s="1">
        <v>540</v>
      </c>
      <c r="B541" s="2">
        <v>45656</v>
      </c>
      <c r="C541" s="1" t="s">
        <v>16</v>
      </c>
      <c r="D541" s="1" t="s">
        <v>22</v>
      </c>
      <c r="E541" s="1" t="s">
        <v>29</v>
      </c>
      <c r="F541" s="1" t="s">
        <v>31</v>
      </c>
      <c r="G541" s="1">
        <v>8</v>
      </c>
      <c r="H541" s="1">
        <v>534</v>
      </c>
      <c r="I541" s="1">
        <v>15</v>
      </c>
      <c r="J541" s="4">
        <v>3631.2</v>
      </c>
      <c r="K541" s="4">
        <v>2526.85</v>
      </c>
      <c r="L541" s="4">
        <v>1104.3499999999999</v>
      </c>
      <c r="M541" s="1" t="str">
        <f>TEXT(Table1[[#This Row],[Order_Date]], "MMM")</f>
        <v>Dec</v>
      </c>
      <c r="N541" s="1">
        <f>YEAR(Table1[[#This Row],[Order_Date]])</f>
        <v>2024</v>
      </c>
      <c r="O541" s="7">
        <f>Table1[[#This Row],[Profit]]/Table1[[#This Row],[Total_Sales]]</f>
        <v>0.30412811191892486</v>
      </c>
    </row>
    <row r="542" spans="1:15" x14ac:dyDescent="0.25">
      <c r="A542" s="1">
        <v>541</v>
      </c>
      <c r="B542" s="2">
        <v>45000</v>
      </c>
      <c r="C542" s="1" t="s">
        <v>19</v>
      </c>
      <c r="D542" s="1" t="s">
        <v>26</v>
      </c>
      <c r="E542" s="1" t="s">
        <v>46</v>
      </c>
      <c r="F542" s="1" t="s">
        <v>15</v>
      </c>
      <c r="G542" s="1">
        <v>10</v>
      </c>
      <c r="H542" s="1">
        <v>374</v>
      </c>
      <c r="I542" s="1">
        <v>20</v>
      </c>
      <c r="J542" s="4">
        <v>2992</v>
      </c>
      <c r="K542" s="4">
        <v>2233.9</v>
      </c>
      <c r="L542" s="4">
        <v>758.1</v>
      </c>
      <c r="M542" s="1" t="str">
        <f>TEXT(Table1[[#This Row],[Order_Date]], "MMM")</f>
        <v>Mar</v>
      </c>
      <c r="N542" s="1">
        <f>YEAR(Table1[[#This Row],[Order_Date]])</f>
        <v>2023</v>
      </c>
      <c r="O542" s="7">
        <f>Table1[[#This Row],[Profit]]/Table1[[#This Row],[Total_Sales]]</f>
        <v>0.25337566844919784</v>
      </c>
    </row>
    <row r="543" spans="1:15" x14ac:dyDescent="0.25">
      <c r="A543" s="1">
        <v>542</v>
      </c>
      <c r="B543" s="2">
        <v>45433</v>
      </c>
      <c r="C543" s="1" t="s">
        <v>25</v>
      </c>
      <c r="D543" s="1" t="s">
        <v>32</v>
      </c>
      <c r="E543" s="1" t="s">
        <v>34</v>
      </c>
      <c r="F543" s="1" t="s">
        <v>35</v>
      </c>
      <c r="G543" s="1">
        <v>4</v>
      </c>
      <c r="H543" s="1">
        <v>262</v>
      </c>
      <c r="I543" s="1">
        <v>10</v>
      </c>
      <c r="J543" s="4">
        <v>943.2</v>
      </c>
      <c r="K543" s="4">
        <v>632.07000000000005</v>
      </c>
      <c r="L543" s="4">
        <v>311.13</v>
      </c>
      <c r="M543" s="1" t="str">
        <f>TEXT(Table1[[#This Row],[Order_Date]], "MMM")</f>
        <v>May</v>
      </c>
      <c r="N543" s="1">
        <f>YEAR(Table1[[#This Row],[Order_Date]])</f>
        <v>2024</v>
      </c>
      <c r="O543" s="7">
        <f>Table1[[#This Row],[Profit]]/Table1[[#This Row],[Total_Sales]]</f>
        <v>0.32986641221374041</v>
      </c>
    </row>
    <row r="544" spans="1:15" x14ac:dyDescent="0.25">
      <c r="A544" s="1">
        <v>543</v>
      </c>
      <c r="B544" s="2">
        <v>45064</v>
      </c>
      <c r="C544" s="1" t="s">
        <v>25</v>
      </c>
      <c r="D544" s="1" t="s">
        <v>13</v>
      </c>
      <c r="E544" s="1" t="s">
        <v>38</v>
      </c>
      <c r="F544" s="1" t="s">
        <v>18</v>
      </c>
      <c r="G544" s="1">
        <v>3</v>
      </c>
      <c r="H544" s="1">
        <v>712</v>
      </c>
      <c r="I544" s="1">
        <v>5</v>
      </c>
      <c r="J544" s="4">
        <v>2029.2</v>
      </c>
      <c r="K544" s="4">
        <v>1459.1</v>
      </c>
      <c r="L544" s="4">
        <v>570.1</v>
      </c>
      <c r="M544" s="1" t="str">
        <f>TEXT(Table1[[#This Row],[Order_Date]], "MMM")</f>
        <v>May</v>
      </c>
      <c r="N544" s="1">
        <f>YEAR(Table1[[#This Row],[Order_Date]])</f>
        <v>2023</v>
      </c>
      <c r="O544" s="7">
        <f>Table1[[#This Row],[Profit]]/Table1[[#This Row],[Total_Sales]]</f>
        <v>0.28094815690912678</v>
      </c>
    </row>
    <row r="545" spans="1:15" x14ac:dyDescent="0.25">
      <c r="A545" s="1">
        <v>544</v>
      </c>
      <c r="B545" s="2">
        <v>45129</v>
      </c>
      <c r="C545" s="1" t="s">
        <v>25</v>
      </c>
      <c r="D545" s="1" t="s">
        <v>26</v>
      </c>
      <c r="E545" s="1" t="s">
        <v>42</v>
      </c>
      <c r="F545" s="1" t="s">
        <v>31</v>
      </c>
      <c r="G545" s="1">
        <v>7</v>
      </c>
      <c r="H545" s="1">
        <v>381</v>
      </c>
      <c r="I545" s="1">
        <v>15</v>
      </c>
      <c r="J545" s="4">
        <v>2266.9499999999998</v>
      </c>
      <c r="K545" s="4">
        <v>1328.19</v>
      </c>
      <c r="L545" s="4">
        <v>938.76</v>
      </c>
      <c r="M545" s="1" t="str">
        <f>TEXT(Table1[[#This Row],[Order_Date]], "MMM")</f>
        <v>Jul</v>
      </c>
      <c r="N545" s="1">
        <f>YEAR(Table1[[#This Row],[Order_Date]])</f>
        <v>2023</v>
      </c>
      <c r="O545" s="7">
        <f>Table1[[#This Row],[Profit]]/Table1[[#This Row],[Total_Sales]]</f>
        <v>0.41410706014689341</v>
      </c>
    </row>
    <row r="546" spans="1:15" x14ac:dyDescent="0.25">
      <c r="A546" s="1">
        <v>545</v>
      </c>
      <c r="B546" s="2">
        <v>45334</v>
      </c>
      <c r="C546" s="1" t="s">
        <v>16</v>
      </c>
      <c r="D546" s="1" t="s">
        <v>22</v>
      </c>
      <c r="E546" s="1" t="s">
        <v>44</v>
      </c>
      <c r="F546" s="1" t="s">
        <v>40</v>
      </c>
      <c r="G546" s="1">
        <v>7</v>
      </c>
      <c r="H546" s="1">
        <v>22</v>
      </c>
      <c r="I546" s="1">
        <v>10</v>
      </c>
      <c r="J546" s="4">
        <v>138.6</v>
      </c>
      <c r="K546" s="4">
        <v>108.14</v>
      </c>
      <c r="L546" s="4">
        <v>30.46</v>
      </c>
      <c r="M546" s="1" t="str">
        <f>TEXT(Table1[[#This Row],[Order_Date]], "MMM")</f>
        <v>Feb</v>
      </c>
      <c r="N546" s="1">
        <f>YEAR(Table1[[#This Row],[Order_Date]])</f>
        <v>2024</v>
      </c>
      <c r="O546" s="7">
        <f>Table1[[#This Row],[Profit]]/Table1[[#This Row],[Total_Sales]]</f>
        <v>0.21976911976911978</v>
      </c>
    </row>
    <row r="547" spans="1:15" x14ac:dyDescent="0.25">
      <c r="A547" s="1">
        <v>546</v>
      </c>
      <c r="B547" s="2">
        <v>45274</v>
      </c>
      <c r="C547" s="1" t="s">
        <v>25</v>
      </c>
      <c r="D547" s="1" t="s">
        <v>13</v>
      </c>
      <c r="E547" s="1" t="s">
        <v>17</v>
      </c>
      <c r="F547" s="1" t="s">
        <v>40</v>
      </c>
      <c r="G547" s="1">
        <v>4</v>
      </c>
      <c r="H547" s="1">
        <v>341</v>
      </c>
      <c r="I547" s="1">
        <v>0</v>
      </c>
      <c r="J547" s="4">
        <v>1364</v>
      </c>
      <c r="K547" s="4">
        <v>766.25</v>
      </c>
      <c r="L547" s="4">
        <v>597.75</v>
      </c>
      <c r="M547" s="1" t="str">
        <f>TEXT(Table1[[#This Row],[Order_Date]], "MMM")</f>
        <v>Dec</v>
      </c>
      <c r="N547" s="1">
        <f>YEAR(Table1[[#This Row],[Order_Date]])</f>
        <v>2023</v>
      </c>
      <c r="O547" s="7">
        <f>Table1[[#This Row],[Profit]]/Table1[[#This Row],[Total_Sales]]</f>
        <v>0.43823313782991202</v>
      </c>
    </row>
    <row r="548" spans="1:15" x14ac:dyDescent="0.25">
      <c r="A548" s="1">
        <v>547</v>
      </c>
      <c r="B548" s="2">
        <v>45392</v>
      </c>
      <c r="C548" s="1" t="s">
        <v>12</v>
      </c>
      <c r="D548" s="1" t="s">
        <v>22</v>
      </c>
      <c r="E548" s="1" t="s">
        <v>29</v>
      </c>
      <c r="F548" s="1" t="s">
        <v>24</v>
      </c>
      <c r="G548" s="1">
        <v>2</v>
      </c>
      <c r="H548" s="1">
        <v>881</v>
      </c>
      <c r="I548" s="1">
        <v>10</v>
      </c>
      <c r="J548" s="4">
        <v>1585.8</v>
      </c>
      <c r="K548" s="4">
        <v>1248.8599999999999</v>
      </c>
      <c r="L548" s="4">
        <v>336.94</v>
      </c>
      <c r="M548" s="1" t="str">
        <f>TEXT(Table1[[#This Row],[Order_Date]], "MMM")</f>
        <v>Apr</v>
      </c>
      <c r="N548" s="1">
        <f>YEAR(Table1[[#This Row],[Order_Date]])</f>
        <v>2024</v>
      </c>
      <c r="O548" s="7">
        <f>Table1[[#This Row],[Profit]]/Table1[[#This Row],[Total_Sales]]</f>
        <v>0.21247319964686595</v>
      </c>
    </row>
    <row r="549" spans="1:15" x14ac:dyDescent="0.25">
      <c r="A549" s="1">
        <v>548</v>
      </c>
      <c r="B549" s="2">
        <v>45526</v>
      </c>
      <c r="C549" s="1" t="s">
        <v>16</v>
      </c>
      <c r="D549" s="1" t="s">
        <v>22</v>
      </c>
      <c r="E549" s="1" t="s">
        <v>29</v>
      </c>
      <c r="F549" s="1" t="s">
        <v>15</v>
      </c>
      <c r="G549" s="1">
        <v>10</v>
      </c>
      <c r="H549" s="1">
        <v>418</v>
      </c>
      <c r="I549" s="1">
        <v>5</v>
      </c>
      <c r="J549" s="4">
        <v>3971</v>
      </c>
      <c r="K549" s="4">
        <v>2496.2199999999998</v>
      </c>
      <c r="L549" s="4">
        <v>1474.78</v>
      </c>
      <c r="M549" s="1" t="str">
        <f>TEXT(Table1[[#This Row],[Order_Date]], "MMM")</f>
        <v>Aug</v>
      </c>
      <c r="N549" s="1">
        <f>YEAR(Table1[[#This Row],[Order_Date]])</f>
        <v>2024</v>
      </c>
      <c r="O549" s="7">
        <f>Table1[[#This Row],[Profit]]/Table1[[#This Row],[Total_Sales]]</f>
        <v>0.37138755980861243</v>
      </c>
    </row>
    <row r="550" spans="1:15" x14ac:dyDescent="0.25">
      <c r="A550" s="1">
        <v>549</v>
      </c>
      <c r="B550" s="2">
        <v>45644</v>
      </c>
      <c r="C550" s="1" t="s">
        <v>19</v>
      </c>
      <c r="D550" s="1" t="s">
        <v>32</v>
      </c>
      <c r="E550" s="1" t="s">
        <v>33</v>
      </c>
      <c r="F550" s="1" t="s">
        <v>15</v>
      </c>
      <c r="G550" s="1">
        <v>8</v>
      </c>
      <c r="H550" s="1">
        <v>88</v>
      </c>
      <c r="I550" s="1">
        <v>15</v>
      </c>
      <c r="J550" s="4">
        <v>598.4</v>
      </c>
      <c r="K550" s="4">
        <v>316.63</v>
      </c>
      <c r="L550" s="4">
        <v>281.77</v>
      </c>
      <c r="M550" s="1" t="str">
        <f>TEXT(Table1[[#This Row],[Order_Date]], "MMM")</f>
        <v>Dec</v>
      </c>
      <c r="N550" s="1">
        <f>YEAR(Table1[[#This Row],[Order_Date]])</f>
        <v>2024</v>
      </c>
      <c r="O550" s="7">
        <f>Table1[[#This Row],[Profit]]/Table1[[#This Row],[Total_Sales]]</f>
        <v>0.47087232620320857</v>
      </c>
    </row>
    <row r="551" spans="1:15" x14ac:dyDescent="0.25">
      <c r="A551" s="1">
        <v>550</v>
      </c>
      <c r="B551" s="2">
        <v>44991</v>
      </c>
      <c r="C551" s="1" t="s">
        <v>12</v>
      </c>
      <c r="D551" s="1" t="s">
        <v>32</v>
      </c>
      <c r="E551" s="1" t="s">
        <v>34</v>
      </c>
      <c r="F551" s="1" t="s">
        <v>18</v>
      </c>
      <c r="G551" s="1">
        <v>4</v>
      </c>
      <c r="H551" s="1">
        <v>842</v>
      </c>
      <c r="I551" s="1">
        <v>15</v>
      </c>
      <c r="J551" s="4">
        <v>2862.8</v>
      </c>
      <c r="K551" s="4">
        <v>1854.33</v>
      </c>
      <c r="L551" s="4">
        <v>1008.47</v>
      </c>
      <c r="M551" s="1" t="str">
        <f>TEXT(Table1[[#This Row],[Order_Date]], "MMM")</f>
        <v>Mar</v>
      </c>
      <c r="N551" s="1">
        <f>YEAR(Table1[[#This Row],[Order_Date]])</f>
        <v>2023</v>
      </c>
      <c r="O551" s="7">
        <f>Table1[[#This Row],[Profit]]/Table1[[#This Row],[Total_Sales]]</f>
        <v>0.35226701131759114</v>
      </c>
    </row>
    <row r="552" spans="1:15" x14ac:dyDescent="0.25">
      <c r="A552" s="1">
        <v>551</v>
      </c>
      <c r="B552" s="2">
        <v>45364</v>
      </c>
      <c r="C552" s="1" t="s">
        <v>12</v>
      </c>
      <c r="D552" s="1" t="s">
        <v>13</v>
      </c>
      <c r="E552" s="1" t="s">
        <v>38</v>
      </c>
      <c r="F552" s="1" t="s">
        <v>18</v>
      </c>
      <c r="G552" s="1">
        <v>1</v>
      </c>
      <c r="H552" s="1">
        <v>456</v>
      </c>
      <c r="I552" s="1">
        <v>10</v>
      </c>
      <c r="J552" s="4">
        <v>410.4</v>
      </c>
      <c r="K552" s="4">
        <v>242.75</v>
      </c>
      <c r="L552" s="4">
        <v>167.65</v>
      </c>
      <c r="M552" s="1" t="str">
        <f>TEXT(Table1[[#This Row],[Order_Date]], "MMM")</f>
        <v>Mar</v>
      </c>
      <c r="N552" s="1">
        <f>YEAR(Table1[[#This Row],[Order_Date]])</f>
        <v>2024</v>
      </c>
      <c r="O552" s="7">
        <f>Table1[[#This Row],[Profit]]/Table1[[#This Row],[Total_Sales]]</f>
        <v>0.40850389863547765</v>
      </c>
    </row>
    <row r="553" spans="1:15" x14ac:dyDescent="0.25">
      <c r="A553" s="1">
        <v>552</v>
      </c>
      <c r="B553" s="2">
        <v>45133</v>
      </c>
      <c r="C553" s="1" t="s">
        <v>19</v>
      </c>
      <c r="D553" s="1" t="s">
        <v>32</v>
      </c>
      <c r="E553" s="1" t="s">
        <v>45</v>
      </c>
      <c r="F553" s="1" t="s">
        <v>40</v>
      </c>
      <c r="G553" s="1">
        <v>7</v>
      </c>
      <c r="H553" s="1">
        <v>991</v>
      </c>
      <c r="I553" s="1">
        <v>15</v>
      </c>
      <c r="J553" s="4">
        <v>5896.45</v>
      </c>
      <c r="K553" s="4">
        <v>3742.08</v>
      </c>
      <c r="L553" s="4">
        <v>2154.37</v>
      </c>
      <c r="M553" s="1" t="str">
        <f>TEXT(Table1[[#This Row],[Order_Date]], "MMM")</f>
        <v>Jul</v>
      </c>
      <c r="N553" s="1">
        <f>YEAR(Table1[[#This Row],[Order_Date]])</f>
        <v>2023</v>
      </c>
      <c r="O553" s="7">
        <f>Table1[[#This Row],[Profit]]/Table1[[#This Row],[Total_Sales]]</f>
        <v>0.36536729727208744</v>
      </c>
    </row>
    <row r="554" spans="1:15" x14ac:dyDescent="0.25">
      <c r="A554" s="1">
        <v>553</v>
      </c>
      <c r="B554" s="2">
        <v>44962</v>
      </c>
      <c r="C554" s="1" t="s">
        <v>19</v>
      </c>
      <c r="D554" s="1" t="s">
        <v>20</v>
      </c>
      <c r="E554" s="1" t="s">
        <v>30</v>
      </c>
      <c r="F554" s="1" t="s">
        <v>31</v>
      </c>
      <c r="G554" s="1">
        <v>3</v>
      </c>
      <c r="H554" s="1">
        <v>513</v>
      </c>
      <c r="I554" s="1">
        <v>5</v>
      </c>
      <c r="J554" s="4">
        <v>1462.05</v>
      </c>
      <c r="K554" s="4">
        <v>863.82</v>
      </c>
      <c r="L554" s="4">
        <v>598.23</v>
      </c>
      <c r="M554" s="1" t="str">
        <f>TEXT(Table1[[#This Row],[Order_Date]], "MMM")</f>
        <v>Feb</v>
      </c>
      <c r="N554" s="1">
        <f>YEAR(Table1[[#This Row],[Order_Date]])</f>
        <v>2023</v>
      </c>
      <c r="O554" s="7">
        <f>Table1[[#This Row],[Profit]]/Table1[[#This Row],[Total_Sales]]</f>
        <v>0.40917205293936598</v>
      </c>
    </row>
    <row r="555" spans="1:15" x14ac:dyDescent="0.25">
      <c r="A555" s="1">
        <v>554</v>
      </c>
      <c r="B555" s="2">
        <v>45565</v>
      </c>
      <c r="C555" s="1" t="s">
        <v>19</v>
      </c>
      <c r="D555" s="1" t="s">
        <v>22</v>
      </c>
      <c r="E555" s="1" t="s">
        <v>36</v>
      </c>
      <c r="F555" s="1" t="s">
        <v>35</v>
      </c>
      <c r="G555" s="1">
        <v>5</v>
      </c>
      <c r="H555" s="1">
        <v>877</v>
      </c>
      <c r="I555" s="1">
        <v>20</v>
      </c>
      <c r="J555" s="4">
        <v>3508</v>
      </c>
      <c r="K555" s="4">
        <v>2728.49</v>
      </c>
      <c r="L555" s="4">
        <v>779.51</v>
      </c>
      <c r="M555" s="1" t="str">
        <f>TEXT(Table1[[#This Row],[Order_Date]], "MMM")</f>
        <v>Sep</v>
      </c>
      <c r="N555" s="1">
        <f>YEAR(Table1[[#This Row],[Order_Date]])</f>
        <v>2024</v>
      </c>
      <c r="O555" s="7">
        <f>Table1[[#This Row],[Profit]]/Table1[[#This Row],[Total_Sales]]</f>
        <v>0.22220923603192702</v>
      </c>
    </row>
    <row r="556" spans="1:15" x14ac:dyDescent="0.25">
      <c r="A556" s="1">
        <v>555</v>
      </c>
      <c r="B556" s="2">
        <v>45172</v>
      </c>
      <c r="C556" s="1" t="s">
        <v>25</v>
      </c>
      <c r="D556" s="1" t="s">
        <v>32</v>
      </c>
      <c r="E556" s="1" t="s">
        <v>33</v>
      </c>
      <c r="F556" s="1" t="s">
        <v>15</v>
      </c>
      <c r="G556" s="1">
        <v>1</v>
      </c>
      <c r="H556" s="1">
        <v>841</v>
      </c>
      <c r="I556" s="1">
        <v>10</v>
      </c>
      <c r="J556" s="4">
        <v>756.9</v>
      </c>
      <c r="K556" s="4">
        <v>542.16</v>
      </c>
      <c r="L556" s="4">
        <v>214.74</v>
      </c>
      <c r="M556" s="1" t="str">
        <f>TEXT(Table1[[#This Row],[Order_Date]], "MMM")</f>
        <v>Sep</v>
      </c>
      <c r="N556" s="1">
        <f>YEAR(Table1[[#This Row],[Order_Date]])</f>
        <v>2023</v>
      </c>
      <c r="O556" s="7">
        <f>Table1[[#This Row],[Profit]]/Table1[[#This Row],[Total_Sales]]</f>
        <v>0.28370986920332941</v>
      </c>
    </row>
    <row r="557" spans="1:15" x14ac:dyDescent="0.25">
      <c r="A557" s="1">
        <v>556</v>
      </c>
      <c r="B557" s="2">
        <v>45042</v>
      </c>
      <c r="C557" s="1" t="s">
        <v>19</v>
      </c>
      <c r="D557" s="1" t="s">
        <v>32</v>
      </c>
      <c r="E557" s="1" t="s">
        <v>33</v>
      </c>
      <c r="F557" s="1" t="s">
        <v>35</v>
      </c>
      <c r="G557" s="1">
        <v>5</v>
      </c>
      <c r="H557" s="1">
        <v>388</v>
      </c>
      <c r="I557" s="1">
        <v>15</v>
      </c>
      <c r="J557" s="4">
        <v>1649</v>
      </c>
      <c r="K557" s="4">
        <v>1078.3399999999999</v>
      </c>
      <c r="L557" s="4">
        <v>570.66</v>
      </c>
      <c r="M557" s="1" t="str">
        <f>TEXT(Table1[[#This Row],[Order_Date]], "MMM")</f>
        <v>Apr</v>
      </c>
      <c r="N557" s="1">
        <f>YEAR(Table1[[#This Row],[Order_Date]])</f>
        <v>2023</v>
      </c>
      <c r="O557" s="7">
        <f>Table1[[#This Row],[Profit]]/Table1[[#This Row],[Total_Sales]]</f>
        <v>0.34606428138265616</v>
      </c>
    </row>
    <row r="558" spans="1:15" x14ac:dyDescent="0.25">
      <c r="A558" s="1">
        <v>557</v>
      </c>
      <c r="B558" s="2">
        <v>45535</v>
      </c>
      <c r="C558" s="1" t="s">
        <v>16</v>
      </c>
      <c r="D558" s="1" t="s">
        <v>13</v>
      </c>
      <c r="E558" s="1" t="s">
        <v>17</v>
      </c>
      <c r="F558" s="1" t="s">
        <v>18</v>
      </c>
      <c r="G558" s="1">
        <v>2</v>
      </c>
      <c r="H558" s="1">
        <v>339</v>
      </c>
      <c r="I558" s="1">
        <v>10</v>
      </c>
      <c r="J558" s="4">
        <v>610.20000000000005</v>
      </c>
      <c r="K558" s="4">
        <v>377.22</v>
      </c>
      <c r="L558" s="4">
        <v>232.98</v>
      </c>
      <c r="M558" s="1" t="str">
        <f>TEXT(Table1[[#This Row],[Order_Date]], "MMM")</f>
        <v>Aug</v>
      </c>
      <c r="N558" s="1">
        <f>YEAR(Table1[[#This Row],[Order_Date]])</f>
        <v>2024</v>
      </c>
      <c r="O558" s="7">
        <f>Table1[[#This Row],[Profit]]/Table1[[#This Row],[Total_Sales]]</f>
        <v>0.38180924287118972</v>
      </c>
    </row>
    <row r="559" spans="1:15" x14ac:dyDescent="0.25">
      <c r="A559" s="1">
        <v>558</v>
      </c>
      <c r="B559" s="2">
        <v>45465</v>
      </c>
      <c r="C559" s="1" t="s">
        <v>16</v>
      </c>
      <c r="D559" s="1" t="s">
        <v>26</v>
      </c>
      <c r="E559" s="1" t="s">
        <v>42</v>
      </c>
      <c r="F559" s="1" t="s">
        <v>35</v>
      </c>
      <c r="G559" s="1">
        <v>4</v>
      </c>
      <c r="H559" s="1">
        <v>366</v>
      </c>
      <c r="I559" s="1">
        <v>10</v>
      </c>
      <c r="J559" s="4">
        <v>1317.6</v>
      </c>
      <c r="K559" s="4">
        <v>822.5</v>
      </c>
      <c r="L559" s="4">
        <v>495.1</v>
      </c>
      <c r="M559" s="1" t="str">
        <f>TEXT(Table1[[#This Row],[Order_Date]], "MMM")</f>
        <v>Jun</v>
      </c>
      <c r="N559" s="1">
        <f>YEAR(Table1[[#This Row],[Order_Date]])</f>
        <v>2024</v>
      </c>
      <c r="O559" s="7">
        <f>Table1[[#This Row],[Profit]]/Table1[[#This Row],[Total_Sales]]</f>
        <v>0.37575895567698853</v>
      </c>
    </row>
    <row r="560" spans="1:15" x14ac:dyDescent="0.25">
      <c r="A560" s="1">
        <v>559</v>
      </c>
      <c r="B560" s="2">
        <v>45082</v>
      </c>
      <c r="C560" s="1" t="s">
        <v>19</v>
      </c>
      <c r="D560" s="1" t="s">
        <v>13</v>
      </c>
      <c r="E560" s="1" t="s">
        <v>38</v>
      </c>
      <c r="F560" s="1" t="s">
        <v>31</v>
      </c>
      <c r="G560" s="1">
        <v>2</v>
      </c>
      <c r="H560" s="1">
        <v>544</v>
      </c>
      <c r="I560" s="1">
        <v>10</v>
      </c>
      <c r="J560" s="4">
        <v>979.2</v>
      </c>
      <c r="K560" s="4">
        <v>532.21</v>
      </c>
      <c r="L560" s="4">
        <v>446.99</v>
      </c>
      <c r="M560" s="1" t="str">
        <f>TEXT(Table1[[#This Row],[Order_Date]], "MMM")</f>
        <v>Jun</v>
      </c>
      <c r="N560" s="1">
        <f>YEAR(Table1[[#This Row],[Order_Date]])</f>
        <v>2023</v>
      </c>
      <c r="O560" s="7">
        <f>Table1[[#This Row],[Profit]]/Table1[[#This Row],[Total_Sales]]</f>
        <v>0.45648488562091505</v>
      </c>
    </row>
    <row r="561" spans="1:15" x14ac:dyDescent="0.25">
      <c r="A561" s="1">
        <v>560</v>
      </c>
      <c r="B561" s="2">
        <v>45592</v>
      </c>
      <c r="C561" s="1" t="s">
        <v>25</v>
      </c>
      <c r="D561" s="1" t="s">
        <v>22</v>
      </c>
      <c r="E561" s="1" t="s">
        <v>44</v>
      </c>
      <c r="F561" s="1" t="s">
        <v>40</v>
      </c>
      <c r="G561" s="1">
        <v>2</v>
      </c>
      <c r="H561" s="1">
        <v>453</v>
      </c>
      <c r="I561" s="1">
        <v>10</v>
      </c>
      <c r="J561" s="4">
        <v>815.4</v>
      </c>
      <c r="K561" s="4">
        <v>591.84</v>
      </c>
      <c r="L561" s="4">
        <v>223.56</v>
      </c>
      <c r="M561" s="1" t="str">
        <f>TEXT(Table1[[#This Row],[Order_Date]], "MMM")</f>
        <v>Oct</v>
      </c>
      <c r="N561" s="1">
        <f>YEAR(Table1[[#This Row],[Order_Date]])</f>
        <v>2024</v>
      </c>
      <c r="O561" s="7">
        <f>Table1[[#This Row],[Profit]]/Table1[[#This Row],[Total_Sales]]</f>
        <v>0.27417218543046357</v>
      </c>
    </row>
    <row r="562" spans="1:15" x14ac:dyDescent="0.25">
      <c r="A562" s="1">
        <v>561</v>
      </c>
      <c r="B562" s="2">
        <v>45307</v>
      </c>
      <c r="C562" s="1" t="s">
        <v>25</v>
      </c>
      <c r="D562" s="1" t="s">
        <v>32</v>
      </c>
      <c r="E562" s="1" t="s">
        <v>41</v>
      </c>
      <c r="F562" s="1" t="s">
        <v>35</v>
      </c>
      <c r="G562" s="1">
        <v>1</v>
      </c>
      <c r="H562" s="1">
        <v>587</v>
      </c>
      <c r="I562" s="1">
        <v>20</v>
      </c>
      <c r="J562" s="4">
        <v>469.6</v>
      </c>
      <c r="K562" s="4">
        <v>375.41</v>
      </c>
      <c r="L562" s="4">
        <v>94.19</v>
      </c>
      <c r="M562" s="1" t="str">
        <f>TEXT(Table1[[#This Row],[Order_Date]], "MMM")</f>
        <v>Jan</v>
      </c>
      <c r="N562" s="1">
        <f>YEAR(Table1[[#This Row],[Order_Date]])</f>
        <v>2024</v>
      </c>
      <c r="O562" s="7">
        <f>Table1[[#This Row],[Profit]]/Table1[[#This Row],[Total_Sales]]</f>
        <v>0.20057495741056217</v>
      </c>
    </row>
    <row r="563" spans="1:15" x14ac:dyDescent="0.25">
      <c r="A563" s="1">
        <v>562</v>
      </c>
      <c r="B563" s="2">
        <v>45328</v>
      </c>
      <c r="C563" s="1" t="s">
        <v>16</v>
      </c>
      <c r="D563" s="1" t="s">
        <v>13</v>
      </c>
      <c r="E563" s="1" t="s">
        <v>17</v>
      </c>
      <c r="F563" s="1" t="s">
        <v>31</v>
      </c>
      <c r="G563" s="1">
        <v>6</v>
      </c>
      <c r="H563" s="1">
        <v>394</v>
      </c>
      <c r="I563" s="1">
        <v>20</v>
      </c>
      <c r="J563" s="4">
        <v>1891.2</v>
      </c>
      <c r="K563" s="4">
        <v>947.26</v>
      </c>
      <c r="L563" s="4">
        <v>943.94</v>
      </c>
      <c r="M563" s="1" t="str">
        <f>TEXT(Table1[[#This Row],[Order_Date]], "MMM")</f>
        <v>Feb</v>
      </c>
      <c r="N563" s="1">
        <f>YEAR(Table1[[#This Row],[Order_Date]])</f>
        <v>2024</v>
      </c>
      <c r="O563" s="7">
        <f>Table1[[#This Row],[Profit]]/Table1[[#This Row],[Total_Sales]]</f>
        <v>0.49912225042301184</v>
      </c>
    </row>
    <row r="564" spans="1:15" x14ac:dyDescent="0.25">
      <c r="A564" s="1">
        <v>563</v>
      </c>
      <c r="B564" s="2">
        <v>45449</v>
      </c>
      <c r="C564" s="1" t="s">
        <v>25</v>
      </c>
      <c r="D564" s="1" t="s">
        <v>26</v>
      </c>
      <c r="E564" s="1" t="s">
        <v>27</v>
      </c>
      <c r="F564" s="1" t="s">
        <v>40</v>
      </c>
      <c r="G564" s="1">
        <v>2</v>
      </c>
      <c r="H564" s="1">
        <v>98</v>
      </c>
      <c r="I564" s="1">
        <v>5</v>
      </c>
      <c r="J564" s="4">
        <v>186.2</v>
      </c>
      <c r="K564" s="4">
        <v>130.27000000000001</v>
      </c>
      <c r="L564" s="4">
        <v>55.93</v>
      </c>
      <c r="M564" s="1" t="str">
        <f>TEXT(Table1[[#This Row],[Order_Date]], "MMM")</f>
        <v>Jun</v>
      </c>
      <c r="N564" s="1">
        <f>YEAR(Table1[[#This Row],[Order_Date]])</f>
        <v>2024</v>
      </c>
      <c r="O564" s="7">
        <f>Table1[[#This Row],[Profit]]/Table1[[#This Row],[Total_Sales]]</f>
        <v>0.30037593984962407</v>
      </c>
    </row>
    <row r="565" spans="1:15" x14ac:dyDescent="0.25">
      <c r="A565" s="1">
        <v>564</v>
      </c>
      <c r="B565" s="2">
        <v>44977</v>
      </c>
      <c r="C565" s="1" t="s">
        <v>12</v>
      </c>
      <c r="D565" s="1" t="s">
        <v>32</v>
      </c>
      <c r="E565" s="1" t="s">
        <v>41</v>
      </c>
      <c r="F565" s="1" t="s">
        <v>18</v>
      </c>
      <c r="G565" s="1">
        <v>3</v>
      </c>
      <c r="H565" s="1">
        <v>945</v>
      </c>
      <c r="I565" s="1">
        <v>10</v>
      </c>
      <c r="J565" s="4">
        <v>2551.5</v>
      </c>
      <c r="K565" s="4">
        <v>1486.48</v>
      </c>
      <c r="L565" s="4">
        <v>1065.02</v>
      </c>
      <c r="M565" s="1" t="str">
        <f>TEXT(Table1[[#This Row],[Order_Date]], "MMM")</f>
        <v>Feb</v>
      </c>
      <c r="N565" s="1">
        <f>YEAR(Table1[[#This Row],[Order_Date]])</f>
        <v>2023</v>
      </c>
      <c r="O565" s="7">
        <f>Table1[[#This Row],[Profit]]/Table1[[#This Row],[Total_Sales]]</f>
        <v>0.41740936703899667</v>
      </c>
    </row>
    <row r="566" spans="1:15" x14ac:dyDescent="0.25">
      <c r="A566" s="1">
        <v>565</v>
      </c>
      <c r="B566" s="2">
        <v>45622</v>
      </c>
      <c r="C566" s="1" t="s">
        <v>12</v>
      </c>
      <c r="D566" s="1" t="s">
        <v>32</v>
      </c>
      <c r="E566" s="1" t="s">
        <v>45</v>
      </c>
      <c r="F566" s="1" t="s">
        <v>35</v>
      </c>
      <c r="G566" s="1">
        <v>8</v>
      </c>
      <c r="H566" s="1">
        <v>738</v>
      </c>
      <c r="I566" s="1">
        <v>15</v>
      </c>
      <c r="J566" s="4">
        <v>5018.3999999999996</v>
      </c>
      <c r="K566" s="4">
        <v>3904.33</v>
      </c>
      <c r="L566" s="4">
        <v>1114.07</v>
      </c>
      <c r="M566" s="1" t="str">
        <f>TEXT(Table1[[#This Row],[Order_Date]], "MMM")</f>
        <v>Nov</v>
      </c>
      <c r="N566" s="1">
        <f>YEAR(Table1[[#This Row],[Order_Date]])</f>
        <v>2024</v>
      </c>
      <c r="O566" s="7">
        <f>Table1[[#This Row],[Profit]]/Table1[[#This Row],[Total_Sales]]</f>
        <v>0.22199705085286148</v>
      </c>
    </row>
    <row r="567" spans="1:15" x14ac:dyDescent="0.25">
      <c r="A567" s="1">
        <v>566</v>
      </c>
      <c r="B567" s="2">
        <v>45500</v>
      </c>
      <c r="C567" s="1" t="s">
        <v>19</v>
      </c>
      <c r="D567" s="1" t="s">
        <v>20</v>
      </c>
      <c r="E567" s="1" t="s">
        <v>21</v>
      </c>
      <c r="F567" s="1" t="s">
        <v>40</v>
      </c>
      <c r="G567" s="1">
        <v>2</v>
      </c>
      <c r="H567" s="1">
        <v>45</v>
      </c>
      <c r="I567" s="1">
        <v>20</v>
      </c>
      <c r="J567" s="4">
        <v>72</v>
      </c>
      <c r="K567" s="4">
        <v>53.95</v>
      </c>
      <c r="L567" s="4">
        <v>18.05</v>
      </c>
      <c r="M567" s="1" t="str">
        <f>TEXT(Table1[[#This Row],[Order_Date]], "MMM")</f>
        <v>Jul</v>
      </c>
      <c r="N567" s="1">
        <f>YEAR(Table1[[#This Row],[Order_Date]])</f>
        <v>2024</v>
      </c>
      <c r="O567" s="7">
        <f>Table1[[#This Row],[Profit]]/Table1[[#This Row],[Total_Sales]]</f>
        <v>0.25069444444444444</v>
      </c>
    </row>
    <row r="568" spans="1:15" x14ac:dyDescent="0.25">
      <c r="A568" s="1">
        <v>567</v>
      </c>
      <c r="B568" s="2">
        <v>44980</v>
      </c>
      <c r="C568" s="1" t="s">
        <v>25</v>
      </c>
      <c r="D568" s="1" t="s">
        <v>22</v>
      </c>
      <c r="E568" s="1" t="s">
        <v>23</v>
      </c>
      <c r="F568" s="1" t="s">
        <v>24</v>
      </c>
      <c r="G568" s="1">
        <v>10</v>
      </c>
      <c r="H568" s="1">
        <v>995</v>
      </c>
      <c r="I568" s="1">
        <v>0</v>
      </c>
      <c r="J568" s="4">
        <v>9950</v>
      </c>
      <c r="K568" s="4">
        <v>5365.72</v>
      </c>
      <c r="L568" s="4">
        <v>4584.28</v>
      </c>
      <c r="M568" s="1" t="str">
        <f>TEXT(Table1[[#This Row],[Order_Date]], "MMM")</f>
        <v>Feb</v>
      </c>
      <c r="N568" s="1">
        <f>YEAR(Table1[[#This Row],[Order_Date]])</f>
        <v>2023</v>
      </c>
      <c r="O568" s="7">
        <f>Table1[[#This Row],[Profit]]/Table1[[#This Row],[Total_Sales]]</f>
        <v>0.46073165829145724</v>
      </c>
    </row>
    <row r="569" spans="1:15" x14ac:dyDescent="0.25">
      <c r="A569" s="1">
        <v>568</v>
      </c>
      <c r="B569" s="2">
        <v>44992</v>
      </c>
      <c r="C569" s="1" t="s">
        <v>25</v>
      </c>
      <c r="D569" s="1" t="s">
        <v>20</v>
      </c>
      <c r="E569" s="1" t="s">
        <v>30</v>
      </c>
      <c r="F569" s="1" t="s">
        <v>15</v>
      </c>
      <c r="G569" s="1">
        <v>7</v>
      </c>
      <c r="H569" s="1">
        <v>213</v>
      </c>
      <c r="I569" s="1">
        <v>0</v>
      </c>
      <c r="J569" s="4">
        <v>1491</v>
      </c>
      <c r="K569" s="4">
        <v>1182.3599999999999</v>
      </c>
      <c r="L569" s="4">
        <v>308.64</v>
      </c>
      <c r="M569" s="1" t="str">
        <f>TEXT(Table1[[#This Row],[Order_Date]], "MMM")</f>
        <v>Mar</v>
      </c>
      <c r="N569" s="1">
        <f>YEAR(Table1[[#This Row],[Order_Date]])</f>
        <v>2023</v>
      </c>
      <c r="O569" s="7">
        <f>Table1[[#This Row],[Profit]]/Table1[[#This Row],[Total_Sales]]</f>
        <v>0.2070020120724346</v>
      </c>
    </row>
    <row r="570" spans="1:15" x14ac:dyDescent="0.25">
      <c r="A570" s="1">
        <v>569</v>
      </c>
      <c r="B570" s="2">
        <v>45396</v>
      </c>
      <c r="C570" s="1" t="s">
        <v>12</v>
      </c>
      <c r="D570" s="1" t="s">
        <v>22</v>
      </c>
      <c r="E570" s="1" t="s">
        <v>29</v>
      </c>
      <c r="F570" s="1" t="s">
        <v>15</v>
      </c>
      <c r="G570" s="1">
        <v>5</v>
      </c>
      <c r="H570" s="1">
        <v>431</v>
      </c>
      <c r="I570" s="1">
        <v>10</v>
      </c>
      <c r="J570" s="4">
        <v>1939.5</v>
      </c>
      <c r="K570" s="4">
        <v>1495.16</v>
      </c>
      <c r="L570" s="4">
        <v>444.34</v>
      </c>
      <c r="M570" s="1" t="str">
        <f>TEXT(Table1[[#This Row],[Order_Date]], "MMM")</f>
        <v>Apr</v>
      </c>
      <c r="N570" s="1">
        <f>YEAR(Table1[[#This Row],[Order_Date]])</f>
        <v>2024</v>
      </c>
      <c r="O570" s="7">
        <f>Table1[[#This Row],[Profit]]/Table1[[#This Row],[Total_Sales]]</f>
        <v>0.2291002835782418</v>
      </c>
    </row>
    <row r="571" spans="1:15" x14ac:dyDescent="0.25">
      <c r="A571" s="1">
        <v>570</v>
      </c>
      <c r="B571" s="2">
        <v>45107</v>
      </c>
      <c r="C571" s="1" t="s">
        <v>16</v>
      </c>
      <c r="D571" s="1" t="s">
        <v>20</v>
      </c>
      <c r="E571" s="1" t="s">
        <v>21</v>
      </c>
      <c r="F571" s="1" t="s">
        <v>40</v>
      </c>
      <c r="G571" s="1">
        <v>6</v>
      </c>
      <c r="H571" s="1">
        <v>134</v>
      </c>
      <c r="I571" s="1">
        <v>5</v>
      </c>
      <c r="J571" s="4">
        <v>763.8</v>
      </c>
      <c r="K571" s="4">
        <v>534.89</v>
      </c>
      <c r="L571" s="4">
        <v>228.91</v>
      </c>
      <c r="M571" s="1" t="str">
        <f>TEXT(Table1[[#This Row],[Order_Date]], "MMM")</f>
        <v>Jun</v>
      </c>
      <c r="N571" s="1">
        <f>YEAR(Table1[[#This Row],[Order_Date]])</f>
        <v>2023</v>
      </c>
      <c r="O571" s="7">
        <f>Table1[[#This Row],[Profit]]/Table1[[#This Row],[Total_Sales]]</f>
        <v>0.29969887405079865</v>
      </c>
    </row>
    <row r="572" spans="1:15" x14ac:dyDescent="0.25">
      <c r="A572" s="1">
        <v>571</v>
      </c>
      <c r="B572" s="2">
        <v>45547</v>
      </c>
      <c r="C572" s="1" t="s">
        <v>19</v>
      </c>
      <c r="D572" s="1" t="s">
        <v>20</v>
      </c>
      <c r="E572" s="1" t="s">
        <v>21</v>
      </c>
      <c r="F572" s="1" t="s">
        <v>31</v>
      </c>
      <c r="G572" s="1">
        <v>1</v>
      </c>
      <c r="H572" s="1">
        <v>502</v>
      </c>
      <c r="I572" s="1">
        <v>5</v>
      </c>
      <c r="J572" s="4">
        <v>476.9</v>
      </c>
      <c r="K572" s="4">
        <v>377.23</v>
      </c>
      <c r="L572" s="4">
        <v>99.67</v>
      </c>
      <c r="M572" s="1" t="str">
        <f>TEXT(Table1[[#This Row],[Order_Date]], "MMM")</f>
        <v>Sep</v>
      </c>
      <c r="N572" s="1">
        <f>YEAR(Table1[[#This Row],[Order_Date]])</f>
        <v>2024</v>
      </c>
      <c r="O572" s="7">
        <f>Table1[[#This Row],[Profit]]/Table1[[#This Row],[Total_Sales]]</f>
        <v>0.20899559656112393</v>
      </c>
    </row>
    <row r="573" spans="1:15" x14ac:dyDescent="0.25">
      <c r="A573" s="1">
        <v>572</v>
      </c>
      <c r="B573" s="2">
        <v>45233</v>
      </c>
      <c r="C573" s="1" t="s">
        <v>19</v>
      </c>
      <c r="D573" s="1" t="s">
        <v>20</v>
      </c>
      <c r="E573" s="1" t="s">
        <v>21</v>
      </c>
      <c r="F573" s="1" t="s">
        <v>24</v>
      </c>
      <c r="G573" s="1">
        <v>7</v>
      </c>
      <c r="H573" s="1">
        <v>827</v>
      </c>
      <c r="I573" s="1">
        <v>5</v>
      </c>
      <c r="J573" s="4">
        <v>5499.55</v>
      </c>
      <c r="K573" s="4">
        <v>2896.77</v>
      </c>
      <c r="L573" s="4">
        <v>2602.7800000000002</v>
      </c>
      <c r="M573" s="1" t="str">
        <f>TEXT(Table1[[#This Row],[Order_Date]], "MMM")</f>
        <v>Nov</v>
      </c>
      <c r="N573" s="1">
        <f>YEAR(Table1[[#This Row],[Order_Date]])</f>
        <v>2023</v>
      </c>
      <c r="O573" s="7">
        <f>Table1[[#This Row],[Profit]]/Table1[[#This Row],[Total_Sales]]</f>
        <v>0.47327144948223038</v>
      </c>
    </row>
    <row r="574" spans="1:15" x14ac:dyDescent="0.25">
      <c r="A574" s="1">
        <v>573</v>
      </c>
      <c r="B574" s="2">
        <v>44951</v>
      </c>
      <c r="C574" s="1" t="s">
        <v>12</v>
      </c>
      <c r="D574" s="1" t="s">
        <v>20</v>
      </c>
      <c r="E574" s="1" t="s">
        <v>28</v>
      </c>
      <c r="F574" s="1" t="s">
        <v>24</v>
      </c>
      <c r="G574" s="1">
        <v>1</v>
      </c>
      <c r="H574" s="1">
        <v>410</v>
      </c>
      <c r="I574" s="1">
        <v>0</v>
      </c>
      <c r="J574" s="4">
        <v>410</v>
      </c>
      <c r="K574" s="4">
        <v>298.95999999999998</v>
      </c>
      <c r="L574" s="4">
        <v>111.04</v>
      </c>
      <c r="M574" s="1" t="str">
        <f>TEXT(Table1[[#This Row],[Order_Date]], "MMM")</f>
        <v>Jan</v>
      </c>
      <c r="N574" s="1">
        <f>YEAR(Table1[[#This Row],[Order_Date]])</f>
        <v>2023</v>
      </c>
      <c r="O574" s="7">
        <f>Table1[[#This Row],[Profit]]/Table1[[#This Row],[Total_Sales]]</f>
        <v>0.27082926829268295</v>
      </c>
    </row>
    <row r="575" spans="1:15" x14ac:dyDescent="0.25">
      <c r="A575" s="1">
        <v>574</v>
      </c>
      <c r="B575" s="2">
        <v>45278</v>
      </c>
      <c r="C575" s="1" t="s">
        <v>19</v>
      </c>
      <c r="D575" s="1" t="s">
        <v>20</v>
      </c>
      <c r="E575" s="1" t="s">
        <v>28</v>
      </c>
      <c r="F575" s="1" t="s">
        <v>40</v>
      </c>
      <c r="G575" s="1">
        <v>6</v>
      </c>
      <c r="H575" s="1">
        <v>654</v>
      </c>
      <c r="I575" s="1">
        <v>0</v>
      </c>
      <c r="J575" s="4">
        <v>3924</v>
      </c>
      <c r="K575" s="4">
        <v>2227.8000000000002</v>
      </c>
      <c r="L575" s="4">
        <v>1696.2</v>
      </c>
      <c r="M575" s="1" t="str">
        <f>TEXT(Table1[[#This Row],[Order_Date]], "MMM")</f>
        <v>Dec</v>
      </c>
      <c r="N575" s="1">
        <f>YEAR(Table1[[#This Row],[Order_Date]])</f>
        <v>2023</v>
      </c>
      <c r="O575" s="7">
        <f>Table1[[#This Row],[Profit]]/Table1[[#This Row],[Total_Sales]]</f>
        <v>0.43226299694189602</v>
      </c>
    </row>
    <row r="576" spans="1:15" x14ac:dyDescent="0.25">
      <c r="A576" s="1">
        <v>575</v>
      </c>
      <c r="B576" s="2">
        <v>45215</v>
      </c>
      <c r="C576" s="1" t="s">
        <v>19</v>
      </c>
      <c r="D576" s="1" t="s">
        <v>26</v>
      </c>
      <c r="E576" s="1" t="s">
        <v>37</v>
      </c>
      <c r="F576" s="1" t="s">
        <v>40</v>
      </c>
      <c r="G576" s="1">
        <v>8</v>
      </c>
      <c r="H576" s="1">
        <v>808</v>
      </c>
      <c r="I576" s="1">
        <v>5</v>
      </c>
      <c r="J576" s="4">
        <v>6140.8</v>
      </c>
      <c r="K576" s="4">
        <v>3913.83</v>
      </c>
      <c r="L576" s="4">
        <v>2226.9699999999998</v>
      </c>
      <c r="M576" s="1" t="str">
        <f>TEXT(Table1[[#This Row],[Order_Date]], "MMM")</f>
        <v>Oct</v>
      </c>
      <c r="N576" s="1">
        <f>YEAR(Table1[[#This Row],[Order_Date]])</f>
        <v>2023</v>
      </c>
      <c r="O576" s="7">
        <f>Table1[[#This Row],[Profit]]/Table1[[#This Row],[Total_Sales]]</f>
        <v>0.36265144606565913</v>
      </c>
    </row>
    <row r="577" spans="1:15" x14ac:dyDescent="0.25">
      <c r="A577" s="1">
        <v>576</v>
      </c>
      <c r="B577" s="2">
        <v>45304</v>
      </c>
      <c r="C577" s="1" t="s">
        <v>12</v>
      </c>
      <c r="D577" s="1" t="s">
        <v>32</v>
      </c>
      <c r="E577" s="1" t="s">
        <v>34</v>
      </c>
      <c r="F577" s="1" t="s">
        <v>24</v>
      </c>
      <c r="G577" s="1">
        <v>7</v>
      </c>
      <c r="H577" s="1">
        <v>641</v>
      </c>
      <c r="I577" s="1">
        <v>0</v>
      </c>
      <c r="J577" s="4">
        <v>4487</v>
      </c>
      <c r="K577" s="4">
        <v>3387.63</v>
      </c>
      <c r="L577" s="4">
        <v>1099.3699999999999</v>
      </c>
      <c r="M577" s="1" t="str">
        <f>TEXT(Table1[[#This Row],[Order_Date]], "MMM")</f>
        <v>Jan</v>
      </c>
      <c r="N577" s="1">
        <f>YEAR(Table1[[#This Row],[Order_Date]])</f>
        <v>2024</v>
      </c>
      <c r="O577" s="7">
        <f>Table1[[#This Row],[Profit]]/Table1[[#This Row],[Total_Sales]]</f>
        <v>0.24501225763316245</v>
      </c>
    </row>
    <row r="578" spans="1:15" x14ac:dyDescent="0.25">
      <c r="A578" s="1">
        <v>577</v>
      </c>
      <c r="B578" s="2">
        <v>45371</v>
      </c>
      <c r="C578" s="1" t="s">
        <v>16</v>
      </c>
      <c r="D578" s="1" t="s">
        <v>26</v>
      </c>
      <c r="E578" s="1" t="s">
        <v>37</v>
      </c>
      <c r="F578" s="1" t="s">
        <v>18</v>
      </c>
      <c r="G578" s="1">
        <v>2</v>
      </c>
      <c r="H578" s="1">
        <v>287</v>
      </c>
      <c r="I578" s="1">
        <v>0</v>
      </c>
      <c r="J578" s="4">
        <v>574</v>
      </c>
      <c r="K578" s="4">
        <v>403.82</v>
      </c>
      <c r="L578" s="4">
        <v>170.18</v>
      </c>
      <c r="M578" s="1" t="str">
        <f>TEXT(Table1[[#This Row],[Order_Date]], "MMM")</f>
        <v>Mar</v>
      </c>
      <c r="N578" s="1">
        <f>YEAR(Table1[[#This Row],[Order_Date]])</f>
        <v>2024</v>
      </c>
      <c r="O578" s="7">
        <f>Table1[[#This Row],[Profit]]/Table1[[#This Row],[Total_Sales]]</f>
        <v>0.29648083623693383</v>
      </c>
    </row>
    <row r="579" spans="1:15" x14ac:dyDescent="0.25">
      <c r="A579" s="1">
        <v>578</v>
      </c>
      <c r="B579" s="2">
        <v>45029</v>
      </c>
      <c r="C579" s="1" t="s">
        <v>12</v>
      </c>
      <c r="D579" s="1" t="s">
        <v>20</v>
      </c>
      <c r="E579" s="1" t="s">
        <v>43</v>
      </c>
      <c r="F579" s="1" t="s">
        <v>40</v>
      </c>
      <c r="G579" s="1">
        <v>5</v>
      </c>
      <c r="H579" s="1">
        <v>185</v>
      </c>
      <c r="I579" s="1">
        <v>5</v>
      </c>
      <c r="J579" s="4">
        <v>878.75</v>
      </c>
      <c r="K579" s="4">
        <v>606.95000000000005</v>
      </c>
      <c r="L579" s="4">
        <v>271.8</v>
      </c>
      <c r="M579" s="1" t="str">
        <f>TEXT(Table1[[#This Row],[Order_Date]], "MMM")</f>
        <v>Apr</v>
      </c>
      <c r="N579" s="1">
        <f>YEAR(Table1[[#This Row],[Order_Date]])</f>
        <v>2023</v>
      </c>
      <c r="O579" s="7">
        <f>Table1[[#This Row],[Profit]]/Table1[[#This Row],[Total_Sales]]</f>
        <v>0.30930298719772403</v>
      </c>
    </row>
    <row r="580" spans="1:15" x14ac:dyDescent="0.25">
      <c r="A580" s="1">
        <v>579</v>
      </c>
      <c r="B580" s="2">
        <v>45518</v>
      </c>
      <c r="C580" s="1" t="s">
        <v>16</v>
      </c>
      <c r="D580" s="1" t="s">
        <v>32</v>
      </c>
      <c r="E580" s="1" t="s">
        <v>33</v>
      </c>
      <c r="F580" s="1" t="s">
        <v>35</v>
      </c>
      <c r="G580" s="1">
        <v>4</v>
      </c>
      <c r="H580" s="1">
        <v>658</v>
      </c>
      <c r="I580" s="1">
        <v>10</v>
      </c>
      <c r="J580" s="4">
        <v>2368.8000000000002</v>
      </c>
      <c r="K580" s="4">
        <v>1350.49</v>
      </c>
      <c r="L580" s="4">
        <v>1018.31</v>
      </c>
      <c r="M580" s="1" t="str">
        <f>TEXT(Table1[[#This Row],[Order_Date]], "MMM")</f>
        <v>Aug</v>
      </c>
      <c r="N580" s="1">
        <f>YEAR(Table1[[#This Row],[Order_Date]])</f>
        <v>2024</v>
      </c>
      <c r="O580" s="7">
        <f>Table1[[#This Row],[Profit]]/Table1[[#This Row],[Total_Sales]]</f>
        <v>0.42988432961837214</v>
      </c>
    </row>
    <row r="581" spans="1:15" x14ac:dyDescent="0.25">
      <c r="A581" s="1">
        <v>580</v>
      </c>
      <c r="B581" s="2">
        <v>44930</v>
      </c>
      <c r="C581" s="1" t="s">
        <v>19</v>
      </c>
      <c r="D581" s="1" t="s">
        <v>13</v>
      </c>
      <c r="E581" s="1" t="s">
        <v>38</v>
      </c>
      <c r="F581" s="1" t="s">
        <v>31</v>
      </c>
      <c r="G581" s="1">
        <v>6</v>
      </c>
      <c r="H581" s="1">
        <v>474</v>
      </c>
      <c r="I581" s="1">
        <v>20</v>
      </c>
      <c r="J581" s="4">
        <v>2275.1999999999998</v>
      </c>
      <c r="K581" s="4">
        <v>1156.18</v>
      </c>
      <c r="L581" s="4">
        <v>1119.02</v>
      </c>
      <c r="M581" s="1" t="str">
        <f>TEXT(Table1[[#This Row],[Order_Date]], "MMM")</f>
        <v>Jan</v>
      </c>
      <c r="N581" s="1">
        <f>YEAR(Table1[[#This Row],[Order_Date]])</f>
        <v>2023</v>
      </c>
      <c r="O581" s="7">
        <f>Table1[[#This Row],[Profit]]/Table1[[#This Row],[Total_Sales]]</f>
        <v>0.49183368495077356</v>
      </c>
    </row>
    <row r="582" spans="1:15" x14ac:dyDescent="0.25">
      <c r="A582" s="1">
        <v>581</v>
      </c>
      <c r="B582" s="2">
        <v>45009</v>
      </c>
      <c r="C582" s="1" t="s">
        <v>16</v>
      </c>
      <c r="D582" s="1" t="s">
        <v>32</v>
      </c>
      <c r="E582" s="1" t="s">
        <v>41</v>
      </c>
      <c r="F582" s="1" t="s">
        <v>15</v>
      </c>
      <c r="G582" s="1">
        <v>8</v>
      </c>
      <c r="H582" s="1">
        <v>180</v>
      </c>
      <c r="I582" s="1">
        <v>5</v>
      </c>
      <c r="J582" s="4">
        <v>1368</v>
      </c>
      <c r="K582" s="4">
        <v>966.93</v>
      </c>
      <c r="L582" s="4">
        <v>401.07</v>
      </c>
      <c r="M582" s="1" t="str">
        <f>TEXT(Table1[[#This Row],[Order_Date]], "MMM")</f>
        <v>Mar</v>
      </c>
      <c r="N582" s="1">
        <f>YEAR(Table1[[#This Row],[Order_Date]])</f>
        <v>2023</v>
      </c>
      <c r="O582" s="7">
        <f>Table1[[#This Row],[Profit]]/Table1[[#This Row],[Total_Sales]]</f>
        <v>0.29317982456140351</v>
      </c>
    </row>
    <row r="583" spans="1:15" x14ac:dyDescent="0.25">
      <c r="A583" s="1">
        <v>582</v>
      </c>
      <c r="B583" s="2">
        <v>45102</v>
      </c>
      <c r="C583" s="1" t="s">
        <v>19</v>
      </c>
      <c r="D583" s="1" t="s">
        <v>22</v>
      </c>
      <c r="E583" s="1" t="s">
        <v>44</v>
      </c>
      <c r="F583" s="1" t="s">
        <v>15</v>
      </c>
      <c r="G583" s="1">
        <v>10</v>
      </c>
      <c r="H583" s="1">
        <v>635</v>
      </c>
      <c r="I583" s="1">
        <v>15</v>
      </c>
      <c r="J583" s="4">
        <v>5397.5</v>
      </c>
      <c r="K583" s="4">
        <v>3889.87</v>
      </c>
      <c r="L583" s="4">
        <v>1507.63</v>
      </c>
      <c r="M583" s="1" t="str">
        <f>TEXT(Table1[[#This Row],[Order_Date]], "MMM")</f>
        <v>Jun</v>
      </c>
      <c r="N583" s="1">
        <f>YEAR(Table1[[#This Row],[Order_Date]])</f>
        <v>2023</v>
      </c>
      <c r="O583" s="7">
        <f>Table1[[#This Row],[Profit]]/Table1[[#This Row],[Total_Sales]]</f>
        <v>0.27932005558128764</v>
      </c>
    </row>
    <row r="584" spans="1:15" x14ac:dyDescent="0.25">
      <c r="A584" s="1">
        <v>583</v>
      </c>
      <c r="B584" s="2">
        <v>45238</v>
      </c>
      <c r="C584" s="1" t="s">
        <v>16</v>
      </c>
      <c r="D584" s="1" t="s">
        <v>26</v>
      </c>
      <c r="E584" s="1" t="s">
        <v>46</v>
      </c>
      <c r="F584" s="1" t="s">
        <v>15</v>
      </c>
      <c r="G584" s="1">
        <v>5</v>
      </c>
      <c r="H584" s="1">
        <v>38</v>
      </c>
      <c r="I584" s="1">
        <v>10</v>
      </c>
      <c r="J584" s="4">
        <v>171</v>
      </c>
      <c r="K584" s="4">
        <v>132.83000000000001</v>
      </c>
      <c r="L584" s="4">
        <v>38.17</v>
      </c>
      <c r="M584" s="1" t="str">
        <f>TEXT(Table1[[#This Row],[Order_Date]], "MMM")</f>
        <v>Nov</v>
      </c>
      <c r="N584" s="1">
        <f>YEAR(Table1[[#This Row],[Order_Date]])</f>
        <v>2023</v>
      </c>
      <c r="O584" s="7">
        <f>Table1[[#This Row],[Profit]]/Table1[[#This Row],[Total_Sales]]</f>
        <v>0.22321637426900587</v>
      </c>
    </row>
    <row r="585" spans="1:15" x14ac:dyDescent="0.25">
      <c r="A585" s="1">
        <v>584</v>
      </c>
      <c r="B585" s="2">
        <v>45096</v>
      </c>
      <c r="C585" s="1" t="s">
        <v>25</v>
      </c>
      <c r="D585" s="1" t="s">
        <v>22</v>
      </c>
      <c r="E585" s="1" t="s">
        <v>23</v>
      </c>
      <c r="F585" s="1" t="s">
        <v>40</v>
      </c>
      <c r="G585" s="1">
        <v>10</v>
      </c>
      <c r="H585" s="1">
        <v>423</v>
      </c>
      <c r="I585" s="1">
        <v>15</v>
      </c>
      <c r="J585" s="4">
        <v>3595.5</v>
      </c>
      <c r="K585" s="4">
        <v>2266.15</v>
      </c>
      <c r="L585" s="4">
        <v>1329.35</v>
      </c>
      <c r="M585" s="1" t="str">
        <f>TEXT(Table1[[#This Row],[Order_Date]], "MMM")</f>
        <v>Jun</v>
      </c>
      <c r="N585" s="1">
        <f>YEAR(Table1[[#This Row],[Order_Date]])</f>
        <v>2023</v>
      </c>
      <c r="O585" s="7">
        <f>Table1[[#This Row],[Profit]]/Table1[[#This Row],[Total_Sales]]</f>
        <v>0.36972604644694756</v>
      </c>
    </row>
    <row r="586" spans="1:15" x14ac:dyDescent="0.25">
      <c r="A586" s="1">
        <v>585</v>
      </c>
      <c r="B586" s="2">
        <v>44979</v>
      </c>
      <c r="C586" s="1" t="s">
        <v>19</v>
      </c>
      <c r="D586" s="1" t="s">
        <v>22</v>
      </c>
      <c r="E586" s="1" t="s">
        <v>44</v>
      </c>
      <c r="F586" s="1" t="s">
        <v>35</v>
      </c>
      <c r="G586" s="1">
        <v>1</v>
      </c>
      <c r="H586" s="1">
        <v>855</v>
      </c>
      <c r="I586" s="1">
        <v>5</v>
      </c>
      <c r="J586" s="4">
        <v>812.25</v>
      </c>
      <c r="K586" s="4">
        <v>408.22</v>
      </c>
      <c r="L586" s="4">
        <v>404.03</v>
      </c>
      <c r="M586" s="1" t="str">
        <f>TEXT(Table1[[#This Row],[Order_Date]], "MMM")</f>
        <v>Feb</v>
      </c>
      <c r="N586" s="1">
        <f>YEAR(Table1[[#This Row],[Order_Date]])</f>
        <v>2023</v>
      </c>
      <c r="O586" s="7">
        <f>Table1[[#This Row],[Profit]]/Table1[[#This Row],[Total_Sales]]</f>
        <v>0.49742074484456755</v>
      </c>
    </row>
    <row r="587" spans="1:15" x14ac:dyDescent="0.25">
      <c r="A587" s="1">
        <v>586</v>
      </c>
      <c r="B587" s="2">
        <v>45162</v>
      </c>
      <c r="C587" s="1" t="s">
        <v>12</v>
      </c>
      <c r="D587" s="1" t="s">
        <v>22</v>
      </c>
      <c r="E587" s="1" t="s">
        <v>44</v>
      </c>
      <c r="F587" s="1" t="s">
        <v>15</v>
      </c>
      <c r="G587" s="1">
        <v>10</v>
      </c>
      <c r="H587" s="1">
        <v>605</v>
      </c>
      <c r="I587" s="1">
        <v>20</v>
      </c>
      <c r="J587" s="4">
        <v>4840</v>
      </c>
      <c r="K587" s="4">
        <v>3855.42</v>
      </c>
      <c r="L587" s="4">
        <v>984.58</v>
      </c>
      <c r="M587" s="1" t="str">
        <f>TEXT(Table1[[#This Row],[Order_Date]], "MMM")</f>
        <v>Aug</v>
      </c>
      <c r="N587" s="1">
        <f>YEAR(Table1[[#This Row],[Order_Date]])</f>
        <v>2023</v>
      </c>
      <c r="O587" s="7">
        <f>Table1[[#This Row],[Profit]]/Table1[[#This Row],[Total_Sales]]</f>
        <v>0.20342561983471075</v>
      </c>
    </row>
    <row r="588" spans="1:15" x14ac:dyDescent="0.25">
      <c r="A588" s="1">
        <v>587</v>
      </c>
      <c r="B588" s="2">
        <v>45246</v>
      </c>
      <c r="C588" s="1" t="s">
        <v>12</v>
      </c>
      <c r="D588" s="1" t="s">
        <v>26</v>
      </c>
      <c r="E588" s="1" t="s">
        <v>27</v>
      </c>
      <c r="F588" s="1" t="s">
        <v>35</v>
      </c>
      <c r="G588" s="1">
        <v>4</v>
      </c>
      <c r="H588" s="1">
        <v>914</v>
      </c>
      <c r="I588" s="1">
        <v>5</v>
      </c>
      <c r="J588" s="4">
        <v>3473.2</v>
      </c>
      <c r="K588" s="4">
        <v>2669</v>
      </c>
      <c r="L588" s="4">
        <v>804.2</v>
      </c>
      <c r="M588" s="1" t="str">
        <f>TEXT(Table1[[#This Row],[Order_Date]], "MMM")</f>
        <v>Nov</v>
      </c>
      <c r="N588" s="1">
        <f>YEAR(Table1[[#This Row],[Order_Date]])</f>
        <v>2023</v>
      </c>
      <c r="O588" s="7">
        <f>Table1[[#This Row],[Profit]]/Table1[[#This Row],[Total_Sales]]</f>
        <v>0.2315443970977773</v>
      </c>
    </row>
    <row r="589" spans="1:15" x14ac:dyDescent="0.25">
      <c r="A589" s="1">
        <v>588</v>
      </c>
      <c r="B589" s="2">
        <v>45442</v>
      </c>
      <c r="C589" s="1" t="s">
        <v>12</v>
      </c>
      <c r="D589" s="1" t="s">
        <v>13</v>
      </c>
      <c r="E589" s="1" t="s">
        <v>14</v>
      </c>
      <c r="F589" s="1" t="s">
        <v>24</v>
      </c>
      <c r="G589" s="1">
        <v>6</v>
      </c>
      <c r="H589" s="1">
        <v>718</v>
      </c>
      <c r="I589" s="1">
        <v>15</v>
      </c>
      <c r="J589" s="4">
        <v>3661.8</v>
      </c>
      <c r="K589" s="4">
        <v>2030.15</v>
      </c>
      <c r="L589" s="4">
        <v>1631.65</v>
      </c>
      <c r="M589" s="1" t="str">
        <f>TEXT(Table1[[#This Row],[Order_Date]], "MMM")</f>
        <v>May</v>
      </c>
      <c r="N589" s="1">
        <f>YEAR(Table1[[#This Row],[Order_Date]])</f>
        <v>2024</v>
      </c>
      <c r="O589" s="7">
        <f>Table1[[#This Row],[Profit]]/Table1[[#This Row],[Total_Sales]]</f>
        <v>0.44558686984543122</v>
      </c>
    </row>
    <row r="590" spans="1:15" x14ac:dyDescent="0.25">
      <c r="A590" s="1">
        <v>589</v>
      </c>
      <c r="B590" s="2">
        <v>44940</v>
      </c>
      <c r="C590" s="1" t="s">
        <v>16</v>
      </c>
      <c r="D590" s="1" t="s">
        <v>32</v>
      </c>
      <c r="E590" s="1" t="s">
        <v>41</v>
      </c>
      <c r="F590" s="1" t="s">
        <v>24</v>
      </c>
      <c r="G590" s="1">
        <v>3</v>
      </c>
      <c r="H590" s="1">
        <v>870</v>
      </c>
      <c r="I590" s="1">
        <v>20</v>
      </c>
      <c r="J590" s="4">
        <v>2088</v>
      </c>
      <c r="K590" s="4">
        <v>1341.47</v>
      </c>
      <c r="L590" s="4">
        <v>746.53</v>
      </c>
      <c r="M590" s="1" t="str">
        <f>TEXT(Table1[[#This Row],[Order_Date]], "MMM")</f>
        <v>Jan</v>
      </c>
      <c r="N590" s="1">
        <f>YEAR(Table1[[#This Row],[Order_Date]])</f>
        <v>2023</v>
      </c>
      <c r="O590" s="7">
        <f>Table1[[#This Row],[Profit]]/Table1[[#This Row],[Total_Sales]]</f>
        <v>0.35753352490421453</v>
      </c>
    </row>
    <row r="591" spans="1:15" x14ac:dyDescent="0.25">
      <c r="A591" s="1">
        <v>590</v>
      </c>
      <c r="B591" s="2">
        <v>45360</v>
      </c>
      <c r="C591" s="1" t="s">
        <v>12</v>
      </c>
      <c r="D591" s="1" t="s">
        <v>26</v>
      </c>
      <c r="E591" s="1" t="s">
        <v>37</v>
      </c>
      <c r="F591" s="1" t="s">
        <v>24</v>
      </c>
      <c r="G591" s="1">
        <v>7</v>
      </c>
      <c r="H591" s="1">
        <v>374</v>
      </c>
      <c r="I591" s="1">
        <v>15</v>
      </c>
      <c r="J591" s="4">
        <v>2225.3000000000002</v>
      </c>
      <c r="K591" s="4">
        <v>1245.08</v>
      </c>
      <c r="L591" s="4">
        <v>980.22</v>
      </c>
      <c r="M591" s="1" t="str">
        <f>TEXT(Table1[[#This Row],[Order_Date]], "MMM")</f>
        <v>Mar</v>
      </c>
      <c r="N591" s="1">
        <f>YEAR(Table1[[#This Row],[Order_Date]])</f>
        <v>2024</v>
      </c>
      <c r="O591" s="7">
        <f>Table1[[#This Row],[Profit]]/Table1[[#This Row],[Total_Sales]]</f>
        <v>0.44048892284186397</v>
      </c>
    </row>
    <row r="592" spans="1:15" x14ac:dyDescent="0.25">
      <c r="A592" s="1">
        <v>591</v>
      </c>
      <c r="B592" s="2">
        <v>45216</v>
      </c>
      <c r="C592" s="1" t="s">
        <v>25</v>
      </c>
      <c r="D592" s="1" t="s">
        <v>13</v>
      </c>
      <c r="E592" s="1" t="s">
        <v>38</v>
      </c>
      <c r="F592" s="1" t="s">
        <v>15</v>
      </c>
      <c r="G592" s="1">
        <v>10</v>
      </c>
      <c r="H592" s="1">
        <v>508</v>
      </c>
      <c r="I592" s="1">
        <v>0</v>
      </c>
      <c r="J592" s="4">
        <v>5080</v>
      </c>
      <c r="K592" s="4">
        <v>3850.86</v>
      </c>
      <c r="L592" s="4">
        <v>1229.1400000000001</v>
      </c>
      <c r="M592" s="1" t="str">
        <f>TEXT(Table1[[#This Row],[Order_Date]], "MMM")</f>
        <v>Oct</v>
      </c>
      <c r="N592" s="1">
        <f>YEAR(Table1[[#This Row],[Order_Date]])</f>
        <v>2023</v>
      </c>
      <c r="O592" s="7">
        <f>Table1[[#This Row],[Profit]]/Table1[[#This Row],[Total_Sales]]</f>
        <v>0.24195669291338584</v>
      </c>
    </row>
    <row r="593" spans="1:15" x14ac:dyDescent="0.25">
      <c r="A593" s="1">
        <v>592</v>
      </c>
      <c r="B593" s="2">
        <v>44927</v>
      </c>
      <c r="C593" s="1" t="s">
        <v>12</v>
      </c>
      <c r="D593" s="1" t="s">
        <v>32</v>
      </c>
      <c r="E593" s="1" t="s">
        <v>41</v>
      </c>
      <c r="F593" s="1" t="s">
        <v>35</v>
      </c>
      <c r="G593" s="1">
        <v>6</v>
      </c>
      <c r="H593" s="1">
        <v>169</v>
      </c>
      <c r="I593" s="1">
        <v>0</v>
      </c>
      <c r="J593" s="4">
        <v>1014</v>
      </c>
      <c r="K593" s="4">
        <v>730.94</v>
      </c>
      <c r="L593" s="4">
        <v>283.06</v>
      </c>
      <c r="M593" s="1" t="str">
        <f>TEXT(Table1[[#This Row],[Order_Date]], "MMM")</f>
        <v>Jan</v>
      </c>
      <c r="N593" s="1">
        <f>YEAR(Table1[[#This Row],[Order_Date]])</f>
        <v>2023</v>
      </c>
      <c r="O593" s="7">
        <f>Table1[[#This Row],[Profit]]/Table1[[#This Row],[Total_Sales]]</f>
        <v>0.27915187376725836</v>
      </c>
    </row>
    <row r="594" spans="1:15" x14ac:dyDescent="0.25">
      <c r="A594" s="1">
        <v>593</v>
      </c>
      <c r="B594" s="2">
        <v>45284</v>
      </c>
      <c r="C594" s="1" t="s">
        <v>25</v>
      </c>
      <c r="D594" s="1" t="s">
        <v>32</v>
      </c>
      <c r="E594" s="1" t="s">
        <v>33</v>
      </c>
      <c r="F594" s="1" t="s">
        <v>35</v>
      </c>
      <c r="G594" s="1">
        <v>9</v>
      </c>
      <c r="H594" s="1">
        <v>264</v>
      </c>
      <c r="I594" s="1">
        <v>0</v>
      </c>
      <c r="J594" s="4">
        <v>2376</v>
      </c>
      <c r="K594" s="4">
        <v>1843.91</v>
      </c>
      <c r="L594" s="4">
        <v>532.09</v>
      </c>
      <c r="M594" s="1" t="str">
        <f>TEXT(Table1[[#This Row],[Order_Date]], "MMM")</f>
        <v>Dec</v>
      </c>
      <c r="N594" s="1">
        <f>YEAR(Table1[[#This Row],[Order_Date]])</f>
        <v>2023</v>
      </c>
      <c r="O594" s="7">
        <f>Table1[[#This Row],[Profit]]/Table1[[#This Row],[Total_Sales]]</f>
        <v>0.22394360269360269</v>
      </c>
    </row>
    <row r="595" spans="1:15" x14ac:dyDescent="0.25">
      <c r="A595" s="1">
        <v>594</v>
      </c>
      <c r="B595" s="2">
        <v>44988</v>
      </c>
      <c r="C595" s="1" t="s">
        <v>25</v>
      </c>
      <c r="D595" s="1" t="s">
        <v>32</v>
      </c>
      <c r="E595" s="1" t="s">
        <v>45</v>
      </c>
      <c r="F595" s="1" t="s">
        <v>18</v>
      </c>
      <c r="G595" s="1">
        <v>7</v>
      </c>
      <c r="H595" s="1">
        <v>915</v>
      </c>
      <c r="I595" s="1">
        <v>20</v>
      </c>
      <c r="J595" s="4">
        <v>5124</v>
      </c>
      <c r="K595" s="4">
        <v>3555.51</v>
      </c>
      <c r="L595" s="4">
        <v>1568.49</v>
      </c>
      <c r="M595" s="1" t="str">
        <f>TEXT(Table1[[#This Row],[Order_Date]], "MMM")</f>
        <v>Mar</v>
      </c>
      <c r="N595" s="1">
        <f>YEAR(Table1[[#This Row],[Order_Date]])</f>
        <v>2023</v>
      </c>
      <c r="O595" s="7">
        <f>Table1[[#This Row],[Profit]]/Table1[[#This Row],[Total_Sales]]</f>
        <v>0.30610655737704917</v>
      </c>
    </row>
    <row r="596" spans="1:15" x14ac:dyDescent="0.25">
      <c r="A596" s="1">
        <v>595</v>
      </c>
      <c r="B596" s="2">
        <v>45505</v>
      </c>
      <c r="C596" s="1" t="s">
        <v>25</v>
      </c>
      <c r="D596" s="1" t="s">
        <v>20</v>
      </c>
      <c r="E596" s="1" t="s">
        <v>43</v>
      </c>
      <c r="F596" s="1" t="s">
        <v>24</v>
      </c>
      <c r="G596" s="1">
        <v>10</v>
      </c>
      <c r="H596" s="1">
        <v>548</v>
      </c>
      <c r="I596" s="1">
        <v>15</v>
      </c>
      <c r="J596" s="4">
        <v>4658</v>
      </c>
      <c r="K596" s="4">
        <v>3301.29</v>
      </c>
      <c r="L596" s="4">
        <v>1356.71</v>
      </c>
      <c r="M596" s="1" t="str">
        <f>TEXT(Table1[[#This Row],[Order_Date]], "MMM")</f>
        <v>Aug</v>
      </c>
      <c r="N596" s="1">
        <f>YEAR(Table1[[#This Row],[Order_Date]])</f>
        <v>2024</v>
      </c>
      <c r="O596" s="7">
        <f>Table1[[#This Row],[Profit]]/Table1[[#This Row],[Total_Sales]]</f>
        <v>0.29126449119793901</v>
      </c>
    </row>
    <row r="597" spans="1:15" x14ac:dyDescent="0.25">
      <c r="A597" s="1">
        <v>596</v>
      </c>
      <c r="B597" s="2">
        <v>45395</v>
      </c>
      <c r="C597" s="1" t="s">
        <v>12</v>
      </c>
      <c r="D597" s="1" t="s">
        <v>32</v>
      </c>
      <c r="E597" s="1" t="s">
        <v>33</v>
      </c>
      <c r="F597" s="1" t="s">
        <v>31</v>
      </c>
      <c r="G597" s="1">
        <v>9</v>
      </c>
      <c r="H597" s="1">
        <v>389</v>
      </c>
      <c r="I597" s="1">
        <v>0</v>
      </c>
      <c r="J597" s="4">
        <v>3501</v>
      </c>
      <c r="K597" s="4">
        <v>2246.37</v>
      </c>
      <c r="L597" s="4">
        <v>1254.6300000000001</v>
      </c>
      <c r="M597" s="1" t="str">
        <f>TEXT(Table1[[#This Row],[Order_Date]], "MMM")</f>
        <v>Apr</v>
      </c>
      <c r="N597" s="1">
        <f>YEAR(Table1[[#This Row],[Order_Date]])</f>
        <v>2024</v>
      </c>
      <c r="O597" s="7">
        <f>Table1[[#This Row],[Profit]]/Table1[[#This Row],[Total_Sales]]</f>
        <v>0.35836332476435306</v>
      </c>
    </row>
    <row r="598" spans="1:15" x14ac:dyDescent="0.25">
      <c r="A598" s="1">
        <v>597</v>
      </c>
      <c r="B598" s="2">
        <v>44949</v>
      </c>
      <c r="C598" s="1" t="s">
        <v>19</v>
      </c>
      <c r="D598" s="1" t="s">
        <v>13</v>
      </c>
      <c r="E598" s="1" t="s">
        <v>39</v>
      </c>
      <c r="F598" s="1" t="s">
        <v>15</v>
      </c>
      <c r="G598" s="1">
        <v>3</v>
      </c>
      <c r="H598" s="1">
        <v>281</v>
      </c>
      <c r="I598" s="1">
        <v>0</v>
      </c>
      <c r="J598" s="4">
        <v>843</v>
      </c>
      <c r="K598" s="4">
        <v>669.62</v>
      </c>
      <c r="L598" s="4">
        <v>173.38</v>
      </c>
      <c r="M598" s="1" t="str">
        <f>TEXT(Table1[[#This Row],[Order_Date]], "MMM")</f>
        <v>Jan</v>
      </c>
      <c r="N598" s="1">
        <f>YEAR(Table1[[#This Row],[Order_Date]])</f>
        <v>2023</v>
      </c>
      <c r="O598" s="7">
        <f>Table1[[#This Row],[Profit]]/Table1[[#This Row],[Total_Sales]]</f>
        <v>0.20567022538552787</v>
      </c>
    </row>
    <row r="599" spans="1:15" x14ac:dyDescent="0.25">
      <c r="A599" s="1">
        <v>598</v>
      </c>
      <c r="B599" s="2">
        <v>45386</v>
      </c>
      <c r="C599" s="1" t="s">
        <v>25</v>
      </c>
      <c r="D599" s="1" t="s">
        <v>22</v>
      </c>
      <c r="E599" s="1" t="s">
        <v>23</v>
      </c>
      <c r="F599" s="1" t="s">
        <v>24</v>
      </c>
      <c r="G599" s="1">
        <v>5</v>
      </c>
      <c r="H599" s="1">
        <v>708</v>
      </c>
      <c r="I599" s="1">
        <v>10</v>
      </c>
      <c r="J599" s="4">
        <v>3186</v>
      </c>
      <c r="K599" s="4">
        <v>1977.92</v>
      </c>
      <c r="L599" s="4">
        <v>1208.08</v>
      </c>
      <c r="M599" s="1" t="str">
        <f>TEXT(Table1[[#This Row],[Order_Date]], "MMM")</f>
        <v>Apr</v>
      </c>
      <c r="N599" s="1">
        <f>YEAR(Table1[[#This Row],[Order_Date]])</f>
        <v>2024</v>
      </c>
      <c r="O599" s="7">
        <f>Table1[[#This Row],[Profit]]/Table1[[#This Row],[Total_Sales]]</f>
        <v>0.37918392969240422</v>
      </c>
    </row>
    <row r="600" spans="1:15" x14ac:dyDescent="0.25">
      <c r="A600" s="1">
        <v>599</v>
      </c>
      <c r="B600" s="2">
        <v>45280</v>
      </c>
      <c r="C600" s="1" t="s">
        <v>19</v>
      </c>
      <c r="D600" s="1" t="s">
        <v>22</v>
      </c>
      <c r="E600" s="1" t="s">
        <v>29</v>
      </c>
      <c r="F600" s="1" t="s">
        <v>31</v>
      </c>
      <c r="G600" s="1">
        <v>10</v>
      </c>
      <c r="H600" s="1">
        <v>974</v>
      </c>
      <c r="I600" s="1">
        <v>15</v>
      </c>
      <c r="J600" s="4">
        <v>8279</v>
      </c>
      <c r="K600" s="4">
        <v>5713.8</v>
      </c>
      <c r="L600" s="4">
        <v>2565.1999999999998</v>
      </c>
      <c r="M600" s="1" t="str">
        <f>TEXT(Table1[[#This Row],[Order_Date]], "MMM")</f>
        <v>Dec</v>
      </c>
      <c r="N600" s="1">
        <f>YEAR(Table1[[#This Row],[Order_Date]])</f>
        <v>2023</v>
      </c>
      <c r="O600" s="7">
        <f>Table1[[#This Row],[Profit]]/Table1[[#This Row],[Total_Sales]]</f>
        <v>0.30984418408020292</v>
      </c>
    </row>
    <row r="601" spans="1:15" x14ac:dyDescent="0.25">
      <c r="A601" s="1">
        <v>600</v>
      </c>
      <c r="B601" s="2">
        <v>45091</v>
      </c>
      <c r="C601" s="1" t="s">
        <v>12</v>
      </c>
      <c r="D601" s="1" t="s">
        <v>22</v>
      </c>
      <c r="E601" s="1" t="s">
        <v>23</v>
      </c>
      <c r="F601" s="1" t="s">
        <v>35</v>
      </c>
      <c r="G601" s="1">
        <v>3</v>
      </c>
      <c r="H601" s="1">
        <v>316</v>
      </c>
      <c r="I601" s="1">
        <v>0</v>
      </c>
      <c r="J601" s="4">
        <v>948</v>
      </c>
      <c r="K601" s="4">
        <v>612.42999999999995</v>
      </c>
      <c r="L601" s="4">
        <v>335.57</v>
      </c>
      <c r="M601" s="1" t="str">
        <f>TEXT(Table1[[#This Row],[Order_Date]], "MMM")</f>
        <v>Jun</v>
      </c>
      <c r="N601" s="1">
        <f>YEAR(Table1[[#This Row],[Order_Date]])</f>
        <v>2023</v>
      </c>
      <c r="O601" s="7">
        <f>Table1[[#This Row],[Profit]]/Table1[[#This Row],[Total_Sales]]</f>
        <v>0.35397679324894515</v>
      </c>
    </row>
    <row r="602" spans="1:15" x14ac:dyDescent="0.25">
      <c r="A602" s="1">
        <v>601</v>
      </c>
      <c r="B602" s="2">
        <v>45490</v>
      </c>
      <c r="C602" s="1" t="s">
        <v>12</v>
      </c>
      <c r="D602" s="1" t="s">
        <v>26</v>
      </c>
      <c r="E602" s="1" t="s">
        <v>37</v>
      </c>
      <c r="F602" s="1" t="s">
        <v>35</v>
      </c>
      <c r="G602" s="1">
        <v>3</v>
      </c>
      <c r="H602" s="1">
        <v>372</v>
      </c>
      <c r="I602" s="1">
        <v>10</v>
      </c>
      <c r="J602" s="4">
        <v>1004.4</v>
      </c>
      <c r="K602" s="4">
        <v>583.15</v>
      </c>
      <c r="L602" s="4">
        <v>421.25</v>
      </c>
      <c r="M602" s="1" t="str">
        <f>TEXT(Table1[[#This Row],[Order_Date]], "MMM")</f>
        <v>Jul</v>
      </c>
      <c r="N602" s="1">
        <f>YEAR(Table1[[#This Row],[Order_Date]])</f>
        <v>2024</v>
      </c>
      <c r="O602" s="7">
        <f>Table1[[#This Row],[Profit]]/Table1[[#This Row],[Total_Sales]]</f>
        <v>0.4194046196734369</v>
      </c>
    </row>
    <row r="603" spans="1:15" x14ac:dyDescent="0.25">
      <c r="A603" s="1">
        <v>602</v>
      </c>
      <c r="B603" s="2">
        <v>45017</v>
      </c>
      <c r="C603" s="1" t="s">
        <v>16</v>
      </c>
      <c r="D603" s="1" t="s">
        <v>13</v>
      </c>
      <c r="E603" s="1" t="s">
        <v>14</v>
      </c>
      <c r="F603" s="1" t="s">
        <v>15</v>
      </c>
      <c r="G603" s="1">
        <v>9</v>
      </c>
      <c r="H603" s="1">
        <v>743</v>
      </c>
      <c r="I603" s="1">
        <v>15</v>
      </c>
      <c r="J603" s="4">
        <v>5683.95</v>
      </c>
      <c r="K603" s="4">
        <v>2982.66</v>
      </c>
      <c r="L603" s="4">
        <v>2701.29</v>
      </c>
      <c r="M603" s="1" t="str">
        <f>TEXT(Table1[[#This Row],[Order_Date]], "MMM")</f>
        <v>Apr</v>
      </c>
      <c r="N603" s="1">
        <f>YEAR(Table1[[#This Row],[Order_Date]])</f>
        <v>2023</v>
      </c>
      <c r="O603" s="7">
        <f>Table1[[#This Row],[Profit]]/Table1[[#This Row],[Total_Sales]]</f>
        <v>0.47524872667775053</v>
      </c>
    </row>
    <row r="604" spans="1:15" x14ac:dyDescent="0.25">
      <c r="A604" s="1">
        <v>603</v>
      </c>
      <c r="B604" s="2">
        <v>45241</v>
      </c>
      <c r="C604" s="1" t="s">
        <v>16</v>
      </c>
      <c r="D604" s="1" t="s">
        <v>13</v>
      </c>
      <c r="E604" s="1" t="s">
        <v>14</v>
      </c>
      <c r="F604" s="1" t="s">
        <v>35</v>
      </c>
      <c r="G604" s="1">
        <v>3</v>
      </c>
      <c r="H604" s="1">
        <v>158</v>
      </c>
      <c r="I604" s="1">
        <v>0</v>
      </c>
      <c r="J604" s="4">
        <v>474</v>
      </c>
      <c r="K604" s="4">
        <v>374.13</v>
      </c>
      <c r="L604" s="4">
        <v>99.87</v>
      </c>
      <c r="M604" s="1" t="str">
        <f>TEXT(Table1[[#This Row],[Order_Date]], "MMM")</f>
        <v>Nov</v>
      </c>
      <c r="N604" s="1">
        <f>YEAR(Table1[[#This Row],[Order_Date]])</f>
        <v>2023</v>
      </c>
      <c r="O604" s="7">
        <f>Table1[[#This Row],[Profit]]/Table1[[#This Row],[Total_Sales]]</f>
        <v>0.21069620253164559</v>
      </c>
    </row>
    <row r="605" spans="1:15" x14ac:dyDescent="0.25">
      <c r="A605" s="1">
        <v>604</v>
      </c>
      <c r="B605" s="2">
        <v>45378</v>
      </c>
      <c r="C605" s="1" t="s">
        <v>12</v>
      </c>
      <c r="D605" s="1" t="s">
        <v>32</v>
      </c>
      <c r="E605" s="1" t="s">
        <v>34</v>
      </c>
      <c r="F605" s="1" t="s">
        <v>24</v>
      </c>
      <c r="G605" s="1">
        <v>9</v>
      </c>
      <c r="H605" s="1">
        <v>841</v>
      </c>
      <c r="I605" s="1">
        <v>15</v>
      </c>
      <c r="J605" s="4">
        <v>6433.65</v>
      </c>
      <c r="K605" s="4">
        <v>5029.42</v>
      </c>
      <c r="L605" s="4">
        <v>1404.23</v>
      </c>
      <c r="M605" s="1" t="str">
        <f>TEXT(Table1[[#This Row],[Order_Date]], "MMM")</f>
        <v>Mar</v>
      </c>
      <c r="N605" s="1">
        <f>YEAR(Table1[[#This Row],[Order_Date]])</f>
        <v>2024</v>
      </c>
      <c r="O605" s="7">
        <f>Table1[[#This Row],[Profit]]/Table1[[#This Row],[Total_Sales]]</f>
        <v>0.21826334973148992</v>
      </c>
    </row>
    <row r="606" spans="1:15" x14ac:dyDescent="0.25">
      <c r="A606" s="1">
        <v>605</v>
      </c>
      <c r="B606" s="2">
        <v>45649</v>
      </c>
      <c r="C606" s="1" t="s">
        <v>12</v>
      </c>
      <c r="D606" s="1" t="s">
        <v>13</v>
      </c>
      <c r="E606" s="1" t="s">
        <v>17</v>
      </c>
      <c r="F606" s="1" t="s">
        <v>18</v>
      </c>
      <c r="G606" s="1">
        <v>5</v>
      </c>
      <c r="H606" s="1">
        <v>376</v>
      </c>
      <c r="I606" s="1">
        <v>15</v>
      </c>
      <c r="J606" s="4">
        <v>1598</v>
      </c>
      <c r="K606" s="4">
        <v>882.23</v>
      </c>
      <c r="L606" s="4">
        <v>715.77</v>
      </c>
      <c r="M606" s="1" t="str">
        <f>TEXT(Table1[[#This Row],[Order_Date]], "MMM")</f>
        <v>Dec</v>
      </c>
      <c r="N606" s="1">
        <f>YEAR(Table1[[#This Row],[Order_Date]])</f>
        <v>2024</v>
      </c>
      <c r="O606" s="7">
        <f>Table1[[#This Row],[Profit]]/Table1[[#This Row],[Total_Sales]]</f>
        <v>0.44791614518147682</v>
      </c>
    </row>
    <row r="607" spans="1:15" x14ac:dyDescent="0.25">
      <c r="A607" s="1">
        <v>606</v>
      </c>
      <c r="B607" s="2">
        <v>45521</v>
      </c>
      <c r="C607" s="1" t="s">
        <v>12</v>
      </c>
      <c r="D607" s="1" t="s">
        <v>13</v>
      </c>
      <c r="E607" s="1" t="s">
        <v>39</v>
      </c>
      <c r="F607" s="1" t="s">
        <v>24</v>
      </c>
      <c r="G607" s="1">
        <v>9</v>
      </c>
      <c r="H607" s="1">
        <v>381</v>
      </c>
      <c r="I607" s="1">
        <v>0</v>
      </c>
      <c r="J607" s="4">
        <v>3429</v>
      </c>
      <c r="K607" s="4">
        <v>2223.42</v>
      </c>
      <c r="L607" s="4">
        <v>1205.58</v>
      </c>
      <c r="M607" s="1" t="str">
        <f>TEXT(Table1[[#This Row],[Order_Date]], "MMM")</f>
        <v>Aug</v>
      </c>
      <c r="N607" s="1">
        <f>YEAR(Table1[[#This Row],[Order_Date]])</f>
        <v>2024</v>
      </c>
      <c r="O607" s="7">
        <f>Table1[[#This Row],[Profit]]/Table1[[#This Row],[Total_Sales]]</f>
        <v>0.35158355205599295</v>
      </c>
    </row>
    <row r="608" spans="1:15" x14ac:dyDescent="0.25">
      <c r="A608" s="1">
        <v>607</v>
      </c>
      <c r="B608" s="2">
        <v>45004</v>
      </c>
      <c r="C608" s="1" t="s">
        <v>12</v>
      </c>
      <c r="D608" s="1" t="s">
        <v>22</v>
      </c>
      <c r="E608" s="1" t="s">
        <v>29</v>
      </c>
      <c r="F608" s="1" t="s">
        <v>31</v>
      </c>
      <c r="G608" s="1">
        <v>2</v>
      </c>
      <c r="H608" s="1">
        <v>876</v>
      </c>
      <c r="I608" s="1">
        <v>5</v>
      </c>
      <c r="J608" s="4">
        <v>1664.4</v>
      </c>
      <c r="K608" s="4">
        <v>980.78</v>
      </c>
      <c r="L608" s="4">
        <v>683.62</v>
      </c>
      <c r="M608" s="1" t="str">
        <f>TEXT(Table1[[#This Row],[Order_Date]], "MMM")</f>
        <v>Mar</v>
      </c>
      <c r="N608" s="1">
        <f>YEAR(Table1[[#This Row],[Order_Date]])</f>
        <v>2023</v>
      </c>
      <c r="O608" s="7">
        <f>Table1[[#This Row],[Profit]]/Table1[[#This Row],[Total_Sales]]</f>
        <v>0.4107305936073059</v>
      </c>
    </row>
    <row r="609" spans="1:15" x14ac:dyDescent="0.25">
      <c r="A609" s="1">
        <v>608</v>
      </c>
      <c r="B609" s="2">
        <v>45339</v>
      </c>
      <c r="C609" s="1" t="s">
        <v>16</v>
      </c>
      <c r="D609" s="1" t="s">
        <v>22</v>
      </c>
      <c r="E609" s="1" t="s">
        <v>36</v>
      </c>
      <c r="F609" s="1" t="s">
        <v>35</v>
      </c>
      <c r="G609" s="1">
        <v>2</v>
      </c>
      <c r="H609" s="1">
        <v>72</v>
      </c>
      <c r="I609" s="1">
        <v>15</v>
      </c>
      <c r="J609" s="4">
        <v>122.4</v>
      </c>
      <c r="K609" s="4">
        <v>84.48</v>
      </c>
      <c r="L609" s="4">
        <v>37.92</v>
      </c>
      <c r="M609" s="1" t="str">
        <f>TEXT(Table1[[#This Row],[Order_Date]], "MMM")</f>
        <v>Feb</v>
      </c>
      <c r="N609" s="1">
        <f>YEAR(Table1[[#This Row],[Order_Date]])</f>
        <v>2024</v>
      </c>
      <c r="O609" s="7">
        <f>Table1[[#This Row],[Profit]]/Table1[[#This Row],[Total_Sales]]</f>
        <v>0.30980392156862746</v>
      </c>
    </row>
    <row r="610" spans="1:15" x14ac:dyDescent="0.25">
      <c r="A610" s="1">
        <v>609</v>
      </c>
      <c r="B610" s="2">
        <v>45274</v>
      </c>
      <c r="C610" s="1" t="s">
        <v>25</v>
      </c>
      <c r="D610" s="1" t="s">
        <v>13</v>
      </c>
      <c r="E610" s="1" t="s">
        <v>17</v>
      </c>
      <c r="F610" s="1" t="s">
        <v>15</v>
      </c>
      <c r="G610" s="1">
        <v>6</v>
      </c>
      <c r="H610" s="1">
        <v>239</v>
      </c>
      <c r="I610" s="1">
        <v>10</v>
      </c>
      <c r="J610" s="4">
        <v>1290.5999999999999</v>
      </c>
      <c r="K610" s="4">
        <v>905.13</v>
      </c>
      <c r="L610" s="4">
        <v>385.47</v>
      </c>
      <c r="M610" s="1" t="str">
        <f>TEXT(Table1[[#This Row],[Order_Date]], "MMM")</f>
        <v>Dec</v>
      </c>
      <c r="N610" s="1">
        <f>YEAR(Table1[[#This Row],[Order_Date]])</f>
        <v>2023</v>
      </c>
      <c r="O610" s="7">
        <f>Table1[[#This Row],[Profit]]/Table1[[#This Row],[Total_Sales]]</f>
        <v>0.29867503486750352</v>
      </c>
    </row>
    <row r="611" spans="1:15" x14ac:dyDescent="0.25">
      <c r="A611" s="1">
        <v>610</v>
      </c>
      <c r="B611" s="2">
        <v>45492</v>
      </c>
      <c r="C611" s="1" t="s">
        <v>19</v>
      </c>
      <c r="D611" s="1" t="s">
        <v>32</v>
      </c>
      <c r="E611" s="1" t="s">
        <v>33</v>
      </c>
      <c r="F611" s="1" t="s">
        <v>40</v>
      </c>
      <c r="G611" s="1">
        <v>6</v>
      </c>
      <c r="H611" s="1">
        <v>41</v>
      </c>
      <c r="I611" s="1">
        <v>5</v>
      </c>
      <c r="J611" s="4">
        <v>233.7</v>
      </c>
      <c r="K611" s="4">
        <v>156.05000000000001</v>
      </c>
      <c r="L611" s="4">
        <v>77.650000000000006</v>
      </c>
      <c r="M611" s="1" t="str">
        <f>TEXT(Table1[[#This Row],[Order_Date]], "MMM")</f>
        <v>Jul</v>
      </c>
      <c r="N611" s="1">
        <f>YEAR(Table1[[#This Row],[Order_Date]])</f>
        <v>2024</v>
      </c>
      <c r="O611" s="7">
        <f>Table1[[#This Row],[Profit]]/Table1[[#This Row],[Total_Sales]]</f>
        <v>0.3322635857937527</v>
      </c>
    </row>
    <row r="612" spans="1:15" x14ac:dyDescent="0.25">
      <c r="A612" s="1">
        <v>611</v>
      </c>
      <c r="B612" s="2">
        <v>44999</v>
      </c>
      <c r="C612" s="1" t="s">
        <v>12</v>
      </c>
      <c r="D612" s="1" t="s">
        <v>20</v>
      </c>
      <c r="E612" s="1" t="s">
        <v>30</v>
      </c>
      <c r="F612" s="1" t="s">
        <v>35</v>
      </c>
      <c r="G612" s="1">
        <v>5</v>
      </c>
      <c r="H612" s="1">
        <v>254</v>
      </c>
      <c r="I612" s="1">
        <v>5</v>
      </c>
      <c r="J612" s="4">
        <v>1206.5</v>
      </c>
      <c r="K612" s="4">
        <v>852.5</v>
      </c>
      <c r="L612" s="4">
        <v>354</v>
      </c>
      <c r="M612" s="1" t="str">
        <f>TEXT(Table1[[#This Row],[Order_Date]], "MMM")</f>
        <v>Mar</v>
      </c>
      <c r="N612" s="1">
        <f>YEAR(Table1[[#This Row],[Order_Date]])</f>
        <v>2023</v>
      </c>
      <c r="O612" s="7">
        <f>Table1[[#This Row],[Profit]]/Table1[[#This Row],[Total_Sales]]</f>
        <v>0.29341069208454207</v>
      </c>
    </row>
    <row r="613" spans="1:15" x14ac:dyDescent="0.25">
      <c r="A613" s="1">
        <v>612</v>
      </c>
      <c r="B613" s="2">
        <v>45082</v>
      </c>
      <c r="C613" s="1" t="s">
        <v>16</v>
      </c>
      <c r="D613" s="1" t="s">
        <v>22</v>
      </c>
      <c r="E613" s="1" t="s">
        <v>36</v>
      </c>
      <c r="F613" s="1" t="s">
        <v>31</v>
      </c>
      <c r="G613" s="1">
        <v>5</v>
      </c>
      <c r="H613" s="1">
        <v>731</v>
      </c>
      <c r="I613" s="1">
        <v>5</v>
      </c>
      <c r="J613" s="4">
        <v>3472.25</v>
      </c>
      <c r="K613" s="4">
        <v>1824.43</v>
      </c>
      <c r="L613" s="4">
        <v>1647.82</v>
      </c>
      <c r="M613" s="1" t="str">
        <f>TEXT(Table1[[#This Row],[Order_Date]], "MMM")</f>
        <v>Jun</v>
      </c>
      <c r="N613" s="1">
        <f>YEAR(Table1[[#This Row],[Order_Date]])</f>
        <v>2023</v>
      </c>
      <c r="O613" s="7">
        <f>Table1[[#This Row],[Profit]]/Table1[[#This Row],[Total_Sales]]</f>
        <v>0.47456836345309233</v>
      </c>
    </row>
    <row r="614" spans="1:15" x14ac:dyDescent="0.25">
      <c r="A614" s="1">
        <v>613</v>
      </c>
      <c r="B614" s="2">
        <v>45334</v>
      </c>
      <c r="C614" s="1" t="s">
        <v>16</v>
      </c>
      <c r="D614" s="1" t="s">
        <v>22</v>
      </c>
      <c r="E614" s="1" t="s">
        <v>29</v>
      </c>
      <c r="F614" s="1" t="s">
        <v>18</v>
      </c>
      <c r="G614" s="1">
        <v>1</v>
      </c>
      <c r="H614" s="1">
        <v>508</v>
      </c>
      <c r="I614" s="1">
        <v>20</v>
      </c>
      <c r="J614" s="4">
        <v>406.4</v>
      </c>
      <c r="K614" s="4">
        <v>225.86</v>
      </c>
      <c r="L614" s="4">
        <v>180.54</v>
      </c>
      <c r="M614" s="1" t="str">
        <f>TEXT(Table1[[#This Row],[Order_Date]], "MMM")</f>
        <v>Feb</v>
      </c>
      <c r="N614" s="1">
        <f>YEAR(Table1[[#This Row],[Order_Date]])</f>
        <v>2024</v>
      </c>
      <c r="O614" s="7">
        <f>Table1[[#This Row],[Profit]]/Table1[[#This Row],[Total_Sales]]</f>
        <v>0.444242125984252</v>
      </c>
    </row>
    <row r="615" spans="1:15" x14ac:dyDescent="0.25">
      <c r="A615" s="1">
        <v>614</v>
      </c>
      <c r="B615" s="2">
        <v>45453</v>
      </c>
      <c r="C615" s="1" t="s">
        <v>16</v>
      </c>
      <c r="D615" s="1" t="s">
        <v>32</v>
      </c>
      <c r="E615" s="1" t="s">
        <v>41</v>
      </c>
      <c r="F615" s="1" t="s">
        <v>31</v>
      </c>
      <c r="G615" s="1">
        <v>7</v>
      </c>
      <c r="H615" s="1">
        <v>855</v>
      </c>
      <c r="I615" s="1">
        <v>5</v>
      </c>
      <c r="J615" s="4">
        <v>5685.75</v>
      </c>
      <c r="K615" s="4">
        <v>3940.18</v>
      </c>
      <c r="L615" s="4">
        <v>1745.57</v>
      </c>
      <c r="M615" s="1" t="str">
        <f>TEXT(Table1[[#This Row],[Order_Date]], "MMM")</f>
        <v>Jun</v>
      </c>
      <c r="N615" s="1">
        <f>YEAR(Table1[[#This Row],[Order_Date]])</f>
        <v>2024</v>
      </c>
      <c r="O615" s="7">
        <f>Table1[[#This Row],[Profit]]/Table1[[#This Row],[Total_Sales]]</f>
        <v>0.30700787055357692</v>
      </c>
    </row>
    <row r="616" spans="1:15" x14ac:dyDescent="0.25">
      <c r="A616" s="1">
        <v>615</v>
      </c>
      <c r="B616" s="2">
        <v>45377</v>
      </c>
      <c r="C616" s="1" t="s">
        <v>25</v>
      </c>
      <c r="D616" s="1" t="s">
        <v>22</v>
      </c>
      <c r="E616" s="1" t="s">
        <v>29</v>
      </c>
      <c r="F616" s="1" t="s">
        <v>31</v>
      </c>
      <c r="G616" s="1">
        <v>2</v>
      </c>
      <c r="H616" s="1">
        <v>980</v>
      </c>
      <c r="I616" s="1">
        <v>5</v>
      </c>
      <c r="J616" s="4">
        <v>1862</v>
      </c>
      <c r="K616" s="4">
        <v>1088.3599999999999</v>
      </c>
      <c r="L616" s="4">
        <v>773.64</v>
      </c>
      <c r="M616" s="1" t="str">
        <f>TEXT(Table1[[#This Row],[Order_Date]], "MMM")</f>
        <v>Mar</v>
      </c>
      <c r="N616" s="1">
        <f>YEAR(Table1[[#This Row],[Order_Date]])</f>
        <v>2024</v>
      </c>
      <c r="O616" s="7">
        <f>Table1[[#This Row],[Profit]]/Table1[[#This Row],[Total_Sales]]</f>
        <v>0.4154887218045113</v>
      </c>
    </row>
    <row r="617" spans="1:15" x14ac:dyDescent="0.25">
      <c r="A617" s="1">
        <v>616</v>
      </c>
      <c r="B617" s="2">
        <v>45459</v>
      </c>
      <c r="C617" s="1" t="s">
        <v>25</v>
      </c>
      <c r="D617" s="1" t="s">
        <v>13</v>
      </c>
      <c r="E617" s="1" t="s">
        <v>14</v>
      </c>
      <c r="F617" s="1" t="s">
        <v>24</v>
      </c>
      <c r="G617" s="1">
        <v>8</v>
      </c>
      <c r="H617" s="1">
        <v>122</v>
      </c>
      <c r="I617" s="1">
        <v>20</v>
      </c>
      <c r="J617" s="4">
        <v>780.8</v>
      </c>
      <c r="K617" s="4">
        <v>587.65</v>
      </c>
      <c r="L617" s="4">
        <v>193.15</v>
      </c>
      <c r="M617" s="1" t="str">
        <f>TEXT(Table1[[#This Row],[Order_Date]], "MMM")</f>
        <v>Jun</v>
      </c>
      <c r="N617" s="1">
        <f>YEAR(Table1[[#This Row],[Order_Date]])</f>
        <v>2024</v>
      </c>
      <c r="O617" s="7">
        <f>Table1[[#This Row],[Profit]]/Table1[[#This Row],[Total_Sales]]</f>
        <v>0.24737448770491804</v>
      </c>
    </row>
    <row r="618" spans="1:15" x14ac:dyDescent="0.25">
      <c r="A618" s="1">
        <v>617</v>
      </c>
      <c r="B618" s="2">
        <v>45307</v>
      </c>
      <c r="C618" s="1" t="s">
        <v>12</v>
      </c>
      <c r="D618" s="1" t="s">
        <v>26</v>
      </c>
      <c r="E618" s="1" t="s">
        <v>27</v>
      </c>
      <c r="F618" s="1" t="s">
        <v>24</v>
      </c>
      <c r="G618" s="1">
        <v>1</v>
      </c>
      <c r="H618" s="1">
        <v>473</v>
      </c>
      <c r="I618" s="1">
        <v>15</v>
      </c>
      <c r="J618" s="4">
        <v>402.05</v>
      </c>
      <c r="K618" s="4">
        <v>293.33</v>
      </c>
      <c r="L618" s="4">
        <v>108.72</v>
      </c>
      <c r="M618" s="1" t="str">
        <f>TEXT(Table1[[#This Row],[Order_Date]], "MMM")</f>
        <v>Jan</v>
      </c>
      <c r="N618" s="1">
        <f>YEAR(Table1[[#This Row],[Order_Date]])</f>
        <v>2024</v>
      </c>
      <c r="O618" s="7">
        <f>Table1[[#This Row],[Profit]]/Table1[[#This Row],[Total_Sales]]</f>
        <v>0.27041412759607014</v>
      </c>
    </row>
    <row r="619" spans="1:15" x14ac:dyDescent="0.25">
      <c r="A619" s="1">
        <v>618</v>
      </c>
      <c r="B619" s="2">
        <v>45374</v>
      </c>
      <c r="C619" s="1" t="s">
        <v>16</v>
      </c>
      <c r="D619" s="1" t="s">
        <v>32</v>
      </c>
      <c r="E619" s="1" t="s">
        <v>33</v>
      </c>
      <c r="F619" s="1" t="s">
        <v>40</v>
      </c>
      <c r="G619" s="1">
        <v>7</v>
      </c>
      <c r="H619" s="1">
        <v>236</v>
      </c>
      <c r="I619" s="1">
        <v>0</v>
      </c>
      <c r="J619" s="4">
        <v>1652</v>
      </c>
      <c r="K619" s="4">
        <v>1215.42</v>
      </c>
      <c r="L619" s="4">
        <v>436.58</v>
      </c>
      <c r="M619" s="1" t="str">
        <f>TEXT(Table1[[#This Row],[Order_Date]], "MMM")</f>
        <v>Mar</v>
      </c>
      <c r="N619" s="1">
        <f>YEAR(Table1[[#This Row],[Order_Date]])</f>
        <v>2024</v>
      </c>
      <c r="O619" s="7">
        <f>Table1[[#This Row],[Profit]]/Table1[[#This Row],[Total_Sales]]</f>
        <v>0.26427360774818404</v>
      </c>
    </row>
    <row r="620" spans="1:15" x14ac:dyDescent="0.25">
      <c r="A620" s="1">
        <v>619</v>
      </c>
      <c r="B620" s="2">
        <v>45444</v>
      </c>
      <c r="C620" s="1" t="s">
        <v>12</v>
      </c>
      <c r="D620" s="1" t="s">
        <v>26</v>
      </c>
      <c r="E620" s="1" t="s">
        <v>27</v>
      </c>
      <c r="F620" s="1" t="s">
        <v>31</v>
      </c>
      <c r="G620" s="1">
        <v>4</v>
      </c>
      <c r="H620" s="1">
        <v>222</v>
      </c>
      <c r="I620" s="1">
        <v>0</v>
      </c>
      <c r="J620" s="4">
        <v>888</v>
      </c>
      <c r="K620" s="4">
        <v>597.21</v>
      </c>
      <c r="L620" s="4">
        <v>290.79000000000002</v>
      </c>
      <c r="M620" s="1" t="str">
        <f>TEXT(Table1[[#This Row],[Order_Date]], "MMM")</f>
        <v>Jun</v>
      </c>
      <c r="N620" s="1">
        <f>YEAR(Table1[[#This Row],[Order_Date]])</f>
        <v>2024</v>
      </c>
      <c r="O620" s="7">
        <f>Table1[[#This Row],[Profit]]/Table1[[#This Row],[Total_Sales]]</f>
        <v>0.32746621621621624</v>
      </c>
    </row>
    <row r="621" spans="1:15" x14ac:dyDescent="0.25">
      <c r="A621" s="1">
        <v>620</v>
      </c>
      <c r="B621" s="2">
        <v>45402</v>
      </c>
      <c r="C621" s="1" t="s">
        <v>16</v>
      </c>
      <c r="D621" s="1" t="s">
        <v>13</v>
      </c>
      <c r="E621" s="1" t="s">
        <v>14</v>
      </c>
      <c r="F621" s="1" t="s">
        <v>31</v>
      </c>
      <c r="G621" s="1">
        <v>4</v>
      </c>
      <c r="H621" s="1">
        <v>660</v>
      </c>
      <c r="I621" s="1">
        <v>5</v>
      </c>
      <c r="J621" s="4">
        <v>2508</v>
      </c>
      <c r="K621" s="4">
        <v>1327</v>
      </c>
      <c r="L621" s="4">
        <v>1181</v>
      </c>
      <c r="M621" s="1" t="str">
        <f>TEXT(Table1[[#This Row],[Order_Date]], "MMM")</f>
        <v>Apr</v>
      </c>
      <c r="N621" s="1">
        <f>YEAR(Table1[[#This Row],[Order_Date]])</f>
        <v>2024</v>
      </c>
      <c r="O621" s="7">
        <f>Table1[[#This Row],[Profit]]/Table1[[#This Row],[Total_Sales]]</f>
        <v>0.47089314194577353</v>
      </c>
    </row>
    <row r="622" spans="1:15" x14ac:dyDescent="0.25">
      <c r="A622" s="1">
        <v>621</v>
      </c>
      <c r="B622" s="2">
        <v>45540</v>
      </c>
      <c r="C622" s="1" t="s">
        <v>25</v>
      </c>
      <c r="D622" s="1" t="s">
        <v>20</v>
      </c>
      <c r="E622" s="1" t="s">
        <v>43</v>
      </c>
      <c r="F622" s="1" t="s">
        <v>24</v>
      </c>
      <c r="G622" s="1">
        <v>9</v>
      </c>
      <c r="H622" s="1">
        <v>14</v>
      </c>
      <c r="I622" s="1">
        <v>20</v>
      </c>
      <c r="J622" s="4">
        <v>100.8</v>
      </c>
      <c r="K622" s="4">
        <v>75.680000000000007</v>
      </c>
      <c r="L622" s="4">
        <v>25.12</v>
      </c>
      <c r="M622" s="1" t="str">
        <f>TEXT(Table1[[#This Row],[Order_Date]], "MMM")</f>
        <v>Sep</v>
      </c>
      <c r="N622" s="1">
        <f>YEAR(Table1[[#This Row],[Order_Date]])</f>
        <v>2024</v>
      </c>
      <c r="O622" s="7">
        <f>Table1[[#This Row],[Profit]]/Table1[[#This Row],[Total_Sales]]</f>
        <v>0.24920634920634924</v>
      </c>
    </row>
    <row r="623" spans="1:15" x14ac:dyDescent="0.25">
      <c r="A623" s="1">
        <v>622</v>
      </c>
      <c r="B623" s="2">
        <v>44972</v>
      </c>
      <c r="C623" s="1" t="s">
        <v>25</v>
      </c>
      <c r="D623" s="1" t="s">
        <v>13</v>
      </c>
      <c r="E623" s="1" t="s">
        <v>38</v>
      </c>
      <c r="F623" s="1" t="s">
        <v>24</v>
      </c>
      <c r="G623" s="1">
        <v>7</v>
      </c>
      <c r="H623" s="1">
        <v>475</v>
      </c>
      <c r="I623" s="1">
        <v>0</v>
      </c>
      <c r="J623" s="4">
        <v>3325</v>
      </c>
      <c r="K623" s="4">
        <v>2193.17</v>
      </c>
      <c r="L623" s="4">
        <v>1131.83</v>
      </c>
      <c r="M623" s="1" t="str">
        <f>TEXT(Table1[[#This Row],[Order_Date]], "MMM")</f>
        <v>Feb</v>
      </c>
      <c r="N623" s="1">
        <f>YEAR(Table1[[#This Row],[Order_Date]])</f>
        <v>2023</v>
      </c>
      <c r="O623" s="7">
        <f>Table1[[#This Row],[Profit]]/Table1[[#This Row],[Total_Sales]]</f>
        <v>0.34039999999999998</v>
      </c>
    </row>
    <row r="624" spans="1:15" x14ac:dyDescent="0.25">
      <c r="A624" s="1">
        <v>623</v>
      </c>
      <c r="B624" s="2">
        <v>44966</v>
      </c>
      <c r="C624" s="1" t="s">
        <v>12</v>
      </c>
      <c r="D624" s="1" t="s">
        <v>13</v>
      </c>
      <c r="E624" s="1" t="s">
        <v>17</v>
      </c>
      <c r="F624" s="1" t="s">
        <v>18</v>
      </c>
      <c r="G624" s="1">
        <v>7</v>
      </c>
      <c r="H624" s="1">
        <v>633</v>
      </c>
      <c r="I624" s="1">
        <v>10</v>
      </c>
      <c r="J624" s="4">
        <v>3987.9</v>
      </c>
      <c r="K624" s="4">
        <v>2233.9299999999998</v>
      </c>
      <c r="L624" s="4">
        <v>1753.97</v>
      </c>
      <c r="M624" s="1" t="str">
        <f>TEXT(Table1[[#This Row],[Order_Date]], "MMM")</f>
        <v>Feb</v>
      </c>
      <c r="N624" s="1">
        <f>YEAR(Table1[[#This Row],[Order_Date]])</f>
        <v>2023</v>
      </c>
      <c r="O624" s="7">
        <f>Table1[[#This Row],[Profit]]/Table1[[#This Row],[Total_Sales]]</f>
        <v>0.43982296446751423</v>
      </c>
    </row>
    <row r="625" spans="1:15" x14ac:dyDescent="0.25">
      <c r="A625" s="1">
        <v>624</v>
      </c>
      <c r="B625" s="2">
        <v>45376</v>
      </c>
      <c r="C625" s="1" t="s">
        <v>25</v>
      </c>
      <c r="D625" s="1" t="s">
        <v>20</v>
      </c>
      <c r="E625" s="1" t="s">
        <v>21</v>
      </c>
      <c r="F625" s="1" t="s">
        <v>35</v>
      </c>
      <c r="G625" s="1">
        <v>10</v>
      </c>
      <c r="H625" s="1">
        <v>50</v>
      </c>
      <c r="I625" s="1">
        <v>0</v>
      </c>
      <c r="J625" s="4">
        <v>500</v>
      </c>
      <c r="K625" s="4">
        <v>331.3</v>
      </c>
      <c r="L625" s="4">
        <v>168.7</v>
      </c>
      <c r="M625" s="1" t="str">
        <f>TEXT(Table1[[#This Row],[Order_Date]], "MMM")</f>
        <v>Mar</v>
      </c>
      <c r="N625" s="1">
        <f>YEAR(Table1[[#This Row],[Order_Date]])</f>
        <v>2024</v>
      </c>
      <c r="O625" s="7">
        <f>Table1[[#This Row],[Profit]]/Table1[[#This Row],[Total_Sales]]</f>
        <v>0.33739999999999998</v>
      </c>
    </row>
    <row r="626" spans="1:15" x14ac:dyDescent="0.25">
      <c r="A626" s="1">
        <v>625</v>
      </c>
      <c r="B626" s="2">
        <v>45637</v>
      </c>
      <c r="C626" s="1" t="s">
        <v>12</v>
      </c>
      <c r="D626" s="1" t="s">
        <v>26</v>
      </c>
      <c r="E626" s="1" t="s">
        <v>42</v>
      </c>
      <c r="F626" s="1" t="s">
        <v>40</v>
      </c>
      <c r="G626" s="1">
        <v>1</v>
      </c>
      <c r="H626" s="1">
        <v>127</v>
      </c>
      <c r="I626" s="1">
        <v>5</v>
      </c>
      <c r="J626" s="4">
        <v>120.65</v>
      </c>
      <c r="K626" s="4">
        <v>71.22</v>
      </c>
      <c r="L626" s="4">
        <v>49.43</v>
      </c>
      <c r="M626" s="1" t="str">
        <f>TEXT(Table1[[#This Row],[Order_Date]], "MMM")</f>
        <v>Dec</v>
      </c>
      <c r="N626" s="1">
        <f>YEAR(Table1[[#This Row],[Order_Date]])</f>
        <v>2024</v>
      </c>
      <c r="O626" s="7">
        <f>Table1[[#This Row],[Profit]]/Table1[[#This Row],[Total_Sales]]</f>
        <v>0.40969747202652296</v>
      </c>
    </row>
    <row r="627" spans="1:15" x14ac:dyDescent="0.25">
      <c r="A627" s="1">
        <v>626</v>
      </c>
      <c r="B627" s="2">
        <v>45105</v>
      </c>
      <c r="C627" s="1" t="s">
        <v>25</v>
      </c>
      <c r="D627" s="1" t="s">
        <v>13</v>
      </c>
      <c r="E627" s="1" t="s">
        <v>39</v>
      </c>
      <c r="F627" s="1" t="s">
        <v>35</v>
      </c>
      <c r="G627" s="1">
        <v>8</v>
      </c>
      <c r="H627" s="1">
        <v>79</v>
      </c>
      <c r="I627" s="1">
        <v>5</v>
      </c>
      <c r="J627" s="4">
        <v>600.4</v>
      </c>
      <c r="K627" s="4">
        <v>329.46</v>
      </c>
      <c r="L627" s="4">
        <v>270.94</v>
      </c>
      <c r="M627" s="1" t="str">
        <f>TEXT(Table1[[#This Row],[Order_Date]], "MMM")</f>
        <v>Jun</v>
      </c>
      <c r="N627" s="1">
        <f>YEAR(Table1[[#This Row],[Order_Date]])</f>
        <v>2023</v>
      </c>
      <c r="O627" s="7">
        <f>Table1[[#This Row],[Profit]]/Table1[[#This Row],[Total_Sales]]</f>
        <v>0.45126582278481014</v>
      </c>
    </row>
    <row r="628" spans="1:15" x14ac:dyDescent="0.25">
      <c r="A628" s="1">
        <v>627</v>
      </c>
      <c r="B628" s="2">
        <v>44951</v>
      </c>
      <c r="C628" s="1" t="s">
        <v>12</v>
      </c>
      <c r="D628" s="1" t="s">
        <v>13</v>
      </c>
      <c r="E628" s="1" t="s">
        <v>14</v>
      </c>
      <c r="F628" s="1" t="s">
        <v>31</v>
      </c>
      <c r="G628" s="1">
        <v>6</v>
      </c>
      <c r="H628" s="1">
        <v>721</v>
      </c>
      <c r="I628" s="1">
        <v>0</v>
      </c>
      <c r="J628" s="4">
        <v>4326</v>
      </c>
      <c r="K628" s="4">
        <v>2486.0100000000002</v>
      </c>
      <c r="L628" s="4">
        <v>1839.99</v>
      </c>
      <c r="M628" s="1" t="str">
        <f>TEXT(Table1[[#This Row],[Order_Date]], "MMM")</f>
        <v>Jan</v>
      </c>
      <c r="N628" s="1">
        <f>YEAR(Table1[[#This Row],[Order_Date]])</f>
        <v>2023</v>
      </c>
      <c r="O628" s="7">
        <f>Table1[[#This Row],[Profit]]/Table1[[#This Row],[Total_Sales]]</f>
        <v>0.42533287101248268</v>
      </c>
    </row>
    <row r="629" spans="1:15" x14ac:dyDescent="0.25">
      <c r="A629" s="1">
        <v>628</v>
      </c>
      <c r="B629" s="2">
        <v>44930</v>
      </c>
      <c r="C629" s="1" t="s">
        <v>25</v>
      </c>
      <c r="D629" s="1" t="s">
        <v>32</v>
      </c>
      <c r="E629" s="1" t="s">
        <v>34</v>
      </c>
      <c r="F629" s="1" t="s">
        <v>31</v>
      </c>
      <c r="G629" s="1">
        <v>6</v>
      </c>
      <c r="H629" s="1">
        <v>547</v>
      </c>
      <c r="I629" s="1">
        <v>20</v>
      </c>
      <c r="J629" s="4">
        <v>2625.6</v>
      </c>
      <c r="K629" s="4">
        <v>2048.23</v>
      </c>
      <c r="L629" s="4">
        <v>577.37</v>
      </c>
      <c r="M629" s="1" t="str">
        <f>TEXT(Table1[[#This Row],[Order_Date]], "MMM")</f>
        <v>Jan</v>
      </c>
      <c r="N629" s="1">
        <f>YEAR(Table1[[#This Row],[Order_Date]])</f>
        <v>2023</v>
      </c>
      <c r="O629" s="7">
        <f>Table1[[#This Row],[Profit]]/Table1[[#This Row],[Total_Sales]]</f>
        <v>0.21990021328458259</v>
      </c>
    </row>
    <row r="630" spans="1:15" x14ac:dyDescent="0.25">
      <c r="A630" s="1">
        <v>629</v>
      </c>
      <c r="B630" s="2">
        <v>45330</v>
      </c>
      <c r="C630" s="1" t="s">
        <v>16</v>
      </c>
      <c r="D630" s="1" t="s">
        <v>22</v>
      </c>
      <c r="E630" s="1" t="s">
        <v>23</v>
      </c>
      <c r="F630" s="1" t="s">
        <v>18</v>
      </c>
      <c r="G630" s="1">
        <v>5</v>
      </c>
      <c r="H630" s="1">
        <v>291</v>
      </c>
      <c r="I630" s="1">
        <v>5</v>
      </c>
      <c r="J630" s="4">
        <v>1382.25</v>
      </c>
      <c r="K630" s="4">
        <v>855.49</v>
      </c>
      <c r="L630" s="4">
        <v>526.76</v>
      </c>
      <c r="M630" s="1" t="str">
        <f>TEXT(Table1[[#This Row],[Order_Date]], "MMM")</f>
        <v>Feb</v>
      </c>
      <c r="N630" s="1">
        <f>YEAR(Table1[[#This Row],[Order_Date]])</f>
        <v>2024</v>
      </c>
      <c r="O630" s="7">
        <f>Table1[[#This Row],[Profit]]/Table1[[#This Row],[Total_Sales]]</f>
        <v>0.38108880448544041</v>
      </c>
    </row>
    <row r="631" spans="1:15" x14ac:dyDescent="0.25">
      <c r="A631" s="1">
        <v>630</v>
      </c>
      <c r="B631" s="2">
        <v>45170</v>
      </c>
      <c r="C631" s="1" t="s">
        <v>19</v>
      </c>
      <c r="D631" s="1" t="s">
        <v>32</v>
      </c>
      <c r="E631" s="1" t="s">
        <v>34</v>
      </c>
      <c r="F631" s="1" t="s">
        <v>24</v>
      </c>
      <c r="G631" s="1">
        <v>9</v>
      </c>
      <c r="H631" s="1">
        <v>193</v>
      </c>
      <c r="I631" s="1">
        <v>10</v>
      </c>
      <c r="J631" s="4">
        <v>1563.3</v>
      </c>
      <c r="K631" s="4">
        <v>1008.16</v>
      </c>
      <c r="L631" s="4">
        <v>555.14</v>
      </c>
      <c r="M631" s="1" t="str">
        <f>TEXT(Table1[[#This Row],[Order_Date]], "MMM")</f>
        <v>Sep</v>
      </c>
      <c r="N631" s="1">
        <f>YEAR(Table1[[#This Row],[Order_Date]])</f>
        <v>2023</v>
      </c>
      <c r="O631" s="7">
        <f>Table1[[#This Row],[Profit]]/Table1[[#This Row],[Total_Sales]]</f>
        <v>0.35510778481417515</v>
      </c>
    </row>
    <row r="632" spans="1:15" x14ac:dyDescent="0.25">
      <c r="A632" s="1">
        <v>631</v>
      </c>
      <c r="B632" s="2">
        <v>45470</v>
      </c>
      <c r="C632" s="1" t="s">
        <v>16</v>
      </c>
      <c r="D632" s="1" t="s">
        <v>13</v>
      </c>
      <c r="E632" s="1" t="s">
        <v>14</v>
      </c>
      <c r="F632" s="1" t="s">
        <v>18</v>
      </c>
      <c r="G632" s="1">
        <v>1</v>
      </c>
      <c r="H632" s="1">
        <v>467</v>
      </c>
      <c r="I632" s="1">
        <v>15</v>
      </c>
      <c r="J632" s="4">
        <v>396.95</v>
      </c>
      <c r="K632" s="4">
        <v>288.27999999999997</v>
      </c>
      <c r="L632" s="4">
        <v>108.67</v>
      </c>
      <c r="M632" s="1" t="str">
        <f>TEXT(Table1[[#This Row],[Order_Date]], "MMM")</f>
        <v>Jun</v>
      </c>
      <c r="N632" s="1">
        <f>YEAR(Table1[[#This Row],[Order_Date]])</f>
        <v>2024</v>
      </c>
      <c r="O632" s="7">
        <f>Table1[[#This Row],[Profit]]/Table1[[#This Row],[Total_Sales]]</f>
        <v>0.2737624385942814</v>
      </c>
    </row>
    <row r="633" spans="1:15" x14ac:dyDescent="0.25">
      <c r="A633" s="1">
        <v>632</v>
      </c>
      <c r="B633" s="2">
        <v>45591</v>
      </c>
      <c r="C633" s="1" t="s">
        <v>19</v>
      </c>
      <c r="D633" s="1" t="s">
        <v>22</v>
      </c>
      <c r="E633" s="1" t="s">
        <v>23</v>
      </c>
      <c r="F633" s="1" t="s">
        <v>15</v>
      </c>
      <c r="G633" s="1">
        <v>10</v>
      </c>
      <c r="H633" s="1">
        <v>323</v>
      </c>
      <c r="I633" s="1">
        <v>10</v>
      </c>
      <c r="J633" s="4">
        <v>2907</v>
      </c>
      <c r="K633" s="4">
        <v>2020.19</v>
      </c>
      <c r="L633" s="4">
        <v>886.81</v>
      </c>
      <c r="M633" s="1" t="str">
        <f>TEXT(Table1[[#This Row],[Order_Date]], "MMM")</f>
        <v>Oct</v>
      </c>
      <c r="N633" s="1">
        <f>YEAR(Table1[[#This Row],[Order_Date]])</f>
        <v>2024</v>
      </c>
      <c r="O633" s="7">
        <f>Table1[[#This Row],[Profit]]/Table1[[#This Row],[Total_Sales]]</f>
        <v>0.30506019951840385</v>
      </c>
    </row>
    <row r="634" spans="1:15" x14ac:dyDescent="0.25">
      <c r="A634" s="1">
        <v>633</v>
      </c>
      <c r="B634" s="2">
        <v>45486</v>
      </c>
      <c r="C634" s="1" t="s">
        <v>12</v>
      </c>
      <c r="D634" s="1" t="s">
        <v>26</v>
      </c>
      <c r="E634" s="1" t="s">
        <v>37</v>
      </c>
      <c r="F634" s="1" t="s">
        <v>40</v>
      </c>
      <c r="G634" s="1">
        <v>8</v>
      </c>
      <c r="H634" s="1">
        <v>416</v>
      </c>
      <c r="I634" s="1">
        <v>0</v>
      </c>
      <c r="J634" s="4">
        <v>3328</v>
      </c>
      <c r="K634" s="4">
        <v>2546.2600000000002</v>
      </c>
      <c r="L634" s="4">
        <v>781.74</v>
      </c>
      <c r="M634" s="1" t="str">
        <f>TEXT(Table1[[#This Row],[Order_Date]], "MMM")</f>
        <v>Jul</v>
      </c>
      <c r="N634" s="1">
        <f>YEAR(Table1[[#This Row],[Order_Date]])</f>
        <v>2024</v>
      </c>
      <c r="O634" s="7">
        <f>Table1[[#This Row],[Profit]]/Table1[[#This Row],[Total_Sales]]</f>
        <v>0.23489783653846155</v>
      </c>
    </row>
    <row r="635" spans="1:15" x14ac:dyDescent="0.25">
      <c r="A635" s="1">
        <v>634</v>
      </c>
      <c r="B635" s="2">
        <v>45657</v>
      </c>
      <c r="C635" s="1" t="s">
        <v>19</v>
      </c>
      <c r="D635" s="1" t="s">
        <v>13</v>
      </c>
      <c r="E635" s="1" t="s">
        <v>17</v>
      </c>
      <c r="F635" s="1" t="s">
        <v>24</v>
      </c>
      <c r="G635" s="1">
        <v>8</v>
      </c>
      <c r="H635" s="1">
        <v>257</v>
      </c>
      <c r="I635" s="1">
        <v>15</v>
      </c>
      <c r="J635" s="4">
        <v>1747.6</v>
      </c>
      <c r="K635" s="4">
        <v>1369</v>
      </c>
      <c r="L635" s="4">
        <v>378.6</v>
      </c>
      <c r="M635" s="1" t="str">
        <f>TEXT(Table1[[#This Row],[Order_Date]], "MMM")</f>
        <v>Dec</v>
      </c>
      <c r="N635" s="1">
        <f>YEAR(Table1[[#This Row],[Order_Date]])</f>
        <v>2024</v>
      </c>
      <c r="O635" s="7">
        <f>Table1[[#This Row],[Profit]]/Table1[[#This Row],[Total_Sales]]</f>
        <v>0.21663996337834748</v>
      </c>
    </row>
    <row r="636" spans="1:15" x14ac:dyDescent="0.25">
      <c r="A636" s="1">
        <v>635</v>
      </c>
      <c r="B636" s="2">
        <v>45509</v>
      </c>
      <c r="C636" s="1" t="s">
        <v>25</v>
      </c>
      <c r="D636" s="1" t="s">
        <v>22</v>
      </c>
      <c r="E636" s="1" t="s">
        <v>29</v>
      </c>
      <c r="F636" s="1" t="s">
        <v>18</v>
      </c>
      <c r="G636" s="1">
        <v>7</v>
      </c>
      <c r="H636" s="1">
        <v>247</v>
      </c>
      <c r="I636" s="1">
        <v>0</v>
      </c>
      <c r="J636" s="4">
        <v>1729</v>
      </c>
      <c r="K636" s="4">
        <v>1166.7</v>
      </c>
      <c r="L636" s="4">
        <v>562.29999999999995</v>
      </c>
      <c r="M636" s="1" t="str">
        <f>TEXT(Table1[[#This Row],[Order_Date]], "MMM")</f>
        <v>Aug</v>
      </c>
      <c r="N636" s="1">
        <f>YEAR(Table1[[#This Row],[Order_Date]])</f>
        <v>2024</v>
      </c>
      <c r="O636" s="7">
        <f>Table1[[#This Row],[Profit]]/Table1[[#This Row],[Total_Sales]]</f>
        <v>0.32521688837478308</v>
      </c>
    </row>
    <row r="637" spans="1:15" x14ac:dyDescent="0.25">
      <c r="A637" s="1">
        <v>636</v>
      </c>
      <c r="B637" s="2">
        <v>45430</v>
      </c>
      <c r="C637" s="1" t="s">
        <v>16</v>
      </c>
      <c r="D637" s="1" t="s">
        <v>22</v>
      </c>
      <c r="E637" s="1" t="s">
        <v>29</v>
      </c>
      <c r="F637" s="1" t="s">
        <v>40</v>
      </c>
      <c r="G637" s="1">
        <v>10</v>
      </c>
      <c r="H637" s="1">
        <v>12</v>
      </c>
      <c r="I637" s="1">
        <v>20</v>
      </c>
      <c r="J637" s="4">
        <v>96</v>
      </c>
      <c r="K637" s="4">
        <v>51.59</v>
      </c>
      <c r="L637" s="4">
        <v>44.41</v>
      </c>
      <c r="M637" s="1" t="str">
        <f>TEXT(Table1[[#This Row],[Order_Date]], "MMM")</f>
        <v>May</v>
      </c>
      <c r="N637" s="1">
        <f>YEAR(Table1[[#This Row],[Order_Date]])</f>
        <v>2024</v>
      </c>
      <c r="O637" s="7">
        <f>Table1[[#This Row],[Profit]]/Table1[[#This Row],[Total_Sales]]</f>
        <v>0.46260416666666665</v>
      </c>
    </row>
    <row r="638" spans="1:15" x14ac:dyDescent="0.25">
      <c r="A638" s="1">
        <v>637</v>
      </c>
      <c r="B638" s="2">
        <v>44957</v>
      </c>
      <c r="C638" s="1" t="s">
        <v>12</v>
      </c>
      <c r="D638" s="1" t="s">
        <v>20</v>
      </c>
      <c r="E638" s="1" t="s">
        <v>21</v>
      </c>
      <c r="F638" s="1" t="s">
        <v>40</v>
      </c>
      <c r="G638" s="1">
        <v>1</v>
      </c>
      <c r="H638" s="1">
        <v>783</v>
      </c>
      <c r="I638" s="1">
        <v>5</v>
      </c>
      <c r="J638" s="4">
        <v>743.85</v>
      </c>
      <c r="K638" s="4">
        <v>419.14</v>
      </c>
      <c r="L638" s="4">
        <v>324.70999999999998</v>
      </c>
      <c r="M638" s="1" t="str">
        <f>TEXT(Table1[[#This Row],[Order_Date]], "MMM")</f>
        <v>Jan</v>
      </c>
      <c r="N638" s="1">
        <f>YEAR(Table1[[#This Row],[Order_Date]])</f>
        <v>2023</v>
      </c>
      <c r="O638" s="7">
        <f>Table1[[#This Row],[Profit]]/Table1[[#This Row],[Total_Sales]]</f>
        <v>0.43652618135376753</v>
      </c>
    </row>
    <row r="639" spans="1:15" x14ac:dyDescent="0.25">
      <c r="A639" s="1">
        <v>638</v>
      </c>
      <c r="B639" s="2">
        <v>45649</v>
      </c>
      <c r="C639" s="1" t="s">
        <v>19</v>
      </c>
      <c r="D639" s="1" t="s">
        <v>13</v>
      </c>
      <c r="E639" s="1" t="s">
        <v>17</v>
      </c>
      <c r="F639" s="1" t="s">
        <v>18</v>
      </c>
      <c r="G639" s="1">
        <v>10</v>
      </c>
      <c r="H639" s="1">
        <v>496</v>
      </c>
      <c r="I639" s="1">
        <v>5</v>
      </c>
      <c r="J639" s="4">
        <v>4712</v>
      </c>
      <c r="K639" s="4">
        <v>3452.58</v>
      </c>
      <c r="L639" s="4">
        <v>1259.42</v>
      </c>
      <c r="M639" s="1" t="str">
        <f>TEXT(Table1[[#This Row],[Order_Date]], "MMM")</f>
        <v>Dec</v>
      </c>
      <c r="N639" s="1">
        <f>YEAR(Table1[[#This Row],[Order_Date]])</f>
        <v>2024</v>
      </c>
      <c r="O639" s="7">
        <f>Table1[[#This Row],[Profit]]/Table1[[#This Row],[Total_Sales]]</f>
        <v>0.26727928692699493</v>
      </c>
    </row>
    <row r="640" spans="1:15" x14ac:dyDescent="0.25">
      <c r="A640" s="1">
        <v>639</v>
      </c>
      <c r="B640" s="2">
        <v>45169</v>
      </c>
      <c r="C640" s="1" t="s">
        <v>25</v>
      </c>
      <c r="D640" s="1" t="s">
        <v>26</v>
      </c>
      <c r="E640" s="1" t="s">
        <v>42</v>
      </c>
      <c r="F640" s="1" t="s">
        <v>40</v>
      </c>
      <c r="G640" s="1">
        <v>2</v>
      </c>
      <c r="H640" s="1">
        <v>390</v>
      </c>
      <c r="I640" s="1">
        <v>5</v>
      </c>
      <c r="J640" s="4">
        <v>741</v>
      </c>
      <c r="K640" s="4">
        <v>486.26</v>
      </c>
      <c r="L640" s="4">
        <v>254.74</v>
      </c>
      <c r="M640" s="1" t="str">
        <f>TEXT(Table1[[#This Row],[Order_Date]], "MMM")</f>
        <v>Aug</v>
      </c>
      <c r="N640" s="1">
        <f>YEAR(Table1[[#This Row],[Order_Date]])</f>
        <v>2023</v>
      </c>
      <c r="O640" s="7">
        <f>Table1[[#This Row],[Profit]]/Table1[[#This Row],[Total_Sales]]</f>
        <v>0.34377867746288798</v>
      </c>
    </row>
    <row r="641" spans="1:15" x14ac:dyDescent="0.25">
      <c r="A641" s="1">
        <v>640</v>
      </c>
      <c r="B641" s="2">
        <v>44944</v>
      </c>
      <c r="C641" s="1" t="s">
        <v>19</v>
      </c>
      <c r="D641" s="1" t="s">
        <v>20</v>
      </c>
      <c r="E641" s="1" t="s">
        <v>30</v>
      </c>
      <c r="F641" s="1" t="s">
        <v>35</v>
      </c>
      <c r="G641" s="1">
        <v>1</v>
      </c>
      <c r="H641" s="1">
        <v>675</v>
      </c>
      <c r="I641" s="1">
        <v>10</v>
      </c>
      <c r="J641" s="4">
        <v>607.5</v>
      </c>
      <c r="K641" s="4">
        <v>319.82</v>
      </c>
      <c r="L641" s="4">
        <v>287.68</v>
      </c>
      <c r="M641" s="1" t="str">
        <f>TEXT(Table1[[#This Row],[Order_Date]], "MMM")</f>
        <v>Jan</v>
      </c>
      <c r="N641" s="1">
        <f>YEAR(Table1[[#This Row],[Order_Date]])</f>
        <v>2023</v>
      </c>
      <c r="O641" s="7">
        <f>Table1[[#This Row],[Profit]]/Table1[[#This Row],[Total_Sales]]</f>
        <v>0.47354732510288067</v>
      </c>
    </row>
    <row r="642" spans="1:15" x14ac:dyDescent="0.25">
      <c r="A642" s="1">
        <v>641</v>
      </c>
      <c r="B642" s="2">
        <v>45325</v>
      </c>
      <c r="C642" s="1" t="s">
        <v>25</v>
      </c>
      <c r="D642" s="1" t="s">
        <v>13</v>
      </c>
      <c r="E642" s="1" t="s">
        <v>17</v>
      </c>
      <c r="F642" s="1" t="s">
        <v>40</v>
      </c>
      <c r="G642" s="1">
        <v>6</v>
      </c>
      <c r="H642" s="1">
        <v>504</v>
      </c>
      <c r="I642" s="1">
        <v>10</v>
      </c>
      <c r="J642" s="4">
        <v>2721.6</v>
      </c>
      <c r="K642" s="4">
        <v>1822.2</v>
      </c>
      <c r="L642" s="4">
        <v>899.4</v>
      </c>
      <c r="M642" s="1" t="str">
        <f>TEXT(Table1[[#This Row],[Order_Date]], "MMM")</f>
        <v>Feb</v>
      </c>
      <c r="N642" s="1">
        <f>YEAR(Table1[[#This Row],[Order_Date]])</f>
        <v>2024</v>
      </c>
      <c r="O642" s="7">
        <f>Table1[[#This Row],[Profit]]/Table1[[#This Row],[Total_Sales]]</f>
        <v>0.33046737213403882</v>
      </c>
    </row>
    <row r="643" spans="1:15" x14ac:dyDescent="0.25">
      <c r="A643" s="1">
        <v>642</v>
      </c>
      <c r="B643" s="2">
        <v>45592</v>
      </c>
      <c r="C643" s="1" t="s">
        <v>16</v>
      </c>
      <c r="D643" s="1" t="s">
        <v>22</v>
      </c>
      <c r="E643" s="1" t="s">
        <v>23</v>
      </c>
      <c r="F643" s="1" t="s">
        <v>15</v>
      </c>
      <c r="G643" s="1">
        <v>6</v>
      </c>
      <c r="H643" s="1">
        <v>159</v>
      </c>
      <c r="I643" s="1">
        <v>15</v>
      </c>
      <c r="J643" s="4">
        <v>810.9</v>
      </c>
      <c r="K643" s="4">
        <v>459.41</v>
      </c>
      <c r="L643" s="4">
        <v>351.49</v>
      </c>
      <c r="M643" s="1" t="str">
        <f>TEXT(Table1[[#This Row],[Order_Date]], "MMM")</f>
        <v>Oct</v>
      </c>
      <c r="N643" s="1">
        <f>YEAR(Table1[[#This Row],[Order_Date]])</f>
        <v>2024</v>
      </c>
      <c r="O643" s="7">
        <f>Table1[[#This Row],[Profit]]/Table1[[#This Row],[Total_Sales]]</f>
        <v>0.43345665310149217</v>
      </c>
    </row>
    <row r="644" spans="1:15" x14ac:dyDescent="0.25">
      <c r="A644" s="1">
        <v>643</v>
      </c>
      <c r="B644" s="2">
        <v>45255</v>
      </c>
      <c r="C644" s="1" t="s">
        <v>25</v>
      </c>
      <c r="D644" s="1" t="s">
        <v>32</v>
      </c>
      <c r="E644" s="1" t="s">
        <v>33</v>
      </c>
      <c r="F644" s="1" t="s">
        <v>24</v>
      </c>
      <c r="G644" s="1">
        <v>4</v>
      </c>
      <c r="H644" s="1">
        <v>416</v>
      </c>
      <c r="I644" s="1">
        <v>20</v>
      </c>
      <c r="J644" s="4">
        <v>1331.2</v>
      </c>
      <c r="K644" s="4">
        <v>796.39</v>
      </c>
      <c r="L644" s="4">
        <v>534.80999999999995</v>
      </c>
      <c r="M644" s="1" t="str">
        <f>TEXT(Table1[[#This Row],[Order_Date]], "MMM")</f>
        <v>Nov</v>
      </c>
      <c r="N644" s="1">
        <f>YEAR(Table1[[#This Row],[Order_Date]])</f>
        <v>2023</v>
      </c>
      <c r="O644" s="7">
        <f>Table1[[#This Row],[Profit]]/Table1[[#This Row],[Total_Sales]]</f>
        <v>0.40175030048076915</v>
      </c>
    </row>
    <row r="645" spans="1:15" x14ac:dyDescent="0.25">
      <c r="A645" s="1">
        <v>644</v>
      </c>
      <c r="B645" s="2">
        <v>45459</v>
      </c>
      <c r="C645" s="1" t="s">
        <v>19</v>
      </c>
      <c r="D645" s="1" t="s">
        <v>13</v>
      </c>
      <c r="E645" s="1" t="s">
        <v>39</v>
      </c>
      <c r="F645" s="1" t="s">
        <v>18</v>
      </c>
      <c r="G645" s="1">
        <v>3</v>
      </c>
      <c r="H645" s="1">
        <v>556</v>
      </c>
      <c r="I645" s="1">
        <v>10</v>
      </c>
      <c r="J645" s="4">
        <v>1501.2</v>
      </c>
      <c r="K645" s="4">
        <v>801.03</v>
      </c>
      <c r="L645" s="4">
        <v>700.17</v>
      </c>
      <c r="M645" s="1" t="str">
        <f>TEXT(Table1[[#This Row],[Order_Date]], "MMM")</f>
        <v>Jun</v>
      </c>
      <c r="N645" s="1">
        <f>YEAR(Table1[[#This Row],[Order_Date]])</f>
        <v>2024</v>
      </c>
      <c r="O645" s="7">
        <f>Table1[[#This Row],[Profit]]/Table1[[#This Row],[Total_Sales]]</f>
        <v>0.46640687450039964</v>
      </c>
    </row>
    <row r="646" spans="1:15" x14ac:dyDescent="0.25">
      <c r="A646" s="1">
        <v>645</v>
      </c>
      <c r="B646" s="2">
        <v>45461</v>
      </c>
      <c r="C646" s="1" t="s">
        <v>25</v>
      </c>
      <c r="D646" s="1" t="s">
        <v>13</v>
      </c>
      <c r="E646" s="1" t="s">
        <v>14</v>
      </c>
      <c r="F646" s="1" t="s">
        <v>35</v>
      </c>
      <c r="G646" s="1">
        <v>9</v>
      </c>
      <c r="H646" s="1">
        <v>468</v>
      </c>
      <c r="I646" s="1">
        <v>0</v>
      </c>
      <c r="J646" s="4">
        <v>4212</v>
      </c>
      <c r="K646" s="4">
        <v>3060.07</v>
      </c>
      <c r="L646" s="4">
        <v>1151.93</v>
      </c>
      <c r="M646" s="1" t="str">
        <f>TEXT(Table1[[#This Row],[Order_Date]], "MMM")</f>
        <v>Jun</v>
      </c>
      <c r="N646" s="1">
        <f>YEAR(Table1[[#This Row],[Order_Date]])</f>
        <v>2024</v>
      </c>
      <c r="O646" s="7">
        <f>Table1[[#This Row],[Profit]]/Table1[[#This Row],[Total_Sales]]</f>
        <v>0.27348765432098765</v>
      </c>
    </row>
    <row r="647" spans="1:15" x14ac:dyDescent="0.25">
      <c r="A647" s="1">
        <v>646</v>
      </c>
      <c r="B647" s="2">
        <v>45576</v>
      </c>
      <c r="C647" s="1" t="s">
        <v>25</v>
      </c>
      <c r="D647" s="1" t="s">
        <v>22</v>
      </c>
      <c r="E647" s="1" t="s">
        <v>29</v>
      </c>
      <c r="F647" s="1" t="s">
        <v>31</v>
      </c>
      <c r="G647" s="1">
        <v>9</v>
      </c>
      <c r="H647" s="1">
        <v>90</v>
      </c>
      <c r="I647" s="1">
        <v>10</v>
      </c>
      <c r="J647" s="4">
        <v>729</v>
      </c>
      <c r="K647" s="4">
        <v>504.05</v>
      </c>
      <c r="L647" s="4">
        <v>224.95</v>
      </c>
      <c r="M647" s="1" t="str">
        <f>TEXT(Table1[[#This Row],[Order_Date]], "MMM")</f>
        <v>Oct</v>
      </c>
      <c r="N647" s="1">
        <f>YEAR(Table1[[#This Row],[Order_Date]])</f>
        <v>2024</v>
      </c>
      <c r="O647" s="7">
        <f>Table1[[#This Row],[Profit]]/Table1[[#This Row],[Total_Sales]]</f>
        <v>0.30857338820301783</v>
      </c>
    </row>
    <row r="648" spans="1:15" x14ac:dyDescent="0.25">
      <c r="A648" s="1">
        <v>647</v>
      </c>
      <c r="B648" s="2">
        <v>45494</v>
      </c>
      <c r="C648" s="1" t="s">
        <v>12</v>
      </c>
      <c r="D648" s="1" t="s">
        <v>13</v>
      </c>
      <c r="E648" s="1" t="s">
        <v>39</v>
      </c>
      <c r="F648" s="1" t="s">
        <v>24</v>
      </c>
      <c r="G648" s="1">
        <v>4</v>
      </c>
      <c r="H648" s="1">
        <v>806</v>
      </c>
      <c r="I648" s="1">
        <v>5</v>
      </c>
      <c r="J648" s="4">
        <v>3062.8</v>
      </c>
      <c r="K648" s="4">
        <v>2349.41</v>
      </c>
      <c r="L648" s="4">
        <v>713.39</v>
      </c>
      <c r="M648" s="1" t="str">
        <f>TEXT(Table1[[#This Row],[Order_Date]], "MMM")</f>
        <v>Jul</v>
      </c>
      <c r="N648" s="1">
        <f>YEAR(Table1[[#This Row],[Order_Date]])</f>
        <v>2024</v>
      </c>
      <c r="O648" s="7">
        <f>Table1[[#This Row],[Profit]]/Table1[[#This Row],[Total_Sales]]</f>
        <v>0.2329208567324017</v>
      </c>
    </row>
    <row r="649" spans="1:15" x14ac:dyDescent="0.25">
      <c r="A649" s="1">
        <v>648</v>
      </c>
      <c r="B649" s="2">
        <v>45164</v>
      </c>
      <c r="C649" s="1" t="s">
        <v>12</v>
      </c>
      <c r="D649" s="1" t="s">
        <v>32</v>
      </c>
      <c r="E649" s="1" t="s">
        <v>34</v>
      </c>
      <c r="F649" s="1" t="s">
        <v>24</v>
      </c>
      <c r="G649" s="1">
        <v>3</v>
      </c>
      <c r="H649" s="1">
        <v>174</v>
      </c>
      <c r="I649" s="1">
        <v>15</v>
      </c>
      <c r="J649" s="4">
        <v>443.7</v>
      </c>
      <c r="K649" s="4">
        <v>352.69</v>
      </c>
      <c r="L649" s="4">
        <v>91.01</v>
      </c>
      <c r="M649" s="1" t="str">
        <f>TEXT(Table1[[#This Row],[Order_Date]], "MMM")</f>
        <v>Aug</v>
      </c>
      <c r="N649" s="1">
        <f>YEAR(Table1[[#This Row],[Order_Date]])</f>
        <v>2023</v>
      </c>
      <c r="O649" s="7">
        <f>Table1[[#This Row],[Profit]]/Table1[[#This Row],[Total_Sales]]</f>
        <v>0.20511606941627228</v>
      </c>
    </row>
    <row r="650" spans="1:15" x14ac:dyDescent="0.25">
      <c r="A650" s="1">
        <v>649</v>
      </c>
      <c r="B650" s="2">
        <v>45475</v>
      </c>
      <c r="C650" s="1" t="s">
        <v>19</v>
      </c>
      <c r="D650" s="1" t="s">
        <v>13</v>
      </c>
      <c r="E650" s="1" t="s">
        <v>14</v>
      </c>
      <c r="F650" s="1" t="s">
        <v>31</v>
      </c>
      <c r="G650" s="1">
        <v>2</v>
      </c>
      <c r="H650" s="1">
        <v>828</v>
      </c>
      <c r="I650" s="1">
        <v>5</v>
      </c>
      <c r="J650" s="4">
        <v>1573.2</v>
      </c>
      <c r="K650" s="4">
        <v>1050.57</v>
      </c>
      <c r="L650" s="4">
        <v>522.63</v>
      </c>
      <c r="M650" s="1" t="str">
        <f>TEXT(Table1[[#This Row],[Order_Date]], "MMM")</f>
        <v>Jul</v>
      </c>
      <c r="N650" s="1">
        <f>YEAR(Table1[[#This Row],[Order_Date]])</f>
        <v>2024</v>
      </c>
      <c r="O650" s="7">
        <f>Table1[[#This Row],[Profit]]/Table1[[#This Row],[Total_Sales]]</f>
        <v>0.33220823798627003</v>
      </c>
    </row>
    <row r="651" spans="1:15" x14ac:dyDescent="0.25">
      <c r="A651" s="1">
        <v>650</v>
      </c>
      <c r="B651" s="2">
        <v>45320</v>
      </c>
      <c r="C651" s="1" t="s">
        <v>16</v>
      </c>
      <c r="D651" s="1" t="s">
        <v>13</v>
      </c>
      <c r="E651" s="1" t="s">
        <v>38</v>
      </c>
      <c r="F651" s="1" t="s">
        <v>15</v>
      </c>
      <c r="G651" s="1">
        <v>10</v>
      </c>
      <c r="H651" s="1">
        <v>744</v>
      </c>
      <c r="I651" s="1">
        <v>10</v>
      </c>
      <c r="J651" s="4">
        <v>6696</v>
      </c>
      <c r="K651" s="4">
        <v>4864.08</v>
      </c>
      <c r="L651" s="4">
        <v>1831.92</v>
      </c>
      <c r="M651" s="1" t="str">
        <f>TEXT(Table1[[#This Row],[Order_Date]], "MMM")</f>
        <v>Jan</v>
      </c>
      <c r="N651" s="1">
        <f>YEAR(Table1[[#This Row],[Order_Date]])</f>
        <v>2024</v>
      </c>
      <c r="O651" s="7">
        <f>Table1[[#This Row],[Profit]]/Table1[[#This Row],[Total_Sales]]</f>
        <v>0.273584229390681</v>
      </c>
    </row>
    <row r="652" spans="1:15" x14ac:dyDescent="0.25">
      <c r="A652" s="1">
        <v>651</v>
      </c>
      <c r="B652" s="2">
        <v>45553</v>
      </c>
      <c r="C652" s="1" t="s">
        <v>19</v>
      </c>
      <c r="D652" s="1" t="s">
        <v>26</v>
      </c>
      <c r="E652" s="1" t="s">
        <v>42</v>
      </c>
      <c r="F652" s="1" t="s">
        <v>18</v>
      </c>
      <c r="G652" s="1">
        <v>2</v>
      </c>
      <c r="H652" s="1">
        <v>236</v>
      </c>
      <c r="I652" s="1">
        <v>15</v>
      </c>
      <c r="J652" s="4">
        <v>401.2</v>
      </c>
      <c r="K652" s="4">
        <v>270.31</v>
      </c>
      <c r="L652" s="4">
        <v>130.88999999999999</v>
      </c>
      <c r="M652" s="1" t="str">
        <f>TEXT(Table1[[#This Row],[Order_Date]], "MMM")</f>
        <v>Sep</v>
      </c>
      <c r="N652" s="1">
        <f>YEAR(Table1[[#This Row],[Order_Date]])</f>
        <v>2024</v>
      </c>
      <c r="O652" s="7">
        <f>Table1[[#This Row],[Profit]]/Table1[[#This Row],[Total_Sales]]</f>
        <v>0.32624626121635092</v>
      </c>
    </row>
    <row r="653" spans="1:15" x14ac:dyDescent="0.25">
      <c r="A653" s="1">
        <v>652</v>
      </c>
      <c r="B653" s="2">
        <v>45097</v>
      </c>
      <c r="C653" s="1" t="s">
        <v>12</v>
      </c>
      <c r="D653" s="1" t="s">
        <v>22</v>
      </c>
      <c r="E653" s="1" t="s">
        <v>36</v>
      </c>
      <c r="F653" s="1" t="s">
        <v>31</v>
      </c>
      <c r="G653" s="1">
        <v>8</v>
      </c>
      <c r="H653" s="1">
        <v>645</v>
      </c>
      <c r="I653" s="1">
        <v>5</v>
      </c>
      <c r="J653" s="4">
        <v>4902</v>
      </c>
      <c r="K653" s="4">
        <v>2820.3</v>
      </c>
      <c r="L653" s="4">
        <v>2081.6999999999998</v>
      </c>
      <c r="M653" s="1" t="str">
        <f>TEXT(Table1[[#This Row],[Order_Date]], "MMM")</f>
        <v>Jun</v>
      </c>
      <c r="N653" s="1">
        <f>YEAR(Table1[[#This Row],[Order_Date]])</f>
        <v>2023</v>
      </c>
      <c r="O653" s="7">
        <f>Table1[[#This Row],[Profit]]/Table1[[#This Row],[Total_Sales]]</f>
        <v>0.42466340269277841</v>
      </c>
    </row>
    <row r="654" spans="1:15" x14ac:dyDescent="0.25">
      <c r="A654" s="1">
        <v>653</v>
      </c>
      <c r="B654" s="2">
        <v>45142</v>
      </c>
      <c r="C654" s="1" t="s">
        <v>12</v>
      </c>
      <c r="D654" s="1" t="s">
        <v>26</v>
      </c>
      <c r="E654" s="1" t="s">
        <v>42</v>
      </c>
      <c r="F654" s="1" t="s">
        <v>35</v>
      </c>
      <c r="G654" s="1">
        <v>9</v>
      </c>
      <c r="H654" s="1">
        <v>813</v>
      </c>
      <c r="I654" s="1">
        <v>5</v>
      </c>
      <c r="J654" s="4">
        <v>6951.15</v>
      </c>
      <c r="K654" s="4">
        <v>4185.5</v>
      </c>
      <c r="L654" s="4">
        <v>2765.65</v>
      </c>
      <c r="M654" s="1" t="str">
        <f>TEXT(Table1[[#This Row],[Order_Date]], "MMM")</f>
        <v>Aug</v>
      </c>
      <c r="N654" s="1">
        <f>YEAR(Table1[[#This Row],[Order_Date]])</f>
        <v>2023</v>
      </c>
      <c r="O654" s="7">
        <f>Table1[[#This Row],[Profit]]/Table1[[#This Row],[Total_Sales]]</f>
        <v>0.39786941729066416</v>
      </c>
    </row>
    <row r="655" spans="1:15" x14ac:dyDescent="0.25">
      <c r="A655" s="1">
        <v>654</v>
      </c>
      <c r="B655" s="2">
        <v>45154</v>
      </c>
      <c r="C655" s="1" t="s">
        <v>16</v>
      </c>
      <c r="D655" s="1" t="s">
        <v>32</v>
      </c>
      <c r="E655" s="1" t="s">
        <v>33</v>
      </c>
      <c r="F655" s="1" t="s">
        <v>31</v>
      </c>
      <c r="G655" s="1">
        <v>9</v>
      </c>
      <c r="H655" s="1">
        <v>622</v>
      </c>
      <c r="I655" s="1">
        <v>0</v>
      </c>
      <c r="J655" s="4">
        <v>5598</v>
      </c>
      <c r="K655" s="4">
        <v>3705.93</v>
      </c>
      <c r="L655" s="4">
        <v>1892.07</v>
      </c>
      <c r="M655" s="1" t="str">
        <f>TEXT(Table1[[#This Row],[Order_Date]], "MMM")</f>
        <v>Aug</v>
      </c>
      <c r="N655" s="1">
        <f>YEAR(Table1[[#This Row],[Order_Date]])</f>
        <v>2023</v>
      </c>
      <c r="O655" s="7">
        <f>Table1[[#This Row],[Profit]]/Table1[[#This Row],[Total_Sales]]</f>
        <v>0.33799035369774916</v>
      </c>
    </row>
    <row r="656" spans="1:15" x14ac:dyDescent="0.25">
      <c r="A656" s="1">
        <v>655</v>
      </c>
      <c r="B656" s="2">
        <v>45337</v>
      </c>
      <c r="C656" s="1" t="s">
        <v>25</v>
      </c>
      <c r="D656" s="1" t="s">
        <v>20</v>
      </c>
      <c r="E656" s="1" t="s">
        <v>28</v>
      </c>
      <c r="F656" s="1" t="s">
        <v>18</v>
      </c>
      <c r="G656" s="1">
        <v>5</v>
      </c>
      <c r="H656" s="1">
        <v>420</v>
      </c>
      <c r="I656" s="1">
        <v>0</v>
      </c>
      <c r="J656" s="4">
        <v>2100</v>
      </c>
      <c r="K656" s="4">
        <v>1336.27</v>
      </c>
      <c r="L656" s="4">
        <v>763.73</v>
      </c>
      <c r="M656" s="1" t="str">
        <f>TEXT(Table1[[#This Row],[Order_Date]], "MMM")</f>
        <v>Feb</v>
      </c>
      <c r="N656" s="1">
        <f>YEAR(Table1[[#This Row],[Order_Date]])</f>
        <v>2024</v>
      </c>
      <c r="O656" s="7">
        <f>Table1[[#This Row],[Profit]]/Table1[[#This Row],[Total_Sales]]</f>
        <v>0.36368095238095238</v>
      </c>
    </row>
    <row r="657" spans="1:15" x14ac:dyDescent="0.25">
      <c r="A657" s="1">
        <v>656</v>
      </c>
      <c r="B657" s="2">
        <v>45440</v>
      </c>
      <c r="C657" s="1" t="s">
        <v>12</v>
      </c>
      <c r="D657" s="1" t="s">
        <v>13</v>
      </c>
      <c r="E657" s="1" t="s">
        <v>39</v>
      </c>
      <c r="F657" s="1" t="s">
        <v>18</v>
      </c>
      <c r="G657" s="1">
        <v>1</v>
      </c>
      <c r="H657" s="1">
        <v>330</v>
      </c>
      <c r="I657" s="1">
        <v>15</v>
      </c>
      <c r="J657" s="4">
        <v>280.5</v>
      </c>
      <c r="K657" s="4">
        <v>150.62</v>
      </c>
      <c r="L657" s="4">
        <v>129.88</v>
      </c>
      <c r="M657" s="1" t="str">
        <f>TEXT(Table1[[#This Row],[Order_Date]], "MMM")</f>
        <v>May</v>
      </c>
      <c r="N657" s="1">
        <f>YEAR(Table1[[#This Row],[Order_Date]])</f>
        <v>2024</v>
      </c>
      <c r="O657" s="7">
        <f>Table1[[#This Row],[Profit]]/Table1[[#This Row],[Total_Sales]]</f>
        <v>0.46303030303030301</v>
      </c>
    </row>
    <row r="658" spans="1:15" x14ac:dyDescent="0.25">
      <c r="A658" s="1">
        <v>657</v>
      </c>
      <c r="B658" s="2">
        <v>45280</v>
      </c>
      <c r="C658" s="1" t="s">
        <v>12</v>
      </c>
      <c r="D658" s="1" t="s">
        <v>13</v>
      </c>
      <c r="E658" s="1" t="s">
        <v>39</v>
      </c>
      <c r="F658" s="1" t="s">
        <v>18</v>
      </c>
      <c r="G658" s="1">
        <v>9</v>
      </c>
      <c r="H658" s="1">
        <v>525</v>
      </c>
      <c r="I658" s="1">
        <v>0</v>
      </c>
      <c r="J658" s="4">
        <v>4725</v>
      </c>
      <c r="K658" s="4">
        <v>3711.92</v>
      </c>
      <c r="L658" s="4">
        <v>1013.08</v>
      </c>
      <c r="M658" s="1" t="str">
        <f>TEXT(Table1[[#This Row],[Order_Date]], "MMM")</f>
        <v>Dec</v>
      </c>
      <c r="N658" s="1">
        <f>YEAR(Table1[[#This Row],[Order_Date]])</f>
        <v>2023</v>
      </c>
      <c r="O658" s="7">
        <f>Table1[[#This Row],[Profit]]/Table1[[#This Row],[Total_Sales]]</f>
        <v>0.2144084656084656</v>
      </c>
    </row>
    <row r="659" spans="1:15" x14ac:dyDescent="0.25">
      <c r="A659" s="1">
        <v>658</v>
      </c>
      <c r="B659" s="2">
        <v>45651</v>
      </c>
      <c r="C659" s="1" t="s">
        <v>25</v>
      </c>
      <c r="D659" s="1" t="s">
        <v>26</v>
      </c>
      <c r="E659" s="1" t="s">
        <v>27</v>
      </c>
      <c r="F659" s="1" t="s">
        <v>31</v>
      </c>
      <c r="G659" s="1">
        <v>9</v>
      </c>
      <c r="H659" s="1">
        <v>718</v>
      </c>
      <c r="I659" s="1">
        <v>0</v>
      </c>
      <c r="J659" s="4">
        <v>6462</v>
      </c>
      <c r="K659" s="4">
        <v>4437.41</v>
      </c>
      <c r="L659" s="4">
        <v>2024.59</v>
      </c>
      <c r="M659" s="1" t="str">
        <f>TEXT(Table1[[#This Row],[Order_Date]], "MMM")</f>
        <v>Dec</v>
      </c>
      <c r="N659" s="1">
        <f>YEAR(Table1[[#This Row],[Order_Date]])</f>
        <v>2024</v>
      </c>
      <c r="O659" s="7">
        <f>Table1[[#This Row],[Profit]]/Table1[[#This Row],[Total_Sales]]</f>
        <v>0.31330702568864127</v>
      </c>
    </row>
    <row r="660" spans="1:15" x14ac:dyDescent="0.25">
      <c r="A660" s="1">
        <v>659</v>
      </c>
      <c r="B660" s="2">
        <v>45451</v>
      </c>
      <c r="C660" s="1" t="s">
        <v>12</v>
      </c>
      <c r="D660" s="1" t="s">
        <v>26</v>
      </c>
      <c r="E660" s="1" t="s">
        <v>37</v>
      </c>
      <c r="F660" s="1" t="s">
        <v>24</v>
      </c>
      <c r="G660" s="1">
        <v>2</v>
      </c>
      <c r="H660" s="1">
        <v>950</v>
      </c>
      <c r="I660" s="1">
        <v>5</v>
      </c>
      <c r="J660" s="4">
        <v>1805</v>
      </c>
      <c r="K660" s="4">
        <v>1088.46</v>
      </c>
      <c r="L660" s="4">
        <v>716.54</v>
      </c>
      <c r="M660" s="1" t="str">
        <f>TEXT(Table1[[#This Row],[Order_Date]], "MMM")</f>
        <v>Jun</v>
      </c>
      <c r="N660" s="1">
        <f>YEAR(Table1[[#This Row],[Order_Date]])</f>
        <v>2024</v>
      </c>
      <c r="O660" s="7">
        <f>Table1[[#This Row],[Profit]]/Table1[[#This Row],[Total_Sales]]</f>
        <v>0.39697506925207754</v>
      </c>
    </row>
    <row r="661" spans="1:15" x14ac:dyDescent="0.25">
      <c r="A661" s="1">
        <v>660</v>
      </c>
      <c r="B661" s="2">
        <v>45520</v>
      </c>
      <c r="C661" s="1" t="s">
        <v>25</v>
      </c>
      <c r="D661" s="1" t="s">
        <v>26</v>
      </c>
      <c r="E661" s="1" t="s">
        <v>46</v>
      </c>
      <c r="F661" s="1" t="s">
        <v>15</v>
      </c>
      <c r="G661" s="1">
        <v>6</v>
      </c>
      <c r="H661" s="1">
        <v>946</v>
      </c>
      <c r="I661" s="1">
        <v>20</v>
      </c>
      <c r="J661" s="4">
        <v>4540.8</v>
      </c>
      <c r="K661" s="4">
        <v>3051.66</v>
      </c>
      <c r="L661" s="4">
        <v>1489.14</v>
      </c>
      <c r="M661" s="1" t="str">
        <f>TEXT(Table1[[#This Row],[Order_Date]], "MMM")</f>
        <v>Aug</v>
      </c>
      <c r="N661" s="1">
        <f>YEAR(Table1[[#This Row],[Order_Date]])</f>
        <v>2024</v>
      </c>
      <c r="O661" s="7">
        <f>Table1[[#This Row],[Profit]]/Table1[[#This Row],[Total_Sales]]</f>
        <v>0.32794661733615221</v>
      </c>
    </row>
    <row r="662" spans="1:15" x14ac:dyDescent="0.25">
      <c r="A662" s="1">
        <v>661</v>
      </c>
      <c r="B662" s="2">
        <v>45086</v>
      </c>
      <c r="C662" s="1" t="s">
        <v>12</v>
      </c>
      <c r="D662" s="1" t="s">
        <v>20</v>
      </c>
      <c r="E662" s="1" t="s">
        <v>43</v>
      </c>
      <c r="F662" s="1" t="s">
        <v>15</v>
      </c>
      <c r="G662" s="1">
        <v>10</v>
      </c>
      <c r="H662" s="1">
        <v>811</v>
      </c>
      <c r="I662" s="1">
        <v>20</v>
      </c>
      <c r="J662" s="4">
        <v>6488</v>
      </c>
      <c r="K662" s="4">
        <v>3683.89</v>
      </c>
      <c r="L662" s="4">
        <v>2804.11</v>
      </c>
      <c r="M662" s="1" t="str">
        <f>TEXT(Table1[[#This Row],[Order_Date]], "MMM")</f>
        <v>Jun</v>
      </c>
      <c r="N662" s="1">
        <f>YEAR(Table1[[#This Row],[Order_Date]])</f>
        <v>2023</v>
      </c>
      <c r="O662" s="7">
        <f>Table1[[#This Row],[Profit]]/Table1[[#This Row],[Total_Sales]]</f>
        <v>0.43219944512946978</v>
      </c>
    </row>
    <row r="663" spans="1:15" x14ac:dyDescent="0.25">
      <c r="A663" s="1">
        <v>662</v>
      </c>
      <c r="B663" s="2">
        <v>45490</v>
      </c>
      <c r="C663" s="1" t="s">
        <v>19</v>
      </c>
      <c r="D663" s="1" t="s">
        <v>13</v>
      </c>
      <c r="E663" s="1" t="s">
        <v>39</v>
      </c>
      <c r="F663" s="1" t="s">
        <v>24</v>
      </c>
      <c r="G663" s="1">
        <v>1</v>
      </c>
      <c r="H663" s="1">
        <v>514</v>
      </c>
      <c r="I663" s="1">
        <v>5</v>
      </c>
      <c r="J663" s="4">
        <v>488.3</v>
      </c>
      <c r="K663" s="4">
        <v>319.85000000000002</v>
      </c>
      <c r="L663" s="4">
        <v>168.45</v>
      </c>
      <c r="M663" s="1" t="str">
        <f>TEXT(Table1[[#This Row],[Order_Date]], "MMM")</f>
        <v>Jul</v>
      </c>
      <c r="N663" s="1">
        <f>YEAR(Table1[[#This Row],[Order_Date]])</f>
        <v>2024</v>
      </c>
      <c r="O663" s="7">
        <f>Table1[[#This Row],[Profit]]/Table1[[#This Row],[Total_Sales]]</f>
        <v>0.34497235306164242</v>
      </c>
    </row>
    <row r="664" spans="1:15" x14ac:dyDescent="0.25">
      <c r="A664" s="1">
        <v>663</v>
      </c>
      <c r="B664" s="2">
        <v>45454</v>
      </c>
      <c r="C664" s="1" t="s">
        <v>19</v>
      </c>
      <c r="D664" s="1" t="s">
        <v>20</v>
      </c>
      <c r="E664" s="1" t="s">
        <v>43</v>
      </c>
      <c r="F664" s="1" t="s">
        <v>18</v>
      </c>
      <c r="G664" s="1">
        <v>8</v>
      </c>
      <c r="H664" s="1">
        <v>215</v>
      </c>
      <c r="I664" s="1">
        <v>20</v>
      </c>
      <c r="J664" s="4">
        <v>1376</v>
      </c>
      <c r="K664" s="4">
        <v>784.76</v>
      </c>
      <c r="L664" s="4">
        <v>591.24</v>
      </c>
      <c r="M664" s="1" t="str">
        <f>TEXT(Table1[[#This Row],[Order_Date]], "MMM")</f>
        <v>Jun</v>
      </c>
      <c r="N664" s="1">
        <f>YEAR(Table1[[#This Row],[Order_Date]])</f>
        <v>2024</v>
      </c>
      <c r="O664" s="7">
        <f>Table1[[#This Row],[Profit]]/Table1[[#This Row],[Total_Sales]]</f>
        <v>0.42968023255813953</v>
      </c>
    </row>
    <row r="665" spans="1:15" x14ac:dyDescent="0.25">
      <c r="A665" s="1">
        <v>664</v>
      </c>
      <c r="B665" s="2">
        <v>45332</v>
      </c>
      <c r="C665" s="1" t="s">
        <v>12</v>
      </c>
      <c r="D665" s="1" t="s">
        <v>26</v>
      </c>
      <c r="E665" s="1" t="s">
        <v>27</v>
      </c>
      <c r="F665" s="1" t="s">
        <v>15</v>
      </c>
      <c r="G665" s="1">
        <v>2</v>
      </c>
      <c r="H665" s="1">
        <v>575</v>
      </c>
      <c r="I665" s="1">
        <v>5</v>
      </c>
      <c r="J665" s="4">
        <v>1092.5</v>
      </c>
      <c r="K665" s="4">
        <v>721.96</v>
      </c>
      <c r="L665" s="4">
        <v>370.54</v>
      </c>
      <c r="M665" s="1" t="str">
        <f>TEXT(Table1[[#This Row],[Order_Date]], "MMM")</f>
        <v>Feb</v>
      </c>
      <c r="N665" s="1">
        <f>YEAR(Table1[[#This Row],[Order_Date]])</f>
        <v>2024</v>
      </c>
      <c r="O665" s="7">
        <f>Table1[[#This Row],[Profit]]/Table1[[#This Row],[Total_Sales]]</f>
        <v>0.33916704805491993</v>
      </c>
    </row>
    <row r="666" spans="1:15" x14ac:dyDescent="0.25">
      <c r="A666" s="1">
        <v>665</v>
      </c>
      <c r="B666" s="2">
        <v>45355</v>
      </c>
      <c r="C666" s="1" t="s">
        <v>25</v>
      </c>
      <c r="D666" s="1" t="s">
        <v>26</v>
      </c>
      <c r="E666" s="1" t="s">
        <v>46</v>
      </c>
      <c r="F666" s="1" t="s">
        <v>18</v>
      </c>
      <c r="G666" s="1">
        <v>5</v>
      </c>
      <c r="H666" s="1">
        <v>474</v>
      </c>
      <c r="I666" s="1">
        <v>0</v>
      </c>
      <c r="J666" s="4">
        <v>2370</v>
      </c>
      <c r="K666" s="4">
        <v>1442.13</v>
      </c>
      <c r="L666" s="4">
        <v>927.87</v>
      </c>
      <c r="M666" s="1" t="str">
        <f>TEXT(Table1[[#This Row],[Order_Date]], "MMM")</f>
        <v>Mar</v>
      </c>
      <c r="N666" s="1">
        <f>YEAR(Table1[[#This Row],[Order_Date]])</f>
        <v>2024</v>
      </c>
      <c r="O666" s="7">
        <f>Table1[[#This Row],[Profit]]/Table1[[#This Row],[Total_Sales]]</f>
        <v>0.39150632911392408</v>
      </c>
    </row>
    <row r="667" spans="1:15" x14ac:dyDescent="0.25">
      <c r="A667" s="1">
        <v>666</v>
      </c>
      <c r="B667" s="2">
        <v>45175</v>
      </c>
      <c r="C667" s="1" t="s">
        <v>25</v>
      </c>
      <c r="D667" s="1" t="s">
        <v>26</v>
      </c>
      <c r="E667" s="1" t="s">
        <v>42</v>
      </c>
      <c r="F667" s="1" t="s">
        <v>31</v>
      </c>
      <c r="G667" s="1">
        <v>10</v>
      </c>
      <c r="H667" s="1">
        <v>260</v>
      </c>
      <c r="I667" s="1">
        <v>15</v>
      </c>
      <c r="J667" s="4">
        <v>2210</v>
      </c>
      <c r="K667" s="4">
        <v>1766.61</v>
      </c>
      <c r="L667" s="4">
        <v>443.39</v>
      </c>
      <c r="M667" s="1" t="str">
        <f>TEXT(Table1[[#This Row],[Order_Date]], "MMM")</f>
        <v>Sep</v>
      </c>
      <c r="N667" s="1">
        <f>YEAR(Table1[[#This Row],[Order_Date]])</f>
        <v>2023</v>
      </c>
      <c r="O667" s="7">
        <f>Table1[[#This Row],[Profit]]/Table1[[#This Row],[Total_Sales]]</f>
        <v>0.20062895927601809</v>
      </c>
    </row>
    <row r="668" spans="1:15" x14ac:dyDescent="0.25">
      <c r="A668" s="1">
        <v>667</v>
      </c>
      <c r="B668" s="2">
        <v>45141</v>
      </c>
      <c r="C668" s="1" t="s">
        <v>16</v>
      </c>
      <c r="D668" s="1" t="s">
        <v>26</v>
      </c>
      <c r="E668" s="1" t="s">
        <v>46</v>
      </c>
      <c r="F668" s="1" t="s">
        <v>24</v>
      </c>
      <c r="G668" s="1">
        <v>6</v>
      </c>
      <c r="H668" s="1">
        <v>766</v>
      </c>
      <c r="I668" s="1">
        <v>5</v>
      </c>
      <c r="J668" s="4">
        <v>4366.2</v>
      </c>
      <c r="K668" s="4">
        <v>3245.7</v>
      </c>
      <c r="L668" s="4">
        <v>1120.5</v>
      </c>
      <c r="M668" s="1" t="str">
        <f>TEXT(Table1[[#This Row],[Order_Date]], "MMM")</f>
        <v>Aug</v>
      </c>
      <c r="N668" s="1">
        <f>YEAR(Table1[[#This Row],[Order_Date]])</f>
        <v>2023</v>
      </c>
      <c r="O668" s="7">
        <f>Table1[[#This Row],[Profit]]/Table1[[#This Row],[Total_Sales]]</f>
        <v>0.25663047959323898</v>
      </c>
    </row>
    <row r="669" spans="1:15" x14ac:dyDescent="0.25">
      <c r="A669" s="1">
        <v>668</v>
      </c>
      <c r="B669" s="2">
        <v>45449</v>
      </c>
      <c r="C669" s="1" t="s">
        <v>25</v>
      </c>
      <c r="D669" s="1" t="s">
        <v>22</v>
      </c>
      <c r="E669" s="1" t="s">
        <v>29</v>
      </c>
      <c r="F669" s="1" t="s">
        <v>35</v>
      </c>
      <c r="G669" s="1">
        <v>6</v>
      </c>
      <c r="H669" s="1">
        <v>710</v>
      </c>
      <c r="I669" s="1">
        <v>0</v>
      </c>
      <c r="J669" s="4">
        <v>4260</v>
      </c>
      <c r="K669" s="4">
        <v>2539.69</v>
      </c>
      <c r="L669" s="4">
        <v>1720.31</v>
      </c>
      <c r="M669" s="1" t="str">
        <f>TEXT(Table1[[#This Row],[Order_Date]], "MMM")</f>
        <v>Jun</v>
      </c>
      <c r="N669" s="1">
        <f>YEAR(Table1[[#This Row],[Order_Date]])</f>
        <v>2024</v>
      </c>
      <c r="O669" s="7">
        <f>Table1[[#This Row],[Profit]]/Table1[[#This Row],[Total_Sales]]</f>
        <v>0.40382863849765255</v>
      </c>
    </row>
    <row r="670" spans="1:15" x14ac:dyDescent="0.25">
      <c r="A670" s="1">
        <v>669</v>
      </c>
      <c r="B670" s="2">
        <v>45590</v>
      </c>
      <c r="C670" s="1" t="s">
        <v>16</v>
      </c>
      <c r="D670" s="1" t="s">
        <v>13</v>
      </c>
      <c r="E670" s="1" t="s">
        <v>39</v>
      </c>
      <c r="F670" s="1" t="s">
        <v>31</v>
      </c>
      <c r="G670" s="1">
        <v>3</v>
      </c>
      <c r="H670" s="1">
        <v>747</v>
      </c>
      <c r="I670" s="1">
        <v>0</v>
      </c>
      <c r="J670" s="4">
        <v>2241</v>
      </c>
      <c r="K670" s="4">
        <v>1148.6400000000001</v>
      </c>
      <c r="L670" s="4">
        <v>1092.3599999999999</v>
      </c>
      <c r="M670" s="1" t="str">
        <f>TEXT(Table1[[#This Row],[Order_Date]], "MMM")</f>
        <v>Oct</v>
      </c>
      <c r="N670" s="1">
        <f>YEAR(Table1[[#This Row],[Order_Date]])</f>
        <v>2024</v>
      </c>
      <c r="O670" s="7">
        <f>Table1[[#This Row],[Profit]]/Table1[[#This Row],[Total_Sales]]</f>
        <v>0.48744310575635874</v>
      </c>
    </row>
    <row r="671" spans="1:15" x14ac:dyDescent="0.25">
      <c r="A671" s="1">
        <v>670</v>
      </c>
      <c r="B671" s="2">
        <v>45293</v>
      </c>
      <c r="C671" s="1" t="s">
        <v>12</v>
      </c>
      <c r="D671" s="1" t="s">
        <v>26</v>
      </c>
      <c r="E671" s="1" t="s">
        <v>42</v>
      </c>
      <c r="F671" s="1" t="s">
        <v>35</v>
      </c>
      <c r="G671" s="1">
        <v>1</v>
      </c>
      <c r="H671" s="1">
        <v>197</v>
      </c>
      <c r="I671" s="1">
        <v>0</v>
      </c>
      <c r="J671" s="4">
        <v>197</v>
      </c>
      <c r="K671" s="4">
        <v>98.88</v>
      </c>
      <c r="L671" s="4">
        <v>98.12</v>
      </c>
      <c r="M671" s="1" t="str">
        <f>TEXT(Table1[[#This Row],[Order_Date]], "MMM")</f>
        <v>Jan</v>
      </c>
      <c r="N671" s="1">
        <f>YEAR(Table1[[#This Row],[Order_Date]])</f>
        <v>2024</v>
      </c>
      <c r="O671" s="7">
        <f>Table1[[#This Row],[Profit]]/Table1[[#This Row],[Total_Sales]]</f>
        <v>0.49807106598984774</v>
      </c>
    </row>
    <row r="672" spans="1:15" x14ac:dyDescent="0.25">
      <c r="A672" s="1">
        <v>671</v>
      </c>
      <c r="B672" s="2">
        <v>45031</v>
      </c>
      <c r="C672" s="1" t="s">
        <v>25</v>
      </c>
      <c r="D672" s="1" t="s">
        <v>20</v>
      </c>
      <c r="E672" s="1" t="s">
        <v>21</v>
      </c>
      <c r="F672" s="1" t="s">
        <v>24</v>
      </c>
      <c r="G672" s="1">
        <v>3</v>
      </c>
      <c r="H672" s="1">
        <v>614</v>
      </c>
      <c r="I672" s="1">
        <v>15</v>
      </c>
      <c r="J672" s="4">
        <v>1565.7</v>
      </c>
      <c r="K672" s="4">
        <v>944.9</v>
      </c>
      <c r="L672" s="4">
        <v>620.79999999999995</v>
      </c>
      <c r="M672" s="1" t="str">
        <f>TEXT(Table1[[#This Row],[Order_Date]], "MMM")</f>
        <v>Apr</v>
      </c>
      <c r="N672" s="1">
        <f>YEAR(Table1[[#This Row],[Order_Date]])</f>
        <v>2023</v>
      </c>
      <c r="O672" s="7">
        <f>Table1[[#This Row],[Profit]]/Table1[[#This Row],[Total_Sales]]</f>
        <v>0.396499968065402</v>
      </c>
    </row>
    <row r="673" spans="1:15" x14ac:dyDescent="0.25">
      <c r="A673" s="1">
        <v>672</v>
      </c>
      <c r="B673" s="2">
        <v>45557</v>
      </c>
      <c r="C673" s="1" t="s">
        <v>16</v>
      </c>
      <c r="D673" s="1" t="s">
        <v>32</v>
      </c>
      <c r="E673" s="1" t="s">
        <v>34</v>
      </c>
      <c r="F673" s="1" t="s">
        <v>35</v>
      </c>
      <c r="G673" s="1">
        <v>3</v>
      </c>
      <c r="H673" s="1">
        <v>173</v>
      </c>
      <c r="I673" s="1">
        <v>10</v>
      </c>
      <c r="J673" s="4">
        <v>467.1</v>
      </c>
      <c r="K673" s="4">
        <v>348.68</v>
      </c>
      <c r="L673" s="4">
        <v>118.42</v>
      </c>
      <c r="M673" s="1" t="str">
        <f>TEXT(Table1[[#This Row],[Order_Date]], "MMM")</f>
        <v>Sep</v>
      </c>
      <c r="N673" s="1">
        <f>YEAR(Table1[[#This Row],[Order_Date]])</f>
        <v>2024</v>
      </c>
      <c r="O673" s="7">
        <f>Table1[[#This Row],[Profit]]/Table1[[#This Row],[Total_Sales]]</f>
        <v>0.25352172982230786</v>
      </c>
    </row>
    <row r="674" spans="1:15" x14ac:dyDescent="0.25">
      <c r="A674" s="1">
        <v>673</v>
      </c>
      <c r="B674" s="2">
        <v>45105</v>
      </c>
      <c r="C674" s="1" t="s">
        <v>19</v>
      </c>
      <c r="D674" s="1" t="s">
        <v>22</v>
      </c>
      <c r="E674" s="1" t="s">
        <v>23</v>
      </c>
      <c r="F674" s="1" t="s">
        <v>40</v>
      </c>
      <c r="G674" s="1">
        <v>3</v>
      </c>
      <c r="H674" s="1">
        <v>401</v>
      </c>
      <c r="I674" s="1">
        <v>5</v>
      </c>
      <c r="J674" s="4">
        <v>1142.8499999999999</v>
      </c>
      <c r="K674" s="4">
        <v>639.52</v>
      </c>
      <c r="L674" s="4">
        <v>503.33</v>
      </c>
      <c r="M674" s="1" t="str">
        <f>TEXT(Table1[[#This Row],[Order_Date]], "MMM")</f>
        <v>Jun</v>
      </c>
      <c r="N674" s="1">
        <f>YEAR(Table1[[#This Row],[Order_Date]])</f>
        <v>2023</v>
      </c>
      <c r="O674" s="7">
        <f>Table1[[#This Row],[Profit]]/Table1[[#This Row],[Total_Sales]]</f>
        <v>0.4404165026031413</v>
      </c>
    </row>
    <row r="675" spans="1:15" x14ac:dyDescent="0.25">
      <c r="A675" s="1">
        <v>674</v>
      </c>
      <c r="B675" s="2">
        <v>45186</v>
      </c>
      <c r="C675" s="1" t="s">
        <v>25</v>
      </c>
      <c r="D675" s="1" t="s">
        <v>26</v>
      </c>
      <c r="E675" s="1" t="s">
        <v>27</v>
      </c>
      <c r="F675" s="1" t="s">
        <v>40</v>
      </c>
      <c r="G675" s="1">
        <v>2</v>
      </c>
      <c r="H675" s="1">
        <v>411</v>
      </c>
      <c r="I675" s="1">
        <v>20</v>
      </c>
      <c r="J675" s="4">
        <v>657.6</v>
      </c>
      <c r="K675" s="4">
        <v>404.5</v>
      </c>
      <c r="L675" s="4">
        <v>253.1</v>
      </c>
      <c r="M675" s="1" t="str">
        <f>TEXT(Table1[[#This Row],[Order_Date]], "MMM")</f>
        <v>Sep</v>
      </c>
      <c r="N675" s="1">
        <f>YEAR(Table1[[#This Row],[Order_Date]])</f>
        <v>2023</v>
      </c>
      <c r="O675" s="7">
        <f>Table1[[#This Row],[Profit]]/Table1[[#This Row],[Total_Sales]]</f>
        <v>0.38488442822384428</v>
      </c>
    </row>
    <row r="676" spans="1:15" x14ac:dyDescent="0.25">
      <c r="A676" s="1">
        <v>675</v>
      </c>
      <c r="B676" s="2">
        <v>45573</v>
      </c>
      <c r="C676" s="1" t="s">
        <v>19</v>
      </c>
      <c r="D676" s="1" t="s">
        <v>32</v>
      </c>
      <c r="E676" s="1" t="s">
        <v>34</v>
      </c>
      <c r="F676" s="1" t="s">
        <v>35</v>
      </c>
      <c r="G676" s="1">
        <v>9</v>
      </c>
      <c r="H676" s="1">
        <v>518</v>
      </c>
      <c r="I676" s="1">
        <v>5</v>
      </c>
      <c r="J676" s="4">
        <v>4428.8999999999996</v>
      </c>
      <c r="K676" s="4">
        <v>3453.32</v>
      </c>
      <c r="L676" s="4">
        <v>975.58</v>
      </c>
      <c r="M676" s="1" t="str">
        <f>TEXT(Table1[[#This Row],[Order_Date]], "MMM")</f>
        <v>Oct</v>
      </c>
      <c r="N676" s="1">
        <f>YEAR(Table1[[#This Row],[Order_Date]])</f>
        <v>2024</v>
      </c>
      <c r="O676" s="7">
        <f>Table1[[#This Row],[Profit]]/Table1[[#This Row],[Total_Sales]]</f>
        <v>0.22027591501275715</v>
      </c>
    </row>
    <row r="677" spans="1:15" x14ac:dyDescent="0.25">
      <c r="A677" s="1">
        <v>676</v>
      </c>
      <c r="B677" s="2">
        <v>45135</v>
      </c>
      <c r="C677" s="1" t="s">
        <v>12</v>
      </c>
      <c r="D677" s="1" t="s">
        <v>13</v>
      </c>
      <c r="E677" s="1" t="s">
        <v>17</v>
      </c>
      <c r="F677" s="1" t="s">
        <v>24</v>
      </c>
      <c r="G677" s="1">
        <v>2</v>
      </c>
      <c r="H677" s="1">
        <v>104</v>
      </c>
      <c r="I677" s="1">
        <v>10</v>
      </c>
      <c r="J677" s="4">
        <v>187.2</v>
      </c>
      <c r="K677" s="4">
        <v>122.1</v>
      </c>
      <c r="L677" s="4">
        <v>65.099999999999994</v>
      </c>
      <c r="M677" s="1" t="str">
        <f>TEXT(Table1[[#This Row],[Order_Date]], "MMM")</f>
        <v>Jul</v>
      </c>
      <c r="N677" s="1">
        <f>YEAR(Table1[[#This Row],[Order_Date]])</f>
        <v>2023</v>
      </c>
      <c r="O677" s="7">
        <f>Table1[[#This Row],[Profit]]/Table1[[#This Row],[Total_Sales]]</f>
        <v>0.34775641025641024</v>
      </c>
    </row>
    <row r="678" spans="1:15" x14ac:dyDescent="0.25">
      <c r="A678" s="1">
        <v>677</v>
      </c>
      <c r="B678" s="2">
        <v>45240</v>
      </c>
      <c r="C678" s="1" t="s">
        <v>25</v>
      </c>
      <c r="D678" s="1" t="s">
        <v>22</v>
      </c>
      <c r="E678" s="1" t="s">
        <v>23</v>
      </c>
      <c r="F678" s="1" t="s">
        <v>24</v>
      </c>
      <c r="G678" s="1">
        <v>6</v>
      </c>
      <c r="H678" s="1">
        <v>521</v>
      </c>
      <c r="I678" s="1">
        <v>0</v>
      </c>
      <c r="J678" s="4">
        <v>3126</v>
      </c>
      <c r="K678" s="4">
        <v>1804.46</v>
      </c>
      <c r="L678" s="4">
        <v>1321.54</v>
      </c>
      <c r="M678" s="1" t="str">
        <f>TEXT(Table1[[#This Row],[Order_Date]], "MMM")</f>
        <v>Nov</v>
      </c>
      <c r="N678" s="1">
        <f>YEAR(Table1[[#This Row],[Order_Date]])</f>
        <v>2023</v>
      </c>
      <c r="O678" s="7">
        <f>Table1[[#This Row],[Profit]]/Table1[[#This Row],[Total_Sales]]</f>
        <v>0.4227575175943698</v>
      </c>
    </row>
    <row r="679" spans="1:15" x14ac:dyDescent="0.25">
      <c r="A679" s="1">
        <v>678</v>
      </c>
      <c r="B679" s="2">
        <v>45302</v>
      </c>
      <c r="C679" s="1" t="s">
        <v>16</v>
      </c>
      <c r="D679" s="1" t="s">
        <v>26</v>
      </c>
      <c r="E679" s="1" t="s">
        <v>46</v>
      </c>
      <c r="F679" s="1" t="s">
        <v>15</v>
      </c>
      <c r="G679" s="1">
        <v>10</v>
      </c>
      <c r="H679" s="1">
        <v>964</v>
      </c>
      <c r="I679" s="1">
        <v>20</v>
      </c>
      <c r="J679" s="4">
        <v>7712</v>
      </c>
      <c r="K679" s="4">
        <v>4361.47</v>
      </c>
      <c r="L679" s="4">
        <v>3350.53</v>
      </c>
      <c r="M679" s="1" t="str">
        <f>TEXT(Table1[[#This Row],[Order_Date]], "MMM")</f>
        <v>Jan</v>
      </c>
      <c r="N679" s="1">
        <f>YEAR(Table1[[#This Row],[Order_Date]])</f>
        <v>2024</v>
      </c>
      <c r="O679" s="7">
        <f>Table1[[#This Row],[Profit]]/Table1[[#This Row],[Total_Sales]]</f>
        <v>0.43445669087136934</v>
      </c>
    </row>
    <row r="680" spans="1:15" x14ac:dyDescent="0.25">
      <c r="A680" s="1">
        <v>679</v>
      </c>
      <c r="B680" s="2">
        <v>45282</v>
      </c>
      <c r="C680" s="1" t="s">
        <v>16</v>
      </c>
      <c r="D680" s="1" t="s">
        <v>20</v>
      </c>
      <c r="E680" s="1" t="s">
        <v>30</v>
      </c>
      <c r="F680" s="1" t="s">
        <v>15</v>
      </c>
      <c r="G680" s="1">
        <v>2</v>
      </c>
      <c r="H680" s="1">
        <v>380</v>
      </c>
      <c r="I680" s="1">
        <v>0</v>
      </c>
      <c r="J680" s="4">
        <v>760</v>
      </c>
      <c r="K680" s="4">
        <v>509.72</v>
      </c>
      <c r="L680" s="4">
        <v>250.28</v>
      </c>
      <c r="M680" s="1" t="str">
        <f>TEXT(Table1[[#This Row],[Order_Date]], "MMM")</f>
        <v>Dec</v>
      </c>
      <c r="N680" s="1">
        <f>YEAR(Table1[[#This Row],[Order_Date]])</f>
        <v>2023</v>
      </c>
      <c r="O680" s="7">
        <f>Table1[[#This Row],[Profit]]/Table1[[#This Row],[Total_Sales]]</f>
        <v>0.32931578947368423</v>
      </c>
    </row>
    <row r="681" spans="1:15" x14ac:dyDescent="0.25">
      <c r="A681" s="1">
        <v>680</v>
      </c>
      <c r="B681" s="2">
        <v>45603</v>
      </c>
      <c r="C681" s="1" t="s">
        <v>19</v>
      </c>
      <c r="D681" s="1" t="s">
        <v>22</v>
      </c>
      <c r="E681" s="1" t="s">
        <v>29</v>
      </c>
      <c r="F681" s="1" t="s">
        <v>15</v>
      </c>
      <c r="G681" s="1">
        <v>5</v>
      </c>
      <c r="H681" s="1">
        <v>901</v>
      </c>
      <c r="I681" s="1">
        <v>20</v>
      </c>
      <c r="J681" s="4">
        <v>3604</v>
      </c>
      <c r="K681" s="4">
        <v>2455.48</v>
      </c>
      <c r="L681" s="4">
        <v>1148.52</v>
      </c>
      <c r="M681" s="1" t="str">
        <f>TEXT(Table1[[#This Row],[Order_Date]], "MMM")</f>
        <v>Nov</v>
      </c>
      <c r="N681" s="1">
        <f>YEAR(Table1[[#This Row],[Order_Date]])</f>
        <v>2024</v>
      </c>
      <c r="O681" s="7">
        <f>Table1[[#This Row],[Profit]]/Table1[[#This Row],[Total_Sales]]</f>
        <v>0.31867924528301889</v>
      </c>
    </row>
    <row r="682" spans="1:15" x14ac:dyDescent="0.25">
      <c r="A682" s="1">
        <v>681</v>
      </c>
      <c r="B682" s="2">
        <v>45284</v>
      </c>
      <c r="C682" s="1" t="s">
        <v>16</v>
      </c>
      <c r="D682" s="1" t="s">
        <v>22</v>
      </c>
      <c r="E682" s="1" t="s">
        <v>23</v>
      </c>
      <c r="F682" s="1" t="s">
        <v>40</v>
      </c>
      <c r="G682" s="1">
        <v>2</v>
      </c>
      <c r="H682" s="1">
        <v>750</v>
      </c>
      <c r="I682" s="1">
        <v>20</v>
      </c>
      <c r="J682" s="4">
        <v>1200</v>
      </c>
      <c r="K682" s="4">
        <v>891.74</v>
      </c>
      <c r="L682" s="4">
        <v>308.26</v>
      </c>
      <c r="M682" s="1" t="str">
        <f>TEXT(Table1[[#This Row],[Order_Date]], "MMM")</f>
        <v>Dec</v>
      </c>
      <c r="N682" s="1">
        <f>YEAR(Table1[[#This Row],[Order_Date]])</f>
        <v>2023</v>
      </c>
      <c r="O682" s="7">
        <f>Table1[[#This Row],[Profit]]/Table1[[#This Row],[Total_Sales]]</f>
        <v>0.25688333333333335</v>
      </c>
    </row>
    <row r="683" spans="1:15" x14ac:dyDescent="0.25">
      <c r="A683" s="1">
        <v>682</v>
      </c>
      <c r="B683" s="2">
        <v>45608</v>
      </c>
      <c r="C683" s="1" t="s">
        <v>25</v>
      </c>
      <c r="D683" s="1" t="s">
        <v>13</v>
      </c>
      <c r="E683" s="1" t="s">
        <v>39</v>
      </c>
      <c r="F683" s="1" t="s">
        <v>40</v>
      </c>
      <c r="G683" s="1">
        <v>6</v>
      </c>
      <c r="H683" s="1">
        <v>593</v>
      </c>
      <c r="I683" s="1">
        <v>5</v>
      </c>
      <c r="J683" s="4">
        <v>3380.1</v>
      </c>
      <c r="K683" s="4">
        <v>1918.65</v>
      </c>
      <c r="L683" s="4">
        <v>1461.45</v>
      </c>
      <c r="M683" s="1" t="str">
        <f>TEXT(Table1[[#This Row],[Order_Date]], "MMM")</f>
        <v>Nov</v>
      </c>
      <c r="N683" s="1">
        <f>YEAR(Table1[[#This Row],[Order_Date]])</f>
        <v>2024</v>
      </c>
      <c r="O683" s="7">
        <f>Table1[[#This Row],[Profit]]/Table1[[#This Row],[Total_Sales]]</f>
        <v>0.43236886482648446</v>
      </c>
    </row>
    <row r="684" spans="1:15" x14ac:dyDescent="0.25">
      <c r="A684" s="1">
        <v>683</v>
      </c>
      <c r="B684" s="2">
        <v>45116</v>
      </c>
      <c r="C684" s="1" t="s">
        <v>12</v>
      </c>
      <c r="D684" s="1" t="s">
        <v>20</v>
      </c>
      <c r="E684" s="1" t="s">
        <v>21</v>
      </c>
      <c r="F684" s="1" t="s">
        <v>24</v>
      </c>
      <c r="G684" s="1">
        <v>6</v>
      </c>
      <c r="H684" s="1">
        <v>664</v>
      </c>
      <c r="I684" s="1">
        <v>20</v>
      </c>
      <c r="J684" s="4">
        <v>3187.2</v>
      </c>
      <c r="K684" s="4">
        <v>2061.5500000000002</v>
      </c>
      <c r="L684" s="4">
        <v>1125.6500000000001</v>
      </c>
      <c r="M684" s="1" t="str">
        <f>TEXT(Table1[[#This Row],[Order_Date]], "MMM")</f>
        <v>Jul</v>
      </c>
      <c r="N684" s="1">
        <f>YEAR(Table1[[#This Row],[Order_Date]])</f>
        <v>2023</v>
      </c>
      <c r="O684" s="7">
        <f>Table1[[#This Row],[Profit]]/Table1[[#This Row],[Total_Sales]]</f>
        <v>0.35317833835341372</v>
      </c>
    </row>
    <row r="685" spans="1:15" x14ac:dyDescent="0.25">
      <c r="A685" s="1">
        <v>684</v>
      </c>
      <c r="B685" s="2">
        <v>45050</v>
      </c>
      <c r="C685" s="1" t="s">
        <v>19</v>
      </c>
      <c r="D685" s="1" t="s">
        <v>13</v>
      </c>
      <c r="E685" s="1" t="s">
        <v>17</v>
      </c>
      <c r="F685" s="1" t="s">
        <v>24</v>
      </c>
      <c r="G685" s="1">
        <v>9</v>
      </c>
      <c r="H685" s="1">
        <v>814</v>
      </c>
      <c r="I685" s="1">
        <v>20</v>
      </c>
      <c r="J685" s="4">
        <v>5860.8</v>
      </c>
      <c r="K685" s="4">
        <v>3326.17</v>
      </c>
      <c r="L685" s="4">
        <v>2534.63</v>
      </c>
      <c r="M685" s="1" t="str">
        <f>TEXT(Table1[[#This Row],[Order_Date]], "MMM")</f>
        <v>May</v>
      </c>
      <c r="N685" s="1">
        <f>YEAR(Table1[[#This Row],[Order_Date]])</f>
        <v>2023</v>
      </c>
      <c r="O685" s="7">
        <f>Table1[[#This Row],[Profit]]/Table1[[#This Row],[Total_Sales]]</f>
        <v>0.4324716762216762</v>
      </c>
    </row>
    <row r="686" spans="1:15" x14ac:dyDescent="0.25">
      <c r="A686" s="1">
        <v>685</v>
      </c>
      <c r="B686" s="2">
        <v>45553</v>
      </c>
      <c r="C686" s="1" t="s">
        <v>12</v>
      </c>
      <c r="D686" s="1" t="s">
        <v>20</v>
      </c>
      <c r="E686" s="1" t="s">
        <v>28</v>
      </c>
      <c r="F686" s="1" t="s">
        <v>31</v>
      </c>
      <c r="G686" s="1">
        <v>2</v>
      </c>
      <c r="H686" s="1">
        <v>107</v>
      </c>
      <c r="I686" s="1">
        <v>0</v>
      </c>
      <c r="J686" s="4">
        <v>214</v>
      </c>
      <c r="K686" s="4">
        <v>116.24</v>
      </c>
      <c r="L686" s="4">
        <v>97.76</v>
      </c>
      <c r="M686" s="1" t="str">
        <f>TEXT(Table1[[#This Row],[Order_Date]], "MMM")</f>
        <v>Sep</v>
      </c>
      <c r="N686" s="1">
        <f>YEAR(Table1[[#This Row],[Order_Date]])</f>
        <v>2024</v>
      </c>
      <c r="O686" s="7">
        <f>Table1[[#This Row],[Profit]]/Table1[[#This Row],[Total_Sales]]</f>
        <v>0.45682242990654209</v>
      </c>
    </row>
    <row r="687" spans="1:15" x14ac:dyDescent="0.25">
      <c r="A687" s="1">
        <v>686</v>
      </c>
      <c r="B687" s="2">
        <v>45143</v>
      </c>
      <c r="C687" s="1" t="s">
        <v>16</v>
      </c>
      <c r="D687" s="1" t="s">
        <v>26</v>
      </c>
      <c r="E687" s="1" t="s">
        <v>46</v>
      </c>
      <c r="F687" s="1" t="s">
        <v>35</v>
      </c>
      <c r="G687" s="1">
        <v>4</v>
      </c>
      <c r="H687" s="1">
        <v>187</v>
      </c>
      <c r="I687" s="1">
        <v>20</v>
      </c>
      <c r="J687" s="4">
        <v>598.4</v>
      </c>
      <c r="K687" s="4">
        <v>466.23</v>
      </c>
      <c r="L687" s="4">
        <v>132.16999999999999</v>
      </c>
      <c r="M687" s="1" t="str">
        <f>TEXT(Table1[[#This Row],[Order_Date]], "MMM")</f>
        <v>Aug</v>
      </c>
      <c r="N687" s="1">
        <f>YEAR(Table1[[#This Row],[Order_Date]])</f>
        <v>2023</v>
      </c>
      <c r="O687" s="7">
        <f>Table1[[#This Row],[Profit]]/Table1[[#This Row],[Total_Sales]]</f>
        <v>0.22087232620320854</v>
      </c>
    </row>
    <row r="688" spans="1:15" x14ac:dyDescent="0.25">
      <c r="A688" s="1">
        <v>687</v>
      </c>
      <c r="B688" s="2">
        <v>45482</v>
      </c>
      <c r="C688" s="1" t="s">
        <v>16</v>
      </c>
      <c r="D688" s="1" t="s">
        <v>13</v>
      </c>
      <c r="E688" s="1" t="s">
        <v>14</v>
      </c>
      <c r="F688" s="1" t="s">
        <v>40</v>
      </c>
      <c r="G688" s="1">
        <v>8</v>
      </c>
      <c r="H688" s="1">
        <v>46</v>
      </c>
      <c r="I688" s="1">
        <v>15</v>
      </c>
      <c r="J688" s="4">
        <v>312.8</v>
      </c>
      <c r="K688" s="4">
        <v>242.13</v>
      </c>
      <c r="L688" s="4">
        <v>70.67</v>
      </c>
      <c r="M688" s="1" t="str">
        <f>TEXT(Table1[[#This Row],[Order_Date]], "MMM")</f>
        <v>Jul</v>
      </c>
      <c r="N688" s="1">
        <f>YEAR(Table1[[#This Row],[Order_Date]])</f>
        <v>2024</v>
      </c>
      <c r="O688" s="7">
        <f>Table1[[#This Row],[Profit]]/Table1[[#This Row],[Total_Sales]]</f>
        <v>0.22592710997442456</v>
      </c>
    </row>
    <row r="689" spans="1:15" x14ac:dyDescent="0.25">
      <c r="A689" s="1">
        <v>688</v>
      </c>
      <c r="B689" s="2">
        <v>45488</v>
      </c>
      <c r="C689" s="1" t="s">
        <v>25</v>
      </c>
      <c r="D689" s="1" t="s">
        <v>22</v>
      </c>
      <c r="E689" s="1" t="s">
        <v>44</v>
      </c>
      <c r="F689" s="1" t="s">
        <v>18</v>
      </c>
      <c r="G689" s="1">
        <v>4</v>
      </c>
      <c r="H689" s="1">
        <v>55</v>
      </c>
      <c r="I689" s="1">
        <v>15</v>
      </c>
      <c r="J689" s="4">
        <v>187</v>
      </c>
      <c r="K689" s="4">
        <v>98.75</v>
      </c>
      <c r="L689" s="4">
        <v>88.25</v>
      </c>
      <c r="M689" s="1" t="str">
        <f>TEXT(Table1[[#This Row],[Order_Date]], "MMM")</f>
        <v>Jul</v>
      </c>
      <c r="N689" s="1">
        <f>YEAR(Table1[[#This Row],[Order_Date]])</f>
        <v>2024</v>
      </c>
      <c r="O689" s="7">
        <f>Table1[[#This Row],[Profit]]/Table1[[#This Row],[Total_Sales]]</f>
        <v>0.47192513368983957</v>
      </c>
    </row>
    <row r="690" spans="1:15" x14ac:dyDescent="0.25">
      <c r="A690" s="1">
        <v>689</v>
      </c>
      <c r="B690" s="2">
        <v>45584</v>
      </c>
      <c r="C690" s="1" t="s">
        <v>25</v>
      </c>
      <c r="D690" s="1" t="s">
        <v>20</v>
      </c>
      <c r="E690" s="1" t="s">
        <v>30</v>
      </c>
      <c r="F690" s="1" t="s">
        <v>15</v>
      </c>
      <c r="G690" s="1">
        <v>4</v>
      </c>
      <c r="H690" s="1">
        <v>239</v>
      </c>
      <c r="I690" s="1">
        <v>5</v>
      </c>
      <c r="J690" s="4">
        <v>908.2</v>
      </c>
      <c r="K690" s="4">
        <v>573.16999999999996</v>
      </c>
      <c r="L690" s="4">
        <v>335.03</v>
      </c>
      <c r="M690" s="1" t="str">
        <f>TEXT(Table1[[#This Row],[Order_Date]], "MMM")</f>
        <v>Oct</v>
      </c>
      <c r="N690" s="1">
        <f>YEAR(Table1[[#This Row],[Order_Date]])</f>
        <v>2024</v>
      </c>
      <c r="O690" s="7">
        <f>Table1[[#This Row],[Profit]]/Table1[[#This Row],[Total_Sales]]</f>
        <v>0.36889451662629374</v>
      </c>
    </row>
    <row r="691" spans="1:15" x14ac:dyDescent="0.25">
      <c r="A691" s="1">
        <v>690</v>
      </c>
      <c r="B691" s="2">
        <v>45620</v>
      </c>
      <c r="C691" s="1" t="s">
        <v>12</v>
      </c>
      <c r="D691" s="1" t="s">
        <v>20</v>
      </c>
      <c r="E691" s="1" t="s">
        <v>28</v>
      </c>
      <c r="F691" s="1" t="s">
        <v>18</v>
      </c>
      <c r="G691" s="1">
        <v>10</v>
      </c>
      <c r="H691" s="1">
        <v>946</v>
      </c>
      <c r="I691" s="1">
        <v>5</v>
      </c>
      <c r="J691" s="4">
        <v>8987</v>
      </c>
      <c r="K691" s="4">
        <v>6764.76</v>
      </c>
      <c r="L691" s="4">
        <v>2222.2399999999998</v>
      </c>
      <c r="M691" s="1" t="str">
        <f>TEXT(Table1[[#This Row],[Order_Date]], "MMM")</f>
        <v>Nov</v>
      </c>
      <c r="N691" s="1">
        <f>YEAR(Table1[[#This Row],[Order_Date]])</f>
        <v>2024</v>
      </c>
      <c r="O691" s="7">
        <f>Table1[[#This Row],[Profit]]/Table1[[#This Row],[Total_Sales]]</f>
        <v>0.24727272727272726</v>
      </c>
    </row>
    <row r="692" spans="1:15" x14ac:dyDescent="0.25">
      <c r="A692" s="1">
        <v>691</v>
      </c>
      <c r="B692" s="2">
        <v>45626</v>
      </c>
      <c r="C692" s="1" t="s">
        <v>16</v>
      </c>
      <c r="D692" s="1" t="s">
        <v>22</v>
      </c>
      <c r="E692" s="1" t="s">
        <v>23</v>
      </c>
      <c r="F692" s="1" t="s">
        <v>15</v>
      </c>
      <c r="G692" s="1">
        <v>4</v>
      </c>
      <c r="H692" s="1">
        <v>187</v>
      </c>
      <c r="I692" s="1">
        <v>10</v>
      </c>
      <c r="J692" s="4">
        <v>673.2</v>
      </c>
      <c r="K692" s="4">
        <v>422.19</v>
      </c>
      <c r="L692" s="4">
        <v>251.01</v>
      </c>
      <c r="M692" s="1" t="str">
        <f>TEXT(Table1[[#This Row],[Order_Date]], "MMM")</f>
        <v>Nov</v>
      </c>
      <c r="N692" s="1">
        <f>YEAR(Table1[[#This Row],[Order_Date]])</f>
        <v>2024</v>
      </c>
      <c r="O692" s="7">
        <f>Table1[[#This Row],[Profit]]/Table1[[#This Row],[Total_Sales]]</f>
        <v>0.37286096256684487</v>
      </c>
    </row>
    <row r="693" spans="1:15" x14ac:dyDescent="0.25">
      <c r="A693" s="1">
        <v>692</v>
      </c>
      <c r="B693" s="2">
        <v>45117</v>
      </c>
      <c r="C693" s="1" t="s">
        <v>25</v>
      </c>
      <c r="D693" s="1" t="s">
        <v>22</v>
      </c>
      <c r="E693" s="1" t="s">
        <v>29</v>
      </c>
      <c r="F693" s="1" t="s">
        <v>18</v>
      </c>
      <c r="G693" s="1">
        <v>2</v>
      </c>
      <c r="H693" s="1">
        <v>299</v>
      </c>
      <c r="I693" s="1">
        <v>10</v>
      </c>
      <c r="J693" s="4">
        <v>538.20000000000005</v>
      </c>
      <c r="K693" s="4">
        <v>383.74</v>
      </c>
      <c r="L693" s="4">
        <v>154.46</v>
      </c>
      <c r="M693" s="1" t="str">
        <f>TEXT(Table1[[#This Row],[Order_Date]], "MMM")</f>
        <v>Jul</v>
      </c>
      <c r="N693" s="1">
        <f>YEAR(Table1[[#This Row],[Order_Date]])</f>
        <v>2023</v>
      </c>
      <c r="O693" s="7">
        <f>Table1[[#This Row],[Profit]]/Table1[[#This Row],[Total_Sales]]</f>
        <v>0.28699368264585656</v>
      </c>
    </row>
    <row r="694" spans="1:15" x14ac:dyDescent="0.25">
      <c r="A694" s="1">
        <v>693</v>
      </c>
      <c r="B694" s="2">
        <v>45133</v>
      </c>
      <c r="C694" s="1" t="s">
        <v>25</v>
      </c>
      <c r="D694" s="1" t="s">
        <v>22</v>
      </c>
      <c r="E694" s="1" t="s">
        <v>44</v>
      </c>
      <c r="F694" s="1" t="s">
        <v>15</v>
      </c>
      <c r="G694" s="1">
        <v>9</v>
      </c>
      <c r="H694" s="1">
        <v>467</v>
      </c>
      <c r="I694" s="1">
        <v>10</v>
      </c>
      <c r="J694" s="4">
        <v>3782.7</v>
      </c>
      <c r="K694" s="4">
        <v>2251.4</v>
      </c>
      <c r="L694" s="4">
        <v>1531.3</v>
      </c>
      <c r="M694" s="1" t="str">
        <f>TEXT(Table1[[#This Row],[Order_Date]], "MMM")</f>
        <v>Jul</v>
      </c>
      <c r="N694" s="1">
        <f>YEAR(Table1[[#This Row],[Order_Date]])</f>
        <v>2023</v>
      </c>
      <c r="O694" s="7">
        <f>Table1[[#This Row],[Profit]]/Table1[[#This Row],[Total_Sales]]</f>
        <v>0.40481666534485949</v>
      </c>
    </row>
    <row r="695" spans="1:15" x14ac:dyDescent="0.25">
      <c r="A695" s="1">
        <v>694</v>
      </c>
      <c r="B695" s="2">
        <v>45392</v>
      </c>
      <c r="C695" s="1" t="s">
        <v>25</v>
      </c>
      <c r="D695" s="1" t="s">
        <v>26</v>
      </c>
      <c r="E695" s="1" t="s">
        <v>37</v>
      </c>
      <c r="F695" s="1" t="s">
        <v>35</v>
      </c>
      <c r="G695" s="1">
        <v>10</v>
      </c>
      <c r="H695" s="1">
        <v>91</v>
      </c>
      <c r="I695" s="1">
        <v>5</v>
      </c>
      <c r="J695" s="4">
        <v>864.5</v>
      </c>
      <c r="K695" s="4">
        <v>667.85</v>
      </c>
      <c r="L695" s="4">
        <v>196.65</v>
      </c>
      <c r="M695" s="1" t="str">
        <f>TEXT(Table1[[#This Row],[Order_Date]], "MMM")</f>
        <v>Apr</v>
      </c>
      <c r="N695" s="1">
        <f>YEAR(Table1[[#This Row],[Order_Date]])</f>
        <v>2024</v>
      </c>
      <c r="O695" s="7">
        <f>Table1[[#This Row],[Profit]]/Table1[[#This Row],[Total_Sales]]</f>
        <v>0.22747252747252747</v>
      </c>
    </row>
    <row r="696" spans="1:15" x14ac:dyDescent="0.25">
      <c r="A696" s="1">
        <v>695</v>
      </c>
      <c r="B696" s="2">
        <v>45036</v>
      </c>
      <c r="C696" s="1" t="s">
        <v>12</v>
      </c>
      <c r="D696" s="1" t="s">
        <v>22</v>
      </c>
      <c r="E696" s="1" t="s">
        <v>29</v>
      </c>
      <c r="F696" s="1" t="s">
        <v>31</v>
      </c>
      <c r="G696" s="1">
        <v>5</v>
      </c>
      <c r="H696" s="1">
        <v>258</v>
      </c>
      <c r="I696" s="1">
        <v>10</v>
      </c>
      <c r="J696" s="4">
        <v>1161</v>
      </c>
      <c r="K696" s="4">
        <v>669.5</v>
      </c>
      <c r="L696" s="4">
        <v>491.5</v>
      </c>
      <c r="M696" s="1" t="str">
        <f>TEXT(Table1[[#This Row],[Order_Date]], "MMM")</f>
        <v>Apr</v>
      </c>
      <c r="N696" s="1">
        <f>YEAR(Table1[[#This Row],[Order_Date]])</f>
        <v>2023</v>
      </c>
      <c r="O696" s="7">
        <f>Table1[[#This Row],[Profit]]/Table1[[#This Row],[Total_Sales]]</f>
        <v>0.42334194659776053</v>
      </c>
    </row>
    <row r="697" spans="1:15" x14ac:dyDescent="0.25">
      <c r="A697" s="1">
        <v>696</v>
      </c>
      <c r="B697" s="2">
        <v>45378</v>
      </c>
      <c r="C697" s="1" t="s">
        <v>12</v>
      </c>
      <c r="D697" s="1" t="s">
        <v>13</v>
      </c>
      <c r="E697" s="1" t="s">
        <v>17</v>
      </c>
      <c r="F697" s="1" t="s">
        <v>24</v>
      </c>
      <c r="G697" s="1">
        <v>2</v>
      </c>
      <c r="H697" s="1">
        <v>412</v>
      </c>
      <c r="I697" s="1">
        <v>10</v>
      </c>
      <c r="J697" s="4">
        <v>741.6</v>
      </c>
      <c r="K697" s="4">
        <v>384.35</v>
      </c>
      <c r="L697" s="4">
        <v>357.25</v>
      </c>
      <c r="M697" s="1" t="str">
        <f>TEXT(Table1[[#This Row],[Order_Date]], "MMM")</f>
        <v>Mar</v>
      </c>
      <c r="N697" s="1">
        <f>YEAR(Table1[[#This Row],[Order_Date]])</f>
        <v>2024</v>
      </c>
      <c r="O697" s="7">
        <f>Table1[[#This Row],[Profit]]/Table1[[#This Row],[Total_Sales]]</f>
        <v>0.4817286947141316</v>
      </c>
    </row>
    <row r="698" spans="1:15" x14ac:dyDescent="0.25">
      <c r="A698" s="1">
        <v>697</v>
      </c>
      <c r="B698" s="2">
        <v>45144</v>
      </c>
      <c r="C698" s="1" t="s">
        <v>19</v>
      </c>
      <c r="D698" s="1" t="s">
        <v>22</v>
      </c>
      <c r="E698" s="1" t="s">
        <v>29</v>
      </c>
      <c r="F698" s="1" t="s">
        <v>40</v>
      </c>
      <c r="G698" s="1">
        <v>9</v>
      </c>
      <c r="H698" s="1">
        <v>575</v>
      </c>
      <c r="I698" s="1">
        <v>15</v>
      </c>
      <c r="J698" s="4">
        <v>4398.75</v>
      </c>
      <c r="K698" s="4">
        <v>2637.57</v>
      </c>
      <c r="L698" s="4">
        <v>1761.18</v>
      </c>
      <c r="M698" s="1" t="str">
        <f>TEXT(Table1[[#This Row],[Order_Date]], "MMM")</f>
        <v>Aug</v>
      </c>
      <c r="N698" s="1">
        <f>YEAR(Table1[[#This Row],[Order_Date]])</f>
        <v>2023</v>
      </c>
      <c r="O698" s="7">
        <f>Table1[[#This Row],[Profit]]/Table1[[#This Row],[Total_Sales]]</f>
        <v>0.40038192668371697</v>
      </c>
    </row>
    <row r="699" spans="1:15" x14ac:dyDescent="0.25">
      <c r="A699" s="1">
        <v>698</v>
      </c>
      <c r="B699" s="2">
        <v>45426</v>
      </c>
      <c r="C699" s="1" t="s">
        <v>25</v>
      </c>
      <c r="D699" s="1" t="s">
        <v>26</v>
      </c>
      <c r="E699" s="1" t="s">
        <v>37</v>
      </c>
      <c r="F699" s="1" t="s">
        <v>35</v>
      </c>
      <c r="G699" s="1">
        <v>10</v>
      </c>
      <c r="H699" s="1">
        <v>619</v>
      </c>
      <c r="I699" s="1">
        <v>10</v>
      </c>
      <c r="J699" s="4">
        <v>5571</v>
      </c>
      <c r="K699" s="4">
        <v>3963.45</v>
      </c>
      <c r="L699" s="4">
        <v>1607.55</v>
      </c>
      <c r="M699" s="1" t="str">
        <f>TEXT(Table1[[#This Row],[Order_Date]], "MMM")</f>
        <v>May</v>
      </c>
      <c r="N699" s="1">
        <f>YEAR(Table1[[#This Row],[Order_Date]])</f>
        <v>2024</v>
      </c>
      <c r="O699" s="7">
        <f>Table1[[#This Row],[Profit]]/Table1[[#This Row],[Total_Sales]]</f>
        <v>0.28855681206246636</v>
      </c>
    </row>
    <row r="700" spans="1:15" x14ac:dyDescent="0.25">
      <c r="A700" s="1">
        <v>699</v>
      </c>
      <c r="B700" s="2">
        <v>45175</v>
      </c>
      <c r="C700" s="1" t="s">
        <v>16</v>
      </c>
      <c r="D700" s="1" t="s">
        <v>20</v>
      </c>
      <c r="E700" s="1" t="s">
        <v>30</v>
      </c>
      <c r="F700" s="1" t="s">
        <v>40</v>
      </c>
      <c r="G700" s="1">
        <v>4</v>
      </c>
      <c r="H700" s="1">
        <v>298</v>
      </c>
      <c r="I700" s="1">
        <v>20</v>
      </c>
      <c r="J700" s="4">
        <v>953.6</v>
      </c>
      <c r="K700" s="4">
        <v>732.58</v>
      </c>
      <c r="L700" s="4">
        <v>221.02</v>
      </c>
      <c r="M700" s="1" t="str">
        <f>TEXT(Table1[[#This Row],[Order_Date]], "MMM")</f>
        <v>Sep</v>
      </c>
      <c r="N700" s="1">
        <f>YEAR(Table1[[#This Row],[Order_Date]])</f>
        <v>2023</v>
      </c>
      <c r="O700" s="7">
        <f>Table1[[#This Row],[Profit]]/Table1[[#This Row],[Total_Sales]]</f>
        <v>0.23177432885906041</v>
      </c>
    </row>
    <row r="701" spans="1:15" x14ac:dyDescent="0.25">
      <c r="A701" s="1">
        <v>700</v>
      </c>
      <c r="B701" s="2">
        <v>45585</v>
      </c>
      <c r="C701" s="1" t="s">
        <v>16</v>
      </c>
      <c r="D701" s="1" t="s">
        <v>32</v>
      </c>
      <c r="E701" s="1" t="s">
        <v>33</v>
      </c>
      <c r="F701" s="1" t="s">
        <v>15</v>
      </c>
      <c r="G701" s="1">
        <v>1</v>
      </c>
      <c r="H701" s="1">
        <v>394</v>
      </c>
      <c r="I701" s="1">
        <v>10</v>
      </c>
      <c r="J701" s="4">
        <v>354.6</v>
      </c>
      <c r="K701" s="4">
        <v>236.78</v>
      </c>
      <c r="L701" s="4">
        <v>117.82</v>
      </c>
      <c r="M701" s="1" t="str">
        <f>TEXT(Table1[[#This Row],[Order_Date]], "MMM")</f>
        <v>Oct</v>
      </c>
      <c r="N701" s="1">
        <f>YEAR(Table1[[#This Row],[Order_Date]])</f>
        <v>2024</v>
      </c>
      <c r="O701" s="7">
        <f>Table1[[#This Row],[Profit]]/Table1[[#This Row],[Total_Sales]]</f>
        <v>0.33226170332769311</v>
      </c>
    </row>
    <row r="702" spans="1:15" x14ac:dyDescent="0.25">
      <c r="A702" s="1">
        <v>701</v>
      </c>
      <c r="B702" s="2">
        <v>45423</v>
      </c>
      <c r="C702" s="1" t="s">
        <v>25</v>
      </c>
      <c r="D702" s="1" t="s">
        <v>32</v>
      </c>
      <c r="E702" s="1" t="s">
        <v>33</v>
      </c>
      <c r="F702" s="1" t="s">
        <v>15</v>
      </c>
      <c r="G702" s="1">
        <v>5</v>
      </c>
      <c r="H702" s="1">
        <v>385</v>
      </c>
      <c r="I702" s="1">
        <v>15</v>
      </c>
      <c r="J702" s="4">
        <v>1636.25</v>
      </c>
      <c r="K702" s="4">
        <v>1015.27</v>
      </c>
      <c r="L702" s="4">
        <v>620.98</v>
      </c>
      <c r="M702" s="1" t="str">
        <f>TEXT(Table1[[#This Row],[Order_Date]], "MMM")</f>
        <v>May</v>
      </c>
      <c r="N702" s="1">
        <f>YEAR(Table1[[#This Row],[Order_Date]])</f>
        <v>2024</v>
      </c>
      <c r="O702" s="7">
        <f>Table1[[#This Row],[Profit]]/Table1[[#This Row],[Total_Sales]]</f>
        <v>0.37951413292589764</v>
      </c>
    </row>
    <row r="703" spans="1:15" x14ac:dyDescent="0.25">
      <c r="A703" s="1">
        <v>702</v>
      </c>
      <c r="B703" s="2">
        <v>45383</v>
      </c>
      <c r="C703" s="1" t="s">
        <v>19</v>
      </c>
      <c r="D703" s="1" t="s">
        <v>13</v>
      </c>
      <c r="E703" s="1" t="s">
        <v>39</v>
      </c>
      <c r="F703" s="1" t="s">
        <v>18</v>
      </c>
      <c r="G703" s="1">
        <v>9</v>
      </c>
      <c r="H703" s="1">
        <v>448</v>
      </c>
      <c r="I703" s="1">
        <v>15</v>
      </c>
      <c r="J703" s="4">
        <v>3427.2</v>
      </c>
      <c r="K703" s="4">
        <v>2315.09</v>
      </c>
      <c r="L703" s="4">
        <v>1112.1099999999999</v>
      </c>
      <c r="M703" s="1" t="str">
        <f>TEXT(Table1[[#This Row],[Order_Date]], "MMM")</f>
        <v>Apr</v>
      </c>
      <c r="N703" s="1">
        <f>YEAR(Table1[[#This Row],[Order_Date]])</f>
        <v>2024</v>
      </c>
      <c r="O703" s="7">
        <f>Table1[[#This Row],[Profit]]/Table1[[#This Row],[Total_Sales]]</f>
        <v>0.32449521475256771</v>
      </c>
    </row>
    <row r="704" spans="1:15" x14ac:dyDescent="0.25">
      <c r="A704" s="1">
        <v>703</v>
      </c>
      <c r="B704" s="2">
        <v>44935</v>
      </c>
      <c r="C704" s="1" t="s">
        <v>25</v>
      </c>
      <c r="D704" s="1" t="s">
        <v>20</v>
      </c>
      <c r="E704" s="1" t="s">
        <v>43</v>
      </c>
      <c r="F704" s="1" t="s">
        <v>15</v>
      </c>
      <c r="G704" s="1">
        <v>9</v>
      </c>
      <c r="H704" s="1">
        <v>215</v>
      </c>
      <c r="I704" s="1">
        <v>20</v>
      </c>
      <c r="J704" s="4">
        <v>1548</v>
      </c>
      <c r="K704" s="4">
        <v>980.64</v>
      </c>
      <c r="L704" s="4">
        <v>567.36</v>
      </c>
      <c r="M704" s="1" t="str">
        <f>TEXT(Table1[[#This Row],[Order_Date]], "MMM")</f>
        <v>Jan</v>
      </c>
      <c r="N704" s="1">
        <f>YEAR(Table1[[#This Row],[Order_Date]])</f>
        <v>2023</v>
      </c>
      <c r="O704" s="7">
        <f>Table1[[#This Row],[Profit]]/Table1[[#This Row],[Total_Sales]]</f>
        <v>0.36651162790697678</v>
      </c>
    </row>
    <row r="705" spans="1:15" x14ac:dyDescent="0.25">
      <c r="A705" s="1">
        <v>704</v>
      </c>
      <c r="B705" s="2">
        <v>45183</v>
      </c>
      <c r="C705" s="1" t="s">
        <v>19</v>
      </c>
      <c r="D705" s="1" t="s">
        <v>20</v>
      </c>
      <c r="E705" s="1" t="s">
        <v>30</v>
      </c>
      <c r="F705" s="1" t="s">
        <v>40</v>
      </c>
      <c r="G705" s="1">
        <v>6</v>
      </c>
      <c r="H705" s="1">
        <v>952</v>
      </c>
      <c r="I705" s="1">
        <v>20</v>
      </c>
      <c r="J705" s="4">
        <v>4569.6000000000004</v>
      </c>
      <c r="K705" s="4">
        <v>2641.65</v>
      </c>
      <c r="L705" s="4">
        <v>1927.95</v>
      </c>
      <c r="M705" s="1" t="str">
        <f>TEXT(Table1[[#This Row],[Order_Date]], "MMM")</f>
        <v>Sep</v>
      </c>
      <c r="N705" s="1">
        <f>YEAR(Table1[[#This Row],[Order_Date]])</f>
        <v>2023</v>
      </c>
      <c r="O705" s="7">
        <f>Table1[[#This Row],[Profit]]/Table1[[#This Row],[Total_Sales]]</f>
        <v>0.42190782563025209</v>
      </c>
    </row>
    <row r="706" spans="1:15" x14ac:dyDescent="0.25">
      <c r="A706" s="1">
        <v>705</v>
      </c>
      <c r="B706" s="2">
        <v>45157</v>
      </c>
      <c r="C706" s="1" t="s">
        <v>19</v>
      </c>
      <c r="D706" s="1" t="s">
        <v>20</v>
      </c>
      <c r="E706" s="1" t="s">
        <v>30</v>
      </c>
      <c r="F706" s="1" t="s">
        <v>31</v>
      </c>
      <c r="G706" s="1">
        <v>7</v>
      </c>
      <c r="H706" s="1">
        <v>251</v>
      </c>
      <c r="I706" s="1">
        <v>10</v>
      </c>
      <c r="J706" s="4">
        <v>1581.3</v>
      </c>
      <c r="K706" s="4">
        <v>933.96</v>
      </c>
      <c r="L706" s="4">
        <v>647.34</v>
      </c>
      <c r="M706" s="1" t="str">
        <f>TEXT(Table1[[#This Row],[Order_Date]], "MMM")</f>
        <v>Aug</v>
      </c>
      <c r="N706" s="1">
        <f>YEAR(Table1[[#This Row],[Order_Date]])</f>
        <v>2023</v>
      </c>
      <c r="O706" s="7">
        <f>Table1[[#This Row],[Profit]]/Table1[[#This Row],[Total_Sales]]</f>
        <v>0.40937203566685643</v>
      </c>
    </row>
    <row r="707" spans="1:15" x14ac:dyDescent="0.25">
      <c r="A707" s="1">
        <v>706</v>
      </c>
      <c r="B707" s="2">
        <v>45091</v>
      </c>
      <c r="C707" s="1" t="s">
        <v>16</v>
      </c>
      <c r="D707" s="1" t="s">
        <v>20</v>
      </c>
      <c r="E707" s="1" t="s">
        <v>21</v>
      </c>
      <c r="F707" s="1" t="s">
        <v>35</v>
      </c>
      <c r="G707" s="1">
        <v>7</v>
      </c>
      <c r="H707" s="1">
        <v>92</v>
      </c>
      <c r="I707" s="1">
        <v>0</v>
      </c>
      <c r="J707" s="4">
        <v>644</v>
      </c>
      <c r="K707" s="4">
        <v>373.54</v>
      </c>
      <c r="L707" s="4">
        <v>270.45999999999998</v>
      </c>
      <c r="M707" s="1" t="str">
        <f>TEXT(Table1[[#This Row],[Order_Date]], "MMM")</f>
        <v>Jun</v>
      </c>
      <c r="N707" s="1">
        <f>YEAR(Table1[[#This Row],[Order_Date]])</f>
        <v>2023</v>
      </c>
      <c r="O707" s="7">
        <f>Table1[[#This Row],[Profit]]/Table1[[#This Row],[Total_Sales]]</f>
        <v>0.41996894409937885</v>
      </c>
    </row>
    <row r="708" spans="1:15" x14ac:dyDescent="0.25">
      <c r="A708" s="1">
        <v>707</v>
      </c>
      <c r="B708" s="2">
        <v>45528</v>
      </c>
      <c r="C708" s="1" t="s">
        <v>19</v>
      </c>
      <c r="D708" s="1" t="s">
        <v>13</v>
      </c>
      <c r="E708" s="1" t="s">
        <v>38</v>
      </c>
      <c r="F708" s="1" t="s">
        <v>15</v>
      </c>
      <c r="G708" s="1">
        <v>7</v>
      </c>
      <c r="H708" s="1">
        <v>427</v>
      </c>
      <c r="I708" s="1">
        <v>0</v>
      </c>
      <c r="J708" s="4">
        <v>2989</v>
      </c>
      <c r="K708" s="4">
        <v>1578.84</v>
      </c>
      <c r="L708" s="4">
        <v>1410.16</v>
      </c>
      <c r="M708" s="1" t="str">
        <f>TEXT(Table1[[#This Row],[Order_Date]], "MMM")</f>
        <v>Aug</v>
      </c>
      <c r="N708" s="1">
        <f>YEAR(Table1[[#This Row],[Order_Date]])</f>
        <v>2024</v>
      </c>
      <c r="O708" s="7">
        <f>Table1[[#This Row],[Profit]]/Table1[[#This Row],[Total_Sales]]</f>
        <v>0.47178320508531285</v>
      </c>
    </row>
    <row r="709" spans="1:15" x14ac:dyDescent="0.25">
      <c r="A709" s="1">
        <v>708</v>
      </c>
      <c r="B709" s="2">
        <v>45646</v>
      </c>
      <c r="C709" s="1" t="s">
        <v>12</v>
      </c>
      <c r="D709" s="1" t="s">
        <v>32</v>
      </c>
      <c r="E709" s="1" t="s">
        <v>33</v>
      </c>
      <c r="F709" s="1" t="s">
        <v>24</v>
      </c>
      <c r="G709" s="1">
        <v>2</v>
      </c>
      <c r="H709" s="1">
        <v>547</v>
      </c>
      <c r="I709" s="1">
        <v>0</v>
      </c>
      <c r="J709" s="4">
        <v>1094</v>
      </c>
      <c r="K709" s="4">
        <v>691.34</v>
      </c>
      <c r="L709" s="4">
        <v>402.66</v>
      </c>
      <c r="M709" s="1" t="str">
        <f>TEXT(Table1[[#This Row],[Order_Date]], "MMM")</f>
        <v>Dec</v>
      </c>
      <c r="N709" s="1">
        <f>YEAR(Table1[[#This Row],[Order_Date]])</f>
        <v>2024</v>
      </c>
      <c r="O709" s="7">
        <f>Table1[[#This Row],[Profit]]/Table1[[#This Row],[Total_Sales]]</f>
        <v>0.36806215722120661</v>
      </c>
    </row>
    <row r="710" spans="1:15" x14ac:dyDescent="0.25">
      <c r="A710" s="1">
        <v>709</v>
      </c>
      <c r="B710" s="2">
        <v>45163</v>
      </c>
      <c r="C710" s="1" t="s">
        <v>16</v>
      </c>
      <c r="D710" s="1" t="s">
        <v>20</v>
      </c>
      <c r="E710" s="1" t="s">
        <v>43</v>
      </c>
      <c r="F710" s="1" t="s">
        <v>24</v>
      </c>
      <c r="G710" s="1">
        <v>2</v>
      </c>
      <c r="H710" s="1">
        <v>744</v>
      </c>
      <c r="I710" s="1">
        <v>0</v>
      </c>
      <c r="J710" s="4">
        <v>1488</v>
      </c>
      <c r="K710" s="4">
        <v>1053.06</v>
      </c>
      <c r="L710" s="4">
        <v>434.94</v>
      </c>
      <c r="M710" s="1" t="str">
        <f>TEXT(Table1[[#This Row],[Order_Date]], "MMM")</f>
        <v>Aug</v>
      </c>
      <c r="N710" s="1">
        <f>YEAR(Table1[[#This Row],[Order_Date]])</f>
        <v>2023</v>
      </c>
      <c r="O710" s="7">
        <f>Table1[[#This Row],[Profit]]/Table1[[#This Row],[Total_Sales]]</f>
        <v>0.29229838709677419</v>
      </c>
    </row>
    <row r="711" spans="1:15" x14ac:dyDescent="0.25">
      <c r="A711" s="1">
        <v>710</v>
      </c>
      <c r="B711" s="2">
        <v>45500</v>
      </c>
      <c r="C711" s="1" t="s">
        <v>16</v>
      </c>
      <c r="D711" s="1" t="s">
        <v>20</v>
      </c>
      <c r="E711" s="1" t="s">
        <v>21</v>
      </c>
      <c r="F711" s="1" t="s">
        <v>24</v>
      </c>
      <c r="G711" s="1">
        <v>8</v>
      </c>
      <c r="H711" s="1">
        <v>946</v>
      </c>
      <c r="I711" s="1">
        <v>15</v>
      </c>
      <c r="J711" s="4">
        <v>6432.8</v>
      </c>
      <c r="K711" s="4">
        <v>4822.49</v>
      </c>
      <c r="L711" s="4">
        <v>1610.31</v>
      </c>
      <c r="M711" s="1" t="str">
        <f>TEXT(Table1[[#This Row],[Order_Date]], "MMM")</f>
        <v>Jul</v>
      </c>
      <c r="N711" s="1">
        <f>YEAR(Table1[[#This Row],[Order_Date]])</f>
        <v>2024</v>
      </c>
      <c r="O711" s="7">
        <f>Table1[[#This Row],[Profit]]/Table1[[#This Row],[Total_Sales]]</f>
        <v>0.25032800646685732</v>
      </c>
    </row>
    <row r="712" spans="1:15" x14ac:dyDescent="0.25">
      <c r="A712" s="1">
        <v>711</v>
      </c>
      <c r="B712" s="2">
        <v>45112</v>
      </c>
      <c r="C712" s="1" t="s">
        <v>12</v>
      </c>
      <c r="D712" s="1" t="s">
        <v>22</v>
      </c>
      <c r="E712" s="1" t="s">
        <v>23</v>
      </c>
      <c r="F712" s="1" t="s">
        <v>18</v>
      </c>
      <c r="G712" s="1">
        <v>10</v>
      </c>
      <c r="H712" s="1">
        <v>800</v>
      </c>
      <c r="I712" s="1">
        <v>5</v>
      </c>
      <c r="J712" s="4">
        <v>7600</v>
      </c>
      <c r="K712" s="4">
        <v>4167.28</v>
      </c>
      <c r="L712" s="4">
        <v>3432.72</v>
      </c>
      <c r="M712" s="1" t="str">
        <f>TEXT(Table1[[#This Row],[Order_Date]], "MMM")</f>
        <v>Jul</v>
      </c>
      <c r="N712" s="1">
        <f>YEAR(Table1[[#This Row],[Order_Date]])</f>
        <v>2023</v>
      </c>
      <c r="O712" s="7">
        <f>Table1[[#This Row],[Profit]]/Table1[[#This Row],[Total_Sales]]</f>
        <v>0.45167368421052628</v>
      </c>
    </row>
    <row r="713" spans="1:15" x14ac:dyDescent="0.25">
      <c r="A713" s="1">
        <v>712</v>
      </c>
      <c r="B713" s="2">
        <v>45237</v>
      </c>
      <c r="C713" s="1" t="s">
        <v>25</v>
      </c>
      <c r="D713" s="1" t="s">
        <v>26</v>
      </c>
      <c r="E713" s="1" t="s">
        <v>37</v>
      </c>
      <c r="F713" s="1" t="s">
        <v>18</v>
      </c>
      <c r="G713" s="1">
        <v>1</v>
      </c>
      <c r="H713" s="1">
        <v>380</v>
      </c>
      <c r="I713" s="1">
        <v>20</v>
      </c>
      <c r="J713" s="4">
        <v>304</v>
      </c>
      <c r="K713" s="4">
        <v>178.43</v>
      </c>
      <c r="L713" s="4">
        <v>125.57</v>
      </c>
      <c r="M713" s="1" t="str">
        <f>TEXT(Table1[[#This Row],[Order_Date]], "MMM")</f>
        <v>Nov</v>
      </c>
      <c r="N713" s="1">
        <f>YEAR(Table1[[#This Row],[Order_Date]])</f>
        <v>2023</v>
      </c>
      <c r="O713" s="7">
        <f>Table1[[#This Row],[Profit]]/Table1[[#This Row],[Total_Sales]]</f>
        <v>0.41305921052631578</v>
      </c>
    </row>
    <row r="714" spans="1:15" x14ac:dyDescent="0.25">
      <c r="A714" s="1">
        <v>713</v>
      </c>
      <c r="B714" s="2">
        <v>45020</v>
      </c>
      <c r="C714" s="1" t="s">
        <v>19</v>
      </c>
      <c r="D714" s="1" t="s">
        <v>26</v>
      </c>
      <c r="E714" s="1" t="s">
        <v>37</v>
      </c>
      <c r="F714" s="1" t="s">
        <v>15</v>
      </c>
      <c r="G714" s="1">
        <v>9</v>
      </c>
      <c r="H714" s="1">
        <v>161</v>
      </c>
      <c r="I714" s="1">
        <v>0</v>
      </c>
      <c r="J714" s="4">
        <v>1449</v>
      </c>
      <c r="K714" s="4">
        <v>937.22</v>
      </c>
      <c r="L714" s="4">
        <v>511.78</v>
      </c>
      <c r="M714" s="1" t="str">
        <f>TEXT(Table1[[#This Row],[Order_Date]], "MMM")</f>
        <v>Apr</v>
      </c>
      <c r="N714" s="1">
        <f>YEAR(Table1[[#This Row],[Order_Date]])</f>
        <v>2023</v>
      </c>
      <c r="O714" s="7">
        <f>Table1[[#This Row],[Profit]]/Table1[[#This Row],[Total_Sales]]</f>
        <v>0.35319530710835056</v>
      </c>
    </row>
    <row r="715" spans="1:15" x14ac:dyDescent="0.25">
      <c r="A715" s="1">
        <v>714</v>
      </c>
      <c r="B715" s="2">
        <v>45245</v>
      </c>
      <c r="C715" s="1" t="s">
        <v>19</v>
      </c>
      <c r="D715" s="1" t="s">
        <v>13</v>
      </c>
      <c r="E715" s="1" t="s">
        <v>38</v>
      </c>
      <c r="F715" s="1" t="s">
        <v>18</v>
      </c>
      <c r="G715" s="1">
        <v>1</v>
      </c>
      <c r="H715" s="1">
        <v>50</v>
      </c>
      <c r="I715" s="1">
        <v>5</v>
      </c>
      <c r="J715" s="4">
        <v>47.5</v>
      </c>
      <c r="K715" s="4">
        <v>25.79</v>
      </c>
      <c r="L715" s="4">
        <v>21.71</v>
      </c>
      <c r="M715" s="1" t="str">
        <f>TEXT(Table1[[#This Row],[Order_Date]], "MMM")</f>
        <v>Nov</v>
      </c>
      <c r="N715" s="1">
        <f>YEAR(Table1[[#This Row],[Order_Date]])</f>
        <v>2023</v>
      </c>
      <c r="O715" s="7">
        <f>Table1[[#This Row],[Profit]]/Table1[[#This Row],[Total_Sales]]</f>
        <v>0.45705263157894738</v>
      </c>
    </row>
    <row r="716" spans="1:15" x14ac:dyDescent="0.25">
      <c r="A716" s="1">
        <v>715</v>
      </c>
      <c r="B716" s="2">
        <v>45585</v>
      </c>
      <c r="C716" s="1" t="s">
        <v>16</v>
      </c>
      <c r="D716" s="1" t="s">
        <v>26</v>
      </c>
      <c r="E716" s="1" t="s">
        <v>27</v>
      </c>
      <c r="F716" s="1" t="s">
        <v>35</v>
      </c>
      <c r="G716" s="1">
        <v>4</v>
      </c>
      <c r="H716" s="1">
        <v>196</v>
      </c>
      <c r="I716" s="1">
        <v>20</v>
      </c>
      <c r="J716" s="4">
        <v>627.20000000000005</v>
      </c>
      <c r="K716" s="4">
        <v>407.28</v>
      </c>
      <c r="L716" s="4">
        <v>219.92</v>
      </c>
      <c r="M716" s="1" t="str">
        <f>TEXT(Table1[[#This Row],[Order_Date]], "MMM")</f>
        <v>Oct</v>
      </c>
      <c r="N716" s="1">
        <f>YEAR(Table1[[#This Row],[Order_Date]])</f>
        <v>2024</v>
      </c>
      <c r="O716" s="7">
        <f>Table1[[#This Row],[Profit]]/Table1[[#This Row],[Total_Sales]]</f>
        <v>0.35063775510204076</v>
      </c>
    </row>
    <row r="717" spans="1:15" x14ac:dyDescent="0.25">
      <c r="A717" s="1">
        <v>716</v>
      </c>
      <c r="B717" s="2">
        <v>45036</v>
      </c>
      <c r="C717" s="1" t="s">
        <v>16</v>
      </c>
      <c r="D717" s="1" t="s">
        <v>32</v>
      </c>
      <c r="E717" s="1" t="s">
        <v>45</v>
      </c>
      <c r="F717" s="1" t="s">
        <v>40</v>
      </c>
      <c r="G717" s="1">
        <v>2</v>
      </c>
      <c r="H717" s="1">
        <v>708</v>
      </c>
      <c r="I717" s="1">
        <v>5</v>
      </c>
      <c r="J717" s="4">
        <v>1345.2</v>
      </c>
      <c r="K717" s="4">
        <v>982.76</v>
      </c>
      <c r="L717" s="4">
        <v>362.44</v>
      </c>
      <c r="M717" s="1" t="str">
        <f>TEXT(Table1[[#This Row],[Order_Date]], "MMM")</f>
        <v>Apr</v>
      </c>
      <c r="N717" s="1">
        <f>YEAR(Table1[[#This Row],[Order_Date]])</f>
        <v>2023</v>
      </c>
      <c r="O717" s="7">
        <f>Table1[[#This Row],[Profit]]/Table1[[#This Row],[Total_Sales]]</f>
        <v>0.26943205471305381</v>
      </c>
    </row>
    <row r="718" spans="1:15" x14ac:dyDescent="0.25">
      <c r="A718" s="1">
        <v>717</v>
      </c>
      <c r="B718" s="2">
        <v>45520</v>
      </c>
      <c r="C718" s="1" t="s">
        <v>12</v>
      </c>
      <c r="D718" s="1" t="s">
        <v>13</v>
      </c>
      <c r="E718" s="1" t="s">
        <v>17</v>
      </c>
      <c r="F718" s="1" t="s">
        <v>24</v>
      </c>
      <c r="G718" s="1">
        <v>2</v>
      </c>
      <c r="H718" s="1">
        <v>418</v>
      </c>
      <c r="I718" s="1">
        <v>5</v>
      </c>
      <c r="J718" s="4">
        <v>794.2</v>
      </c>
      <c r="K718" s="4">
        <v>435.47</v>
      </c>
      <c r="L718" s="4">
        <v>358.73</v>
      </c>
      <c r="M718" s="1" t="str">
        <f>TEXT(Table1[[#This Row],[Order_Date]], "MMM")</f>
        <v>Aug</v>
      </c>
      <c r="N718" s="1">
        <f>YEAR(Table1[[#This Row],[Order_Date]])</f>
        <v>2024</v>
      </c>
      <c r="O718" s="7">
        <f>Table1[[#This Row],[Profit]]/Table1[[#This Row],[Total_Sales]]</f>
        <v>0.45168723243515485</v>
      </c>
    </row>
    <row r="719" spans="1:15" x14ac:dyDescent="0.25">
      <c r="A719" s="1">
        <v>718</v>
      </c>
      <c r="B719" s="2">
        <v>45098</v>
      </c>
      <c r="C719" s="1" t="s">
        <v>16</v>
      </c>
      <c r="D719" s="1" t="s">
        <v>13</v>
      </c>
      <c r="E719" s="1" t="s">
        <v>14</v>
      </c>
      <c r="F719" s="1" t="s">
        <v>24</v>
      </c>
      <c r="G719" s="1">
        <v>7</v>
      </c>
      <c r="H719" s="1">
        <v>90</v>
      </c>
      <c r="I719" s="1">
        <v>20</v>
      </c>
      <c r="J719" s="4">
        <v>504</v>
      </c>
      <c r="K719" s="4">
        <v>356.41</v>
      </c>
      <c r="L719" s="4">
        <v>147.59</v>
      </c>
      <c r="M719" s="1" t="str">
        <f>TEXT(Table1[[#This Row],[Order_Date]], "MMM")</f>
        <v>Jun</v>
      </c>
      <c r="N719" s="1">
        <f>YEAR(Table1[[#This Row],[Order_Date]])</f>
        <v>2023</v>
      </c>
      <c r="O719" s="7">
        <f>Table1[[#This Row],[Profit]]/Table1[[#This Row],[Total_Sales]]</f>
        <v>0.29283730158730159</v>
      </c>
    </row>
    <row r="720" spans="1:15" x14ac:dyDescent="0.25">
      <c r="A720" s="1">
        <v>719</v>
      </c>
      <c r="B720" s="2">
        <v>44943</v>
      </c>
      <c r="C720" s="1" t="s">
        <v>19</v>
      </c>
      <c r="D720" s="1" t="s">
        <v>22</v>
      </c>
      <c r="E720" s="1" t="s">
        <v>36</v>
      </c>
      <c r="F720" s="1" t="s">
        <v>24</v>
      </c>
      <c r="G720" s="1">
        <v>6</v>
      </c>
      <c r="H720" s="1">
        <v>74</v>
      </c>
      <c r="I720" s="1">
        <v>15</v>
      </c>
      <c r="J720" s="4">
        <v>377.4</v>
      </c>
      <c r="K720" s="4">
        <v>204.32</v>
      </c>
      <c r="L720" s="4">
        <v>173.08</v>
      </c>
      <c r="M720" s="1" t="str">
        <f>TEXT(Table1[[#This Row],[Order_Date]], "MMM")</f>
        <v>Jan</v>
      </c>
      <c r="N720" s="1">
        <f>YEAR(Table1[[#This Row],[Order_Date]])</f>
        <v>2023</v>
      </c>
      <c r="O720" s="7">
        <f>Table1[[#This Row],[Profit]]/Table1[[#This Row],[Total_Sales]]</f>
        <v>0.45861155272919985</v>
      </c>
    </row>
    <row r="721" spans="1:15" x14ac:dyDescent="0.25">
      <c r="A721" s="1">
        <v>720</v>
      </c>
      <c r="B721" s="2">
        <v>45302</v>
      </c>
      <c r="C721" s="1" t="s">
        <v>25</v>
      </c>
      <c r="D721" s="1" t="s">
        <v>32</v>
      </c>
      <c r="E721" s="1" t="s">
        <v>41</v>
      </c>
      <c r="F721" s="1" t="s">
        <v>15</v>
      </c>
      <c r="G721" s="1">
        <v>6</v>
      </c>
      <c r="H721" s="1">
        <v>157</v>
      </c>
      <c r="I721" s="1">
        <v>10</v>
      </c>
      <c r="J721" s="4">
        <v>847.8</v>
      </c>
      <c r="K721" s="4">
        <v>571.61</v>
      </c>
      <c r="L721" s="4">
        <v>276.19</v>
      </c>
      <c r="M721" s="1" t="str">
        <f>TEXT(Table1[[#This Row],[Order_Date]], "MMM")</f>
        <v>Jan</v>
      </c>
      <c r="N721" s="1">
        <f>YEAR(Table1[[#This Row],[Order_Date]])</f>
        <v>2024</v>
      </c>
      <c r="O721" s="7">
        <f>Table1[[#This Row],[Profit]]/Table1[[#This Row],[Total_Sales]]</f>
        <v>0.3257725878744987</v>
      </c>
    </row>
    <row r="722" spans="1:15" x14ac:dyDescent="0.25">
      <c r="A722" s="1">
        <v>721</v>
      </c>
      <c r="B722" s="2">
        <v>45282</v>
      </c>
      <c r="C722" s="1" t="s">
        <v>25</v>
      </c>
      <c r="D722" s="1" t="s">
        <v>22</v>
      </c>
      <c r="E722" s="1" t="s">
        <v>29</v>
      </c>
      <c r="F722" s="1" t="s">
        <v>40</v>
      </c>
      <c r="G722" s="1">
        <v>4</v>
      </c>
      <c r="H722" s="1">
        <v>400</v>
      </c>
      <c r="I722" s="1">
        <v>15</v>
      </c>
      <c r="J722" s="4">
        <v>1360</v>
      </c>
      <c r="K722" s="4">
        <v>912.08</v>
      </c>
      <c r="L722" s="4">
        <v>447.92</v>
      </c>
      <c r="M722" s="1" t="str">
        <f>TEXT(Table1[[#This Row],[Order_Date]], "MMM")</f>
        <v>Dec</v>
      </c>
      <c r="N722" s="1">
        <f>YEAR(Table1[[#This Row],[Order_Date]])</f>
        <v>2023</v>
      </c>
      <c r="O722" s="7">
        <f>Table1[[#This Row],[Profit]]/Table1[[#This Row],[Total_Sales]]</f>
        <v>0.32935294117647063</v>
      </c>
    </row>
    <row r="723" spans="1:15" x14ac:dyDescent="0.25">
      <c r="A723" s="1">
        <v>722</v>
      </c>
      <c r="B723" s="2">
        <v>44928</v>
      </c>
      <c r="C723" s="1" t="s">
        <v>19</v>
      </c>
      <c r="D723" s="1" t="s">
        <v>22</v>
      </c>
      <c r="E723" s="1" t="s">
        <v>36</v>
      </c>
      <c r="F723" s="1" t="s">
        <v>24</v>
      </c>
      <c r="G723" s="1">
        <v>8</v>
      </c>
      <c r="H723" s="1">
        <v>80</v>
      </c>
      <c r="I723" s="1">
        <v>0</v>
      </c>
      <c r="J723" s="4">
        <v>640</v>
      </c>
      <c r="K723" s="4">
        <v>335.15</v>
      </c>
      <c r="L723" s="4">
        <v>304.85000000000002</v>
      </c>
      <c r="M723" s="1" t="str">
        <f>TEXT(Table1[[#This Row],[Order_Date]], "MMM")</f>
        <v>Jan</v>
      </c>
      <c r="N723" s="1">
        <f>YEAR(Table1[[#This Row],[Order_Date]])</f>
        <v>2023</v>
      </c>
      <c r="O723" s="7">
        <f>Table1[[#This Row],[Profit]]/Table1[[#This Row],[Total_Sales]]</f>
        <v>0.47632812500000005</v>
      </c>
    </row>
    <row r="724" spans="1:15" x14ac:dyDescent="0.25">
      <c r="A724" s="1">
        <v>723</v>
      </c>
      <c r="B724" s="2">
        <v>45242</v>
      </c>
      <c r="C724" s="1" t="s">
        <v>16</v>
      </c>
      <c r="D724" s="1" t="s">
        <v>13</v>
      </c>
      <c r="E724" s="1" t="s">
        <v>39</v>
      </c>
      <c r="F724" s="1" t="s">
        <v>18</v>
      </c>
      <c r="G724" s="1">
        <v>3</v>
      </c>
      <c r="H724" s="1">
        <v>75</v>
      </c>
      <c r="I724" s="1">
        <v>10</v>
      </c>
      <c r="J724" s="4">
        <v>202.5</v>
      </c>
      <c r="K724" s="4">
        <v>152.13999999999999</v>
      </c>
      <c r="L724" s="4">
        <v>50.36</v>
      </c>
      <c r="M724" s="1" t="str">
        <f>TEXT(Table1[[#This Row],[Order_Date]], "MMM")</f>
        <v>Nov</v>
      </c>
      <c r="N724" s="1">
        <f>YEAR(Table1[[#This Row],[Order_Date]])</f>
        <v>2023</v>
      </c>
      <c r="O724" s="7">
        <f>Table1[[#This Row],[Profit]]/Table1[[#This Row],[Total_Sales]]</f>
        <v>0.24869135802469136</v>
      </c>
    </row>
    <row r="725" spans="1:15" x14ac:dyDescent="0.25">
      <c r="A725" s="1">
        <v>724</v>
      </c>
      <c r="B725" s="2">
        <v>45096</v>
      </c>
      <c r="C725" s="1" t="s">
        <v>12</v>
      </c>
      <c r="D725" s="1" t="s">
        <v>26</v>
      </c>
      <c r="E725" s="1" t="s">
        <v>37</v>
      </c>
      <c r="F725" s="1" t="s">
        <v>18</v>
      </c>
      <c r="G725" s="1">
        <v>9</v>
      </c>
      <c r="H725" s="1">
        <v>49</v>
      </c>
      <c r="I725" s="1">
        <v>20</v>
      </c>
      <c r="J725" s="4">
        <v>352.8</v>
      </c>
      <c r="K725" s="4">
        <v>233.57</v>
      </c>
      <c r="L725" s="4">
        <v>119.23</v>
      </c>
      <c r="M725" s="1" t="str">
        <f>TEXT(Table1[[#This Row],[Order_Date]], "MMM")</f>
        <v>Jun</v>
      </c>
      <c r="N725" s="1">
        <f>YEAR(Table1[[#This Row],[Order_Date]])</f>
        <v>2023</v>
      </c>
      <c r="O725" s="7">
        <f>Table1[[#This Row],[Profit]]/Table1[[#This Row],[Total_Sales]]</f>
        <v>0.33795351473922902</v>
      </c>
    </row>
    <row r="726" spans="1:15" x14ac:dyDescent="0.25">
      <c r="A726" s="1">
        <v>725</v>
      </c>
      <c r="B726" s="2">
        <v>45023</v>
      </c>
      <c r="C726" s="1" t="s">
        <v>19</v>
      </c>
      <c r="D726" s="1" t="s">
        <v>20</v>
      </c>
      <c r="E726" s="1" t="s">
        <v>30</v>
      </c>
      <c r="F726" s="1" t="s">
        <v>15</v>
      </c>
      <c r="G726" s="1">
        <v>1</v>
      </c>
      <c r="H726" s="1">
        <v>800</v>
      </c>
      <c r="I726" s="1">
        <v>20</v>
      </c>
      <c r="J726" s="4">
        <v>640</v>
      </c>
      <c r="K726" s="4">
        <v>459.32</v>
      </c>
      <c r="L726" s="4">
        <v>180.68</v>
      </c>
      <c r="M726" s="1" t="str">
        <f>TEXT(Table1[[#This Row],[Order_Date]], "MMM")</f>
        <v>Apr</v>
      </c>
      <c r="N726" s="1">
        <f>YEAR(Table1[[#This Row],[Order_Date]])</f>
        <v>2023</v>
      </c>
      <c r="O726" s="7">
        <f>Table1[[#This Row],[Profit]]/Table1[[#This Row],[Total_Sales]]</f>
        <v>0.28231250000000002</v>
      </c>
    </row>
    <row r="727" spans="1:15" x14ac:dyDescent="0.25">
      <c r="A727" s="1">
        <v>726</v>
      </c>
      <c r="B727" s="2">
        <v>45199</v>
      </c>
      <c r="C727" s="1" t="s">
        <v>12</v>
      </c>
      <c r="D727" s="1" t="s">
        <v>26</v>
      </c>
      <c r="E727" s="1" t="s">
        <v>37</v>
      </c>
      <c r="F727" s="1" t="s">
        <v>35</v>
      </c>
      <c r="G727" s="1">
        <v>10</v>
      </c>
      <c r="H727" s="1">
        <v>72</v>
      </c>
      <c r="I727" s="1">
        <v>20</v>
      </c>
      <c r="J727" s="4">
        <v>576</v>
      </c>
      <c r="K727" s="4">
        <v>442.13</v>
      </c>
      <c r="L727" s="4">
        <v>133.87</v>
      </c>
      <c r="M727" s="1" t="str">
        <f>TEXT(Table1[[#This Row],[Order_Date]], "MMM")</f>
        <v>Sep</v>
      </c>
      <c r="N727" s="1">
        <f>YEAR(Table1[[#This Row],[Order_Date]])</f>
        <v>2023</v>
      </c>
      <c r="O727" s="7">
        <f>Table1[[#This Row],[Profit]]/Table1[[#This Row],[Total_Sales]]</f>
        <v>0.23241319444444444</v>
      </c>
    </row>
    <row r="728" spans="1:15" x14ac:dyDescent="0.25">
      <c r="A728" s="1">
        <v>727</v>
      </c>
      <c r="B728" s="2">
        <v>44954</v>
      </c>
      <c r="C728" s="1" t="s">
        <v>16</v>
      </c>
      <c r="D728" s="1" t="s">
        <v>32</v>
      </c>
      <c r="E728" s="1" t="s">
        <v>34</v>
      </c>
      <c r="F728" s="1" t="s">
        <v>35</v>
      </c>
      <c r="G728" s="1">
        <v>5</v>
      </c>
      <c r="H728" s="1">
        <v>147</v>
      </c>
      <c r="I728" s="1">
        <v>10</v>
      </c>
      <c r="J728" s="4">
        <v>661.5</v>
      </c>
      <c r="K728" s="4">
        <v>499.57</v>
      </c>
      <c r="L728" s="4">
        <v>161.93</v>
      </c>
      <c r="M728" s="1" t="str">
        <f>TEXT(Table1[[#This Row],[Order_Date]], "MMM")</f>
        <v>Jan</v>
      </c>
      <c r="N728" s="1">
        <f>YEAR(Table1[[#This Row],[Order_Date]])</f>
        <v>2023</v>
      </c>
      <c r="O728" s="7">
        <f>Table1[[#This Row],[Profit]]/Table1[[#This Row],[Total_Sales]]</f>
        <v>0.24479213907785338</v>
      </c>
    </row>
    <row r="729" spans="1:15" x14ac:dyDescent="0.25">
      <c r="A729" s="1">
        <v>728</v>
      </c>
      <c r="B729" s="2">
        <v>45365</v>
      </c>
      <c r="C729" s="1" t="s">
        <v>12</v>
      </c>
      <c r="D729" s="1" t="s">
        <v>32</v>
      </c>
      <c r="E729" s="1" t="s">
        <v>45</v>
      </c>
      <c r="F729" s="1" t="s">
        <v>15</v>
      </c>
      <c r="G729" s="1">
        <v>8</v>
      </c>
      <c r="H729" s="1">
        <v>342</v>
      </c>
      <c r="I729" s="1">
        <v>15</v>
      </c>
      <c r="J729" s="4">
        <v>2325.6</v>
      </c>
      <c r="K729" s="4">
        <v>1237.8399999999999</v>
      </c>
      <c r="L729" s="4">
        <v>1087.76</v>
      </c>
      <c r="M729" s="1" t="str">
        <f>TEXT(Table1[[#This Row],[Order_Date]], "MMM")</f>
        <v>Mar</v>
      </c>
      <c r="N729" s="1">
        <f>YEAR(Table1[[#This Row],[Order_Date]])</f>
        <v>2024</v>
      </c>
      <c r="O729" s="7">
        <f>Table1[[#This Row],[Profit]]/Table1[[#This Row],[Total_Sales]]</f>
        <v>0.46773305813553495</v>
      </c>
    </row>
    <row r="730" spans="1:15" x14ac:dyDescent="0.25">
      <c r="A730" s="1">
        <v>729</v>
      </c>
      <c r="B730" s="2">
        <v>45226</v>
      </c>
      <c r="C730" s="1" t="s">
        <v>16</v>
      </c>
      <c r="D730" s="1" t="s">
        <v>32</v>
      </c>
      <c r="E730" s="1" t="s">
        <v>41</v>
      </c>
      <c r="F730" s="1" t="s">
        <v>15</v>
      </c>
      <c r="G730" s="1">
        <v>2</v>
      </c>
      <c r="H730" s="1">
        <v>186</v>
      </c>
      <c r="I730" s="1">
        <v>10</v>
      </c>
      <c r="J730" s="4">
        <v>334.8</v>
      </c>
      <c r="K730" s="4">
        <v>257.10000000000002</v>
      </c>
      <c r="L730" s="4">
        <v>77.7</v>
      </c>
      <c r="M730" s="1" t="str">
        <f>TEXT(Table1[[#This Row],[Order_Date]], "MMM")</f>
        <v>Oct</v>
      </c>
      <c r="N730" s="1">
        <f>YEAR(Table1[[#This Row],[Order_Date]])</f>
        <v>2023</v>
      </c>
      <c r="O730" s="7">
        <f>Table1[[#This Row],[Profit]]/Table1[[#This Row],[Total_Sales]]</f>
        <v>0.23207885304659498</v>
      </c>
    </row>
    <row r="731" spans="1:15" x14ac:dyDescent="0.25">
      <c r="A731" s="1">
        <v>730</v>
      </c>
      <c r="B731" s="2">
        <v>45453</v>
      </c>
      <c r="C731" s="1" t="s">
        <v>19</v>
      </c>
      <c r="D731" s="1" t="s">
        <v>26</v>
      </c>
      <c r="E731" s="1" t="s">
        <v>37</v>
      </c>
      <c r="F731" s="1" t="s">
        <v>35</v>
      </c>
      <c r="G731" s="1">
        <v>10</v>
      </c>
      <c r="H731" s="1">
        <v>116</v>
      </c>
      <c r="I731" s="1">
        <v>20</v>
      </c>
      <c r="J731" s="4">
        <v>928</v>
      </c>
      <c r="K731" s="4">
        <v>634.99</v>
      </c>
      <c r="L731" s="4">
        <v>293.01</v>
      </c>
      <c r="M731" s="1" t="str">
        <f>TEXT(Table1[[#This Row],[Order_Date]], "MMM")</f>
        <v>Jun</v>
      </c>
      <c r="N731" s="1">
        <f>YEAR(Table1[[#This Row],[Order_Date]])</f>
        <v>2024</v>
      </c>
      <c r="O731" s="7">
        <f>Table1[[#This Row],[Profit]]/Table1[[#This Row],[Total_Sales]]</f>
        <v>0.3157435344827586</v>
      </c>
    </row>
    <row r="732" spans="1:15" x14ac:dyDescent="0.25">
      <c r="A732" s="1">
        <v>731</v>
      </c>
      <c r="B732" s="2">
        <v>45038</v>
      </c>
      <c r="C732" s="1" t="s">
        <v>16</v>
      </c>
      <c r="D732" s="1" t="s">
        <v>26</v>
      </c>
      <c r="E732" s="1" t="s">
        <v>46</v>
      </c>
      <c r="F732" s="1" t="s">
        <v>18</v>
      </c>
      <c r="G732" s="1">
        <v>8</v>
      </c>
      <c r="H732" s="1">
        <v>250</v>
      </c>
      <c r="I732" s="1">
        <v>0</v>
      </c>
      <c r="J732" s="4">
        <v>2000</v>
      </c>
      <c r="K732" s="4">
        <v>1101.31</v>
      </c>
      <c r="L732" s="4">
        <v>898.69</v>
      </c>
      <c r="M732" s="1" t="str">
        <f>TEXT(Table1[[#This Row],[Order_Date]], "MMM")</f>
        <v>Apr</v>
      </c>
      <c r="N732" s="1">
        <f>YEAR(Table1[[#This Row],[Order_Date]])</f>
        <v>2023</v>
      </c>
      <c r="O732" s="7">
        <f>Table1[[#This Row],[Profit]]/Table1[[#This Row],[Total_Sales]]</f>
        <v>0.44934500000000005</v>
      </c>
    </row>
    <row r="733" spans="1:15" x14ac:dyDescent="0.25">
      <c r="A733" s="1">
        <v>732</v>
      </c>
      <c r="B733" s="2">
        <v>45162</v>
      </c>
      <c r="C733" s="1" t="s">
        <v>19</v>
      </c>
      <c r="D733" s="1" t="s">
        <v>32</v>
      </c>
      <c r="E733" s="1" t="s">
        <v>45</v>
      </c>
      <c r="F733" s="1" t="s">
        <v>31</v>
      </c>
      <c r="G733" s="1">
        <v>10</v>
      </c>
      <c r="H733" s="1">
        <v>675</v>
      </c>
      <c r="I733" s="1">
        <v>10</v>
      </c>
      <c r="J733" s="4">
        <v>6075</v>
      </c>
      <c r="K733" s="4">
        <v>3476.21</v>
      </c>
      <c r="L733" s="4">
        <v>2598.79</v>
      </c>
      <c r="M733" s="1" t="str">
        <f>TEXT(Table1[[#This Row],[Order_Date]], "MMM")</f>
        <v>Aug</v>
      </c>
      <c r="N733" s="1">
        <f>YEAR(Table1[[#This Row],[Order_Date]])</f>
        <v>2023</v>
      </c>
      <c r="O733" s="7">
        <f>Table1[[#This Row],[Profit]]/Table1[[#This Row],[Total_Sales]]</f>
        <v>0.42778436213991766</v>
      </c>
    </row>
    <row r="734" spans="1:15" x14ac:dyDescent="0.25">
      <c r="A734" s="1">
        <v>733</v>
      </c>
      <c r="B734" s="2">
        <v>45087</v>
      </c>
      <c r="C734" s="1" t="s">
        <v>19</v>
      </c>
      <c r="D734" s="1" t="s">
        <v>32</v>
      </c>
      <c r="E734" s="1" t="s">
        <v>33</v>
      </c>
      <c r="F734" s="1" t="s">
        <v>31</v>
      </c>
      <c r="G734" s="1">
        <v>7</v>
      </c>
      <c r="H734" s="1">
        <v>592</v>
      </c>
      <c r="I734" s="1">
        <v>15</v>
      </c>
      <c r="J734" s="4">
        <v>3522.4</v>
      </c>
      <c r="K734" s="4">
        <v>1812.71</v>
      </c>
      <c r="L734" s="4">
        <v>1709.69</v>
      </c>
      <c r="M734" s="1" t="str">
        <f>TEXT(Table1[[#This Row],[Order_Date]], "MMM")</f>
        <v>Jun</v>
      </c>
      <c r="N734" s="1">
        <f>YEAR(Table1[[#This Row],[Order_Date]])</f>
        <v>2023</v>
      </c>
      <c r="O734" s="7">
        <f>Table1[[#This Row],[Profit]]/Table1[[#This Row],[Total_Sales]]</f>
        <v>0.4853764478764479</v>
      </c>
    </row>
    <row r="735" spans="1:15" x14ac:dyDescent="0.25">
      <c r="A735" s="1">
        <v>734</v>
      </c>
      <c r="B735" s="2">
        <v>45042</v>
      </c>
      <c r="C735" s="1" t="s">
        <v>16</v>
      </c>
      <c r="D735" s="1" t="s">
        <v>13</v>
      </c>
      <c r="E735" s="1" t="s">
        <v>14</v>
      </c>
      <c r="F735" s="1" t="s">
        <v>35</v>
      </c>
      <c r="G735" s="1">
        <v>5</v>
      </c>
      <c r="H735" s="1">
        <v>17</v>
      </c>
      <c r="I735" s="1">
        <v>10</v>
      </c>
      <c r="J735" s="4">
        <v>76.5</v>
      </c>
      <c r="K735" s="4">
        <v>43.74</v>
      </c>
      <c r="L735" s="4">
        <v>32.76</v>
      </c>
      <c r="M735" s="1" t="str">
        <f>TEXT(Table1[[#This Row],[Order_Date]], "MMM")</f>
        <v>Apr</v>
      </c>
      <c r="N735" s="1">
        <f>YEAR(Table1[[#This Row],[Order_Date]])</f>
        <v>2023</v>
      </c>
      <c r="O735" s="7">
        <f>Table1[[#This Row],[Profit]]/Table1[[#This Row],[Total_Sales]]</f>
        <v>0.42823529411764705</v>
      </c>
    </row>
    <row r="736" spans="1:15" x14ac:dyDescent="0.25">
      <c r="A736" s="1">
        <v>735</v>
      </c>
      <c r="B736" s="2">
        <v>45486</v>
      </c>
      <c r="C736" s="1" t="s">
        <v>16</v>
      </c>
      <c r="D736" s="1" t="s">
        <v>26</v>
      </c>
      <c r="E736" s="1" t="s">
        <v>27</v>
      </c>
      <c r="F736" s="1" t="s">
        <v>35</v>
      </c>
      <c r="G736" s="1">
        <v>5</v>
      </c>
      <c r="H736" s="1">
        <v>593</v>
      </c>
      <c r="I736" s="1">
        <v>0</v>
      </c>
      <c r="J736" s="4">
        <v>2965</v>
      </c>
      <c r="K736" s="4">
        <v>2343.0300000000002</v>
      </c>
      <c r="L736" s="4">
        <v>621.97</v>
      </c>
      <c r="M736" s="1" t="str">
        <f>TEXT(Table1[[#This Row],[Order_Date]], "MMM")</f>
        <v>Jul</v>
      </c>
      <c r="N736" s="1">
        <f>YEAR(Table1[[#This Row],[Order_Date]])</f>
        <v>2024</v>
      </c>
      <c r="O736" s="7">
        <f>Table1[[#This Row],[Profit]]/Table1[[#This Row],[Total_Sales]]</f>
        <v>0.20977065767284991</v>
      </c>
    </row>
    <row r="737" spans="1:15" x14ac:dyDescent="0.25">
      <c r="A737" s="1">
        <v>736</v>
      </c>
      <c r="B737" s="2">
        <v>45247</v>
      </c>
      <c r="C737" s="1" t="s">
        <v>16</v>
      </c>
      <c r="D737" s="1" t="s">
        <v>26</v>
      </c>
      <c r="E737" s="1" t="s">
        <v>27</v>
      </c>
      <c r="F737" s="1" t="s">
        <v>15</v>
      </c>
      <c r="G737" s="1">
        <v>6</v>
      </c>
      <c r="H737" s="1">
        <v>778</v>
      </c>
      <c r="I737" s="1">
        <v>0</v>
      </c>
      <c r="J737" s="4">
        <v>4668</v>
      </c>
      <c r="K737" s="4">
        <v>2746.53</v>
      </c>
      <c r="L737" s="4">
        <v>1921.47</v>
      </c>
      <c r="M737" s="1" t="str">
        <f>TEXT(Table1[[#This Row],[Order_Date]], "MMM")</f>
        <v>Nov</v>
      </c>
      <c r="N737" s="1">
        <f>YEAR(Table1[[#This Row],[Order_Date]])</f>
        <v>2023</v>
      </c>
      <c r="O737" s="7">
        <f>Table1[[#This Row],[Profit]]/Table1[[#This Row],[Total_Sales]]</f>
        <v>0.41162596401028279</v>
      </c>
    </row>
    <row r="738" spans="1:15" x14ac:dyDescent="0.25">
      <c r="A738" s="1">
        <v>737</v>
      </c>
      <c r="B738" s="2">
        <v>45412</v>
      </c>
      <c r="C738" s="1" t="s">
        <v>12</v>
      </c>
      <c r="D738" s="1" t="s">
        <v>26</v>
      </c>
      <c r="E738" s="1" t="s">
        <v>27</v>
      </c>
      <c r="F738" s="1" t="s">
        <v>40</v>
      </c>
      <c r="G738" s="1">
        <v>7</v>
      </c>
      <c r="H738" s="1">
        <v>411</v>
      </c>
      <c r="I738" s="1">
        <v>5</v>
      </c>
      <c r="J738" s="4">
        <v>2733.15</v>
      </c>
      <c r="K738" s="4">
        <v>2075.73</v>
      </c>
      <c r="L738" s="4">
        <v>657.42</v>
      </c>
      <c r="M738" s="1" t="str">
        <f>TEXT(Table1[[#This Row],[Order_Date]], "MMM")</f>
        <v>Apr</v>
      </c>
      <c r="N738" s="1">
        <f>YEAR(Table1[[#This Row],[Order_Date]])</f>
        <v>2024</v>
      </c>
      <c r="O738" s="7">
        <f>Table1[[#This Row],[Profit]]/Table1[[#This Row],[Total_Sales]]</f>
        <v>0.24053564568355193</v>
      </c>
    </row>
    <row r="739" spans="1:15" x14ac:dyDescent="0.25">
      <c r="A739" s="1">
        <v>738</v>
      </c>
      <c r="B739" s="2">
        <v>45343</v>
      </c>
      <c r="C739" s="1" t="s">
        <v>12</v>
      </c>
      <c r="D739" s="1" t="s">
        <v>20</v>
      </c>
      <c r="E739" s="1" t="s">
        <v>21</v>
      </c>
      <c r="F739" s="1" t="s">
        <v>35</v>
      </c>
      <c r="G739" s="1">
        <v>8</v>
      </c>
      <c r="H739" s="1">
        <v>815</v>
      </c>
      <c r="I739" s="1">
        <v>5</v>
      </c>
      <c r="J739" s="4">
        <v>6194</v>
      </c>
      <c r="K739" s="4">
        <v>3802.14</v>
      </c>
      <c r="L739" s="4">
        <v>2391.86</v>
      </c>
      <c r="M739" s="1" t="str">
        <f>TEXT(Table1[[#This Row],[Order_Date]], "MMM")</f>
        <v>Feb</v>
      </c>
      <c r="N739" s="1">
        <f>YEAR(Table1[[#This Row],[Order_Date]])</f>
        <v>2024</v>
      </c>
      <c r="O739" s="7">
        <f>Table1[[#This Row],[Profit]]/Table1[[#This Row],[Total_Sales]]</f>
        <v>0.38615757184371974</v>
      </c>
    </row>
    <row r="740" spans="1:15" x14ac:dyDescent="0.25">
      <c r="A740" s="1">
        <v>739</v>
      </c>
      <c r="B740" s="2">
        <v>45646</v>
      </c>
      <c r="C740" s="1" t="s">
        <v>25</v>
      </c>
      <c r="D740" s="1" t="s">
        <v>13</v>
      </c>
      <c r="E740" s="1" t="s">
        <v>17</v>
      </c>
      <c r="F740" s="1" t="s">
        <v>35</v>
      </c>
      <c r="G740" s="1">
        <v>3</v>
      </c>
      <c r="H740" s="1">
        <v>835</v>
      </c>
      <c r="I740" s="1">
        <v>20</v>
      </c>
      <c r="J740" s="4">
        <v>2004</v>
      </c>
      <c r="K740" s="4">
        <v>1242.3900000000001</v>
      </c>
      <c r="L740" s="4">
        <v>761.61</v>
      </c>
      <c r="M740" s="1" t="str">
        <f>TEXT(Table1[[#This Row],[Order_Date]], "MMM")</f>
        <v>Dec</v>
      </c>
      <c r="N740" s="1">
        <f>YEAR(Table1[[#This Row],[Order_Date]])</f>
        <v>2024</v>
      </c>
      <c r="O740" s="7">
        <f>Table1[[#This Row],[Profit]]/Table1[[#This Row],[Total_Sales]]</f>
        <v>0.3800449101796407</v>
      </c>
    </row>
    <row r="741" spans="1:15" x14ac:dyDescent="0.25">
      <c r="A741" s="1">
        <v>740</v>
      </c>
      <c r="B741" s="2">
        <v>45652</v>
      </c>
      <c r="C741" s="1" t="s">
        <v>12</v>
      </c>
      <c r="D741" s="1" t="s">
        <v>26</v>
      </c>
      <c r="E741" s="1" t="s">
        <v>46</v>
      </c>
      <c r="F741" s="1" t="s">
        <v>15</v>
      </c>
      <c r="G741" s="1">
        <v>3</v>
      </c>
      <c r="H741" s="1">
        <v>189</v>
      </c>
      <c r="I741" s="1">
        <v>15</v>
      </c>
      <c r="J741" s="4">
        <v>481.95</v>
      </c>
      <c r="K741" s="4">
        <v>243.5</v>
      </c>
      <c r="L741" s="4">
        <v>238.45</v>
      </c>
      <c r="M741" s="1" t="str">
        <f>TEXT(Table1[[#This Row],[Order_Date]], "MMM")</f>
        <v>Dec</v>
      </c>
      <c r="N741" s="1">
        <f>YEAR(Table1[[#This Row],[Order_Date]])</f>
        <v>2024</v>
      </c>
      <c r="O741" s="7">
        <f>Table1[[#This Row],[Profit]]/Table1[[#This Row],[Total_Sales]]</f>
        <v>0.49476086730988689</v>
      </c>
    </row>
    <row r="742" spans="1:15" x14ac:dyDescent="0.25">
      <c r="A742" s="1">
        <v>741</v>
      </c>
      <c r="B742" s="2">
        <v>44984</v>
      </c>
      <c r="C742" s="1" t="s">
        <v>12</v>
      </c>
      <c r="D742" s="1" t="s">
        <v>26</v>
      </c>
      <c r="E742" s="1" t="s">
        <v>27</v>
      </c>
      <c r="F742" s="1" t="s">
        <v>31</v>
      </c>
      <c r="G742" s="1">
        <v>10</v>
      </c>
      <c r="H742" s="1">
        <v>758</v>
      </c>
      <c r="I742" s="1">
        <v>10</v>
      </c>
      <c r="J742" s="4">
        <v>6822</v>
      </c>
      <c r="K742" s="4">
        <v>5026.08</v>
      </c>
      <c r="L742" s="4">
        <v>1795.92</v>
      </c>
      <c r="M742" s="1" t="str">
        <f>TEXT(Table1[[#This Row],[Order_Date]], "MMM")</f>
        <v>Feb</v>
      </c>
      <c r="N742" s="1">
        <f>YEAR(Table1[[#This Row],[Order_Date]])</f>
        <v>2023</v>
      </c>
      <c r="O742" s="7">
        <f>Table1[[#This Row],[Profit]]/Table1[[#This Row],[Total_Sales]]</f>
        <v>0.26325417766051012</v>
      </c>
    </row>
    <row r="743" spans="1:15" x14ac:dyDescent="0.25">
      <c r="A743" s="1">
        <v>742</v>
      </c>
      <c r="B743" s="2">
        <v>45604</v>
      </c>
      <c r="C743" s="1" t="s">
        <v>16</v>
      </c>
      <c r="D743" s="1" t="s">
        <v>32</v>
      </c>
      <c r="E743" s="1" t="s">
        <v>45</v>
      </c>
      <c r="F743" s="1" t="s">
        <v>18</v>
      </c>
      <c r="G743" s="1">
        <v>7</v>
      </c>
      <c r="H743" s="1">
        <v>581</v>
      </c>
      <c r="I743" s="1">
        <v>15</v>
      </c>
      <c r="J743" s="4">
        <v>3456.95</v>
      </c>
      <c r="K743" s="4">
        <v>2308.48</v>
      </c>
      <c r="L743" s="4">
        <v>1148.47</v>
      </c>
      <c r="M743" s="1" t="str">
        <f>TEXT(Table1[[#This Row],[Order_Date]], "MMM")</f>
        <v>Nov</v>
      </c>
      <c r="N743" s="1">
        <f>YEAR(Table1[[#This Row],[Order_Date]])</f>
        <v>2024</v>
      </c>
      <c r="O743" s="7">
        <f>Table1[[#This Row],[Profit]]/Table1[[#This Row],[Total_Sales]]</f>
        <v>0.33222059908300672</v>
      </c>
    </row>
    <row r="744" spans="1:15" x14ac:dyDescent="0.25">
      <c r="A744" s="1">
        <v>743</v>
      </c>
      <c r="B744" s="2">
        <v>45376</v>
      </c>
      <c r="C744" s="1" t="s">
        <v>19</v>
      </c>
      <c r="D744" s="1" t="s">
        <v>13</v>
      </c>
      <c r="E744" s="1" t="s">
        <v>14</v>
      </c>
      <c r="F744" s="1" t="s">
        <v>24</v>
      </c>
      <c r="G744" s="1">
        <v>9</v>
      </c>
      <c r="H744" s="1">
        <v>539</v>
      </c>
      <c r="I744" s="1">
        <v>10</v>
      </c>
      <c r="J744" s="4">
        <v>4365.8999999999996</v>
      </c>
      <c r="K744" s="4">
        <v>2518.66</v>
      </c>
      <c r="L744" s="4">
        <v>1847.24</v>
      </c>
      <c r="M744" s="1" t="str">
        <f>TEXT(Table1[[#This Row],[Order_Date]], "MMM")</f>
        <v>Mar</v>
      </c>
      <c r="N744" s="1">
        <f>YEAR(Table1[[#This Row],[Order_Date]])</f>
        <v>2024</v>
      </c>
      <c r="O744" s="7">
        <f>Table1[[#This Row],[Profit]]/Table1[[#This Row],[Total_Sales]]</f>
        <v>0.42310634691587079</v>
      </c>
    </row>
    <row r="745" spans="1:15" x14ac:dyDescent="0.25">
      <c r="A745" s="1">
        <v>744</v>
      </c>
      <c r="B745" s="2">
        <v>45654</v>
      </c>
      <c r="C745" s="1" t="s">
        <v>16</v>
      </c>
      <c r="D745" s="1" t="s">
        <v>26</v>
      </c>
      <c r="E745" s="1" t="s">
        <v>42</v>
      </c>
      <c r="F745" s="1" t="s">
        <v>31</v>
      </c>
      <c r="G745" s="1">
        <v>8</v>
      </c>
      <c r="H745" s="1">
        <v>957</v>
      </c>
      <c r="I745" s="1">
        <v>15</v>
      </c>
      <c r="J745" s="4">
        <v>6507.6</v>
      </c>
      <c r="K745" s="4">
        <v>4624.46</v>
      </c>
      <c r="L745" s="4">
        <v>1883.14</v>
      </c>
      <c r="M745" s="1" t="str">
        <f>TEXT(Table1[[#This Row],[Order_Date]], "MMM")</f>
        <v>Dec</v>
      </c>
      <c r="N745" s="1">
        <f>YEAR(Table1[[#This Row],[Order_Date]])</f>
        <v>2024</v>
      </c>
      <c r="O745" s="7">
        <f>Table1[[#This Row],[Profit]]/Table1[[#This Row],[Total_Sales]]</f>
        <v>0.28937549941606738</v>
      </c>
    </row>
    <row r="746" spans="1:15" x14ac:dyDescent="0.25">
      <c r="A746" s="1">
        <v>745</v>
      </c>
      <c r="B746" s="2">
        <v>45093</v>
      </c>
      <c r="C746" s="1" t="s">
        <v>12</v>
      </c>
      <c r="D746" s="1" t="s">
        <v>22</v>
      </c>
      <c r="E746" s="1" t="s">
        <v>29</v>
      </c>
      <c r="F746" s="1" t="s">
        <v>35</v>
      </c>
      <c r="G746" s="1">
        <v>1</v>
      </c>
      <c r="H746" s="1">
        <v>883</v>
      </c>
      <c r="I746" s="1">
        <v>0</v>
      </c>
      <c r="J746" s="4">
        <v>883</v>
      </c>
      <c r="K746" s="4">
        <v>690.13</v>
      </c>
      <c r="L746" s="4">
        <v>192.87</v>
      </c>
      <c r="M746" s="1" t="str">
        <f>TEXT(Table1[[#This Row],[Order_Date]], "MMM")</f>
        <v>Jun</v>
      </c>
      <c r="N746" s="1">
        <f>YEAR(Table1[[#This Row],[Order_Date]])</f>
        <v>2023</v>
      </c>
      <c r="O746" s="7">
        <f>Table1[[#This Row],[Profit]]/Table1[[#This Row],[Total_Sales]]</f>
        <v>0.21842582106455266</v>
      </c>
    </row>
    <row r="747" spans="1:15" x14ac:dyDescent="0.25">
      <c r="A747" s="1">
        <v>746</v>
      </c>
      <c r="B747" s="2">
        <v>45241</v>
      </c>
      <c r="C747" s="1" t="s">
        <v>12</v>
      </c>
      <c r="D747" s="1" t="s">
        <v>26</v>
      </c>
      <c r="E747" s="1" t="s">
        <v>46</v>
      </c>
      <c r="F747" s="1" t="s">
        <v>15</v>
      </c>
      <c r="G747" s="1">
        <v>4</v>
      </c>
      <c r="H747" s="1">
        <v>90</v>
      </c>
      <c r="I747" s="1">
        <v>0</v>
      </c>
      <c r="J747" s="4">
        <v>360</v>
      </c>
      <c r="K747" s="4">
        <v>259.94</v>
      </c>
      <c r="L747" s="4">
        <v>100.06</v>
      </c>
      <c r="M747" s="1" t="str">
        <f>TEXT(Table1[[#This Row],[Order_Date]], "MMM")</f>
        <v>Nov</v>
      </c>
      <c r="N747" s="1">
        <f>YEAR(Table1[[#This Row],[Order_Date]])</f>
        <v>2023</v>
      </c>
      <c r="O747" s="7">
        <f>Table1[[#This Row],[Profit]]/Table1[[#This Row],[Total_Sales]]</f>
        <v>0.27794444444444444</v>
      </c>
    </row>
    <row r="748" spans="1:15" x14ac:dyDescent="0.25">
      <c r="A748" s="1">
        <v>747</v>
      </c>
      <c r="B748" s="2">
        <v>44979</v>
      </c>
      <c r="C748" s="1" t="s">
        <v>12</v>
      </c>
      <c r="D748" s="1" t="s">
        <v>20</v>
      </c>
      <c r="E748" s="1" t="s">
        <v>43</v>
      </c>
      <c r="F748" s="1" t="s">
        <v>24</v>
      </c>
      <c r="G748" s="1">
        <v>6</v>
      </c>
      <c r="H748" s="1">
        <v>25</v>
      </c>
      <c r="I748" s="1">
        <v>0</v>
      </c>
      <c r="J748" s="4">
        <v>150</v>
      </c>
      <c r="K748" s="4">
        <v>95.97</v>
      </c>
      <c r="L748" s="4">
        <v>54.03</v>
      </c>
      <c r="M748" s="1" t="str">
        <f>TEXT(Table1[[#This Row],[Order_Date]], "MMM")</f>
        <v>Feb</v>
      </c>
      <c r="N748" s="1">
        <f>YEAR(Table1[[#This Row],[Order_Date]])</f>
        <v>2023</v>
      </c>
      <c r="O748" s="7">
        <f>Table1[[#This Row],[Profit]]/Table1[[#This Row],[Total_Sales]]</f>
        <v>0.36020000000000002</v>
      </c>
    </row>
    <row r="749" spans="1:15" x14ac:dyDescent="0.25">
      <c r="A749" s="1">
        <v>748</v>
      </c>
      <c r="B749" s="2">
        <v>45475</v>
      </c>
      <c r="C749" s="1" t="s">
        <v>12</v>
      </c>
      <c r="D749" s="1" t="s">
        <v>32</v>
      </c>
      <c r="E749" s="1" t="s">
        <v>33</v>
      </c>
      <c r="F749" s="1" t="s">
        <v>35</v>
      </c>
      <c r="G749" s="1">
        <v>1</v>
      </c>
      <c r="H749" s="1">
        <v>247</v>
      </c>
      <c r="I749" s="1">
        <v>0</v>
      </c>
      <c r="J749" s="4">
        <v>247</v>
      </c>
      <c r="K749" s="4">
        <v>179.88</v>
      </c>
      <c r="L749" s="4">
        <v>67.12</v>
      </c>
      <c r="M749" s="1" t="str">
        <f>TEXT(Table1[[#This Row],[Order_Date]], "MMM")</f>
        <v>Jul</v>
      </c>
      <c r="N749" s="1">
        <f>YEAR(Table1[[#This Row],[Order_Date]])</f>
        <v>2024</v>
      </c>
      <c r="O749" s="7">
        <f>Table1[[#This Row],[Profit]]/Table1[[#This Row],[Total_Sales]]</f>
        <v>0.27174089068825913</v>
      </c>
    </row>
    <row r="750" spans="1:15" x14ac:dyDescent="0.25">
      <c r="A750" s="1">
        <v>749</v>
      </c>
      <c r="B750" s="2">
        <v>44963</v>
      </c>
      <c r="C750" s="1" t="s">
        <v>19</v>
      </c>
      <c r="D750" s="1" t="s">
        <v>26</v>
      </c>
      <c r="E750" s="1" t="s">
        <v>37</v>
      </c>
      <c r="F750" s="1" t="s">
        <v>31</v>
      </c>
      <c r="G750" s="1">
        <v>9</v>
      </c>
      <c r="H750" s="1">
        <v>511</v>
      </c>
      <c r="I750" s="1">
        <v>5</v>
      </c>
      <c r="J750" s="4">
        <v>4369.05</v>
      </c>
      <c r="K750" s="4">
        <v>3065.48</v>
      </c>
      <c r="L750" s="4">
        <v>1303.57</v>
      </c>
      <c r="M750" s="1" t="str">
        <f>TEXT(Table1[[#This Row],[Order_Date]], "MMM")</f>
        <v>Feb</v>
      </c>
      <c r="N750" s="1">
        <f>YEAR(Table1[[#This Row],[Order_Date]])</f>
        <v>2023</v>
      </c>
      <c r="O750" s="7">
        <f>Table1[[#This Row],[Profit]]/Table1[[#This Row],[Total_Sales]]</f>
        <v>0.29836463304379668</v>
      </c>
    </row>
    <row r="751" spans="1:15" x14ac:dyDescent="0.25">
      <c r="A751" s="1">
        <v>750</v>
      </c>
      <c r="B751" s="2">
        <v>45292</v>
      </c>
      <c r="C751" s="1" t="s">
        <v>25</v>
      </c>
      <c r="D751" s="1" t="s">
        <v>13</v>
      </c>
      <c r="E751" s="1" t="s">
        <v>39</v>
      </c>
      <c r="F751" s="1" t="s">
        <v>31</v>
      </c>
      <c r="G751" s="1">
        <v>4</v>
      </c>
      <c r="H751" s="1">
        <v>116</v>
      </c>
      <c r="I751" s="1">
        <v>20</v>
      </c>
      <c r="J751" s="4">
        <v>371.2</v>
      </c>
      <c r="K751" s="4">
        <v>276.3</v>
      </c>
      <c r="L751" s="4">
        <v>94.9</v>
      </c>
      <c r="M751" s="1" t="str">
        <f>TEXT(Table1[[#This Row],[Order_Date]], "MMM")</f>
        <v>Jan</v>
      </c>
      <c r="N751" s="1">
        <f>YEAR(Table1[[#This Row],[Order_Date]])</f>
        <v>2024</v>
      </c>
      <c r="O751" s="7">
        <f>Table1[[#This Row],[Profit]]/Table1[[#This Row],[Total_Sales]]</f>
        <v>0.25565732758620691</v>
      </c>
    </row>
    <row r="752" spans="1:15" x14ac:dyDescent="0.25">
      <c r="A752" s="1">
        <v>751</v>
      </c>
      <c r="B752" s="2">
        <v>45276</v>
      </c>
      <c r="C752" s="1" t="s">
        <v>16</v>
      </c>
      <c r="D752" s="1" t="s">
        <v>32</v>
      </c>
      <c r="E752" s="1" t="s">
        <v>34</v>
      </c>
      <c r="F752" s="1" t="s">
        <v>31</v>
      </c>
      <c r="G752" s="1">
        <v>9</v>
      </c>
      <c r="H752" s="1">
        <v>39</v>
      </c>
      <c r="I752" s="1">
        <v>20</v>
      </c>
      <c r="J752" s="4">
        <v>280.8</v>
      </c>
      <c r="K752" s="4">
        <v>150.35</v>
      </c>
      <c r="L752" s="4">
        <v>130.44999999999999</v>
      </c>
      <c r="M752" s="1" t="str">
        <f>TEXT(Table1[[#This Row],[Order_Date]], "MMM")</f>
        <v>Dec</v>
      </c>
      <c r="N752" s="1">
        <f>YEAR(Table1[[#This Row],[Order_Date]])</f>
        <v>2023</v>
      </c>
      <c r="O752" s="7">
        <f>Table1[[#This Row],[Profit]]/Table1[[#This Row],[Total_Sales]]</f>
        <v>0.46456552706552701</v>
      </c>
    </row>
    <row r="753" spans="1:15" x14ac:dyDescent="0.25">
      <c r="A753" s="1">
        <v>752</v>
      </c>
      <c r="B753" s="2">
        <v>45202</v>
      </c>
      <c r="C753" s="1" t="s">
        <v>12</v>
      </c>
      <c r="D753" s="1" t="s">
        <v>32</v>
      </c>
      <c r="E753" s="1" t="s">
        <v>41</v>
      </c>
      <c r="F753" s="1" t="s">
        <v>15</v>
      </c>
      <c r="G753" s="1">
        <v>2</v>
      </c>
      <c r="H753" s="1">
        <v>518</v>
      </c>
      <c r="I753" s="1">
        <v>5</v>
      </c>
      <c r="J753" s="4">
        <v>984.2</v>
      </c>
      <c r="K753" s="4">
        <v>590.61</v>
      </c>
      <c r="L753" s="4">
        <v>393.59</v>
      </c>
      <c r="M753" s="1" t="str">
        <f>TEXT(Table1[[#This Row],[Order_Date]], "MMM")</f>
        <v>Oct</v>
      </c>
      <c r="N753" s="1">
        <f>YEAR(Table1[[#This Row],[Order_Date]])</f>
        <v>2023</v>
      </c>
      <c r="O753" s="7">
        <f>Table1[[#This Row],[Profit]]/Table1[[#This Row],[Total_Sales]]</f>
        <v>0.39990855517171303</v>
      </c>
    </row>
    <row r="754" spans="1:15" x14ac:dyDescent="0.25">
      <c r="A754" s="1">
        <v>753</v>
      </c>
      <c r="B754" s="2">
        <v>45094</v>
      </c>
      <c r="C754" s="1" t="s">
        <v>16</v>
      </c>
      <c r="D754" s="1" t="s">
        <v>20</v>
      </c>
      <c r="E754" s="1" t="s">
        <v>30</v>
      </c>
      <c r="F754" s="1" t="s">
        <v>31</v>
      </c>
      <c r="G754" s="1">
        <v>6</v>
      </c>
      <c r="H754" s="1">
        <v>729</v>
      </c>
      <c r="I754" s="1">
        <v>10</v>
      </c>
      <c r="J754" s="4">
        <v>3936.6</v>
      </c>
      <c r="K754" s="4">
        <v>2723.41</v>
      </c>
      <c r="L754" s="4">
        <v>1213.19</v>
      </c>
      <c r="M754" s="1" t="str">
        <f>TEXT(Table1[[#This Row],[Order_Date]], "MMM")</f>
        <v>Jun</v>
      </c>
      <c r="N754" s="1">
        <f>YEAR(Table1[[#This Row],[Order_Date]])</f>
        <v>2023</v>
      </c>
      <c r="O754" s="7">
        <f>Table1[[#This Row],[Profit]]/Table1[[#This Row],[Total_Sales]]</f>
        <v>0.30818218767464312</v>
      </c>
    </row>
    <row r="755" spans="1:15" x14ac:dyDescent="0.25">
      <c r="A755" s="1">
        <v>754</v>
      </c>
      <c r="B755" s="2">
        <v>45235</v>
      </c>
      <c r="C755" s="1" t="s">
        <v>16</v>
      </c>
      <c r="D755" s="1" t="s">
        <v>22</v>
      </c>
      <c r="E755" s="1" t="s">
        <v>44</v>
      </c>
      <c r="F755" s="1" t="s">
        <v>40</v>
      </c>
      <c r="G755" s="1">
        <v>4</v>
      </c>
      <c r="H755" s="1">
        <v>407</v>
      </c>
      <c r="I755" s="1">
        <v>0</v>
      </c>
      <c r="J755" s="4">
        <v>1628</v>
      </c>
      <c r="K755" s="4">
        <v>917.53</v>
      </c>
      <c r="L755" s="4">
        <v>710.47</v>
      </c>
      <c r="M755" s="1" t="str">
        <f>TEXT(Table1[[#This Row],[Order_Date]], "MMM")</f>
        <v>Nov</v>
      </c>
      <c r="N755" s="1">
        <f>YEAR(Table1[[#This Row],[Order_Date]])</f>
        <v>2023</v>
      </c>
      <c r="O755" s="7">
        <f>Table1[[#This Row],[Profit]]/Table1[[#This Row],[Total_Sales]]</f>
        <v>0.43640663390663392</v>
      </c>
    </row>
    <row r="756" spans="1:15" x14ac:dyDescent="0.25">
      <c r="A756" s="1">
        <v>755</v>
      </c>
      <c r="B756" s="2">
        <v>45613</v>
      </c>
      <c r="C756" s="1" t="s">
        <v>19</v>
      </c>
      <c r="D756" s="1" t="s">
        <v>26</v>
      </c>
      <c r="E756" s="1" t="s">
        <v>27</v>
      </c>
      <c r="F756" s="1" t="s">
        <v>24</v>
      </c>
      <c r="G756" s="1">
        <v>7</v>
      </c>
      <c r="H756" s="1">
        <v>484</v>
      </c>
      <c r="I756" s="1">
        <v>5</v>
      </c>
      <c r="J756" s="4">
        <v>3218.6</v>
      </c>
      <c r="K756" s="4">
        <v>2216.1</v>
      </c>
      <c r="L756" s="4">
        <v>1002.5</v>
      </c>
      <c r="M756" s="1" t="str">
        <f>TEXT(Table1[[#This Row],[Order_Date]], "MMM")</f>
        <v>Nov</v>
      </c>
      <c r="N756" s="1">
        <f>YEAR(Table1[[#This Row],[Order_Date]])</f>
        <v>2024</v>
      </c>
      <c r="O756" s="7">
        <f>Table1[[#This Row],[Profit]]/Table1[[#This Row],[Total_Sales]]</f>
        <v>0.31147082582489283</v>
      </c>
    </row>
    <row r="757" spans="1:15" x14ac:dyDescent="0.25">
      <c r="A757" s="1">
        <v>756</v>
      </c>
      <c r="B757" s="2">
        <v>44955</v>
      </c>
      <c r="C757" s="1" t="s">
        <v>12</v>
      </c>
      <c r="D757" s="1" t="s">
        <v>22</v>
      </c>
      <c r="E757" s="1" t="s">
        <v>36</v>
      </c>
      <c r="F757" s="1" t="s">
        <v>31</v>
      </c>
      <c r="G757" s="1">
        <v>3</v>
      </c>
      <c r="H757" s="1">
        <v>113</v>
      </c>
      <c r="I757" s="1">
        <v>10</v>
      </c>
      <c r="J757" s="4">
        <v>305.10000000000002</v>
      </c>
      <c r="K757" s="4">
        <v>223.89</v>
      </c>
      <c r="L757" s="4">
        <v>81.209999999999994</v>
      </c>
      <c r="M757" s="1" t="str">
        <f>TEXT(Table1[[#This Row],[Order_Date]], "MMM")</f>
        <v>Jan</v>
      </c>
      <c r="N757" s="1">
        <f>YEAR(Table1[[#This Row],[Order_Date]])</f>
        <v>2023</v>
      </c>
      <c r="O757" s="7">
        <f>Table1[[#This Row],[Profit]]/Table1[[#This Row],[Total_Sales]]</f>
        <v>0.26617502458210418</v>
      </c>
    </row>
    <row r="758" spans="1:15" x14ac:dyDescent="0.25">
      <c r="A758" s="1">
        <v>757</v>
      </c>
      <c r="B758" s="2">
        <v>45426</v>
      </c>
      <c r="C758" s="1" t="s">
        <v>19</v>
      </c>
      <c r="D758" s="1" t="s">
        <v>22</v>
      </c>
      <c r="E758" s="1" t="s">
        <v>23</v>
      </c>
      <c r="F758" s="1" t="s">
        <v>18</v>
      </c>
      <c r="G758" s="1">
        <v>7</v>
      </c>
      <c r="H758" s="1">
        <v>557</v>
      </c>
      <c r="I758" s="1">
        <v>15</v>
      </c>
      <c r="J758" s="4">
        <v>3314.15</v>
      </c>
      <c r="K758" s="4">
        <v>2411.75</v>
      </c>
      <c r="L758" s="4">
        <v>902.4</v>
      </c>
      <c r="M758" s="1" t="str">
        <f>TEXT(Table1[[#This Row],[Order_Date]], "MMM")</f>
        <v>May</v>
      </c>
      <c r="N758" s="1">
        <f>YEAR(Table1[[#This Row],[Order_Date]])</f>
        <v>2024</v>
      </c>
      <c r="O758" s="7">
        <f>Table1[[#This Row],[Profit]]/Table1[[#This Row],[Total_Sales]]</f>
        <v>0.27228701175263642</v>
      </c>
    </row>
    <row r="759" spans="1:15" x14ac:dyDescent="0.25">
      <c r="A759" s="1">
        <v>758</v>
      </c>
      <c r="B759" s="2">
        <v>45205</v>
      </c>
      <c r="C759" s="1" t="s">
        <v>12</v>
      </c>
      <c r="D759" s="1" t="s">
        <v>26</v>
      </c>
      <c r="E759" s="1" t="s">
        <v>37</v>
      </c>
      <c r="F759" s="1" t="s">
        <v>24</v>
      </c>
      <c r="G759" s="1">
        <v>9</v>
      </c>
      <c r="H759" s="1">
        <v>235</v>
      </c>
      <c r="I759" s="1">
        <v>20</v>
      </c>
      <c r="J759" s="4">
        <v>1692</v>
      </c>
      <c r="K759" s="4">
        <v>1350.34</v>
      </c>
      <c r="L759" s="4">
        <v>341.66</v>
      </c>
      <c r="M759" s="1" t="str">
        <f>TEXT(Table1[[#This Row],[Order_Date]], "MMM")</f>
        <v>Oct</v>
      </c>
      <c r="N759" s="1">
        <f>YEAR(Table1[[#This Row],[Order_Date]])</f>
        <v>2023</v>
      </c>
      <c r="O759" s="7">
        <f>Table1[[#This Row],[Profit]]/Table1[[#This Row],[Total_Sales]]</f>
        <v>0.20192671394799055</v>
      </c>
    </row>
    <row r="760" spans="1:15" x14ac:dyDescent="0.25">
      <c r="A760" s="1">
        <v>759</v>
      </c>
      <c r="B760" s="2">
        <v>44966</v>
      </c>
      <c r="C760" s="1" t="s">
        <v>19</v>
      </c>
      <c r="D760" s="1" t="s">
        <v>26</v>
      </c>
      <c r="E760" s="1" t="s">
        <v>46</v>
      </c>
      <c r="F760" s="1" t="s">
        <v>31</v>
      </c>
      <c r="G760" s="1">
        <v>5</v>
      </c>
      <c r="H760" s="1">
        <v>653</v>
      </c>
      <c r="I760" s="1">
        <v>0</v>
      </c>
      <c r="J760" s="4">
        <v>3265</v>
      </c>
      <c r="K760" s="4">
        <v>2609.6</v>
      </c>
      <c r="L760" s="4">
        <v>655.4</v>
      </c>
      <c r="M760" s="1" t="str">
        <f>TEXT(Table1[[#This Row],[Order_Date]], "MMM")</f>
        <v>Feb</v>
      </c>
      <c r="N760" s="1">
        <f>YEAR(Table1[[#This Row],[Order_Date]])</f>
        <v>2023</v>
      </c>
      <c r="O760" s="7">
        <f>Table1[[#This Row],[Profit]]/Table1[[#This Row],[Total_Sales]]</f>
        <v>0.20073506891271056</v>
      </c>
    </row>
    <row r="761" spans="1:15" x14ac:dyDescent="0.25">
      <c r="A761" s="1">
        <v>760</v>
      </c>
      <c r="B761" s="2">
        <v>45166</v>
      </c>
      <c r="C761" s="1" t="s">
        <v>19</v>
      </c>
      <c r="D761" s="1" t="s">
        <v>26</v>
      </c>
      <c r="E761" s="1" t="s">
        <v>37</v>
      </c>
      <c r="F761" s="1" t="s">
        <v>40</v>
      </c>
      <c r="G761" s="1">
        <v>7</v>
      </c>
      <c r="H761" s="1">
        <v>570</v>
      </c>
      <c r="I761" s="1">
        <v>0</v>
      </c>
      <c r="J761" s="4">
        <v>3990</v>
      </c>
      <c r="K761" s="4">
        <v>2987.42</v>
      </c>
      <c r="L761" s="4">
        <v>1002.58</v>
      </c>
      <c r="M761" s="1" t="str">
        <f>TEXT(Table1[[#This Row],[Order_Date]], "MMM")</f>
        <v>Aug</v>
      </c>
      <c r="N761" s="1">
        <f>YEAR(Table1[[#This Row],[Order_Date]])</f>
        <v>2023</v>
      </c>
      <c r="O761" s="7">
        <f>Table1[[#This Row],[Profit]]/Table1[[#This Row],[Total_Sales]]</f>
        <v>0.25127318295739348</v>
      </c>
    </row>
    <row r="762" spans="1:15" x14ac:dyDescent="0.25">
      <c r="A762" s="1">
        <v>761</v>
      </c>
      <c r="B762" s="2">
        <v>45025</v>
      </c>
      <c r="C762" s="1" t="s">
        <v>19</v>
      </c>
      <c r="D762" s="1" t="s">
        <v>32</v>
      </c>
      <c r="E762" s="1" t="s">
        <v>45</v>
      </c>
      <c r="F762" s="1" t="s">
        <v>31</v>
      </c>
      <c r="G762" s="1">
        <v>7</v>
      </c>
      <c r="H762" s="1">
        <v>497</v>
      </c>
      <c r="I762" s="1">
        <v>20</v>
      </c>
      <c r="J762" s="4">
        <v>2783.2</v>
      </c>
      <c r="K762" s="4">
        <v>1763.53</v>
      </c>
      <c r="L762" s="4">
        <v>1019.67</v>
      </c>
      <c r="M762" s="1" t="str">
        <f>TEXT(Table1[[#This Row],[Order_Date]], "MMM")</f>
        <v>Apr</v>
      </c>
      <c r="N762" s="1">
        <f>YEAR(Table1[[#This Row],[Order_Date]])</f>
        <v>2023</v>
      </c>
      <c r="O762" s="7">
        <f>Table1[[#This Row],[Profit]]/Table1[[#This Row],[Total_Sales]]</f>
        <v>0.36636605346363899</v>
      </c>
    </row>
    <row r="763" spans="1:15" x14ac:dyDescent="0.25">
      <c r="A763" s="1">
        <v>762</v>
      </c>
      <c r="B763" s="2">
        <v>45134</v>
      </c>
      <c r="C763" s="1" t="s">
        <v>25</v>
      </c>
      <c r="D763" s="1" t="s">
        <v>20</v>
      </c>
      <c r="E763" s="1" t="s">
        <v>30</v>
      </c>
      <c r="F763" s="1" t="s">
        <v>31</v>
      </c>
      <c r="G763" s="1">
        <v>3</v>
      </c>
      <c r="H763" s="1">
        <v>496</v>
      </c>
      <c r="I763" s="1">
        <v>10</v>
      </c>
      <c r="J763" s="4">
        <v>1339.2</v>
      </c>
      <c r="K763" s="4">
        <v>919.43</v>
      </c>
      <c r="L763" s="4">
        <v>419.77</v>
      </c>
      <c r="M763" s="1" t="str">
        <f>TEXT(Table1[[#This Row],[Order_Date]], "MMM")</f>
        <v>Jul</v>
      </c>
      <c r="N763" s="1">
        <f>YEAR(Table1[[#This Row],[Order_Date]])</f>
        <v>2023</v>
      </c>
      <c r="O763" s="7">
        <f>Table1[[#This Row],[Profit]]/Table1[[#This Row],[Total_Sales]]</f>
        <v>0.31344832735961764</v>
      </c>
    </row>
    <row r="764" spans="1:15" x14ac:dyDescent="0.25">
      <c r="A764" s="1">
        <v>763</v>
      </c>
      <c r="B764" s="2">
        <v>45483</v>
      </c>
      <c r="C764" s="1" t="s">
        <v>25</v>
      </c>
      <c r="D764" s="1" t="s">
        <v>13</v>
      </c>
      <c r="E764" s="1" t="s">
        <v>38</v>
      </c>
      <c r="F764" s="1" t="s">
        <v>15</v>
      </c>
      <c r="G764" s="1">
        <v>5</v>
      </c>
      <c r="H764" s="1">
        <v>622</v>
      </c>
      <c r="I764" s="1">
        <v>15</v>
      </c>
      <c r="J764" s="4">
        <v>2643.5</v>
      </c>
      <c r="K764" s="4">
        <v>1351.42</v>
      </c>
      <c r="L764" s="4">
        <v>1292.08</v>
      </c>
      <c r="M764" s="1" t="str">
        <f>TEXT(Table1[[#This Row],[Order_Date]], "MMM")</f>
        <v>Jul</v>
      </c>
      <c r="N764" s="1">
        <f>YEAR(Table1[[#This Row],[Order_Date]])</f>
        <v>2024</v>
      </c>
      <c r="O764" s="7">
        <f>Table1[[#This Row],[Profit]]/Table1[[#This Row],[Total_Sales]]</f>
        <v>0.48877624361641758</v>
      </c>
    </row>
    <row r="765" spans="1:15" x14ac:dyDescent="0.25">
      <c r="A765" s="1">
        <v>764</v>
      </c>
      <c r="B765" s="2">
        <v>45089</v>
      </c>
      <c r="C765" s="1" t="s">
        <v>12</v>
      </c>
      <c r="D765" s="1" t="s">
        <v>13</v>
      </c>
      <c r="E765" s="1" t="s">
        <v>17</v>
      </c>
      <c r="F765" s="1" t="s">
        <v>15</v>
      </c>
      <c r="G765" s="1">
        <v>5</v>
      </c>
      <c r="H765" s="1">
        <v>183</v>
      </c>
      <c r="I765" s="1">
        <v>10</v>
      </c>
      <c r="J765" s="4">
        <v>823.5</v>
      </c>
      <c r="K765" s="4">
        <v>602.6</v>
      </c>
      <c r="L765" s="4">
        <v>220.9</v>
      </c>
      <c r="M765" s="1" t="str">
        <f>TEXT(Table1[[#This Row],[Order_Date]], "MMM")</f>
        <v>Jun</v>
      </c>
      <c r="N765" s="1">
        <f>YEAR(Table1[[#This Row],[Order_Date]])</f>
        <v>2023</v>
      </c>
      <c r="O765" s="7">
        <f>Table1[[#This Row],[Profit]]/Table1[[#This Row],[Total_Sales]]</f>
        <v>0.26824529447480266</v>
      </c>
    </row>
    <row r="766" spans="1:15" x14ac:dyDescent="0.25">
      <c r="A766" s="1">
        <v>765</v>
      </c>
      <c r="B766" s="2">
        <v>45387</v>
      </c>
      <c r="C766" s="1" t="s">
        <v>16</v>
      </c>
      <c r="D766" s="1" t="s">
        <v>20</v>
      </c>
      <c r="E766" s="1" t="s">
        <v>21</v>
      </c>
      <c r="F766" s="1" t="s">
        <v>18</v>
      </c>
      <c r="G766" s="1">
        <v>1</v>
      </c>
      <c r="H766" s="1">
        <v>586</v>
      </c>
      <c r="I766" s="1">
        <v>15</v>
      </c>
      <c r="J766" s="4">
        <v>498.1</v>
      </c>
      <c r="K766" s="4">
        <v>378.33</v>
      </c>
      <c r="L766" s="4">
        <v>119.77</v>
      </c>
      <c r="M766" s="1" t="str">
        <f>TEXT(Table1[[#This Row],[Order_Date]], "MMM")</f>
        <v>Apr</v>
      </c>
      <c r="N766" s="1">
        <f>YEAR(Table1[[#This Row],[Order_Date]])</f>
        <v>2024</v>
      </c>
      <c r="O766" s="7">
        <f>Table1[[#This Row],[Profit]]/Table1[[#This Row],[Total_Sales]]</f>
        <v>0.24045372415177674</v>
      </c>
    </row>
    <row r="767" spans="1:15" x14ac:dyDescent="0.25">
      <c r="A767" s="1">
        <v>766</v>
      </c>
      <c r="B767" s="2">
        <v>45273</v>
      </c>
      <c r="C767" s="1" t="s">
        <v>25</v>
      </c>
      <c r="D767" s="1" t="s">
        <v>20</v>
      </c>
      <c r="E767" s="1" t="s">
        <v>21</v>
      </c>
      <c r="F767" s="1" t="s">
        <v>24</v>
      </c>
      <c r="G767" s="1">
        <v>5</v>
      </c>
      <c r="H767" s="1">
        <v>394</v>
      </c>
      <c r="I767" s="1">
        <v>20</v>
      </c>
      <c r="J767" s="4">
        <v>1576</v>
      </c>
      <c r="K767" s="4">
        <v>1059.83</v>
      </c>
      <c r="L767" s="4">
        <v>516.16999999999996</v>
      </c>
      <c r="M767" s="1" t="str">
        <f>TEXT(Table1[[#This Row],[Order_Date]], "MMM")</f>
        <v>Dec</v>
      </c>
      <c r="N767" s="1">
        <f>YEAR(Table1[[#This Row],[Order_Date]])</f>
        <v>2023</v>
      </c>
      <c r="O767" s="7">
        <f>Table1[[#This Row],[Profit]]/Table1[[#This Row],[Total_Sales]]</f>
        <v>0.32751903553299488</v>
      </c>
    </row>
    <row r="768" spans="1:15" x14ac:dyDescent="0.25">
      <c r="A768" s="1">
        <v>767</v>
      </c>
      <c r="B768" s="2">
        <v>45049</v>
      </c>
      <c r="C768" s="1" t="s">
        <v>19</v>
      </c>
      <c r="D768" s="1" t="s">
        <v>32</v>
      </c>
      <c r="E768" s="1" t="s">
        <v>34</v>
      </c>
      <c r="F768" s="1" t="s">
        <v>40</v>
      </c>
      <c r="G768" s="1">
        <v>4</v>
      </c>
      <c r="H768" s="1">
        <v>32</v>
      </c>
      <c r="I768" s="1">
        <v>0</v>
      </c>
      <c r="J768" s="4">
        <v>128</v>
      </c>
      <c r="K768" s="4">
        <v>72.010000000000005</v>
      </c>
      <c r="L768" s="4">
        <v>55.99</v>
      </c>
      <c r="M768" s="1" t="str">
        <f>TEXT(Table1[[#This Row],[Order_Date]], "MMM")</f>
        <v>May</v>
      </c>
      <c r="N768" s="1">
        <f>YEAR(Table1[[#This Row],[Order_Date]])</f>
        <v>2023</v>
      </c>
      <c r="O768" s="7">
        <f>Table1[[#This Row],[Profit]]/Table1[[#This Row],[Total_Sales]]</f>
        <v>0.43742187500000002</v>
      </c>
    </row>
    <row r="769" spans="1:15" x14ac:dyDescent="0.25">
      <c r="A769" s="1">
        <v>768</v>
      </c>
      <c r="B769" s="2">
        <v>45099</v>
      </c>
      <c r="C769" s="1" t="s">
        <v>12</v>
      </c>
      <c r="D769" s="1" t="s">
        <v>26</v>
      </c>
      <c r="E769" s="1" t="s">
        <v>46</v>
      </c>
      <c r="F769" s="1" t="s">
        <v>24</v>
      </c>
      <c r="G769" s="1">
        <v>2</v>
      </c>
      <c r="H769" s="1">
        <v>88</v>
      </c>
      <c r="I769" s="1">
        <v>0</v>
      </c>
      <c r="J769" s="4">
        <v>176</v>
      </c>
      <c r="K769" s="4">
        <v>100.74</v>
      </c>
      <c r="L769" s="4">
        <v>75.260000000000005</v>
      </c>
      <c r="M769" s="1" t="str">
        <f>TEXT(Table1[[#This Row],[Order_Date]], "MMM")</f>
        <v>Jun</v>
      </c>
      <c r="N769" s="1">
        <f>YEAR(Table1[[#This Row],[Order_Date]])</f>
        <v>2023</v>
      </c>
      <c r="O769" s="7">
        <f>Table1[[#This Row],[Profit]]/Table1[[#This Row],[Total_Sales]]</f>
        <v>0.42761363636363642</v>
      </c>
    </row>
    <row r="770" spans="1:15" x14ac:dyDescent="0.25">
      <c r="A770" s="1">
        <v>769</v>
      </c>
      <c r="B770" s="2">
        <v>45611</v>
      </c>
      <c r="C770" s="1" t="s">
        <v>19</v>
      </c>
      <c r="D770" s="1" t="s">
        <v>20</v>
      </c>
      <c r="E770" s="1" t="s">
        <v>43</v>
      </c>
      <c r="F770" s="1" t="s">
        <v>15</v>
      </c>
      <c r="G770" s="1">
        <v>8</v>
      </c>
      <c r="H770" s="1">
        <v>931</v>
      </c>
      <c r="I770" s="1">
        <v>5</v>
      </c>
      <c r="J770" s="4">
        <v>7075.6</v>
      </c>
      <c r="K770" s="4">
        <v>4142.1099999999997</v>
      </c>
      <c r="L770" s="4">
        <v>2933.49</v>
      </c>
      <c r="M770" s="1" t="str">
        <f>TEXT(Table1[[#This Row],[Order_Date]], "MMM")</f>
        <v>Nov</v>
      </c>
      <c r="N770" s="1">
        <f>YEAR(Table1[[#This Row],[Order_Date]])</f>
        <v>2024</v>
      </c>
      <c r="O770" s="7">
        <f>Table1[[#This Row],[Profit]]/Table1[[#This Row],[Total_Sales]]</f>
        <v>0.41459240205777598</v>
      </c>
    </row>
    <row r="771" spans="1:15" x14ac:dyDescent="0.25">
      <c r="A771" s="1">
        <v>770</v>
      </c>
      <c r="B771" s="2">
        <v>45286</v>
      </c>
      <c r="C771" s="1" t="s">
        <v>16</v>
      </c>
      <c r="D771" s="1" t="s">
        <v>22</v>
      </c>
      <c r="E771" s="1" t="s">
        <v>36</v>
      </c>
      <c r="F771" s="1" t="s">
        <v>40</v>
      </c>
      <c r="G771" s="1">
        <v>8</v>
      </c>
      <c r="H771" s="1">
        <v>389</v>
      </c>
      <c r="I771" s="1">
        <v>0</v>
      </c>
      <c r="J771" s="4">
        <v>3112</v>
      </c>
      <c r="K771" s="4">
        <v>1787.29</v>
      </c>
      <c r="L771" s="4">
        <v>1324.71</v>
      </c>
      <c r="M771" s="1" t="str">
        <f>TEXT(Table1[[#This Row],[Order_Date]], "MMM")</f>
        <v>Dec</v>
      </c>
      <c r="N771" s="1">
        <f>YEAR(Table1[[#This Row],[Order_Date]])</f>
        <v>2023</v>
      </c>
      <c r="O771" s="7">
        <f>Table1[[#This Row],[Profit]]/Table1[[#This Row],[Total_Sales]]</f>
        <v>0.42567802056555271</v>
      </c>
    </row>
    <row r="772" spans="1:15" x14ac:dyDescent="0.25">
      <c r="A772" s="1">
        <v>771</v>
      </c>
      <c r="B772" s="2">
        <v>45610</v>
      </c>
      <c r="C772" s="1" t="s">
        <v>16</v>
      </c>
      <c r="D772" s="1" t="s">
        <v>32</v>
      </c>
      <c r="E772" s="1" t="s">
        <v>33</v>
      </c>
      <c r="F772" s="1" t="s">
        <v>35</v>
      </c>
      <c r="G772" s="1">
        <v>2</v>
      </c>
      <c r="H772" s="1">
        <v>821</v>
      </c>
      <c r="I772" s="1">
        <v>10</v>
      </c>
      <c r="J772" s="4">
        <v>1477.8</v>
      </c>
      <c r="K772" s="4">
        <v>805.79</v>
      </c>
      <c r="L772" s="4">
        <v>672.01</v>
      </c>
      <c r="M772" s="1" t="str">
        <f>TEXT(Table1[[#This Row],[Order_Date]], "MMM")</f>
        <v>Nov</v>
      </c>
      <c r="N772" s="1">
        <f>YEAR(Table1[[#This Row],[Order_Date]])</f>
        <v>2024</v>
      </c>
      <c r="O772" s="7">
        <f>Table1[[#This Row],[Profit]]/Table1[[#This Row],[Total_Sales]]</f>
        <v>0.45473677087562592</v>
      </c>
    </row>
    <row r="773" spans="1:15" x14ac:dyDescent="0.25">
      <c r="A773" s="1">
        <v>772</v>
      </c>
      <c r="B773" s="2">
        <v>45246</v>
      </c>
      <c r="C773" s="1" t="s">
        <v>25</v>
      </c>
      <c r="D773" s="1" t="s">
        <v>26</v>
      </c>
      <c r="E773" s="1" t="s">
        <v>27</v>
      </c>
      <c r="F773" s="1" t="s">
        <v>40</v>
      </c>
      <c r="G773" s="1">
        <v>1</v>
      </c>
      <c r="H773" s="1">
        <v>689</v>
      </c>
      <c r="I773" s="1">
        <v>5</v>
      </c>
      <c r="J773" s="4">
        <v>654.54999999999995</v>
      </c>
      <c r="K773" s="4">
        <v>443.79</v>
      </c>
      <c r="L773" s="4">
        <v>210.76</v>
      </c>
      <c r="M773" s="1" t="str">
        <f>TEXT(Table1[[#This Row],[Order_Date]], "MMM")</f>
        <v>Nov</v>
      </c>
      <c r="N773" s="1">
        <f>YEAR(Table1[[#This Row],[Order_Date]])</f>
        <v>2023</v>
      </c>
      <c r="O773" s="7">
        <f>Table1[[#This Row],[Profit]]/Table1[[#This Row],[Total_Sales]]</f>
        <v>0.32199220838744175</v>
      </c>
    </row>
    <row r="774" spans="1:15" x14ac:dyDescent="0.25">
      <c r="A774" s="1">
        <v>773</v>
      </c>
      <c r="B774" s="2">
        <v>45216</v>
      </c>
      <c r="C774" s="1" t="s">
        <v>19</v>
      </c>
      <c r="D774" s="1" t="s">
        <v>20</v>
      </c>
      <c r="E774" s="1" t="s">
        <v>28</v>
      </c>
      <c r="F774" s="1" t="s">
        <v>24</v>
      </c>
      <c r="G774" s="1">
        <v>8</v>
      </c>
      <c r="H774" s="1">
        <v>930</v>
      </c>
      <c r="I774" s="1">
        <v>10</v>
      </c>
      <c r="J774" s="4">
        <v>6696</v>
      </c>
      <c r="K774" s="4">
        <v>5259.99</v>
      </c>
      <c r="L774" s="4">
        <v>1436.01</v>
      </c>
      <c r="M774" s="1" t="str">
        <f>TEXT(Table1[[#This Row],[Order_Date]], "MMM")</f>
        <v>Oct</v>
      </c>
      <c r="N774" s="1">
        <f>YEAR(Table1[[#This Row],[Order_Date]])</f>
        <v>2023</v>
      </c>
      <c r="O774" s="7">
        <f>Table1[[#This Row],[Profit]]/Table1[[#This Row],[Total_Sales]]</f>
        <v>0.21445788530465951</v>
      </c>
    </row>
    <row r="775" spans="1:15" x14ac:dyDescent="0.25">
      <c r="A775" s="1">
        <v>774</v>
      </c>
      <c r="B775" s="2">
        <v>45609</v>
      </c>
      <c r="C775" s="1" t="s">
        <v>16</v>
      </c>
      <c r="D775" s="1" t="s">
        <v>20</v>
      </c>
      <c r="E775" s="1" t="s">
        <v>43</v>
      </c>
      <c r="F775" s="1" t="s">
        <v>15</v>
      </c>
      <c r="G775" s="1">
        <v>1</v>
      </c>
      <c r="H775" s="1">
        <v>283</v>
      </c>
      <c r="I775" s="1">
        <v>20</v>
      </c>
      <c r="J775" s="4">
        <v>226.4</v>
      </c>
      <c r="K775" s="4">
        <v>127.8</v>
      </c>
      <c r="L775" s="4">
        <v>98.6</v>
      </c>
      <c r="M775" s="1" t="str">
        <f>TEXT(Table1[[#This Row],[Order_Date]], "MMM")</f>
        <v>Nov</v>
      </c>
      <c r="N775" s="1">
        <f>YEAR(Table1[[#This Row],[Order_Date]])</f>
        <v>2024</v>
      </c>
      <c r="O775" s="7">
        <f>Table1[[#This Row],[Profit]]/Table1[[#This Row],[Total_Sales]]</f>
        <v>0.43551236749116606</v>
      </c>
    </row>
    <row r="776" spans="1:15" x14ac:dyDescent="0.25">
      <c r="A776" s="1">
        <v>775</v>
      </c>
      <c r="B776" s="2">
        <v>45109</v>
      </c>
      <c r="C776" s="1" t="s">
        <v>19</v>
      </c>
      <c r="D776" s="1" t="s">
        <v>26</v>
      </c>
      <c r="E776" s="1" t="s">
        <v>27</v>
      </c>
      <c r="F776" s="1" t="s">
        <v>31</v>
      </c>
      <c r="G776" s="1">
        <v>2</v>
      </c>
      <c r="H776" s="1">
        <v>272</v>
      </c>
      <c r="I776" s="1">
        <v>15</v>
      </c>
      <c r="J776" s="4">
        <v>462.4</v>
      </c>
      <c r="K776" s="4">
        <v>292.31</v>
      </c>
      <c r="L776" s="4">
        <v>170.09</v>
      </c>
      <c r="M776" s="1" t="str">
        <f>TEXT(Table1[[#This Row],[Order_Date]], "MMM")</f>
        <v>Jul</v>
      </c>
      <c r="N776" s="1">
        <f>YEAR(Table1[[#This Row],[Order_Date]])</f>
        <v>2023</v>
      </c>
      <c r="O776" s="7">
        <f>Table1[[#This Row],[Profit]]/Table1[[#This Row],[Total_Sales]]</f>
        <v>0.36784169550173013</v>
      </c>
    </row>
    <row r="777" spans="1:15" x14ac:dyDescent="0.25">
      <c r="A777" s="1">
        <v>776</v>
      </c>
      <c r="B777" s="2">
        <v>45514</v>
      </c>
      <c r="C777" s="1" t="s">
        <v>12</v>
      </c>
      <c r="D777" s="1" t="s">
        <v>22</v>
      </c>
      <c r="E777" s="1" t="s">
        <v>29</v>
      </c>
      <c r="F777" s="1" t="s">
        <v>18</v>
      </c>
      <c r="G777" s="1">
        <v>10</v>
      </c>
      <c r="H777" s="1">
        <v>838</v>
      </c>
      <c r="I777" s="1">
        <v>15</v>
      </c>
      <c r="J777" s="4">
        <v>7123</v>
      </c>
      <c r="K777" s="4">
        <v>4004.45</v>
      </c>
      <c r="L777" s="4">
        <v>3118.55</v>
      </c>
      <c r="M777" s="1" t="str">
        <f>TEXT(Table1[[#This Row],[Order_Date]], "MMM")</f>
        <v>Aug</v>
      </c>
      <c r="N777" s="1">
        <f>YEAR(Table1[[#This Row],[Order_Date]])</f>
        <v>2024</v>
      </c>
      <c r="O777" s="7">
        <f>Table1[[#This Row],[Profit]]/Table1[[#This Row],[Total_Sales]]</f>
        <v>0.43781412326267027</v>
      </c>
    </row>
    <row r="778" spans="1:15" x14ac:dyDescent="0.25">
      <c r="A778" s="1">
        <v>777</v>
      </c>
      <c r="B778" s="2">
        <v>44970</v>
      </c>
      <c r="C778" s="1" t="s">
        <v>12</v>
      </c>
      <c r="D778" s="1" t="s">
        <v>32</v>
      </c>
      <c r="E778" s="1" t="s">
        <v>33</v>
      </c>
      <c r="F778" s="1" t="s">
        <v>18</v>
      </c>
      <c r="G778" s="1">
        <v>7</v>
      </c>
      <c r="H778" s="1">
        <v>611</v>
      </c>
      <c r="I778" s="1">
        <v>10</v>
      </c>
      <c r="J778" s="4">
        <v>3849.3</v>
      </c>
      <c r="K778" s="4">
        <v>2214.31</v>
      </c>
      <c r="L778" s="4">
        <v>1634.99</v>
      </c>
      <c r="M778" s="1" t="str">
        <f>TEXT(Table1[[#This Row],[Order_Date]], "MMM")</f>
        <v>Feb</v>
      </c>
      <c r="N778" s="1">
        <f>YEAR(Table1[[#This Row],[Order_Date]])</f>
        <v>2023</v>
      </c>
      <c r="O778" s="7">
        <f>Table1[[#This Row],[Profit]]/Table1[[#This Row],[Total_Sales]]</f>
        <v>0.42474995453718856</v>
      </c>
    </row>
    <row r="779" spans="1:15" x14ac:dyDescent="0.25">
      <c r="A779" s="1">
        <v>778</v>
      </c>
      <c r="B779" s="2">
        <v>44931</v>
      </c>
      <c r="C779" s="1" t="s">
        <v>12</v>
      </c>
      <c r="D779" s="1" t="s">
        <v>26</v>
      </c>
      <c r="E779" s="1" t="s">
        <v>42</v>
      </c>
      <c r="F779" s="1" t="s">
        <v>40</v>
      </c>
      <c r="G779" s="1">
        <v>3</v>
      </c>
      <c r="H779" s="1">
        <v>419</v>
      </c>
      <c r="I779" s="1">
        <v>0</v>
      </c>
      <c r="J779" s="4">
        <v>1257</v>
      </c>
      <c r="K779" s="4">
        <v>743.83</v>
      </c>
      <c r="L779" s="4">
        <v>513.16999999999996</v>
      </c>
      <c r="M779" s="1" t="str">
        <f>TEXT(Table1[[#This Row],[Order_Date]], "MMM")</f>
        <v>Jan</v>
      </c>
      <c r="N779" s="1">
        <f>YEAR(Table1[[#This Row],[Order_Date]])</f>
        <v>2023</v>
      </c>
      <c r="O779" s="7">
        <f>Table1[[#This Row],[Profit]]/Table1[[#This Row],[Total_Sales]]</f>
        <v>0.40824980111376291</v>
      </c>
    </row>
    <row r="780" spans="1:15" x14ac:dyDescent="0.25">
      <c r="A780" s="1">
        <v>779</v>
      </c>
      <c r="B780" s="2">
        <v>45495</v>
      </c>
      <c r="C780" s="1" t="s">
        <v>19</v>
      </c>
      <c r="D780" s="1" t="s">
        <v>13</v>
      </c>
      <c r="E780" s="1" t="s">
        <v>17</v>
      </c>
      <c r="F780" s="1" t="s">
        <v>35</v>
      </c>
      <c r="G780" s="1">
        <v>3</v>
      </c>
      <c r="H780" s="1">
        <v>167</v>
      </c>
      <c r="I780" s="1">
        <v>15</v>
      </c>
      <c r="J780" s="4">
        <v>425.85</v>
      </c>
      <c r="K780" s="4">
        <v>228.26</v>
      </c>
      <c r="L780" s="4">
        <v>197.59</v>
      </c>
      <c r="M780" s="1" t="str">
        <f>TEXT(Table1[[#This Row],[Order_Date]], "MMM")</f>
        <v>Jul</v>
      </c>
      <c r="N780" s="1">
        <f>YEAR(Table1[[#This Row],[Order_Date]])</f>
        <v>2024</v>
      </c>
      <c r="O780" s="7">
        <f>Table1[[#This Row],[Profit]]/Table1[[#This Row],[Total_Sales]]</f>
        <v>0.46398966772337674</v>
      </c>
    </row>
    <row r="781" spans="1:15" x14ac:dyDescent="0.25">
      <c r="A781" s="1">
        <v>780</v>
      </c>
      <c r="B781" s="2">
        <v>45297</v>
      </c>
      <c r="C781" s="1" t="s">
        <v>19</v>
      </c>
      <c r="D781" s="1" t="s">
        <v>22</v>
      </c>
      <c r="E781" s="1" t="s">
        <v>29</v>
      </c>
      <c r="F781" s="1" t="s">
        <v>15</v>
      </c>
      <c r="G781" s="1">
        <v>3</v>
      </c>
      <c r="H781" s="1">
        <v>269</v>
      </c>
      <c r="I781" s="1">
        <v>15</v>
      </c>
      <c r="J781" s="4">
        <v>685.95</v>
      </c>
      <c r="K781" s="4">
        <v>355.17</v>
      </c>
      <c r="L781" s="4">
        <v>330.78</v>
      </c>
      <c r="M781" s="1" t="str">
        <f>TEXT(Table1[[#This Row],[Order_Date]], "MMM")</f>
        <v>Jan</v>
      </c>
      <c r="N781" s="1">
        <f>YEAR(Table1[[#This Row],[Order_Date]])</f>
        <v>2024</v>
      </c>
      <c r="O781" s="7">
        <f>Table1[[#This Row],[Profit]]/Table1[[#This Row],[Total_Sales]]</f>
        <v>0.48222173627815429</v>
      </c>
    </row>
    <row r="782" spans="1:15" x14ac:dyDescent="0.25">
      <c r="A782" s="1">
        <v>781</v>
      </c>
      <c r="B782" s="2">
        <v>45061</v>
      </c>
      <c r="C782" s="1" t="s">
        <v>19</v>
      </c>
      <c r="D782" s="1" t="s">
        <v>26</v>
      </c>
      <c r="E782" s="1" t="s">
        <v>27</v>
      </c>
      <c r="F782" s="1" t="s">
        <v>15</v>
      </c>
      <c r="G782" s="1">
        <v>6</v>
      </c>
      <c r="H782" s="1">
        <v>541</v>
      </c>
      <c r="I782" s="1">
        <v>10</v>
      </c>
      <c r="J782" s="4">
        <v>2921.4</v>
      </c>
      <c r="K782" s="4">
        <v>2069.66</v>
      </c>
      <c r="L782" s="4">
        <v>851.74</v>
      </c>
      <c r="M782" s="1" t="str">
        <f>TEXT(Table1[[#This Row],[Order_Date]], "MMM")</f>
        <v>May</v>
      </c>
      <c r="N782" s="1">
        <f>YEAR(Table1[[#This Row],[Order_Date]])</f>
        <v>2023</v>
      </c>
      <c r="O782" s="7">
        <f>Table1[[#This Row],[Profit]]/Table1[[#This Row],[Total_Sales]]</f>
        <v>0.29155199561853906</v>
      </c>
    </row>
    <row r="783" spans="1:15" x14ac:dyDescent="0.25">
      <c r="A783" s="1">
        <v>782</v>
      </c>
      <c r="B783" s="2">
        <v>45577</v>
      </c>
      <c r="C783" s="1" t="s">
        <v>19</v>
      </c>
      <c r="D783" s="1" t="s">
        <v>22</v>
      </c>
      <c r="E783" s="1" t="s">
        <v>44</v>
      </c>
      <c r="F783" s="1" t="s">
        <v>18</v>
      </c>
      <c r="G783" s="1">
        <v>7</v>
      </c>
      <c r="H783" s="1">
        <v>318</v>
      </c>
      <c r="I783" s="1">
        <v>20</v>
      </c>
      <c r="J783" s="4">
        <v>1780.8</v>
      </c>
      <c r="K783" s="4">
        <v>1142.96</v>
      </c>
      <c r="L783" s="4">
        <v>637.84</v>
      </c>
      <c r="M783" s="1" t="str">
        <f>TEXT(Table1[[#This Row],[Order_Date]], "MMM")</f>
        <v>Oct</v>
      </c>
      <c r="N783" s="1">
        <f>YEAR(Table1[[#This Row],[Order_Date]])</f>
        <v>2024</v>
      </c>
      <c r="O783" s="7">
        <f>Table1[[#This Row],[Profit]]/Table1[[#This Row],[Total_Sales]]</f>
        <v>0.35817610062893085</v>
      </c>
    </row>
    <row r="784" spans="1:15" x14ac:dyDescent="0.25">
      <c r="A784" s="1">
        <v>783</v>
      </c>
      <c r="B784" s="2">
        <v>44958</v>
      </c>
      <c r="C784" s="1" t="s">
        <v>19</v>
      </c>
      <c r="D784" s="1" t="s">
        <v>22</v>
      </c>
      <c r="E784" s="1" t="s">
        <v>36</v>
      </c>
      <c r="F784" s="1" t="s">
        <v>35</v>
      </c>
      <c r="G784" s="1">
        <v>2</v>
      </c>
      <c r="H784" s="1">
        <v>338</v>
      </c>
      <c r="I784" s="1">
        <v>15</v>
      </c>
      <c r="J784" s="4">
        <v>574.6</v>
      </c>
      <c r="K784" s="4">
        <v>350.16</v>
      </c>
      <c r="L784" s="4">
        <v>224.44</v>
      </c>
      <c r="M784" s="1" t="str">
        <f>TEXT(Table1[[#This Row],[Order_Date]], "MMM")</f>
        <v>Feb</v>
      </c>
      <c r="N784" s="1">
        <f>YEAR(Table1[[#This Row],[Order_Date]])</f>
        <v>2023</v>
      </c>
      <c r="O784" s="7">
        <f>Table1[[#This Row],[Profit]]/Table1[[#This Row],[Total_Sales]]</f>
        <v>0.39060215802297249</v>
      </c>
    </row>
    <row r="785" spans="1:15" x14ac:dyDescent="0.25">
      <c r="A785" s="1">
        <v>784</v>
      </c>
      <c r="B785" s="2">
        <v>44955</v>
      </c>
      <c r="C785" s="1" t="s">
        <v>12</v>
      </c>
      <c r="D785" s="1" t="s">
        <v>20</v>
      </c>
      <c r="E785" s="1" t="s">
        <v>43</v>
      </c>
      <c r="F785" s="1" t="s">
        <v>15</v>
      </c>
      <c r="G785" s="1">
        <v>8</v>
      </c>
      <c r="H785" s="1">
        <v>757</v>
      </c>
      <c r="I785" s="1">
        <v>5</v>
      </c>
      <c r="J785" s="4">
        <v>5753.2</v>
      </c>
      <c r="K785" s="4">
        <v>3753.69</v>
      </c>
      <c r="L785" s="4">
        <v>1999.51</v>
      </c>
      <c r="M785" s="1" t="str">
        <f>TEXT(Table1[[#This Row],[Order_Date]], "MMM")</f>
        <v>Jan</v>
      </c>
      <c r="N785" s="1">
        <f>YEAR(Table1[[#This Row],[Order_Date]])</f>
        <v>2023</v>
      </c>
      <c r="O785" s="7">
        <f>Table1[[#This Row],[Profit]]/Table1[[#This Row],[Total_Sales]]</f>
        <v>0.34754745185288188</v>
      </c>
    </row>
    <row r="786" spans="1:15" x14ac:dyDescent="0.25">
      <c r="A786" s="1">
        <v>785</v>
      </c>
      <c r="B786" s="2">
        <v>45034</v>
      </c>
      <c r="C786" s="1" t="s">
        <v>16</v>
      </c>
      <c r="D786" s="1" t="s">
        <v>26</v>
      </c>
      <c r="E786" s="1" t="s">
        <v>42</v>
      </c>
      <c r="F786" s="1" t="s">
        <v>24</v>
      </c>
      <c r="G786" s="1">
        <v>4</v>
      </c>
      <c r="H786" s="1">
        <v>783</v>
      </c>
      <c r="I786" s="1">
        <v>5</v>
      </c>
      <c r="J786" s="4">
        <v>2975.4</v>
      </c>
      <c r="K786" s="4">
        <v>2140.9699999999998</v>
      </c>
      <c r="L786" s="4">
        <v>834.43</v>
      </c>
      <c r="M786" s="1" t="str">
        <f>TEXT(Table1[[#This Row],[Order_Date]], "MMM")</f>
        <v>Apr</v>
      </c>
      <c r="N786" s="1">
        <f>YEAR(Table1[[#This Row],[Order_Date]])</f>
        <v>2023</v>
      </c>
      <c r="O786" s="7">
        <f>Table1[[#This Row],[Profit]]/Table1[[#This Row],[Total_Sales]]</f>
        <v>0.28044296565167703</v>
      </c>
    </row>
    <row r="787" spans="1:15" x14ac:dyDescent="0.25">
      <c r="A787" s="1">
        <v>786</v>
      </c>
      <c r="B787" s="2">
        <v>45398</v>
      </c>
      <c r="C787" s="1" t="s">
        <v>12</v>
      </c>
      <c r="D787" s="1" t="s">
        <v>22</v>
      </c>
      <c r="E787" s="1" t="s">
        <v>23</v>
      </c>
      <c r="F787" s="1" t="s">
        <v>31</v>
      </c>
      <c r="G787" s="1">
        <v>5</v>
      </c>
      <c r="H787" s="1">
        <v>437</v>
      </c>
      <c r="I787" s="1">
        <v>10</v>
      </c>
      <c r="J787" s="4">
        <v>1966.5</v>
      </c>
      <c r="K787" s="4">
        <v>1319.27</v>
      </c>
      <c r="L787" s="4">
        <v>647.23</v>
      </c>
      <c r="M787" s="1" t="str">
        <f>TEXT(Table1[[#This Row],[Order_Date]], "MMM")</f>
        <v>Apr</v>
      </c>
      <c r="N787" s="1">
        <f>YEAR(Table1[[#This Row],[Order_Date]])</f>
        <v>2024</v>
      </c>
      <c r="O787" s="7">
        <f>Table1[[#This Row],[Profit]]/Table1[[#This Row],[Total_Sales]]</f>
        <v>0.32912789219425376</v>
      </c>
    </row>
    <row r="788" spans="1:15" x14ac:dyDescent="0.25">
      <c r="A788" s="1">
        <v>787</v>
      </c>
      <c r="B788" s="2">
        <v>45321</v>
      </c>
      <c r="C788" s="1" t="s">
        <v>25</v>
      </c>
      <c r="D788" s="1" t="s">
        <v>22</v>
      </c>
      <c r="E788" s="1" t="s">
        <v>44</v>
      </c>
      <c r="F788" s="1" t="s">
        <v>40</v>
      </c>
      <c r="G788" s="1">
        <v>4</v>
      </c>
      <c r="H788" s="1">
        <v>95</v>
      </c>
      <c r="I788" s="1">
        <v>0</v>
      </c>
      <c r="J788" s="4">
        <v>380</v>
      </c>
      <c r="K788" s="4">
        <v>196.72</v>
      </c>
      <c r="L788" s="4">
        <v>183.28</v>
      </c>
      <c r="M788" s="1" t="str">
        <f>TEXT(Table1[[#This Row],[Order_Date]], "MMM")</f>
        <v>Jan</v>
      </c>
      <c r="N788" s="1">
        <f>YEAR(Table1[[#This Row],[Order_Date]])</f>
        <v>2024</v>
      </c>
      <c r="O788" s="7">
        <f>Table1[[#This Row],[Profit]]/Table1[[#This Row],[Total_Sales]]</f>
        <v>0.4823157894736842</v>
      </c>
    </row>
    <row r="789" spans="1:15" x14ac:dyDescent="0.25">
      <c r="A789" s="1">
        <v>788</v>
      </c>
      <c r="B789" s="2">
        <v>45239</v>
      </c>
      <c r="C789" s="1" t="s">
        <v>25</v>
      </c>
      <c r="D789" s="1" t="s">
        <v>22</v>
      </c>
      <c r="E789" s="1" t="s">
        <v>23</v>
      </c>
      <c r="F789" s="1" t="s">
        <v>18</v>
      </c>
      <c r="G789" s="1">
        <v>9</v>
      </c>
      <c r="H789" s="1">
        <v>368</v>
      </c>
      <c r="I789" s="1">
        <v>10</v>
      </c>
      <c r="J789" s="4">
        <v>2980.8</v>
      </c>
      <c r="K789" s="4">
        <v>1611.71</v>
      </c>
      <c r="L789" s="4">
        <v>1369.09</v>
      </c>
      <c r="M789" s="1" t="str">
        <f>TEXT(Table1[[#This Row],[Order_Date]], "MMM")</f>
        <v>Nov</v>
      </c>
      <c r="N789" s="1">
        <f>YEAR(Table1[[#This Row],[Order_Date]])</f>
        <v>2023</v>
      </c>
      <c r="O789" s="7">
        <f>Table1[[#This Row],[Profit]]/Table1[[#This Row],[Total_Sales]]</f>
        <v>0.45930287171229195</v>
      </c>
    </row>
    <row r="790" spans="1:15" x14ac:dyDescent="0.25">
      <c r="A790" s="1">
        <v>789</v>
      </c>
      <c r="B790" s="2">
        <v>45020</v>
      </c>
      <c r="C790" s="1" t="s">
        <v>12</v>
      </c>
      <c r="D790" s="1" t="s">
        <v>32</v>
      </c>
      <c r="E790" s="1" t="s">
        <v>41</v>
      </c>
      <c r="F790" s="1" t="s">
        <v>15</v>
      </c>
      <c r="G790" s="1">
        <v>7</v>
      </c>
      <c r="H790" s="1">
        <v>82</v>
      </c>
      <c r="I790" s="1">
        <v>5</v>
      </c>
      <c r="J790" s="4">
        <v>545.29999999999995</v>
      </c>
      <c r="K790" s="4">
        <v>356.86</v>
      </c>
      <c r="L790" s="4">
        <v>188.44</v>
      </c>
      <c r="M790" s="1" t="str">
        <f>TEXT(Table1[[#This Row],[Order_Date]], "MMM")</f>
        <v>Apr</v>
      </c>
      <c r="N790" s="1">
        <f>YEAR(Table1[[#This Row],[Order_Date]])</f>
        <v>2023</v>
      </c>
      <c r="O790" s="7">
        <f>Table1[[#This Row],[Profit]]/Table1[[#This Row],[Total_Sales]]</f>
        <v>0.34557124518613608</v>
      </c>
    </row>
    <row r="791" spans="1:15" x14ac:dyDescent="0.25">
      <c r="A791" s="1">
        <v>790</v>
      </c>
      <c r="B791" s="2">
        <v>45140</v>
      </c>
      <c r="C791" s="1" t="s">
        <v>19</v>
      </c>
      <c r="D791" s="1" t="s">
        <v>32</v>
      </c>
      <c r="E791" s="1" t="s">
        <v>34</v>
      </c>
      <c r="F791" s="1" t="s">
        <v>24</v>
      </c>
      <c r="G791" s="1">
        <v>3</v>
      </c>
      <c r="H791" s="1">
        <v>748</v>
      </c>
      <c r="I791" s="1">
        <v>20</v>
      </c>
      <c r="J791" s="4">
        <v>1795.2</v>
      </c>
      <c r="K791" s="4">
        <v>1056.5999999999999</v>
      </c>
      <c r="L791" s="4">
        <v>738.6</v>
      </c>
      <c r="M791" s="1" t="str">
        <f>TEXT(Table1[[#This Row],[Order_Date]], "MMM")</f>
        <v>Aug</v>
      </c>
      <c r="N791" s="1">
        <f>YEAR(Table1[[#This Row],[Order_Date]])</f>
        <v>2023</v>
      </c>
      <c r="O791" s="7">
        <f>Table1[[#This Row],[Profit]]/Table1[[#This Row],[Total_Sales]]</f>
        <v>0.41143048128342247</v>
      </c>
    </row>
    <row r="792" spans="1:15" x14ac:dyDescent="0.25">
      <c r="A792" s="1">
        <v>791</v>
      </c>
      <c r="B792" s="2">
        <v>45458</v>
      </c>
      <c r="C792" s="1" t="s">
        <v>16</v>
      </c>
      <c r="D792" s="1" t="s">
        <v>22</v>
      </c>
      <c r="E792" s="1" t="s">
        <v>29</v>
      </c>
      <c r="F792" s="1" t="s">
        <v>15</v>
      </c>
      <c r="G792" s="1">
        <v>5</v>
      </c>
      <c r="H792" s="1">
        <v>613</v>
      </c>
      <c r="I792" s="1">
        <v>15</v>
      </c>
      <c r="J792" s="4">
        <v>2605.25</v>
      </c>
      <c r="K792" s="4">
        <v>1340.16</v>
      </c>
      <c r="L792" s="4">
        <v>1265.0899999999999</v>
      </c>
      <c r="M792" s="1" t="str">
        <f>TEXT(Table1[[#This Row],[Order_Date]], "MMM")</f>
        <v>Jun</v>
      </c>
      <c r="N792" s="1">
        <f>YEAR(Table1[[#This Row],[Order_Date]])</f>
        <v>2024</v>
      </c>
      <c r="O792" s="7">
        <f>Table1[[#This Row],[Profit]]/Table1[[#This Row],[Total_Sales]]</f>
        <v>0.48559255349774488</v>
      </c>
    </row>
    <row r="793" spans="1:15" x14ac:dyDescent="0.25">
      <c r="A793" s="1">
        <v>792</v>
      </c>
      <c r="B793" s="2">
        <v>45181</v>
      </c>
      <c r="C793" s="1" t="s">
        <v>12</v>
      </c>
      <c r="D793" s="1" t="s">
        <v>26</v>
      </c>
      <c r="E793" s="1" t="s">
        <v>27</v>
      </c>
      <c r="F793" s="1" t="s">
        <v>15</v>
      </c>
      <c r="G793" s="1">
        <v>8</v>
      </c>
      <c r="H793" s="1">
        <v>292</v>
      </c>
      <c r="I793" s="1">
        <v>10</v>
      </c>
      <c r="J793" s="4">
        <v>2102.4</v>
      </c>
      <c r="K793" s="4">
        <v>1313.76</v>
      </c>
      <c r="L793" s="4">
        <v>788.64</v>
      </c>
      <c r="M793" s="1" t="str">
        <f>TEXT(Table1[[#This Row],[Order_Date]], "MMM")</f>
        <v>Sep</v>
      </c>
      <c r="N793" s="1">
        <f>YEAR(Table1[[#This Row],[Order_Date]])</f>
        <v>2023</v>
      </c>
      <c r="O793" s="7">
        <f>Table1[[#This Row],[Profit]]/Table1[[#This Row],[Total_Sales]]</f>
        <v>0.37511415525114156</v>
      </c>
    </row>
    <row r="794" spans="1:15" x14ac:dyDescent="0.25">
      <c r="A794" s="1">
        <v>793</v>
      </c>
      <c r="B794" s="2">
        <v>44941</v>
      </c>
      <c r="C794" s="1" t="s">
        <v>19</v>
      </c>
      <c r="D794" s="1" t="s">
        <v>20</v>
      </c>
      <c r="E794" s="1" t="s">
        <v>30</v>
      </c>
      <c r="F794" s="1" t="s">
        <v>40</v>
      </c>
      <c r="G794" s="1">
        <v>6</v>
      </c>
      <c r="H794" s="1">
        <v>991</v>
      </c>
      <c r="I794" s="1">
        <v>0</v>
      </c>
      <c r="J794" s="4">
        <v>5946</v>
      </c>
      <c r="K794" s="4">
        <v>3234.54</v>
      </c>
      <c r="L794" s="4">
        <v>2711.46</v>
      </c>
      <c r="M794" s="1" t="str">
        <f>TEXT(Table1[[#This Row],[Order_Date]], "MMM")</f>
        <v>Jan</v>
      </c>
      <c r="N794" s="1">
        <f>YEAR(Table1[[#This Row],[Order_Date]])</f>
        <v>2023</v>
      </c>
      <c r="O794" s="7">
        <f>Table1[[#This Row],[Profit]]/Table1[[#This Row],[Total_Sales]]</f>
        <v>0.45601412714429868</v>
      </c>
    </row>
    <row r="795" spans="1:15" x14ac:dyDescent="0.25">
      <c r="A795" s="1">
        <v>794</v>
      </c>
      <c r="B795" s="2">
        <v>45068</v>
      </c>
      <c r="C795" s="1" t="s">
        <v>19</v>
      </c>
      <c r="D795" s="1" t="s">
        <v>13</v>
      </c>
      <c r="E795" s="1" t="s">
        <v>14</v>
      </c>
      <c r="F795" s="1" t="s">
        <v>15</v>
      </c>
      <c r="G795" s="1">
        <v>4</v>
      </c>
      <c r="H795" s="1">
        <v>493</v>
      </c>
      <c r="I795" s="1">
        <v>0</v>
      </c>
      <c r="J795" s="4">
        <v>1972</v>
      </c>
      <c r="K795" s="4">
        <v>1088.92</v>
      </c>
      <c r="L795" s="4">
        <v>883.08</v>
      </c>
      <c r="M795" s="1" t="str">
        <f>TEXT(Table1[[#This Row],[Order_Date]], "MMM")</f>
        <v>May</v>
      </c>
      <c r="N795" s="1">
        <f>YEAR(Table1[[#This Row],[Order_Date]])</f>
        <v>2023</v>
      </c>
      <c r="O795" s="7">
        <f>Table1[[#This Row],[Profit]]/Table1[[#This Row],[Total_Sales]]</f>
        <v>0.44780933062880329</v>
      </c>
    </row>
    <row r="796" spans="1:15" x14ac:dyDescent="0.25">
      <c r="A796" s="1">
        <v>795</v>
      </c>
      <c r="B796" s="2">
        <v>45480</v>
      </c>
      <c r="C796" s="1" t="s">
        <v>12</v>
      </c>
      <c r="D796" s="1" t="s">
        <v>20</v>
      </c>
      <c r="E796" s="1" t="s">
        <v>28</v>
      </c>
      <c r="F796" s="1" t="s">
        <v>24</v>
      </c>
      <c r="G796" s="1">
        <v>6</v>
      </c>
      <c r="H796" s="1">
        <v>915</v>
      </c>
      <c r="I796" s="1">
        <v>0</v>
      </c>
      <c r="J796" s="4">
        <v>5490</v>
      </c>
      <c r="K796" s="4">
        <v>2802.85</v>
      </c>
      <c r="L796" s="4">
        <v>2687.15</v>
      </c>
      <c r="M796" s="1" t="str">
        <f>TEXT(Table1[[#This Row],[Order_Date]], "MMM")</f>
        <v>Jul</v>
      </c>
      <c r="N796" s="1">
        <f>YEAR(Table1[[#This Row],[Order_Date]])</f>
        <v>2024</v>
      </c>
      <c r="O796" s="7">
        <f>Table1[[#This Row],[Profit]]/Table1[[#This Row],[Total_Sales]]</f>
        <v>0.48946265938069217</v>
      </c>
    </row>
    <row r="797" spans="1:15" x14ac:dyDescent="0.25">
      <c r="A797" s="1">
        <v>796</v>
      </c>
      <c r="B797" s="2">
        <v>45046</v>
      </c>
      <c r="C797" s="1" t="s">
        <v>25</v>
      </c>
      <c r="D797" s="1" t="s">
        <v>22</v>
      </c>
      <c r="E797" s="1" t="s">
        <v>23</v>
      </c>
      <c r="F797" s="1" t="s">
        <v>18</v>
      </c>
      <c r="G797" s="1">
        <v>3</v>
      </c>
      <c r="H797" s="1">
        <v>49</v>
      </c>
      <c r="I797" s="1">
        <v>5</v>
      </c>
      <c r="J797" s="4">
        <v>139.65</v>
      </c>
      <c r="K797" s="4">
        <v>107.03</v>
      </c>
      <c r="L797" s="4">
        <v>32.619999999999997</v>
      </c>
      <c r="M797" s="1" t="str">
        <f>TEXT(Table1[[#This Row],[Order_Date]], "MMM")</f>
        <v>Apr</v>
      </c>
      <c r="N797" s="1">
        <f>YEAR(Table1[[#This Row],[Order_Date]])</f>
        <v>2023</v>
      </c>
      <c r="O797" s="7">
        <f>Table1[[#This Row],[Profit]]/Table1[[#This Row],[Total_Sales]]</f>
        <v>0.23358395989974934</v>
      </c>
    </row>
    <row r="798" spans="1:15" x14ac:dyDescent="0.25">
      <c r="A798" s="1">
        <v>797</v>
      </c>
      <c r="B798" s="2">
        <v>45550</v>
      </c>
      <c r="C798" s="1" t="s">
        <v>19</v>
      </c>
      <c r="D798" s="1" t="s">
        <v>32</v>
      </c>
      <c r="E798" s="1" t="s">
        <v>41</v>
      </c>
      <c r="F798" s="1" t="s">
        <v>31</v>
      </c>
      <c r="G798" s="1">
        <v>3</v>
      </c>
      <c r="H798" s="1">
        <v>855</v>
      </c>
      <c r="I798" s="1">
        <v>5</v>
      </c>
      <c r="J798" s="4">
        <v>2436.75</v>
      </c>
      <c r="K798" s="4">
        <v>1939.06</v>
      </c>
      <c r="L798" s="4">
        <v>497.69</v>
      </c>
      <c r="M798" s="1" t="str">
        <f>TEXT(Table1[[#This Row],[Order_Date]], "MMM")</f>
        <v>Sep</v>
      </c>
      <c r="N798" s="1">
        <f>YEAR(Table1[[#This Row],[Order_Date]])</f>
        <v>2024</v>
      </c>
      <c r="O798" s="7">
        <f>Table1[[#This Row],[Profit]]/Table1[[#This Row],[Total_Sales]]</f>
        <v>0.20424335693033754</v>
      </c>
    </row>
    <row r="799" spans="1:15" x14ac:dyDescent="0.25">
      <c r="A799" s="1">
        <v>798</v>
      </c>
      <c r="B799" s="2">
        <v>45151</v>
      </c>
      <c r="C799" s="1" t="s">
        <v>25</v>
      </c>
      <c r="D799" s="1" t="s">
        <v>20</v>
      </c>
      <c r="E799" s="1" t="s">
        <v>43</v>
      </c>
      <c r="F799" s="1" t="s">
        <v>31</v>
      </c>
      <c r="G799" s="1">
        <v>10</v>
      </c>
      <c r="H799" s="1">
        <v>931</v>
      </c>
      <c r="I799" s="1">
        <v>10</v>
      </c>
      <c r="J799" s="4">
        <v>8379</v>
      </c>
      <c r="K799" s="4">
        <v>5663.91</v>
      </c>
      <c r="L799" s="4">
        <v>2715.09</v>
      </c>
      <c r="M799" s="1" t="str">
        <f>TEXT(Table1[[#This Row],[Order_Date]], "MMM")</f>
        <v>Aug</v>
      </c>
      <c r="N799" s="1">
        <f>YEAR(Table1[[#This Row],[Order_Date]])</f>
        <v>2023</v>
      </c>
      <c r="O799" s="7">
        <f>Table1[[#This Row],[Profit]]/Table1[[#This Row],[Total_Sales]]</f>
        <v>0.32403508771929829</v>
      </c>
    </row>
    <row r="800" spans="1:15" x14ac:dyDescent="0.25">
      <c r="A800" s="1">
        <v>799</v>
      </c>
      <c r="B800" s="2">
        <v>45017</v>
      </c>
      <c r="C800" s="1" t="s">
        <v>19</v>
      </c>
      <c r="D800" s="1" t="s">
        <v>22</v>
      </c>
      <c r="E800" s="1" t="s">
        <v>44</v>
      </c>
      <c r="F800" s="1" t="s">
        <v>18</v>
      </c>
      <c r="G800" s="1">
        <v>4</v>
      </c>
      <c r="H800" s="1">
        <v>298</v>
      </c>
      <c r="I800" s="1">
        <v>15</v>
      </c>
      <c r="J800" s="4">
        <v>1013.2</v>
      </c>
      <c r="K800" s="4">
        <v>787.91</v>
      </c>
      <c r="L800" s="4">
        <v>225.29</v>
      </c>
      <c r="M800" s="1" t="str">
        <f>TEXT(Table1[[#This Row],[Order_Date]], "MMM")</f>
        <v>Apr</v>
      </c>
      <c r="N800" s="1">
        <f>YEAR(Table1[[#This Row],[Order_Date]])</f>
        <v>2023</v>
      </c>
      <c r="O800" s="7">
        <f>Table1[[#This Row],[Profit]]/Table1[[#This Row],[Total_Sales]]</f>
        <v>0.22235491512041056</v>
      </c>
    </row>
    <row r="801" spans="1:15" x14ac:dyDescent="0.25">
      <c r="A801" s="1">
        <v>800</v>
      </c>
      <c r="B801" s="2">
        <v>45139</v>
      </c>
      <c r="C801" s="1" t="s">
        <v>25</v>
      </c>
      <c r="D801" s="1" t="s">
        <v>20</v>
      </c>
      <c r="E801" s="1" t="s">
        <v>43</v>
      </c>
      <c r="F801" s="1" t="s">
        <v>35</v>
      </c>
      <c r="G801" s="1">
        <v>3</v>
      </c>
      <c r="H801" s="1">
        <v>252</v>
      </c>
      <c r="I801" s="1">
        <v>0</v>
      </c>
      <c r="J801" s="4">
        <v>756</v>
      </c>
      <c r="K801" s="4">
        <v>456.34</v>
      </c>
      <c r="L801" s="4">
        <v>299.66000000000003</v>
      </c>
      <c r="M801" s="1" t="str">
        <f>TEXT(Table1[[#This Row],[Order_Date]], "MMM")</f>
        <v>Aug</v>
      </c>
      <c r="N801" s="1">
        <f>YEAR(Table1[[#This Row],[Order_Date]])</f>
        <v>2023</v>
      </c>
      <c r="O801" s="7">
        <f>Table1[[#This Row],[Profit]]/Table1[[#This Row],[Total_Sales]]</f>
        <v>0.39637566137566138</v>
      </c>
    </row>
    <row r="802" spans="1:15" x14ac:dyDescent="0.25">
      <c r="A802" s="1">
        <v>801</v>
      </c>
      <c r="B802" s="2">
        <v>45624</v>
      </c>
      <c r="C802" s="1" t="s">
        <v>19</v>
      </c>
      <c r="D802" s="1" t="s">
        <v>20</v>
      </c>
      <c r="E802" s="1" t="s">
        <v>21</v>
      </c>
      <c r="F802" s="1" t="s">
        <v>18</v>
      </c>
      <c r="G802" s="1">
        <v>4</v>
      </c>
      <c r="H802" s="1">
        <v>786</v>
      </c>
      <c r="I802" s="1">
        <v>15</v>
      </c>
      <c r="J802" s="4">
        <v>2672.4</v>
      </c>
      <c r="K802" s="4">
        <v>1395.84</v>
      </c>
      <c r="L802" s="4">
        <v>1276.56</v>
      </c>
      <c r="M802" s="1" t="str">
        <f>TEXT(Table1[[#This Row],[Order_Date]], "MMM")</f>
        <v>Nov</v>
      </c>
      <c r="N802" s="1">
        <f>YEAR(Table1[[#This Row],[Order_Date]])</f>
        <v>2024</v>
      </c>
      <c r="O802" s="7">
        <f>Table1[[#This Row],[Profit]]/Table1[[#This Row],[Total_Sales]]</f>
        <v>0.47768298158958233</v>
      </c>
    </row>
    <row r="803" spans="1:15" x14ac:dyDescent="0.25">
      <c r="A803" s="1">
        <v>802</v>
      </c>
      <c r="B803" s="2">
        <v>45443</v>
      </c>
      <c r="C803" s="1" t="s">
        <v>16</v>
      </c>
      <c r="D803" s="1" t="s">
        <v>13</v>
      </c>
      <c r="E803" s="1" t="s">
        <v>39</v>
      </c>
      <c r="F803" s="1" t="s">
        <v>31</v>
      </c>
      <c r="G803" s="1">
        <v>10</v>
      </c>
      <c r="H803" s="1">
        <v>967</v>
      </c>
      <c r="I803" s="1">
        <v>15</v>
      </c>
      <c r="J803" s="4">
        <v>8219.5</v>
      </c>
      <c r="K803" s="4">
        <v>5106.91</v>
      </c>
      <c r="L803" s="4">
        <v>3112.59</v>
      </c>
      <c r="M803" s="1" t="str">
        <f>TEXT(Table1[[#This Row],[Order_Date]], "MMM")</f>
        <v>May</v>
      </c>
      <c r="N803" s="1">
        <f>YEAR(Table1[[#This Row],[Order_Date]])</f>
        <v>2024</v>
      </c>
      <c r="O803" s="7">
        <f>Table1[[#This Row],[Profit]]/Table1[[#This Row],[Total_Sales]]</f>
        <v>0.37868361822495289</v>
      </c>
    </row>
    <row r="804" spans="1:15" x14ac:dyDescent="0.25">
      <c r="A804" s="1">
        <v>803</v>
      </c>
      <c r="B804" s="2">
        <v>45651</v>
      </c>
      <c r="C804" s="1" t="s">
        <v>25</v>
      </c>
      <c r="D804" s="1" t="s">
        <v>26</v>
      </c>
      <c r="E804" s="1" t="s">
        <v>27</v>
      </c>
      <c r="F804" s="1" t="s">
        <v>24</v>
      </c>
      <c r="G804" s="1">
        <v>8</v>
      </c>
      <c r="H804" s="1">
        <v>821</v>
      </c>
      <c r="I804" s="1">
        <v>15</v>
      </c>
      <c r="J804" s="4">
        <v>5582.8</v>
      </c>
      <c r="K804" s="4">
        <v>3933.79</v>
      </c>
      <c r="L804" s="4">
        <v>1649.01</v>
      </c>
      <c r="M804" s="1" t="str">
        <f>TEXT(Table1[[#This Row],[Order_Date]], "MMM")</f>
        <v>Dec</v>
      </c>
      <c r="N804" s="1">
        <f>YEAR(Table1[[#This Row],[Order_Date]])</f>
        <v>2024</v>
      </c>
      <c r="O804" s="7">
        <f>Table1[[#This Row],[Profit]]/Table1[[#This Row],[Total_Sales]]</f>
        <v>0.29537328938883711</v>
      </c>
    </row>
    <row r="805" spans="1:15" x14ac:dyDescent="0.25">
      <c r="A805" s="1">
        <v>804</v>
      </c>
      <c r="B805" s="2">
        <v>45042</v>
      </c>
      <c r="C805" s="1" t="s">
        <v>12</v>
      </c>
      <c r="D805" s="1" t="s">
        <v>22</v>
      </c>
      <c r="E805" s="1" t="s">
        <v>29</v>
      </c>
      <c r="F805" s="1" t="s">
        <v>35</v>
      </c>
      <c r="G805" s="1">
        <v>5</v>
      </c>
      <c r="H805" s="1">
        <v>740</v>
      </c>
      <c r="I805" s="1">
        <v>5</v>
      </c>
      <c r="J805" s="4">
        <v>3515</v>
      </c>
      <c r="K805" s="4">
        <v>2171.44</v>
      </c>
      <c r="L805" s="4">
        <v>1343.56</v>
      </c>
      <c r="M805" s="1" t="str">
        <f>TEXT(Table1[[#This Row],[Order_Date]], "MMM")</f>
        <v>Apr</v>
      </c>
      <c r="N805" s="1">
        <f>YEAR(Table1[[#This Row],[Order_Date]])</f>
        <v>2023</v>
      </c>
      <c r="O805" s="7">
        <f>Table1[[#This Row],[Profit]]/Table1[[#This Row],[Total_Sales]]</f>
        <v>0.3822361308677098</v>
      </c>
    </row>
    <row r="806" spans="1:15" x14ac:dyDescent="0.25">
      <c r="A806" s="1">
        <v>805</v>
      </c>
      <c r="B806" s="2">
        <v>45509</v>
      </c>
      <c r="C806" s="1" t="s">
        <v>12</v>
      </c>
      <c r="D806" s="1" t="s">
        <v>32</v>
      </c>
      <c r="E806" s="1" t="s">
        <v>34</v>
      </c>
      <c r="F806" s="1" t="s">
        <v>24</v>
      </c>
      <c r="G806" s="1">
        <v>6</v>
      </c>
      <c r="H806" s="1">
        <v>914</v>
      </c>
      <c r="I806" s="1">
        <v>0</v>
      </c>
      <c r="J806" s="4">
        <v>5484</v>
      </c>
      <c r="K806" s="4">
        <v>3986.74</v>
      </c>
      <c r="L806" s="4">
        <v>1497.26</v>
      </c>
      <c r="M806" s="1" t="str">
        <f>TEXT(Table1[[#This Row],[Order_Date]], "MMM")</f>
        <v>Aug</v>
      </c>
      <c r="N806" s="1">
        <f>YEAR(Table1[[#This Row],[Order_Date]])</f>
        <v>2024</v>
      </c>
      <c r="O806" s="7">
        <f>Table1[[#This Row],[Profit]]/Table1[[#This Row],[Total_Sales]]</f>
        <v>0.27302334062727934</v>
      </c>
    </row>
    <row r="807" spans="1:15" x14ac:dyDescent="0.25">
      <c r="A807" s="1">
        <v>806</v>
      </c>
      <c r="B807" s="2">
        <v>45033</v>
      </c>
      <c r="C807" s="1" t="s">
        <v>12</v>
      </c>
      <c r="D807" s="1" t="s">
        <v>13</v>
      </c>
      <c r="E807" s="1" t="s">
        <v>39</v>
      </c>
      <c r="F807" s="1" t="s">
        <v>15</v>
      </c>
      <c r="G807" s="1">
        <v>3</v>
      </c>
      <c r="H807" s="1">
        <v>141</v>
      </c>
      <c r="I807" s="1">
        <v>0</v>
      </c>
      <c r="J807" s="4">
        <v>423</v>
      </c>
      <c r="K807" s="4">
        <v>219.82</v>
      </c>
      <c r="L807" s="4">
        <v>203.18</v>
      </c>
      <c r="M807" s="1" t="str">
        <f>TEXT(Table1[[#This Row],[Order_Date]], "MMM")</f>
        <v>Apr</v>
      </c>
      <c r="N807" s="1">
        <f>YEAR(Table1[[#This Row],[Order_Date]])</f>
        <v>2023</v>
      </c>
      <c r="O807" s="7">
        <f>Table1[[#This Row],[Profit]]/Table1[[#This Row],[Total_Sales]]</f>
        <v>0.48033096926713947</v>
      </c>
    </row>
    <row r="808" spans="1:15" x14ac:dyDescent="0.25">
      <c r="A808" s="1">
        <v>807</v>
      </c>
      <c r="B808" s="2">
        <v>45345</v>
      </c>
      <c r="C808" s="1" t="s">
        <v>12</v>
      </c>
      <c r="D808" s="1" t="s">
        <v>20</v>
      </c>
      <c r="E808" s="1" t="s">
        <v>30</v>
      </c>
      <c r="F808" s="1" t="s">
        <v>15</v>
      </c>
      <c r="G808" s="1">
        <v>1</v>
      </c>
      <c r="H808" s="1">
        <v>770</v>
      </c>
      <c r="I808" s="1">
        <v>10</v>
      </c>
      <c r="J808" s="4">
        <v>693</v>
      </c>
      <c r="K808" s="4">
        <v>400.37</v>
      </c>
      <c r="L808" s="4">
        <v>292.63</v>
      </c>
      <c r="M808" s="1" t="str">
        <f>TEXT(Table1[[#This Row],[Order_Date]], "MMM")</f>
        <v>Feb</v>
      </c>
      <c r="N808" s="1">
        <f>YEAR(Table1[[#This Row],[Order_Date]])</f>
        <v>2024</v>
      </c>
      <c r="O808" s="7">
        <f>Table1[[#This Row],[Profit]]/Table1[[#This Row],[Total_Sales]]</f>
        <v>0.42226551226551223</v>
      </c>
    </row>
    <row r="809" spans="1:15" x14ac:dyDescent="0.25">
      <c r="A809" s="1">
        <v>808</v>
      </c>
      <c r="B809" s="2">
        <v>45235</v>
      </c>
      <c r="C809" s="1" t="s">
        <v>19</v>
      </c>
      <c r="D809" s="1" t="s">
        <v>20</v>
      </c>
      <c r="E809" s="1" t="s">
        <v>21</v>
      </c>
      <c r="F809" s="1" t="s">
        <v>35</v>
      </c>
      <c r="G809" s="1">
        <v>9</v>
      </c>
      <c r="H809" s="1">
        <v>137</v>
      </c>
      <c r="I809" s="1">
        <v>10</v>
      </c>
      <c r="J809" s="4">
        <v>1109.7</v>
      </c>
      <c r="K809" s="4">
        <v>754.24</v>
      </c>
      <c r="L809" s="4">
        <v>355.46</v>
      </c>
      <c r="M809" s="1" t="str">
        <f>TEXT(Table1[[#This Row],[Order_Date]], "MMM")</f>
        <v>Nov</v>
      </c>
      <c r="N809" s="1">
        <f>YEAR(Table1[[#This Row],[Order_Date]])</f>
        <v>2023</v>
      </c>
      <c r="O809" s="7">
        <f>Table1[[#This Row],[Profit]]/Table1[[#This Row],[Total_Sales]]</f>
        <v>0.32032080742543029</v>
      </c>
    </row>
    <row r="810" spans="1:15" x14ac:dyDescent="0.25">
      <c r="A810" s="1">
        <v>809</v>
      </c>
      <c r="B810" s="2">
        <v>45172</v>
      </c>
      <c r="C810" s="1" t="s">
        <v>16</v>
      </c>
      <c r="D810" s="1" t="s">
        <v>13</v>
      </c>
      <c r="E810" s="1" t="s">
        <v>17</v>
      </c>
      <c r="F810" s="1" t="s">
        <v>18</v>
      </c>
      <c r="G810" s="1">
        <v>5</v>
      </c>
      <c r="H810" s="1">
        <v>992</v>
      </c>
      <c r="I810" s="1">
        <v>20</v>
      </c>
      <c r="J810" s="4">
        <v>3968</v>
      </c>
      <c r="K810" s="4">
        <v>2756.08</v>
      </c>
      <c r="L810" s="4">
        <v>1211.92</v>
      </c>
      <c r="M810" s="1" t="str">
        <f>TEXT(Table1[[#This Row],[Order_Date]], "MMM")</f>
        <v>Sep</v>
      </c>
      <c r="N810" s="1">
        <f>YEAR(Table1[[#This Row],[Order_Date]])</f>
        <v>2023</v>
      </c>
      <c r="O810" s="7">
        <f>Table1[[#This Row],[Profit]]/Table1[[#This Row],[Total_Sales]]</f>
        <v>0.30542338709677419</v>
      </c>
    </row>
    <row r="811" spans="1:15" x14ac:dyDescent="0.25">
      <c r="A811" s="1">
        <v>810</v>
      </c>
      <c r="B811" s="2">
        <v>45454</v>
      </c>
      <c r="C811" s="1" t="s">
        <v>12</v>
      </c>
      <c r="D811" s="1" t="s">
        <v>20</v>
      </c>
      <c r="E811" s="1" t="s">
        <v>21</v>
      </c>
      <c r="F811" s="1" t="s">
        <v>40</v>
      </c>
      <c r="G811" s="1">
        <v>8</v>
      </c>
      <c r="H811" s="1">
        <v>44</v>
      </c>
      <c r="I811" s="1">
        <v>15</v>
      </c>
      <c r="J811" s="4">
        <v>299.2</v>
      </c>
      <c r="K811" s="4">
        <v>232.93</v>
      </c>
      <c r="L811" s="4">
        <v>66.27</v>
      </c>
      <c r="M811" s="1" t="str">
        <f>TEXT(Table1[[#This Row],[Order_Date]], "MMM")</f>
        <v>Jun</v>
      </c>
      <c r="N811" s="1">
        <f>YEAR(Table1[[#This Row],[Order_Date]])</f>
        <v>2024</v>
      </c>
      <c r="O811" s="7">
        <f>Table1[[#This Row],[Profit]]/Table1[[#This Row],[Total_Sales]]</f>
        <v>0.22149064171122995</v>
      </c>
    </row>
    <row r="812" spans="1:15" x14ac:dyDescent="0.25">
      <c r="A812" s="1">
        <v>811</v>
      </c>
      <c r="B812" s="2">
        <v>45307</v>
      </c>
      <c r="C812" s="1" t="s">
        <v>16</v>
      </c>
      <c r="D812" s="1" t="s">
        <v>20</v>
      </c>
      <c r="E812" s="1" t="s">
        <v>30</v>
      </c>
      <c r="F812" s="1" t="s">
        <v>35</v>
      </c>
      <c r="G812" s="1">
        <v>7</v>
      </c>
      <c r="H812" s="1">
        <v>795</v>
      </c>
      <c r="I812" s="1">
        <v>5</v>
      </c>
      <c r="J812" s="4">
        <v>5286.75</v>
      </c>
      <c r="K812" s="4">
        <v>4175.2</v>
      </c>
      <c r="L812" s="4">
        <v>1111.55</v>
      </c>
      <c r="M812" s="1" t="str">
        <f>TEXT(Table1[[#This Row],[Order_Date]], "MMM")</f>
        <v>Jan</v>
      </c>
      <c r="N812" s="1">
        <f>YEAR(Table1[[#This Row],[Order_Date]])</f>
        <v>2024</v>
      </c>
      <c r="O812" s="7">
        <f>Table1[[#This Row],[Profit]]/Table1[[#This Row],[Total_Sales]]</f>
        <v>0.21025204520735802</v>
      </c>
    </row>
    <row r="813" spans="1:15" x14ac:dyDescent="0.25">
      <c r="A813" s="1">
        <v>812</v>
      </c>
      <c r="B813" s="2">
        <v>45540</v>
      </c>
      <c r="C813" s="1" t="s">
        <v>12</v>
      </c>
      <c r="D813" s="1" t="s">
        <v>20</v>
      </c>
      <c r="E813" s="1" t="s">
        <v>43</v>
      </c>
      <c r="F813" s="1" t="s">
        <v>18</v>
      </c>
      <c r="G813" s="1">
        <v>6</v>
      </c>
      <c r="H813" s="1">
        <v>312</v>
      </c>
      <c r="I813" s="1">
        <v>20</v>
      </c>
      <c r="J813" s="4">
        <v>1497.6</v>
      </c>
      <c r="K813" s="4">
        <v>913</v>
      </c>
      <c r="L813" s="4">
        <v>584.6</v>
      </c>
      <c r="M813" s="1" t="str">
        <f>TEXT(Table1[[#This Row],[Order_Date]], "MMM")</f>
        <v>Sep</v>
      </c>
      <c r="N813" s="1">
        <f>YEAR(Table1[[#This Row],[Order_Date]])</f>
        <v>2024</v>
      </c>
      <c r="O813" s="7">
        <f>Table1[[#This Row],[Profit]]/Table1[[#This Row],[Total_Sales]]</f>
        <v>0.39035790598290604</v>
      </c>
    </row>
    <row r="814" spans="1:15" x14ac:dyDescent="0.25">
      <c r="A814" s="1">
        <v>813</v>
      </c>
      <c r="B814" s="2">
        <v>45144</v>
      </c>
      <c r="C814" s="1" t="s">
        <v>19</v>
      </c>
      <c r="D814" s="1" t="s">
        <v>26</v>
      </c>
      <c r="E814" s="1" t="s">
        <v>37</v>
      </c>
      <c r="F814" s="1" t="s">
        <v>24</v>
      </c>
      <c r="G814" s="1">
        <v>7</v>
      </c>
      <c r="H814" s="1">
        <v>242</v>
      </c>
      <c r="I814" s="1">
        <v>15</v>
      </c>
      <c r="J814" s="4">
        <v>1439.9</v>
      </c>
      <c r="K814" s="4">
        <v>872.21</v>
      </c>
      <c r="L814" s="4">
        <v>567.69000000000005</v>
      </c>
      <c r="M814" s="1" t="str">
        <f>TEXT(Table1[[#This Row],[Order_Date]], "MMM")</f>
        <v>Aug</v>
      </c>
      <c r="N814" s="1">
        <f>YEAR(Table1[[#This Row],[Order_Date]])</f>
        <v>2023</v>
      </c>
      <c r="O814" s="7">
        <f>Table1[[#This Row],[Profit]]/Table1[[#This Row],[Total_Sales]]</f>
        <v>0.39425654559344397</v>
      </c>
    </row>
    <row r="815" spans="1:15" x14ac:dyDescent="0.25">
      <c r="A815" s="1">
        <v>814</v>
      </c>
      <c r="B815" s="2">
        <v>45499</v>
      </c>
      <c r="C815" s="1" t="s">
        <v>19</v>
      </c>
      <c r="D815" s="1" t="s">
        <v>13</v>
      </c>
      <c r="E815" s="1" t="s">
        <v>38</v>
      </c>
      <c r="F815" s="1" t="s">
        <v>18</v>
      </c>
      <c r="G815" s="1">
        <v>3</v>
      </c>
      <c r="H815" s="1">
        <v>482</v>
      </c>
      <c r="I815" s="1">
        <v>10</v>
      </c>
      <c r="J815" s="4">
        <v>1301.4000000000001</v>
      </c>
      <c r="K815" s="4">
        <v>720.14</v>
      </c>
      <c r="L815" s="4">
        <v>581.26</v>
      </c>
      <c r="M815" s="1" t="str">
        <f>TEXT(Table1[[#This Row],[Order_Date]], "MMM")</f>
        <v>Jul</v>
      </c>
      <c r="N815" s="1">
        <f>YEAR(Table1[[#This Row],[Order_Date]])</f>
        <v>2024</v>
      </c>
      <c r="O815" s="7">
        <f>Table1[[#This Row],[Profit]]/Table1[[#This Row],[Total_Sales]]</f>
        <v>0.44664207776240966</v>
      </c>
    </row>
    <row r="816" spans="1:15" x14ac:dyDescent="0.25">
      <c r="A816" s="1">
        <v>815</v>
      </c>
      <c r="B816" s="2">
        <v>45324</v>
      </c>
      <c r="C816" s="1" t="s">
        <v>19</v>
      </c>
      <c r="D816" s="1" t="s">
        <v>26</v>
      </c>
      <c r="E816" s="1" t="s">
        <v>42</v>
      </c>
      <c r="F816" s="1" t="s">
        <v>24</v>
      </c>
      <c r="G816" s="1">
        <v>4</v>
      </c>
      <c r="H816" s="1">
        <v>400</v>
      </c>
      <c r="I816" s="1">
        <v>0</v>
      </c>
      <c r="J816" s="4">
        <v>1600</v>
      </c>
      <c r="K816" s="4">
        <v>801.49</v>
      </c>
      <c r="L816" s="4">
        <v>798.51</v>
      </c>
      <c r="M816" s="1" t="str">
        <f>TEXT(Table1[[#This Row],[Order_Date]], "MMM")</f>
        <v>Feb</v>
      </c>
      <c r="N816" s="1">
        <f>YEAR(Table1[[#This Row],[Order_Date]])</f>
        <v>2024</v>
      </c>
      <c r="O816" s="7">
        <f>Table1[[#This Row],[Profit]]/Table1[[#This Row],[Total_Sales]]</f>
        <v>0.49906875000000001</v>
      </c>
    </row>
    <row r="817" spans="1:15" x14ac:dyDescent="0.25">
      <c r="A817" s="1">
        <v>816</v>
      </c>
      <c r="B817" s="2">
        <v>45372</v>
      </c>
      <c r="C817" s="1" t="s">
        <v>19</v>
      </c>
      <c r="D817" s="1" t="s">
        <v>13</v>
      </c>
      <c r="E817" s="1" t="s">
        <v>39</v>
      </c>
      <c r="F817" s="1" t="s">
        <v>40</v>
      </c>
      <c r="G817" s="1">
        <v>1</v>
      </c>
      <c r="H817" s="1">
        <v>88</v>
      </c>
      <c r="I817" s="1">
        <v>0</v>
      </c>
      <c r="J817" s="4">
        <v>88</v>
      </c>
      <c r="K817" s="4">
        <v>66.53</v>
      </c>
      <c r="L817" s="4">
        <v>21.47</v>
      </c>
      <c r="M817" s="1" t="str">
        <f>TEXT(Table1[[#This Row],[Order_Date]], "MMM")</f>
        <v>Mar</v>
      </c>
      <c r="N817" s="1">
        <f>YEAR(Table1[[#This Row],[Order_Date]])</f>
        <v>2024</v>
      </c>
      <c r="O817" s="7">
        <f>Table1[[#This Row],[Profit]]/Table1[[#This Row],[Total_Sales]]</f>
        <v>0.24397727272727271</v>
      </c>
    </row>
    <row r="818" spans="1:15" x14ac:dyDescent="0.25">
      <c r="A818" s="1">
        <v>817</v>
      </c>
      <c r="B818" s="2">
        <v>45414</v>
      </c>
      <c r="C818" s="1" t="s">
        <v>12</v>
      </c>
      <c r="D818" s="1" t="s">
        <v>22</v>
      </c>
      <c r="E818" s="1" t="s">
        <v>44</v>
      </c>
      <c r="F818" s="1" t="s">
        <v>40</v>
      </c>
      <c r="G818" s="1">
        <v>7</v>
      </c>
      <c r="H818" s="1">
        <v>52</v>
      </c>
      <c r="I818" s="1">
        <v>0</v>
      </c>
      <c r="J818" s="4">
        <v>364</v>
      </c>
      <c r="K818" s="4">
        <v>207.51</v>
      </c>
      <c r="L818" s="4">
        <v>156.49</v>
      </c>
      <c r="M818" s="1" t="str">
        <f>TEXT(Table1[[#This Row],[Order_Date]], "MMM")</f>
        <v>May</v>
      </c>
      <c r="N818" s="1">
        <f>YEAR(Table1[[#This Row],[Order_Date]])</f>
        <v>2024</v>
      </c>
      <c r="O818" s="7">
        <f>Table1[[#This Row],[Profit]]/Table1[[#This Row],[Total_Sales]]</f>
        <v>0.42991758241758243</v>
      </c>
    </row>
    <row r="819" spans="1:15" x14ac:dyDescent="0.25">
      <c r="A819" s="1">
        <v>818</v>
      </c>
      <c r="B819" s="2">
        <v>45630</v>
      </c>
      <c r="C819" s="1" t="s">
        <v>19</v>
      </c>
      <c r="D819" s="1" t="s">
        <v>13</v>
      </c>
      <c r="E819" s="1" t="s">
        <v>38</v>
      </c>
      <c r="F819" s="1" t="s">
        <v>18</v>
      </c>
      <c r="G819" s="1">
        <v>9</v>
      </c>
      <c r="H819" s="1">
        <v>318</v>
      </c>
      <c r="I819" s="1">
        <v>0</v>
      </c>
      <c r="J819" s="4">
        <v>2862</v>
      </c>
      <c r="K819" s="4">
        <v>1495.59</v>
      </c>
      <c r="L819" s="4">
        <v>1366.41</v>
      </c>
      <c r="M819" s="1" t="str">
        <f>TEXT(Table1[[#This Row],[Order_Date]], "MMM")</f>
        <v>Dec</v>
      </c>
      <c r="N819" s="1">
        <f>YEAR(Table1[[#This Row],[Order_Date]])</f>
        <v>2024</v>
      </c>
      <c r="O819" s="7">
        <f>Table1[[#This Row],[Profit]]/Table1[[#This Row],[Total_Sales]]</f>
        <v>0.47743186582809227</v>
      </c>
    </row>
    <row r="820" spans="1:15" x14ac:dyDescent="0.25">
      <c r="A820" s="1">
        <v>819</v>
      </c>
      <c r="B820" s="2">
        <v>45644</v>
      </c>
      <c r="C820" s="1" t="s">
        <v>19</v>
      </c>
      <c r="D820" s="1" t="s">
        <v>32</v>
      </c>
      <c r="E820" s="1" t="s">
        <v>41</v>
      </c>
      <c r="F820" s="1" t="s">
        <v>35</v>
      </c>
      <c r="G820" s="1">
        <v>4</v>
      </c>
      <c r="H820" s="1">
        <v>773</v>
      </c>
      <c r="I820" s="1">
        <v>0</v>
      </c>
      <c r="J820" s="4">
        <v>3092</v>
      </c>
      <c r="K820" s="4">
        <v>2290.62</v>
      </c>
      <c r="L820" s="4">
        <v>801.38</v>
      </c>
      <c r="M820" s="1" t="str">
        <f>TEXT(Table1[[#This Row],[Order_Date]], "MMM")</f>
        <v>Dec</v>
      </c>
      <c r="N820" s="1">
        <f>YEAR(Table1[[#This Row],[Order_Date]])</f>
        <v>2024</v>
      </c>
      <c r="O820" s="7">
        <f>Table1[[#This Row],[Profit]]/Table1[[#This Row],[Total_Sales]]</f>
        <v>0.25917852522639068</v>
      </c>
    </row>
    <row r="821" spans="1:15" x14ac:dyDescent="0.25">
      <c r="A821" s="1">
        <v>820</v>
      </c>
      <c r="B821" s="2">
        <v>45427</v>
      </c>
      <c r="C821" s="1" t="s">
        <v>12</v>
      </c>
      <c r="D821" s="1" t="s">
        <v>26</v>
      </c>
      <c r="E821" s="1" t="s">
        <v>46</v>
      </c>
      <c r="F821" s="1" t="s">
        <v>35</v>
      </c>
      <c r="G821" s="1">
        <v>9</v>
      </c>
      <c r="H821" s="1">
        <v>312</v>
      </c>
      <c r="I821" s="1">
        <v>5</v>
      </c>
      <c r="J821" s="4">
        <v>2667.6</v>
      </c>
      <c r="K821" s="4">
        <v>1624.42</v>
      </c>
      <c r="L821" s="4">
        <v>1043.18</v>
      </c>
      <c r="M821" s="1" t="str">
        <f>TEXT(Table1[[#This Row],[Order_Date]], "MMM")</f>
        <v>May</v>
      </c>
      <c r="N821" s="1">
        <f>YEAR(Table1[[#This Row],[Order_Date]])</f>
        <v>2024</v>
      </c>
      <c r="O821" s="7">
        <f>Table1[[#This Row],[Profit]]/Table1[[#This Row],[Total_Sales]]</f>
        <v>0.3910556305293148</v>
      </c>
    </row>
    <row r="822" spans="1:15" x14ac:dyDescent="0.25">
      <c r="A822" s="1">
        <v>821</v>
      </c>
      <c r="B822" s="2">
        <v>45515</v>
      </c>
      <c r="C822" s="1" t="s">
        <v>25</v>
      </c>
      <c r="D822" s="1" t="s">
        <v>13</v>
      </c>
      <c r="E822" s="1" t="s">
        <v>38</v>
      </c>
      <c r="F822" s="1" t="s">
        <v>18</v>
      </c>
      <c r="G822" s="1">
        <v>4</v>
      </c>
      <c r="H822" s="1">
        <v>472</v>
      </c>
      <c r="I822" s="1">
        <v>10</v>
      </c>
      <c r="J822" s="4">
        <v>1699.2</v>
      </c>
      <c r="K822" s="4">
        <v>1055.19</v>
      </c>
      <c r="L822" s="4">
        <v>644.01</v>
      </c>
      <c r="M822" s="1" t="str">
        <f>TEXT(Table1[[#This Row],[Order_Date]], "MMM")</f>
        <v>Aug</v>
      </c>
      <c r="N822" s="1">
        <f>YEAR(Table1[[#This Row],[Order_Date]])</f>
        <v>2024</v>
      </c>
      <c r="O822" s="7">
        <f>Table1[[#This Row],[Profit]]/Table1[[#This Row],[Total_Sales]]</f>
        <v>0.3790077683615819</v>
      </c>
    </row>
    <row r="823" spans="1:15" x14ac:dyDescent="0.25">
      <c r="A823" s="1">
        <v>822</v>
      </c>
      <c r="B823" s="2">
        <v>44953</v>
      </c>
      <c r="C823" s="1" t="s">
        <v>12</v>
      </c>
      <c r="D823" s="1" t="s">
        <v>20</v>
      </c>
      <c r="E823" s="1" t="s">
        <v>30</v>
      </c>
      <c r="F823" s="1" t="s">
        <v>18</v>
      </c>
      <c r="G823" s="1">
        <v>3</v>
      </c>
      <c r="H823" s="1">
        <v>373</v>
      </c>
      <c r="I823" s="1">
        <v>10</v>
      </c>
      <c r="J823" s="4">
        <v>1007.1</v>
      </c>
      <c r="K823" s="4">
        <v>784.1</v>
      </c>
      <c r="L823" s="4">
        <v>223</v>
      </c>
      <c r="M823" s="1" t="str">
        <f>TEXT(Table1[[#This Row],[Order_Date]], "MMM")</f>
        <v>Jan</v>
      </c>
      <c r="N823" s="1">
        <f>YEAR(Table1[[#This Row],[Order_Date]])</f>
        <v>2023</v>
      </c>
      <c r="O823" s="7">
        <f>Table1[[#This Row],[Profit]]/Table1[[#This Row],[Total_Sales]]</f>
        <v>0.22142786217853241</v>
      </c>
    </row>
    <row r="824" spans="1:15" x14ac:dyDescent="0.25">
      <c r="A824" s="1">
        <v>823</v>
      </c>
      <c r="B824" s="2">
        <v>45227</v>
      </c>
      <c r="C824" s="1" t="s">
        <v>25</v>
      </c>
      <c r="D824" s="1" t="s">
        <v>26</v>
      </c>
      <c r="E824" s="1" t="s">
        <v>37</v>
      </c>
      <c r="F824" s="1" t="s">
        <v>18</v>
      </c>
      <c r="G824" s="1">
        <v>5</v>
      </c>
      <c r="H824" s="1">
        <v>648</v>
      </c>
      <c r="I824" s="1">
        <v>15</v>
      </c>
      <c r="J824" s="4">
        <v>2754</v>
      </c>
      <c r="K824" s="4">
        <v>2059.12</v>
      </c>
      <c r="L824" s="4">
        <v>694.88</v>
      </c>
      <c r="M824" s="1" t="str">
        <f>TEXT(Table1[[#This Row],[Order_Date]], "MMM")</f>
        <v>Oct</v>
      </c>
      <c r="N824" s="1">
        <f>YEAR(Table1[[#This Row],[Order_Date]])</f>
        <v>2023</v>
      </c>
      <c r="O824" s="7">
        <f>Table1[[#This Row],[Profit]]/Table1[[#This Row],[Total_Sales]]</f>
        <v>0.25231663035584606</v>
      </c>
    </row>
    <row r="825" spans="1:15" x14ac:dyDescent="0.25">
      <c r="A825" s="1">
        <v>824</v>
      </c>
      <c r="B825" s="2">
        <v>45486</v>
      </c>
      <c r="C825" s="1" t="s">
        <v>19</v>
      </c>
      <c r="D825" s="1" t="s">
        <v>22</v>
      </c>
      <c r="E825" s="1" t="s">
        <v>44</v>
      </c>
      <c r="F825" s="1" t="s">
        <v>24</v>
      </c>
      <c r="G825" s="1">
        <v>8</v>
      </c>
      <c r="H825" s="1">
        <v>31</v>
      </c>
      <c r="I825" s="1">
        <v>15</v>
      </c>
      <c r="J825" s="4">
        <v>210.8</v>
      </c>
      <c r="K825" s="4">
        <v>135.03</v>
      </c>
      <c r="L825" s="4">
        <v>75.77</v>
      </c>
      <c r="M825" s="1" t="str">
        <f>TEXT(Table1[[#This Row],[Order_Date]], "MMM")</f>
        <v>Jul</v>
      </c>
      <c r="N825" s="1">
        <f>YEAR(Table1[[#This Row],[Order_Date]])</f>
        <v>2024</v>
      </c>
      <c r="O825" s="7">
        <f>Table1[[#This Row],[Profit]]/Table1[[#This Row],[Total_Sales]]</f>
        <v>0.35944022770398476</v>
      </c>
    </row>
    <row r="826" spans="1:15" x14ac:dyDescent="0.25">
      <c r="A826" s="1">
        <v>825</v>
      </c>
      <c r="B826" s="2">
        <v>45270</v>
      </c>
      <c r="C826" s="1" t="s">
        <v>25</v>
      </c>
      <c r="D826" s="1" t="s">
        <v>20</v>
      </c>
      <c r="E826" s="1" t="s">
        <v>21</v>
      </c>
      <c r="F826" s="1" t="s">
        <v>15</v>
      </c>
      <c r="G826" s="1">
        <v>2</v>
      </c>
      <c r="H826" s="1">
        <v>159</v>
      </c>
      <c r="I826" s="1">
        <v>5</v>
      </c>
      <c r="J826" s="4">
        <v>302.10000000000002</v>
      </c>
      <c r="K826" s="4">
        <v>188.66</v>
      </c>
      <c r="L826" s="4">
        <v>113.44</v>
      </c>
      <c r="M826" s="1" t="str">
        <f>TEXT(Table1[[#This Row],[Order_Date]], "MMM")</f>
        <v>Dec</v>
      </c>
      <c r="N826" s="1">
        <f>YEAR(Table1[[#This Row],[Order_Date]])</f>
        <v>2023</v>
      </c>
      <c r="O826" s="7">
        <f>Table1[[#This Row],[Profit]]/Table1[[#This Row],[Total_Sales]]</f>
        <v>0.37550479973518697</v>
      </c>
    </row>
    <row r="827" spans="1:15" x14ac:dyDescent="0.25">
      <c r="A827" s="1">
        <v>826</v>
      </c>
      <c r="B827" s="2">
        <v>45519</v>
      </c>
      <c r="C827" s="1" t="s">
        <v>19</v>
      </c>
      <c r="D827" s="1" t="s">
        <v>32</v>
      </c>
      <c r="E827" s="1" t="s">
        <v>45</v>
      </c>
      <c r="F827" s="1" t="s">
        <v>35</v>
      </c>
      <c r="G827" s="1">
        <v>4</v>
      </c>
      <c r="H827" s="1">
        <v>708</v>
      </c>
      <c r="I827" s="1">
        <v>20</v>
      </c>
      <c r="J827" s="4">
        <v>2265.6</v>
      </c>
      <c r="K827" s="4">
        <v>1280.08</v>
      </c>
      <c r="L827" s="4">
        <v>985.52</v>
      </c>
      <c r="M827" s="1" t="str">
        <f>TEXT(Table1[[#This Row],[Order_Date]], "MMM")</f>
        <v>Aug</v>
      </c>
      <c r="N827" s="1">
        <f>YEAR(Table1[[#This Row],[Order_Date]])</f>
        <v>2024</v>
      </c>
      <c r="O827" s="7">
        <f>Table1[[#This Row],[Profit]]/Table1[[#This Row],[Total_Sales]]</f>
        <v>0.43499293785310733</v>
      </c>
    </row>
    <row r="828" spans="1:15" x14ac:dyDescent="0.25">
      <c r="A828" s="1">
        <v>827</v>
      </c>
      <c r="B828" s="2">
        <v>45304</v>
      </c>
      <c r="C828" s="1" t="s">
        <v>16</v>
      </c>
      <c r="D828" s="1" t="s">
        <v>32</v>
      </c>
      <c r="E828" s="1" t="s">
        <v>41</v>
      </c>
      <c r="F828" s="1" t="s">
        <v>24</v>
      </c>
      <c r="G828" s="1">
        <v>5</v>
      </c>
      <c r="H828" s="1">
        <v>243</v>
      </c>
      <c r="I828" s="1">
        <v>0</v>
      </c>
      <c r="J828" s="4">
        <v>1215</v>
      </c>
      <c r="K828" s="4">
        <v>876.59</v>
      </c>
      <c r="L828" s="4">
        <v>338.41</v>
      </c>
      <c r="M828" s="1" t="str">
        <f>TEXT(Table1[[#This Row],[Order_Date]], "MMM")</f>
        <v>Jan</v>
      </c>
      <c r="N828" s="1">
        <f>YEAR(Table1[[#This Row],[Order_Date]])</f>
        <v>2024</v>
      </c>
      <c r="O828" s="7">
        <f>Table1[[#This Row],[Profit]]/Table1[[#This Row],[Total_Sales]]</f>
        <v>0.27852674897119345</v>
      </c>
    </row>
    <row r="829" spans="1:15" x14ac:dyDescent="0.25">
      <c r="A829" s="1">
        <v>828</v>
      </c>
      <c r="B829" s="2">
        <v>45287</v>
      </c>
      <c r="C829" s="1" t="s">
        <v>25</v>
      </c>
      <c r="D829" s="1" t="s">
        <v>13</v>
      </c>
      <c r="E829" s="1" t="s">
        <v>38</v>
      </c>
      <c r="F829" s="1" t="s">
        <v>40</v>
      </c>
      <c r="G829" s="1">
        <v>7</v>
      </c>
      <c r="H829" s="1">
        <v>156</v>
      </c>
      <c r="I829" s="1">
        <v>5</v>
      </c>
      <c r="J829" s="4">
        <v>1037.4000000000001</v>
      </c>
      <c r="K829" s="4">
        <v>590.35</v>
      </c>
      <c r="L829" s="4">
        <v>447.05</v>
      </c>
      <c r="M829" s="1" t="str">
        <f>TEXT(Table1[[#This Row],[Order_Date]], "MMM")</f>
        <v>Dec</v>
      </c>
      <c r="N829" s="1">
        <f>YEAR(Table1[[#This Row],[Order_Date]])</f>
        <v>2023</v>
      </c>
      <c r="O829" s="7">
        <f>Table1[[#This Row],[Profit]]/Table1[[#This Row],[Total_Sales]]</f>
        <v>0.43093310198573354</v>
      </c>
    </row>
    <row r="830" spans="1:15" x14ac:dyDescent="0.25">
      <c r="A830" s="1">
        <v>829</v>
      </c>
      <c r="B830" s="2">
        <v>45012</v>
      </c>
      <c r="C830" s="1" t="s">
        <v>19</v>
      </c>
      <c r="D830" s="1" t="s">
        <v>32</v>
      </c>
      <c r="E830" s="1" t="s">
        <v>41</v>
      </c>
      <c r="F830" s="1" t="s">
        <v>35</v>
      </c>
      <c r="G830" s="1">
        <v>6</v>
      </c>
      <c r="H830" s="1">
        <v>48</v>
      </c>
      <c r="I830" s="1">
        <v>10</v>
      </c>
      <c r="J830" s="4">
        <v>259.2</v>
      </c>
      <c r="K830" s="4">
        <v>139.34</v>
      </c>
      <c r="L830" s="4">
        <v>119.86</v>
      </c>
      <c r="M830" s="1" t="str">
        <f>TEXT(Table1[[#This Row],[Order_Date]], "MMM")</f>
        <v>Mar</v>
      </c>
      <c r="N830" s="1">
        <f>YEAR(Table1[[#This Row],[Order_Date]])</f>
        <v>2023</v>
      </c>
      <c r="O830" s="7">
        <f>Table1[[#This Row],[Profit]]/Table1[[#This Row],[Total_Sales]]</f>
        <v>0.46242283950617286</v>
      </c>
    </row>
    <row r="831" spans="1:15" x14ac:dyDescent="0.25">
      <c r="A831" s="1">
        <v>830</v>
      </c>
      <c r="B831" s="2">
        <v>45438</v>
      </c>
      <c r="C831" s="1" t="s">
        <v>12</v>
      </c>
      <c r="D831" s="1" t="s">
        <v>13</v>
      </c>
      <c r="E831" s="1" t="s">
        <v>38</v>
      </c>
      <c r="F831" s="1" t="s">
        <v>35</v>
      </c>
      <c r="G831" s="1">
        <v>9</v>
      </c>
      <c r="H831" s="1">
        <v>720</v>
      </c>
      <c r="I831" s="1">
        <v>5</v>
      </c>
      <c r="J831" s="4">
        <v>6156</v>
      </c>
      <c r="K831" s="4">
        <v>4303.0600000000004</v>
      </c>
      <c r="L831" s="4">
        <v>1852.94</v>
      </c>
      <c r="M831" s="1" t="str">
        <f>TEXT(Table1[[#This Row],[Order_Date]], "MMM")</f>
        <v>May</v>
      </c>
      <c r="N831" s="1">
        <f>YEAR(Table1[[#This Row],[Order_Date]])</f>
        <v>2024</v>
      </c>
      <c r="O831" s="7">
        <f>Table1[[#This Row],[Profit]]/Table1[[#This Row],[Total_Sales]]</f>
        <v>0.30099740090968163</v>
      </c>
    </row>
    <row r="832" spans="1:15" x14ac:dyDescent="0.25">
      <c r="A832" s="1">
        <v>831</v>
      </c>
      <c r="B832" s="2">
        <v>45253</v>
      </c>
      <c r="C832" s="1" t="s">
        <v>16</v>
      </c>
      <c r="D832" s="1" t="s">
        <v>32</v>
      </c>
      <c r="E832" s="1" t="s">
        <v>41</v>
      </c>
      <c r="F832" s="1" t="s">
        <v>31</v>
      </c>
      <c r="G832" s="1">
        <v>9</v>
      </c>
      <c r="H832" s="1">
        <v>699</v>
      </c>
      <c r="I832" s="1">
        <v>15</v>
      </c>
      <c r="J832" s="4">
        <v>5347.35</v>
      </c>
      <c r="K832" s="4">
        <v>3296.24</v>
      </c>
      <c r="L832" s="4">
        <v>2051.11</v>
      </c>
      <c r="M832" s="1" t="str">
        <f>TEXT(Table1[[#This Row],[Order_Date]], "MMM")</f>
        <v>Nov</v>
      </c>
      <c r="N832" s="1">
        <f>YEAR(Table1[[#This Row],[Order_Date]])</f>
        <v>2023</v>
      </c>
      <c r="O832" s="7">
        <f>Table1[[#This Row],[Profit]]/Table1[[#This Row],[Total_Sales]]</f>
        <v>0.38357504184315594</v>
      </c>
    </row>
    <row r="833" spans="1:15" x14ac:dyDescent="0.25">
      <c r="A833" s="1">
        <v>832</v>
      </c>
      <c r="B833" s="2">
        <v>45143</v>
      </c>
      <c r="C833" s="1" t="s">
        <v>19</v>
      </c>
      <c r="D833" s="1" t="s">
        <v>22</v>
      </c>
      <c r="E833" s="1" t="s">
        <v>23</v>
      </c>
      <c r="F833" s="1" t="s">
        <v>31</v>
      </c>
      <c r="G833" s="1">
        <v>10</v>
      </c>
      <c r="H833" s="1">
        <v>686</v>
      </c>
      <c r="I833" s="1">
        <v>20</v>
      </c>
      <c r="J833" s="4">
        <v>5488</v>
      </c>
      <c r="K833" s="4">
        <v>3817.82</v>
      </c>
      <c r="L833" s="4">
        <v>1670.18</v>
      </c>
      <c r="M833" s="1" t="str">
        <f>TEXT(Table1[[#This Row],[Order_Date]], "MMM")</f>
        <v>Aug</v>
      </c>
      <c r="N833" s="1">
        <f>YEAR(Table1[[#This Row],[Order_Date]])</f>
        <v>2023</v>
      </c>
      <c r="O833" s="7">
        <f>Table1[[#This Row],[Profit]]/Table1[[#This Row],[Total_Sales]]</f>
        <v>0.30433309037900874</v>
      </c>
    </row>
    <row r="834" spans="1:15" x14ac:dyDescent="0.25">
      <c r="A834" s="1">
        <v>833</v>
      </c>
      <c r="B834" s="2">
        <v>45593</v>
      </c>
      <c r="C834" s="1" t="s">
        <v>16</v>
      </c>
      <c r="D834" s="1" t="s">
        <v>22</v>
      </c>
      <c r="E834" s="1" t="s">
        <v>23</v>
      </c>
      <c r="F834" s="1" t="s">
        <v>35</v>
      </c>
      <c r="G834" s="1">
        <v>9</v>
      </c>
      <c r="H834" s="1">
        <v>930</v>
      </c>
      <c r="I834" s="1">
        <v>5</v>
      </c>
      <c r="J834" s="4">
        <v>7951.5</v>
      </c>
      <c r="K834" s="4">
        <v>5837.45</v>
      </c>
      <c r="L834" s="4">
        <v>2114.0500000000002</v>
      </c>
      <c r="M834" s="1" t="str">
        <f>TEXT(Table1[[#This Row],[Order_Date]], "MMM")</f>
        <v>Oct</v>
      </c>
      <c r="N834" s="1">
        <f>YEAR(Table1[[#This Row],[Order_Date]])</f>
        <v>2024</v>
      </c>
      <c r="O834" s="7">
        <f>Table1[[#This Row],[Profit]]/Table1[[#This Row],[Total_Sales]]</f>
        <v>0.26586807520593603</v>
      </c>
    </row>
    <row r="835" spans="1:15" x14ac:dyDescent="0.25">
      <c r="A835" s="1">
        <v>834</v>
      </c>
      <c r="B835" s="2">
        <v>45254</v>
      </c>
      <c r="C835" s="1" t="s">
        <v>16</v>
      </c>
      <c r="D835" s="1" t="s">
        <v>26</v>
      </c>
      <c r="E835" s="1" t="s">
        <v>37</v>
      </c>
      <c r="F835" s="1" t="s">
        <v>15</v>
      </c>
      <c r="G835" s="1">
        <v>7</v>
      </c>
      <c r="H835" s="1">
        <v>49</v>
      </c>
      <c r="I835" s="1">
        <v>5</v>
      </c>
      <c r="J835" s="4">
        <v>325.85000000000002</v>
      </c>
      <c r="K835" s="4">
        <v>233.38</v>
      </c>
      <c r="L835" s="4">
        <v>92.47</v>
      </c>
      <c r="M835" s="1" t="str">
        <f>TEXT(Table1[[#This Row],[Order_Date]], "MMM")</f>
        <v>Nov</v>
      </c>
      <c r="N835" s="1">
        <f>YEAR(Table1[[#This Row],[Order_Date]])</f>
        <v>2023</v>
      </c>
      <c r="O835" s="7">
        <f>Table1[[#This Row],[Profit]]/Table1[[#This Row],[Total_Sales]]</f>
        <v>0.28378088077336194</v>
      </c>
    </row>
    <row r="836" spans="1:15" x14ac:dyDescent="0.25">
      <c r="A836" s="1">
        <v>835</v>
      </c>
      <c r="B836" s="2">
        <v>44945</v>
      </c>
      <c r="C836" s="1" t="s">
        <v>25</v>
      </c>
      <c r="D836" s="1" t="s">
        <v>13</v>
      </c>
      <c r="E836" s="1" t="s">
        <v>38</v>
      </c>
      <c r="F836" s="1" t="s">
        <v>24</v>
      </c>
      <c r="G836" s="1">
        <v>7</v>
      </c>
      <c r="H836" s="1">
        <v>123</v>
      </c>
      <c r="I836" s="1">
        <v>10</v>
      </c>
      <c r="J836" s="4">
        <v>774.9</v>
      </c>
      <c r="K836" s="4">
        <v>452.57</v>
      </c>
      <c r="L836" s="4">
        <v>322.33</v>
      </c>
      <c r="M836" s="1" t="str">
        <f>TEXT(Table1[[#This Row],[Order_Date]], "MMM")</f>
        <v>Jan</v>
      </c>
      <c r="N836" s="1">
        <f>YEAR(Table1[[#This Row],[Order_Date]])</f>
        <v>2023</v>
      </c>
      <c r="O836" s="7">
        <f>Table1[[#This Row],[Profit]]/Table1[[#This Row],[Total_Sales]]</f>
        <v>0.41596335010969154</v>
      </c>
    </row>
    <row r="837" spans="1:15" x14ac:dyDescent="0.25">
      <c r="A837" s="1">
        <v>836</v>
      </c>
      <c r="B837" s="2">
        <v>45405</v>
      </c>
      <c r="C837" s="1" t="s">
        <v>25</v>
      </c>
      <c r="D837" s="1" t="s">
        <v>22</v>
      </c>
      <c r="E837" s="1" t="s">
        <v>29</v>
      </c>
      <c r="F837" s="1" t="s">
        <v>35</v>
      </c>
      <c r="G837" s="1">
        <v>5</v>
      </c>
      <c r="H837" s="1">
        <v>634</v>
      </c>
      <c r="I837" s="1">
        <v>15</v>
      </c>
      <c r="J837" s="4">
        <v>2694.5</v>
      </c>
      <c r="K837" s="4">
        <v>1794.97</v>
      </c>
      <c r="L837" s="4">
        <v>899.53</v>
      </c>
      <c r="M837" s="1" t="str">
        <f>TEXT(Table1[[#This Row],[Order_Date]], "MMM")</f>
        <v>Apr</v>
      </c>
      <c r="N837" s="1">
        <f>YEAR(Table1[[#This Row],[Order_Date]])</f>
        <v>2024</v>
      </c>
      <c r="O837" s="7">
        <f>Table1[[#This Row],[Profit]]/Table1[[#This Row],[Total_Sales]]</f>
        <v>0.33383930228242714</v>
      </c>
    </row>
    <row r="838" spans="1:15" x14ac:dyDescent="0.25">
      <c r="A838" s="1">
        <v>837</v>
      </c>
      <c r="B838" s="2">
        <v>45063</v>
      </c>
      <c r="C838" s="1" t="s">
        <v>19</v>
      </c>
      <c r="D838" s="1" t="s">
        <v>13</v>
      </c>
      <c r="E838" s="1" t="s">
        <v>14</v>
      </c>
      <c r="F838" s="1" t="s">
        <v>15</v>
      </c>
      <c r="G838" s="1">
        <v>8</v>
      </c>
      <c r="H838" s="1">
        <v>511</v>
      </c>
      <c r="I838" s="1">
        <v>5</v>
      </c>
      <c r="J838" s="4">
        <v>3883.6</v>
      </c>
      <c r="K838" s="4">
        <v>2496.73</v>
      </c>
      <c r="L838" s="4">
        <v>1386.87</v>
      </c>
      <c r="M838" s="1" t="str">
        <f>TEXT(Table1[[#This Row],[Order_Date]], "MMM")</f>
        <v>May</v>
      </c>
      <c r="N838" s="1">
        <f>YEAR(Table1[[#This Row],[Order_Date]])</f>
        <v>2023</v>
      </c>
      <c r="O838" s="7">
        <f>Table1[[#This Row],[Profit]]/Table1[[#This Row],[Total_Sales]]</f>
        <v>0.35710938304665774</v>
      </c>
    </row>
    <row r="839" spans="1:15" x14ac:dyDescent="0.25">
      <c r="A839" s="1">
        <v>838</v>
      </c>
      <c r="B839" s="2">
        <v>45460</v>
      </c>
      <c r="C839" s="1" t="s">
        <v>19</v>
      </c>
      <c r="D839" s="1" t="s">
        <v>26</v>
      </c>
      <c r="E839" s="1" t="s">
        <v>42</v>
      </c>
      <c r="F839" s="1" t="s">
        <v>35</v>
      </c>
      <c r="G839" s="1">
        <v>3</v>
      </c>
      <c r="H839" s="1">
        <v>721</v>
      </c>
      <c r="I839" s="1">
        <v>0</v>
      </c>
      <c r="J839" s="4">
        <v>2163</v>
      </c>
      <c r="K839" s="4">
        <v>1130.5899999999999</v>
      </c>
      <c r="L839" s="4">
        <v>1032.4100000000001</v>
      </c>
      <c r="M839" s="1" t="str">
        <f>TEXT(Table1[[#This Row],[Order_Date]], "MMM")</f>
        <v>Jun</v>
      </c>
      <c r="N839" s="1">
        <f>YEAR(Table1[[#This Row],[Order_Date]])</f>
        <v>2024</v>
      </c>
      <c r="O839" s="7">
        <f>Table1[[#This Row],[Profit]]/Table1[[#This Row],[Total_Sales]]</f>
        <v>0.4773046694405918</v>
      </c>
    </row>
    <row r="840" spans="1:15" x14ac:dyDescent="0.25">
      <c r="A840" s="1">
        <v>839</v>
      </c>
      <c r="B840" s="2">
        <v>45402</v>
      </c>
      <c r="C840" s="1" t="s">
        <v>16</v>
      </c>
      <c r="D840" s="1" t="s">
        <v>26</v>
      </c>
      <c r="E840" s="1" t="s">
        <v>46</v>
      </c>
      <c r="F840" s="1" t="s">
        <v>31</v>
      </c>
      <c r="G840" s="1">
        <v>2</v>
      </c>
      <c r="H840" s="1">
        <v>133</v>
      </c>
      <c r="I840" s="1">
        <v>20</v>
      </c>
      <c r="J840" s="4">
        <v>212.8</v>
      </c>
      <c r="K840" s="4">
        <v>167.69</v>
      </c>
      <c r="L840" s="4">
        <v>45.11</v>
      </c>
      <c r="M840" s="1" t="str">
        <f>TEXT(Table1[[#This Row],[Order_Date]], "MMM")</f>
        <v>Apr</v>
      </c>
      <c r="N840" s="1">
        <f>YEAR(Table1[[#This Row],[Order_Date]])</f>
        <v>2024</v>
      </c>
      <c r="O840" s="7">
        <f>Table1[[#This Row],[Profit]]/Table1[[#This Row],[Total_Sales]]</f>
        <v>0.21198308270676691</v>
      </c>
    </row>
    <row r="841" spans="1:15" x14ac:dyDescent="0.25">
      <c r="A841" s="1">
        <v>840</v>
      </c>
      <c r="B841" s="2">
        <v>45494</v>
      </c>
      <c r="C841" s="1" t="s">
        <v>12</v>
      </c>
      <c r="D841" s="1" t="s">
        <v>20</v>
      </c>
      <c r="E841" s="1" t="s">
        <v>21</v>
      </c>
      <c r="F841" s="1" t="s">
        <v>40</v>
      </c>
      <c r="G841" s="1">
        <v>8</v>
      </c>
      <c r="H841" s="1">
        <v>423</v>
      </c>
      <c r="I841" s="1">
        <v>5</v>
      </c>
      <c r="J841" s="4">
        <v>3214.8</v>
      </c>
      <c r="K841" s="4">
        <v>2521.89</v>
      </c>
      <c r="L841" s="4">
        <v>692.91</v>
      </c>
      <c r="M841" s="1" t="str">
        <f>TEXT(Table1[[#This Row],[Order_Date]], "MMM")</f>
        <v>Jul</v>
      </c>
      <c r="N841" s="1">
        <f>YEAR(Table1[[#This Row],[Order_Date]])</f>
        <v>2024</v>
      </c>
      <c r="O841" s="7">
        <f>Table1[[#This Row],[Profit]]/Table1[[#This Row],[Total_Sales]]</f>
        <v>0.21553751399776033</v>
      </c>
    </row>
    <row r="842" spans="1:15" x14ac:dyDescent="0.25">
      <c r="A842" s="1">
        <v>841</v>
      </c>
      <c r="B842" s="2">
        <v>45449</v>
      </c>
      <c r="C842" s="1" t="s">
        <v>19</v>
      </c>
      <c r="D842" s="1" t="s">
        <v>22</v>
      </c>
      <c r="E842" s="1" t="s">
        <v>36</v>
      </c>
      <c r="F842" s="1" t="s">
        <v>24</v>
      </c>
      <c r="G842" s="1">
        <v>4</v>
      </c>
      <c r="H842" s="1">
        <v>687</v>
      </c>
      <c r="I842" s="1">
        <v>5</v>
      </c>
      <c r="J842" s="4">
        <v>2610.6</v>
      </c>
      <c r="K842" s="4">
        <v>1810.79</v>
      </c>
      <c r="L842" s="4">
        <v>799.81</v>
      </c>
      <c r="M842" s="1" t="str">
        <f>TEXT(Table1[[#This Row],[Order_Date]], "MMM")</f>
        <v>Jun</v>
      </c>
      <c r="N842" s="1">
        <f>YEAR(Table1[[#This Row],[Order_Date]])</f>
        <v>2024</v>
      </c>
      <c r="O842" s="7">
        <f>Table1[[#This Row],[Profit]]/Table1[[#This Row],[Total_Sales]]</f>
        <v>0.30637018309967057</v>
      </c>
    </row>
    <row r="843" spans="1:15" x14ac:dyDescent="0.25">
      <c r="A843" s="1">
        <v>842</v>
      </c>
      <c r="B843" s="2">
        <v>45182</v>
      </c>
      <c r="C843" s="1" t="s">
        <v>25</v>
      </c>
      <c r="D843" s="1" t="s">
        <v>26</v>
      </c>
      <c r="E843" s="1" t="s">
        <v>46</v>
      </c>
      <c r="F843" s="1" t="s">
        <v>18</v>
      </c>
      <c r="G843" s="1">
        <v>2</v>
      </c>
      <c r="H843" s="1">
        <v>140</v>
      </c>
      <c r="I843" s="1">
        <v>15</v>
      </c>
      <c r="J843" s="4">
        <v>238</v>
      </c>
      <c r="K843" s="4">
        <v>125</v>
      </c>
      <c r="L843" s="4">
        <v>113</v>
      </c>
      <c r="M843" s="1" t="str">
        <f>TEXT(Table1[[#This Row],[Order_Date]], "MMM")</f>
        <v>Sep</v>
      </c>
      <c r="N843" s="1">
        <f>YEAR(Table1[[#This Row],[Order_Date]])</f>
        <v>2023</v>
      </c>
      <c r="O843" s="7">
        <f>Table1[[#This Row],[Profit]]/Table1[[#This Row],[Total_Sales]]</f>
        <v>0.47478991596638653</v>
      </c>
    </row>
    <row r="844" spans="1:15" x14ac:dyDescent="0.25">
      <c r="A844" s="1">
        <v>843</v>
      </c>
      <c r="B844" s="2">
        <v>45199</v>
      </c>
      <c r="C844" s="1" t="s">
        <v>16</v>
      </c>
      <c r="D844" s="1" t="s">
        <v>32</v>
      </c>
      <c r="E844" s="1" t="s">
        <v>41</v>
      </c>
      <c r="F844" s="1" t="s">
        <v>40</v>
      </c>
      <c r="G844" s="1">
        <v>7</v>
      </c>
      <c r="H844" s="1">
        <v>502</v>
      </c>
      <c r="I844" s="1">
        <v>20</v>
      </c>
      <c r="J844" s="4">
        <v>2811.2</v>
      </c>
      <c r="K844" s="4">
        <v>1741.43</v>
      </c>
      <c r="L844" s="4">
        <v>1069.77</v>
      </c>
      <c r="M844" s="1" t="str">
        <f>TEXT(Table1[[#This Row],[Order_Date]], "MMM")</f>
        <v>Sep</v>
      </c>
      <c r="N844" s="1">
        <f>YEAR(Table1[[#This Row],[Order_Date]])</f>
        <v>2023</v>
      </c>
      <c r="O844" s="7">
        <f>Table1[[#This Row],[Profit]]/Table1[[#This Row],[Total_Sales]]</f>
        <v>0.38053856004553216</v>
      </c>
    </row>
    <row r="845" spans="1:15" x14ac:dyDescent="0.25">
      <c r="A845" s="1">
        <v>844</v>
      </c>
      <c r="B845" s="2">
        <v>45229</v>
      </c>
      <c r="C845" s="1" t="s">
        <v>25</v>
      </c>
      <c r="D845" s="1" t="s">
        <v>13</v>
      </c>
      <c r="E845" s="1" t="s">
        <v>14</v>
      </c>
      <c r="F845" s="1" t="s">
        <v>40</v>
      </c>
      <c r="G845" s="1">
        <v>4</v>
      </c>
      <c r="H845" s="1">
        <v>146</v>
      </c>
      <c r="I845" s="1">
        <v>5</v>
      </c>
      <c r="J845" s="4">
        <v>554.79999999999995</v>
      </c>
      <c r="K845" s="4">
        <v>312.01</v>
      </c>
      <c r="L845" s="4">
        <v>242.79</v>
      </c>
      <c r="M845" s="1" t="str">
        <f>TEXT(Table1[[#This Row],[Order_Date]], "MMM")</f>
        <v>Oct</v>
      </c>
      <c r="N845" s="1">
        <f>YEAR(Table1[[#This Row],[Order_Date]])</f>
        <v>2023</v>
      </c>
      <c r="O845" s="7">
        <f>Table1[[#This Row],[Profit]]/Table1[[#This Row],[Total_Sales]]</f>
        <v>0.43761715933669793</v>
      </c>
    </row>
    <row r="846" spans="1:15" x14ac:dyDescent="0.25">
      <c r="A846" s="1">
        <v>845</v>
      </c>
      <c r="B846" s="2">
        <v>45388</v>
      </c>
      <c r="C846" s="1" t="s">
        <v>19</v>
      </c>
      <c r="D846" s="1" t="s">
        <v>13</v>
      </c>
      <c r="E846" s="1" t="s">
        <v>17</v>
      </c>
      <c r="F846" s="1" t="s">
        <v>15</v>
      </c>
      <c r="G846" s="1">
        <v>4</v>
      </c>
      <c r="H846" s="1">
        <v>948</v>
      </c>
      <c r="I846" s="1">
        <v>0</v>
      </c>
      <c r="J846" s="4">
        <v>3792</v>
      </c>
      <c r="K846" s="4">
        <v>2022.83</v>
      </c>
      <c r="L846" s="4">
        <v>1769.17</v>
      </c>
      <c r="M846" s="1" t="str">
        <f>TEXT(Table1[[#This Row],[Order_Date]], "MMM")</f>
        <v>Apr</v>
      </c>
      <c r="N846" s="1">
        <f>YEAR(Table1[[#This Row],[Order_Date]])</f>
        <v>2024</v>
      </c>
      <c r="O846" s="7">
        <f>Table1[[#This Row],[Profit]]/Table1[[#This Row],[Total_Sales]]</f>
        <v>0.4665532700421941</v>
      </c>
    </row>
    <row r="847" spans="1:15" x14ac:dyDescent="0.25">
      <c r="A847" s="1">
        <v>846</v>
      </c>
      <c r="B847" s="2">
        <v>45103</v>
      </c>
      <c r="C847" s="1" t="s">
        <v>19</v>
      </c>
      <c r="D847" s="1" t="s">
        <v>13</v>
      </c>
      <c r="E847" s="1" t="s">
        <v>14</v>
      </c>
      <c r="F847" s="1" t="s">
        <v>18</v>
      </c>
      <c r="G847" s="1">
        <v>6</v>
      </c>
      <c r="H847" s="1">
        <v>153</v>
      </c>
      <c r="I847" s="1">
        <v>5</v>
      </c>
      <c r="J847" s="4">
        <v>872.1</v>
      </c>
      <c r="K847" s="4">
        <v>646.26</v>
      </c>
      <c r="L847" s="4">
        <v>225.84</v>
      </c>
      <c r="M847" s="1" t="str">
        <f>TEXT(Table1[[#This Row],[Order_Date]], "MMM")</f>
        <v>Jun</v>
      </c>
      <c r="N847" s="1">
        <f>YEAR(Table1[[#This Row],[Order_Date]])</f>
        <v>2023</v>
      </c>
      <c r="O847" s="7">
        <f>Table1[[#This Row],[Profit]]/Table1[[#This Row],[Total_Sales]]</f>
        <v>0.25896112831097351</v>
      </c>
    </row>
    <row r="848" spans="1:15" x14ac:dyDescent="0.25">
      <c r="A848" s="1">
        <v>847</v>
      </c>
      <c r="B848" s="2">
        <v>45117</v>
      </c>
      <c r="C848" s="1" t="s">
        <v>25</v>
      </c>
      <c r="D848" s="1" t="s">
        <v>26</v>
      </c>
      <c r="E848" s="1" t="s">
        <v>37</v>
      </c>
      <c r="F848" s="1" t="s">
        <v>35</v>
      </c>
      <c r="G848" s="1">
        <v>2</v>
      </c>
      <c r="H848" s="1">
        <v>247</v>
      </c>
      <c r="I848" s="1">
        <v>5</v>
      </c>
      <c r="J848" s="4">
        <v>469.3</v>
      </c>
      <c r="K848" s="4">
        <v>320.99</v>
      </c>
      <c r="L848" s="4">
        <v>148.31</v>
      </c>
      <c r="M848" s="1" t="str">
        <f>TEXT(Table1[[#This Row],[Order_Date]], "MMM")</f>
        <v>Jul</v>
      </c>
      <c r="N848" s="1">
        <f>YEAR(Table1[[#This Row],[Order_Date]])</f>
        <v>2023</v>
      </c>
      <c r="O848" s="7">
        <f>Table1[[#This Row],[Profit]]/Table1[[#This Row],[Total_Sales]]</f>
        <v>0.31602386533134458</v>
      </c>
    </row>
    <row r="849" spans="1:15" x14ac:dyDescent="0.25">
      <c r="A849" s="1">
        <v>848</v>
      </c>
      <c r="B849" s="2">
        <v>45008</v>
      </c>
      <c r="C849" s="1" t="s">
        <v>12</v>
      </c>
      <c r="D849" s="1" t="s">
        <v>13</v>
      </c>
      <c r="E849" s="1" t="s">
        <v>39</v>
      </c>
      <c r="F849" s="1" t="s">
        <v>24</v>
      </c>
      <c r="G849" s="1">
        <v>9</v>
      </c>
      <c r="H849" s="1">
        <v>145</v>
      </c>
      <c r="I849" s="1">
        <v>0</v>
      </c>
      <c r="J849" s="4">
        <v>1305</v>
      </c>
      <c r="K849" s="4">
        <v>727.42</v>
      </c>
      <c r="L849" s="4">
        <v>577.58000000000004</v>
      </c>
      <c r="M849" s="1" t="str">
        <f>TEXT(Table1[[#This Row],[Order_Date]], "MMM")</f>
        <v>Mar</v>
      </c>
      <c r="N849" s="1">
        <f>YEAR(Table1[[#This Row],[Order_Date]])</f>
        <v>2023</v>
      </c>
      <c r="O849" s="7">
        <f>Table1[[#This Row],[Profit]]/Table1[[#This Row],[Total_Sales]]</f>
        <v>0.44259003831417626</v>
      </c>
    </row>
    <row r="850" spans="1:15" x14ac:dyDescent="0.25">
      <c r="A850" s="1">
        <v>849</v>
      </c>
      <c r="B850" s="2">
        <v>45505</v>
      </c>
      <c r="C850" s="1" t="s">
        <v>19</v>
      </c>
      <c r="D850" s="1" t="s">
        <v>20</v>
      </c>
      <c r="E850" s="1" t="s">
        <v>43</v>
      </c>
      <c r="F850" s="1" t="s">
        <v>24</v>
      </c>
      <c r="G850" s="1">
        <v>3</v>
      </c>
      <c r="H850" s="1">
        <v>766</v>
      </c>
      <c r="I850" s="1">
        <v>0</v>
      </c>
      <c r="J850" s="4">
        <v>2298</v>
      </c>
      <c r="K850" s="4">
        <v>1639.28</v>
      </c>
      <c r="L850" s="4">
        <v>658.72</v>
      </c>
      <c r="M850" s="1" t="str">
        <f>TEXT(Table1[[#This Row],[Order_Date]], "MMM")</f>
        <v>Aug</v>
      </c>
      <c r="N850" s="1">
        <f>YEAR(Table1[[#This Row],[Order_Date]])</f>
        <v>2024</v>
      </c>
      <c r="O850" s="7">
        <f>Table1[[#This Row],[Profit]]/Table1[[#This Row],[Total_Sales]]</f>
        <v>0.28664926022628373</v>
      </c>
    </row>
    <row r="851" spans="1:15" x14ac:dyDescent="0.25">
      <c r="A851" s="1">
        <v>850</v>
      </c>
      <c r="B851" s="2">
        <v>45599</v>
      </c>
      <c r="C851" s="1" t="s">
        <v>16</v>
      </c>
      <c r="D851" s="1" t="s">
        <v>26</v>
      </c>
      <c r="E851" s="1" t="s">
        <v>37</v>
      </c>
      <c r="F851" s="1" t="s">
        <v>24</v>
      </c>
      <c r="G851" s="1">
        <v>1</v>
      </c>
      <c r="H851" s="1">
        <v>551</v>
      </c>
      <c r="I851" s="1">
        <v>15</v>
      </c>
      <c r="J851" s="4">
        <v>468.35</v>
      </c>
      <c r="K851" s="4">
        <v>283.77</v>
      </c>
      <c r="L851" s="4">
        <v>184.58</v>
      </c>
      <c r="M851" s="1" t="str">
        <f>TEXT(Table1[[#This Row],[Order_Date]], "MMM")</f>
        <v>Nov</v>
      </c>
      <c r="N851" s="1">
        <f>YEAR(Table1[[#This Row],[Order_Date]])</f>
        <v>2024</v>
      </c>
      <c r="O851" s="7">
        <f>Table1[[#This Row],[Profit]]/Table1[[#This Row],[Total_Sales]]</f>
        <v>0.39410697128216077</v>
      </c>
    </row>
    <row r="852" spans="1:15" x14ac:dyDescent="0.25">
      <c r="A852" s="1">
        <v>851</v>
      </c>
      <c r="B852" s="2">
        <v>45546</v>
      </c>
      <c r="C852" s="1" t="s">
        <v>16</v>
      </c>
      <c r="D852" s="1" t="s">
        <v>13</v>
      </c>
      <c r="E852" s="1" t="s">
        <v>38</v>
      </c>
      <c r="F852" s="1" t="s">
        <v>40</v>
      </c>
      <c r="G852" s="1">
        <v>8</v>
      </c>
      <c r="H852" s="1">
        <v>491</v>
      </c>
      <c r="I852" s="1">
        <v>10</v>
      </c>
      <c r="J852" s="4">
        <v>3535.2</v>
      </c>
      <c r="K852" s="4">
        <v>2777.31</v>
      </c>
      <c r="L852" s="4">
        <v>757.89</v>
      </c>
      <c r="M852" s="1" t="str">
        <f>TEXT(Table1[[#This Row],[Order_Date]], "MMM")</f>
        <v>Sep</v>
      </c>
      <c r="N852" s="1">
        <f>YEAR(Table1[[#This Row],[Order_Date]])</f>
        <v>2024</v>
      </c>
      <c r="O852" s="7">
        <f>Table1[[#This Row],[Profit]]/Table1[[#This Row],[Total_Sales]]</f>
        <v>0.21438391038696539</v>
      </c>
    </row>
    <row r="853" spans="1:15" x14ac:dyDescent="0.25">
      <c r="A853" s="1">
        <v>852</v>
      </c>
      <c r="B853" s="2">
        <v>45185</v>
      </c>
      <c r="C853" s="1" t="s">
        <v>12</v>
      </c>
      <c r="D853" s="1" t="s">
        <v>32</v>
      </c>
      <c r="E853" s="1" t="s">
        <v>41</v>
      </c>
      <c r="F853" s="1" t="s">
        <v>31</v>
      </c>
      <c r="G853" s="1">
        <v>2</v>
      </c>
      <c r="H853" s="1">
        <v>508</v>
      </c>
      <c r="I853" s="1">
        <v>0</v>
      </c>
      <c r="J853" s="4">
        <v>1016</v>
      </c>
      <c r="K853" s="4">
        <v>728.17</v>
      </c>
      <c r="L853" s="4">
        <v>287.83</v>
      </c>
      <c r="M853" s="1" t="str">
        <f>TEXT(Table1[[#This Row],[Order_Date]], "MMM")</f>
        <v>Sep</v>
      </c>
      <c r="N853" s="1">
        <f>YEAR(Table1[[#This Row],[Order_Date]])</f>
        <v>2023</v>
      </c>
      <c r="O853" s="7">
        <f>Table1[[#This Row],[Profit]]/Table1[[#This Row],[Total_Sales]]</f>
        <v>0.2832972440944882</v>
      </c>
    </row>
    <row r="854" spans="1:15" x14ac:dyDescent="0.25">
      <c r="A854" s="1">
        <v>853</v>
      </c>
      <c r="B854" s="2">
        <v>45480</v>
      </c>
      <c r="C854" s="1" t="s">
        <v>16</v>
      </c>
      <c r="D854" s="1" t="s">
        <v>32</v>
      </c>
      <c r="E854" s="1" t="s">
        <v>34</v>
      </c>
      <c r="F854" s="1" t="s">
        <v>31</v>
      </c>
      <c r="G854" s="1">
        <v>7</v>
      </c>
      <c r="H854" s="1">
        <v>798</v>
      </c>
      <c r="I854" s="1">
        <v>15</v>
      </c>
      <c r="J854" s="4">
        <v>4748.1000000000004</v>
      </c>
      <c r="K854" s="4">
        <v>3145.15</v>
      </c>
      <c r="L854" s="4">
        <v>1602.95</v>
      </c>
      <c r="M854" s="1" t="str">
        <f>TEXT(Table1[[#This Row],[Order_Date]], "MMM")</f>
        <v>Jul</v>
      </c>
      <c r="N854" s="1">
        <f>YEAR(Table1[[#This Row],[Order_Date]])</f>
        <v>2024</v>
      </c>
      <c r="O854" s="7">
        <f>Table1[[#This Row],[Profit]]/Table1[[#This Row],[Total_Sales]]</f>
        <v>0.33759819717360628</v>
      </c>
    </row>
    <row r="855" spans="1:15" x14ac:dyDescent="0.25">
      <c r="A855" s="1">
        <v>854</v>
      </c>
      <c r="B855" s="2">
        <v>44943</v>
      </c>
      <c r="C855" s="1" t="s">
        <v>19</v>
      </c>
      <c r="D855" s="1" t="s">
        <v>32</v>
      </c>
      <c r="E855" s="1" t="s">
        <v>34</v>
      </c>
      <c r="F855" s="1" t="s">
        <v>15</v>
      </c>
      <c r="G855" s="1">
        <v>8</v>
      </c>
      <c r="H855" s="1">
        <v>68</v>
      </c>
      <c r="I855" s="1">
        <v>5</v>
      </c>
      <c r="J855" s="4">
        <v>516.79999999999995</v>
      </c>
      <c r="K855" s="4">
        <v>373.25</v>
      </c>
      <c r="L855" s="4">
        <v>143.55000000000001</v>
      </c>
      <c r="M855" s="1" t="str">
        <f>TEXT(Table1[[#This Row],[Order_Date]], "MMM")</f>
        <v>Jan</v>
      </c>
      <c r="N855" s="1">
        <f>YEAR(Table1[[#This Row],[Order_Date]])</f>
        <v>2023</v>
      </c>
      <c r="O855" s="7">
        <f>Table1[[#This Row],[Profit]]/Table1[[#This Row],[Total_Sales]]</f>
        <v>0.27776702786377716</v>
      </c>
    </row>
    <row r="856" spans="1:15" x14ac:dyDescent="0.25">
      <c r="A856" s="1">
        <v>855</v>
      </c>
      <c r="B856" s="2">
        <v>45117</v>
      </c>
      <c r="C856" s="1" t="s">
        <v>16</v>
      </c>
      <c r="D856" s="1" t="s">
        <v>22</v>
      </c>
      <c r="E856" s="1" t="s">
        <v>36</v>
      </c>
      <c r="F856" s="1" t="s">
        <v>18</v>
      </c>
      <c r="G856" s="1">
        <v>7</v>
      </c>
      <c r="H856" s="1">
        <v>255</v>
      </c>
      <c r="I856" s="1">
        <v>10</v>
      </c>
      <c r="J856" s="4">
        <v>1606.5</v>
      </c>
      <c r="K856" s="4">
        <v>1059.94</v>
      </c>
      <c r="L856" s="4">
        <v>546.55999999999995</v>
      </c>
      <c r="M856" s="1" t="str">
        <f>TEXT(Table1[[#This Row],[Order_Date]], "MMM")</f>
        <v>Jul</v>
      </c>
      <c r="N856" s="1">
        <f>YEAR(Table1[[#This Row],[Order_Date]])</f>
        <v>2023</v>
      </c>
      <c r="O856" s="7">
        <f>Table1[[#This Row],[Profit]]/Table1[[#This Row],[Total_Sales]]</f>
        <v>0.34021786492374723</v>
      </c>
    </row>
    <row r="857" spans="1:15" x14ac:dyDescent="0.25">
      <c r="A857" s="1">
        <v>856</v>
      </c>
      <c r="B857" s="2">
        <v>45372</v>
      </c>
      <c r="C857" s="1" t="s">
        <v>19</v>
      </c>
      <c r="D857" s="1" t="s">
        <v>26</v>
      </c>
      <c r="E857" s="1" t="s">
        <v>42</v>
      </c>
      <c r="F857" s="1" t="s">
        <v>24</v>
      </c>
      <c r="G857" s="1">
        <v>9</v>
      </c>
      <c r="H857" s="1">
        <v>463</v>
      </c>
      <c r="I857" s="1">
        <v>5</v>
      </c>
      <c r="J857" s="4">
        <v>3958.65</v>
      </c>
      <c r="K857" s="4">
        <v>3083.26</v>
      </c>
      <c r="L857" s="4">
        <v>875.39</v>
      </c>
      <c r="M857" s="1" t="str">
        <f>TEXT(Table1[[#This Row],[Order_Date]], "MMM")</f>
        <v>Mar</v>
      </c>
      <c r="N857" s="1">
        <f>YEAR(Table1[[#This Row],[Order_Date]])</f>
        <v>2024</v>
      </c>
      <c r="O857" s="7">
        <f>Table1[[#This Row],[Profit]]/Table1[[#This Row],[Total_Sales]]</f>
        <v>0.22113346721735944</v>
      </c>
    </row>
    <row r="858" spans="1:15" x14ac:dyDescent="0.25">
      <c r="A858" s="1">
        <v>857</v>
      </c>
      <c r="B858" s="2">
        <v>45395</v>
      </c>
      <c r="C858" s="1" t="s">
        <v>25</v>
      </c>
      <c r="D858" s="1" t="s">
        <v>26</v>
      </c>
      <c r="E858" s="1" t="s">
        <v>42</v>
      </c>
      <c r="F858" s="1" t="s">
        <v>18</v>
      </c>
      <c r="G858" s="1">
        <v>2</v>
      </c>
      <c r="H858" s="1">
        <v>236</v>
      </c>
      <c r="I858" s="1">
        <v>15</v>
      </c>
      <c r="J858" s="4">
        <v>401.2</v>
      </c>
      <c r="K858" s="4">
        <v>314.27999999999997</v>
      </c>
      <c r="L858" s="4">
        <v>86.92</v>
      </c>
      <c r="M858" s="1" t="str">
        <f>TEXT(Table1[[#This Row],[Order_Date]], "MMM")</f>
        <v>Apr</v>
      </c>
      <c r="N858" s="1">
        <f>YEAR(Table1[[#This Row],[Order_Date]])</f>
        <v>2024</v>
      </c>
      <c r="O858" s="7">
        <f>Table1[[#This Row],[Profit]]/Table1[[#This Row],[Total_Sales]]</f>
        <v>0.21665004985044867</v>
      </c>
    </row>
    <row r="859" spans="1:15" x14ac:dyDescent="0.25">
      <c r="A859" s="1">
        <v>858</v>
      </c>
      <c r="B859" s="2">
        <v>44955</v>
      </c>
      <c r="C859" s="1" t="s">
        <v>12</v>
      </c>
      <c r="D859" s="1" t="s">
        <v>32</v>
      </c>
      <c r="E859" s="1" t="s">
        <v>45</v>
      </c>
      <c r="F859" s="1" t="s">
        <v>15</v>
      </c>
      <c r="G859" s="1">
        <v>1</v>
      </c>
      <c r="H859" s="1">
        <v>375</v>
      </c>
      <c r="I859" s="1">
        <v>15</v>
      </c>
      <c r="J859" s="4">
        <v>318.75</v>
      </c>
      <c r="K859" s="4">
        <v>175.18</v>
      </c>
      <c r="L859" s="4">
        <v>143.57</v>
      </c>
      <c r="M859" s="1" t="str">
        <f>TEXT(Table1[[#This Row],[Order_Date]], "MMM")</f>
        <v>Jan</v>
      </c>
      <c r="N859" s="1">
        <f>YEAR(Table1[[#This Row],[Order_Date]])</f>
        <v>2023</v>
      </c>
      <c r="O859" s="7">
        <f>Table1[[#This Row],[Profit]]/Table1[[#This Row],[Total_Sales]]</f>
        <v>0.45041568627450979</v>
      </c>
    </row>
    <row r="860" spans="1:15" x14ac:dyDescent="0.25">
      <c r="A860" s="1">
        <v>859</v>
      </c>
      <c r="B860" s="2">
        <v>45558</v>
      </c>
      <c r="C860" s="1" t="s">
        <v>25</v>
      </c>
      <c r="D860" s="1" t="s">
        <v>13</v>
      </c>
      <c r="E860" s="1" t="s">
        <v>38</v>
      </c>
      <c r="F860" s="1" t="s">
        <v>40</v>
      </c>
      <c r="G860" s="1">
        <v>6</v>
      </c>
      <c r="H860" s="1">
        <v>939</v>
      </c>
      <c r="I860" s="1">
        <v>10</v>
      </c>
      <c r="J860" s="4">
        <v>5070.6000000000004</v>
      </c>
      <c r="K860" s="4">
        <v>3123.39</v>
      </c>
      <c r="L860" s="4">
        <v>1947.21</v>
      </c>
      <c r="M860" s="1" t="str">
        <f>TEXT(Table1[[#This Row],[Order_Date]], "MMM")</f>
        <v>Sep</v>
      </c>
      <c r="N860" s="1">
        <f>YEAR(Table1[[#This Row],[Order_Date]])</f>
        <v>2024</v>
      </c>
      <c r="O860" s="7">
        <f>Table1[[#This Row],[Profit]]/Table1[[#This Row],[Total_Sales]]</f>
        <v>0.38401964264584071</v>
      </c>
    </row>
    <row r="861" spans="1:15" x14ac:dyDescent="0.25">
      <c r="A861" s="1">
        <v>860</v>
      </c>
      <c r="B861" s="2">
        <v>45487</v>
      </c>
      <c r="C861" s="1" t="s">
        <v>19</v>
      </c>
      <c r="D861" s="1" t="s">
        <v>26</v>
      </c>
      <c r="E861" s="1" t="s">
        <v>46</v>
      </c>
      <c r="F861" s="1" t="s">
        <v>31</v>
      </c>
      <c r="G861" s="1">
        <v>7</v>
      </c>
      <c r="H861" s="1">
        <v>903</v>
      </c>
      <c r="I861" s="1">
        <v>0</v>
      </c>
      <c r="J861" s="4">
        <v>6321</v>
      </c>
      <c r="K861" s="4">
        <v>4047.34</v>
      </c>
      <c r="L861" s="4">
        <v>2273.66</v>
      </c>
      <c r="M861" s="1" t="str">
        <f>TEXT(Table1[[#This Row],[Order_Date]], "MMM")</f>
        <v>Jul</v>
      </c>
      <c r="N861" s="1">
        <f>YEAR(Table1[[#This Row],[Order_Date]])</f>
        <v>2024</v>
      </c>
      <c r="O861" s="7">
        <f>Table1[[#This Row],[Profit]]/Table1[[#This Row],[Total_Sales]]</f>
        <v>0.35969941464958072</v>
      </c>
    </row>
    <row r="862" spans="1:15" x14ac:dyDescent="0.25">
      <c r="A862" s="1">
        <v>861</v>
      </c>
      <c r="B862" s="2">
        <v>45026</v>
      </c>
      <c r="C862" s="1" t="s">
        <v>12</v>
      </c>
      <c r="D862" s="1" t="s">
        <v>20</v>
      </c>
      <c r="E862" s="1" t="s">
        <v>43</v>
      </c>
      <c r="F862" s="1" t="s">
        <v>31</v>
      </c>
      <c r="G862" s="1">
        <v>2</v>
      </c>
      <c r="H862" s="1">
        <v>893</v>
      </c>
      <c r="I862" s="1">
        <v>20</v>
      </c>
      <c r="J862" s="4">
        <v>1428.8</v>
      </c>
      <c r="K862" s="4">
        <v>895.51</v>
      </c>
      <c r="L862" s="4">
        <v>533.29</v>
      </c>
      <c r="M862" s="1" t="str">
        <f>TEXT(Table1[[#This Row],[Order_Date]], "MMM")</f>
        <v>Apr</v>
      </c>
      <c r="N862" s="1">
        <f>YEAR(Table1[[#This Row],[Order_Date]])</f>
        <v>2023</v>
      </c>
      <c r="O862" s="7">
        <f>Table1[[#This Row],[Profit]]/Table1[[#This Row],[Total_Sales]]</f>
        <v>0.37324328107502797</v>
      </c>
    </row>
    <row r="863" spans="1:15" x14ac:dyDescent="0.25">
      <c r="A863" s="1">
        <v>862</v>
      </c>
      <c r="B863" s="2">
        <v>45195</v>
      </c>
      <c r="C863" s="1" t="s">
        <v>25</v>
      </c>
      <c r="D863" s="1" t="s">
        <v>20</v>
      </c>
      <c r="E863" s="1" t="s">
        <v>21</v>
      </c>
      <c r="F863" s="1" t="s">
        <v>24</v>
      </c>
      <c r="G863" s="1">
        <v>7</v>
      </c>
      <c r="H863" s="1">
        <v>233</v>
      </c>
      <c r="I863" s="1">
        <v>15</v>
      </c>
      <c r="J863" s="4">
        <v>1386.35</v>
      </c>
      <c r="K863" s="4">
        <v>913.62</v>
      </c>
      <c r="L863" s="4">
        <v>472.73</v>
      </c>
      <c r="M863" s="1" t="str">
        <f>TEXT(Table1[[#This Row],[Order_Date]], "MMM")</f>
        <v>Sep</v>
      </c>
      <c r="N863" s="1">
        <f>YEAR(Table1[[#This Row],[Order_Date]])</f>
        <v>2023</v>
      </c>
      <c r="O863" s="7">
        <f>Table1[[#This Row],[Profit]]/Table1[[#This Row],[Total_Sales]]</f>
        <v>0.34098892775994522</v>
      </c>
    </row>
    <row r="864" spans="1:15" x14ac:dyDescent="0.25">
      <c r="A864" s="1">
        <v>863</v>
      </c>
      <c r="B864" s="2">
        <v>45487</v>
      </c>
      <c r="C864" s="1" t="s">
        <v>25</v>
      </c>
      <c r="D864" s="1" t="s">
        <v>26</v>
      </c>
      <c r="E864" s="1" t="s">
        <v>46</v>
      </c>
      <c r="F864" s="1" t="s">
        <v>35</v>
      </c>
      <c r="G864" s="1">
        <v>2</v>
      </c>
      <c r="H864" s="1">
        <v>945</v>
      </c>
      <c r="I864" s="1">
        <v>0</v>
      </c>
      <c r="J864" s="4">
        <v>1890</v>
      </c>
      <c r="K864" s="4">
        <v>1197.46</v>
      </c>
      <c r="L864" s="4">
        <v>692.54</v>
      </c>
      <c r="M864" s="1" t="str">
        <f>TEXT(Table1[[#This Row],[Order_Date]], "MMM")</f>
        <v>Jul</v>
      </c>
      <c r="N864" s="1">
        <f>YEAR(Table1[[#This Row],[Order_Date]])</f>
        <v>2024</v>
      </c>
      <c r="O864" s="7">
        <f>Table1[[#This Row],[Profit]]/Table1[[#This Row],[Total_Sales]]</f>
        <v>0.36642328042328043</v>
      </c>
    </row>
    <row r="865" spans="1:15" x14ac:dyDescent="0.25">
      <c r="A865" s="1">
        <v>864</v>
      </c>
      <c r="B865" s="2">
        <v>45541</v>
      </c>
      <c r="C865" s="1" t="s">
        <v>12</v>
      </c>
      <c r="D865" s="1" t="s">
        <v>26</v>
      </c>
      <c r="E865" s="1" t="s">
        <v>37</v>
      </c>
      <c r="F865" s="1" t="s">
        <v>18</v>
      </c>
      <c r="G865" s="1">
        <v>7</v>
      </c>
      <c r="H865" s="1">
        <v>775</v>
      </c>
      <c r="I865" s="1">
        <v>20</v>
      </c>
      <c r="J865" s="4">
        <v>4340</v>
      </c>
      <c r="K865" s="4">
        <v>2185.67</v>
      </c>
      <c r="L865" s="4">
        <v>2154.33</v>
      </c>
      <c r="M865" s="1" t="str">
        <f>TEXT(Table1[[#This Row],[Order_Date]], "MMM")</f>
        <v>Sep</v>
      </c>
      <c r="N865" s="1">
        <f>YEAR(Table1[[#This Row],[Order_Date]])</f>
        <v>2024</v>
      </c>
      <c r="O865" s="7">
        <f>Table1[[#This Row],[Profit]]/Table1[[#This Row],[Total_Sales]]</f>
        <v>0.49638940092165895</v>
      </c>
    </row>
    <row r="866" spans="1:15" x14ac:dyDescent="0.25">
      <c r="A866" s="1">
        <v>865</v>
      </c>
      <c r="B866" s="2">
        <v>45371</v>
      </c>
      <c r="C866" s="1" t="s">
        <v>12</v>
      </c>
      <c r="D866" s="1" t="s">
        <v>26</v>
      </c>
      <c r="E866" s="1" t="s">
        <v>37</v>
      </c>
      <c r="F866" s="1" t="s">
        <v>24</v>
      </c>
      <c r="G866" s="1">
        <v>5</v>
      </c>
      <c r="H866" s="1">
        <v>743</v>
      </c>
      <c r="I866" s="1">
        <v>0</v>
      </c>
      <c r="J866" s="4">
        <v>3715</v>
      </c>
      <c r="K866" s="4">
        <v>2271.2199999999998</v>
      </c>
      <c r="L866" s="4">
        <v>1443.78</v>
      </c>
      <c r="M866" s="1" t="str">
        <f>TEXT(Table1[[#This Row],[Order_Date]], "MMM")</f>
        <v>Mar</v>
      </c>
      <c r="N866" s="1">
        <f>YEAR(Table1[[#This Row],[Order_Date]])</f>
        <v>2024</v>
      </c>
      <c r="O866" s="7">
        <f>Table1[[#This Row],[Profit]]/Table1[[#This Row],[Total_Sales]]</f>
        <v>0.38863526244952895</v>
      </c>
    </row>
    <row r="867" spans="1:15" x14ac:dyDescent="0.25">
      <c r="A867" s="1">
        <v>866</v>
      </c>
      <c r="B867" s="2">
        <v>45487</v>
      </c>
      <c r="C867" s="1" t="s">
        <v>16</v>
      </c>
      <c r="D867" s="1" t="s">
        <v>26</v>
      </c>
      <c r="E867" s="1" t="s">
        <v>27</v>
      </c>
      <c r="F867" s="1" t="s">
        <v>24</v>
      </c>
      <c r="G867" s="1">
        <v>8</v>
      </c>
      <c r="H867" s="1">
        <v>318</v>
      </c>
      <c r="I867" s="1">
        <v>20</v>
      </c>
      <c r="J867" s="4">
        <v>2035.2</v>
      </c>
      <c r="K867" s="4">
        <v>1220.3900000000001</v>
      </c>
      <c r="L867" s="4">
        <v>814.81</v>
      </c>
      <c r="M867" s="1" t="str">
        <f>TEXT(Table1[[#This Row],[Order_Date]], "MMM")</f>
        <v>Jul</v>
      </c>
      <c r="N867" s="1">
        <f>YEAR(Table1[[#This Row],[Order_Date]])</f>
        <v>2024</v>
      </c>
      <c r="O867" s="7">
        <f>Table1[[#This Row],[Profit]]/Table1[[#This Row],[Total_Sales]]</f>
        <v>0.40035868710691819</v>
      </c>
    </row>
    <row r="868" spans="1:15" x14ac:dyDescent="0.25">
      <c r="A868" s="1">
        <v>867</v>
      </c>
      <c r="B868" s="2">
        <v>45089</v>
      </c>
      <c r="C868" s="1" t="s">
        <v>12</v>
      </c>
      <c r="D868" s="1" t="s">
        <v>22</v>
      </c>
      <c r="E868" s="1" t="s">
        <v>29</v>
      </c>
      <c r="F868" s="1" t="s">
        <v>31</v>
      </c>
      <c r="G868" s="1">
        <v>10</v>
      </c>
      <c r="H868" s="1">
        <v>46</v>
      </c>
      <c r="I868" s="1">
        <v>10</v>
      </c>
      <c r="J868" s="4">
        <v>414</v>
      </c>
      <c r="K868" s="4">
        <v>273.88</v>
      </c>
      <c r="L868" s="4">
        <v>140.12</v>
      </c>
      <c r="M868" s="1" t="str">
        <f>TEXT(Table1[[#This Row],[Order_Date]], "MMM")</f>
        <v>Jun</v>
      </c>
      <c r="N868" s="1">
        <f>YEAR(Table1[[#This Row],[Order_Date]])</f>
        <v>2023</v>
      </c>
      <c r="O868" s="7">
        <f>Table1[[#This Row],[Profit]]/Table1[[#This Row],[Total_Sales]]</f>
        <v>0.33845410628019323</v>
      </c>
    </row>
    <row r="869" spans="1:15" x14ac:dyDescent="0.25">
      <c r="A869" s="1">
        <v>868</v>
      </c>
      <c r="B869" s="2">
        <v>44987</v>
      </c>
      <c r="C869" s="1" t="s">
        <v>19</v>
      </c>
      <c r="D869" s="1" t="s">
        <v>13</v>
      </c>
      <c r="E869" s="1" t="s">
        <v>14</v>
      </c>
      <c r="F869" s="1" t="s">
        <v>31</v>
      </c>
      <c r="G869" s="1">
        <v>3</v>
      </c>
      <c r="H869" s="1">
        <v>841</v>
      </c>
      <c r="I869" s="1">
        <v>0</v>
      </c>
      <c r="J869" s="4">
        <v>2523</v>
      </c>
      <c r="K869" s="4">
        <v>1592.42</v>
      </c>
      <c r="L869" s="4">
        <v>930.58</v>
      </c>
      <c r="M869" s="1" t="str">
        <f>TEXT(Table1[[#This Row],[Order_Date]], "MMM")</f>
        <v>Mar</v>
      </c>
      <c r="N869" s="1">
        <f>YEAR(Table1[[#This Row],[Order_Date]])</f>
        <v>2023</v>
      </c>
      <c r="O869" s="7">
        <f>Table1[[#This Row],[Profit]]/Table1[[#This Row],[Total_Sales]]</f>
        <v>0.36883868410622278</v>
      </c>
    </row>
    <row r="870" spans="1:15" x14ac:dyDescent="0.25">
      <c r="A870" s="1">
        <v>869</v>
      </c>
      <c r="B870" s="2">
        <v>44983</v>
      </c>
      <c r="C870" s="1" t="s">
        <v>16</v>
      </c>
      <c r="D870" s="1" t="s">
        <v>13</v>
      </c>
      <c r="E870" s="1" t="s">
        <v>17</v>
      </c>
      <c r="F870" s="1" t="s">
        <v>24</v>
      </c>
      <c r="G870" s="1">
        <v>8</v>
      </c>
      <c r="H870" s="1">
        <v>42</v>
      </c>
      <c r="I870" s="1">
        <v>10</v>
      </c>
      <c r="J870" s="4">
        <v>302.39999999999998</v>
      </c>
      <c r="K870" s="4">
        <v>157.9</v>
      </c>
      <c r="L870" s="4">
        <v>144.5</v>
      </c>
      <c r="M870" s="1" t="str">
        <f>TEXT(Table1[[#This Row],[Order_Date]], "MMM")</f>
        <v>Feb</v>
      </c>
      <c r="N870" s="1">
        <f>YEAR(Table1[[#This Row],[Order_Date]])</f>
        <v>2023</v>
      </c>
      <c r="O870" s="7">
        <f>Table1[[#This Row],[Profit]]/Table1[[#This Row],[Total_Sales]]</f>
        <v>0.4778439153439154</v>
      </c>
    </row>
    <row r="871" spans="1:15" x14ac:dyDescent="0.25">
      <c r="A871" s="1">
        <v>870</v>
      </c>
      <c r="B871" s="2">
        <v>45063</v>
      </c>
      <c r="C871" s="1" t="s">
        <v>16</v>
      </c>
      <c r="D871" s="1" t="s">
        <v>13</v>
      </c>
      <c r="E871" s="1" t="s">
        <v>39</v>
      </c>
      <c r="F871" s="1" t="s">
        <v>35</v>
      </c>
      <c r="G871" s="1">
        <v>1</v>
      </c>
      <c r="H871" s="1">
        <v>305</v>
      </c>
      <c r="I871" s="1">
        <v>15</v>
      </c>
      <c r="J871" s="4">
        <v>259.25</v>
      </c>
      <c r="K871" s="4">
        <v>173.8</v>
      </c>
      <c r="L871" s="4">
        <v>85.45</v>
      </c>
      <c r="M871" s="1" t="str">
        <f>TEXT(Table1[[#This Row],[Order_Date]], "MMM")</f>
        <v>May</v>
      </c>
      <c r="N871" s="1">
        <f>YEAR(Table1[[#This Row],[Order_Date]])</f>
        <v>2023</v>
      </c>
      <c r="O871" s="7">
        <f>Table1[[#This Row],[Profit]]/Table1[[#This Row],[Total_Sales]]</f>
        <v>0.32960462873674062</v>
      </c>
    </row>
    <row r="872" spans="1:15" x14ac:dyDescent="0.25">
      <c r="A872" s="1">
        <v>871</v>
      </c>
      <c r="B872" s="2">
        <v>45052</v>
      </c>
      <c r="C872" s="1" t="s">
        <v>25</v>
      </c>
      <c r="D872" s="1" t="s">
        <v>22</v>
      </c>
      <c r="E872" s="1" t="s">
        <v>23</v>
      </c>
      <c r="F872" s="1" t="s">
        <v>40</v>
      </c>
      <c r="G872" s="1">
        <v>3</v>
      </c>
      <c r="H872" s="1">
        <v>830</v>
      </c>
      <c r="I872" s="1">
        <v>5</v>
      </c>
      <c r="J872" s="4">
        <v>2365.5</v>
      </c>
      <c r="K872" s="4">
        <v>1864.77</v>
      </c>
      <c r="L872" s="4">
        <v>500.73</v>
      </c>
      <c r="M872" s="1" t="str">
        <f>TEXT(Table1[[#This Row],[Order_Date]], "MMM")</f>
        <v>May</v>
      </c>
      <c r="N872" s="1">
        <f>YEAR(Table1[[#This Row],[Order_Date]])</f>
        <v>2023</v>
      </c>
      <c r="O872" s="7">
        <f>Table1[[#This Row],[Profit]]/Table1[[#This Row],[Total_Sales]]</f>
        <v>0.21168040583386177</v>
      </c>
    </row>
    <row r="873" spans="1:15" x14ac:dyDescent="0.25">
      <c r="A873" s="1">
        <v>872</v>
      </c>
      <c r="B873" s="2">
        <v>45396</v>
      </c>
      <c r="C873" s="1" t="s">
        <v>12</v>
      </c>
      <c r="D873" s="1" t="s">
        <v>13</v>
      </c>
      <c r="E873" s="1" t="s">
        <v>38</v>
      </c>
      <c r="F873" s="1" t="s">
        <v>18</v>
      </c>
      <c r="G873" s="1">
        <v>5</v>
      </c>
      <c r="H873" s="1">
        <v>54</v>
      </c>
      <c r="I873" s="1">
        <v>15</v>
      </c>
      <c r="J873" s="4">
        <v>229.5</v>
      </c>
      <c r="K873" s="4">
        <v>129.52000000000001</v>
      </c>
      <c r="L873" s="4">
        <v>99.98</v>
      </c>
      <c r="M873" s="1" t="str">
        <f>TEXT(Table1[[#This Row],[Order_Date]], "MMM")</f>
        <v>Apr</v>
      </c>
      <c r="N873" s="1">
        <f>YEAR(Table1[[#This Row],[Order_Date]])</f>
        <v>2024</v>
      </c>
      <c r="O873" s="7">
        <f>Table1[[#This Row],[Profit]]/Table1[[#This Row],[Total_Sales]]</f>
        <v>0.43564270152505447</v>
      </c>
    </row>
    <row r="874" spans="1:15" x14ac:dyDescent="0.25">
      <c r="A874" s="1">
        <v>873</v>
      </c>
      <c r="B874" s="2">
        <v>45583</v>
      </c>
      <c r="C874" s="1" t="s">
        <v>25</v>
      </c>
      <c r="D874" s="1" t="s">
        <v>26</v>
      </c>
      <c r="E874" s="1" t="s">
        <v>37</v>
      </c>
      <c r="F874" s="1" t="s">
        <v>35</v>
      </c>
      <c r="G874" s="1">
        <v>9</v>
      </c>
      <c r="H874" s="1">
        <v>864</v>
      </c>
      <c r="I874" s="1">
        <v>5</v>
      </c>
      <c r="J874" s="4">
        <v>7387.2</v>
      </c>
      <c r="K874" s="4">
        <v>4657.95</v>
      </c>
      <c r="L874" s="4">
        <v>2729.25</v>
      </c>
      <c r="M874" s="1" t="str">
        <f>TEXT(Table1[[#This Row],[Order_Date]], "MMM")</f>
        <v>Oct</v>
      </c>
      <c r="N874" s="1">
        <f>YEAR(Table1[[#This Row],[Order_Date]])</f>
        <v>2024</v>
      </c>
      <c r="O874" s="7">
        <f>Table1[[#This Row],[Profit]]/Table1[[#This Row],[Total_Sales]]</f>
        <v>0.3694566276803119</v>
      </c>
    </row>
    <row r="875" spans="1:15" x14ac:dyDescent="0.25">
      <c r="A875" s="1">
        <v>874</v>
      </c>
      <c r="B875" s="2">
        <v>44974</v>
      </c>
      <c r="C875" s="1" t="s">
        <v>12</v>
      </c>
      <c r="D875" s="1" t="s">
        <v>22</v>
      </c>
      <c r="E875" s="1" t="s">
        <v>23</v>
      </c>
      <c r="F875" s="1" t="s">
        <v>40</v>
      </c>
      <c r="G875" s="1">
        <v>1</v>
      </c>
      <c r="H875" s="1">
        <v>37</v>
      </c>
      <c r="I875" s="1">
        <v>0</v>
      </c>
      <c r="J875" s="4">
        <v>37</v>
      </c>
      <c r="K875" s="4">
        <v>20.16</v>
      </c>
      <c r="L875" s="4">
        <v>16.84</v>
      </c>
      <c r="M875" s="1" t="str">
        <f>TEXT(Table1[[#This Row],[Order_Date]], "MMM")</f>
        <v>Feb</v>
      </c>
      <c r="N875" s="1">
        <f>YEAR(Table1[[#This Row],[Order_Date]])</f>
        <v>2023</v>
      </c>
      <c r="O875" s="7">
        <f>Table1[[#This Row],[Profit]]/Table1[[#This Row],[Total_Sales]]</f>
        <v>0.45513513513513515</v>
      </c>
    </row>
    <row r="876" spans="1:15" x14ac:dyDescent="0.25">
      <c r="A876" s="1">
        <v>875</v>
      </c>
      <c r="B876" s="2">
        <v>45181</v>
      </c>
      <c r="C876" s="1" t="s">
        <v>19</v>
      </c>
      <c r="D876" s="1" t="s">
        <v>26</v>
      </c>
      <c r="E876" s="1" t="s">
        <v>37</v>
      </c>
      <c r="F876" s="1" t="s">
        <v>15</v>
      </c>
      <c r="G876" s="1">
        <v>7</v>
      </c>
      <c r="H876" s="1">
        <v>428</v>
      </c>
      <c r="I876" s="1">
        <v>10</v>
      </c>
      <c r="J876" s="4">
        <v>2696.4</v>
      </c>
      <c r="K876" s="4">
        <v>1883.89</v>
      </c>
      <c r="L876" s="4">
        <v>812.51</v>
      </c>
      <c r="M876" s="1" t="str">
        <f>TEXT(Table1[[#This Row],[Order_Date]], "MMM")</f>
        <v>Sep</v>
      </c>
      <c r="N876" s="1">
        <f>YEAR(Table1[[#This Row],[Order_Date]])</f>
        <v>2023</v>
      </c>
      <c r="O876" s="7">
        <f>Table1[[#This Row],[Profit]]/Table1[[#This Row],[Total_Sales]]</f>
        <v>0.30133140483607773</v>
      </c>
    </row>
    <row r="877" spans="1:15" x14ac:dyDescent="0.25">
      <c r="A877" s="1">
        <v>876</v>
      </c>
      <c r="B877" s="2">
        <v>45596</v>
      </c>
      <c r="C877" s="1" t="s">
        <v>16</v>
      </c>
      <c r="D877" s="1" t="s">
        <v>32</v>
      </c>
      <c r="E877" s="1" t="s">
        <v>45</v>
      </c>
      <c r="F877" s="1" t="s">
        <v>24</v>
      </c>
      <c r="G877" s="1">
        <v>7</v>
      </c>
      <c r="H877" s="1">
        <v>518</v>
      </c>
      <c r="I877" s="1">
        <v>10</v>
      </c>
      <c r="J877" s="4">
        <v>3263.4</v>
      </c>
      <c r="K877" s="4">
        <v>2113.5</v>
      </c>
      <c r="L877" s="4">
        <v>1149.9000000000001</v>
      </c>
      <c r="M877" s="1" t="str">
        <f>TEXT(Table1[[#This Row],[Order_Date]], "MMM")</f>
        <v>Oct</v>
      </c>
      <c r="N877" s="1">
        <f>YEAR(Table1[[#This Row],[Order_Date]])</f>
        <v>2024</v>
      </c>
      <c r="O877" s="7">
        <f>Table1[[#This Row],[Profit]]/Table1[[#This Row],[Total_Sales]]</f>
        <v>0.35236256664828097</v>
      </c>
    </row>
    <row r="878" spans="1:15" x14ac:dyDescent="0.25">
      <c r="A878" s="1">
        <v>877</v>
      </c>
      <c r="B878" s="2">
        <v>45196</v>
      </c>
      <c r="C878" s="1" t="s">
        <v>12</v>
      </c>
      <c r="D878" s="1" t="s">
        <v>26</v>
      </c>
      <c r="E878" s="1" t="s">
        <v>27</v>
      </c>
      <c r="F878" s="1" t="s">
        <v>31</v>
      </c>
      <c r="G878" s="1">
        <v>9</v>
      </c>
      <c r="H878" s="1">
        <v>42</v>
      </c>
      <c r="I878" s="1">
        <v>0</v>
      </c>
      <c r="J878" s="4">
        <v>378</v>
      </c>
      <c r="K878" s="4">
        <v>248.18</v>
      </c>
      <c r="L878" s="4">
        <v>129.82</v>
      </c>
      <c r="M878" s="1" t="str">
        <f>TEXT(Table1[[#This Row],[Order_Date]], "MMM")</f>
        <v>Sep</v>
      </c>
      <c r="N878" s="1">
        <f>YEAR(Table1[[#This Row],[Order_Date]])</f>
        <v>2023</v>
      </c>
      <c r="O878" s="7">
        <f>Table1[[#This Row],[Profit]]/Table1[[#This Row],[Total_Sales]]</f>
        <v>0.34343915343915343</v>
      </c>
    </row>
    <row r="879" spans="1:15" x14ac:dyDescent="0.25">
      <c r="A879" s="1">
        <v>878</v>
      </c>
      <c r="B879" s="2">
        <v>45013</v>
      </c>
      <c r="C879" s="1" t="s">
        <v>12</v>
      </c>
      <c r="D879" s="1" t="s">
        <v>32</v>
      </c>
      <c r="E879" s="1" t="s">
        <v>45</v>
      </c>
      <c r="F879" s="1" t="s">
        <v>24</v>
      </c>
      <c r="G879" s="1">
        <v>10</v>
      </c>
      <c r="H879" s="1">
        <v>762</v>
      </c>
      <c r="I879" s="1">
        <v>5</v>
      </c>
      <c r="J879" s="4">
        <v>7239</v>
      </c>
      <c r="K879" s="4">
        <v>4196.53</v>
      </c>
      <c r="L879" s="4">
        <v>3042.47</v>
      </c>
      <c r="M879" s="1" t="str">
        <f>TEXT(Table1[[#This Row],[Order_Date]], "MMM")</f>
        <v>Mar</v>
      </c>
      <c r="N879" s="1">
        <f>YEAR(Table1[[#This Row],[Order_Date]])</f>
        <v>2023</v>
      </c>
      <c r="O879" s="7">
        <f>Table1[[#This Row],[Profit]]/Table1[[#This Row],[Total_Sales]]</f>
        <v>0.42028871391076111</v>
      </c>
    </row>
    <row r="880" spans="1:15" x14ac:dyDescent="0.25">
      <c r="A880" s="1">
        <v>879</v>
      </c>
      <c r="B880" s="2">
        <v>45177</v>
      </c>
      <c r="C880" s="1" t="s">
        <v>16</v>
      </c>
      <c r="D880" s="1" t="s">
        <v>20</v>
      </c>
      <c r="E880" s="1" t="s">
        <v>43</v>
      </c>
      <c r="F880" s="1" t="s">
        <v>18</v>
      </c>
      <c r="G880" s="1">
        <v>8</v>
      </c>
      <c r="H880" s="1">
        <v>513</v>
      </c>
      <c r="I880" s="1">
        <v>20</v>
      </c>
      <c r="J880" s="4">
        <v>3283.2</v>
      </c>
      <c r="K880" s="4">
        <v>2179.81</v>
      </c>
      <c r="L880" s="4">
        <v>1103.3900000000001</v>
      </c>
      <c r="M880" s="1" t="str">
        <f>TEXT(Table1[[#This Row],[Order_Date]], "MMM")</f>
        <v>Sep</v>
      </c>
      <c r="N880" s="1">
        <f>YEAR(Table1[[#This Row],[Order_Date]])</f>
        <v>2023</v>
      </c>
      <c r="O880" s="7">
        <f>Table1[[#This Row],[Profit]]/Table1[[#This Row],[Total_Sales]]</f>
        <v>0.33607151559454196</v>
      </c>
    </row>
    <row r="881" spans="1:15" x14ac:dyDescent="0.25">
      <c r="A881" s="1">
        <v>880</v>
      </c>
      <c r="B881" s="2">
        <v>44960</v>
      </c>
      <c r="C881" s="1" t="s">
        <v>16</v>
      </c>
      <c r="D881" s="1" t="s">
        <v>32</v>
      </c>
      <c r="E881" s="1" t="s">
        <v>41</v>
      </c>
      <c r="F881" s="1" t="s">
        <v>35</v>
      </c>
      <c r="G881" s="1">
        <v>5</v>
      </c>
      <c r="H881" s="1">
        <v>823</v>
      </c>
      <c r="I881" s="1">
        <v>5</v>
      </c>
      <c r="J881" s="4">
        <v>3909.25</v>
      </c>
      <c r="K881" s="4">
        <v>2289.5100000000002</v>
      </c>
      <c r="L881" s="4">
        <v>1619.74</v>
      </c>
      <c r="M881" s="1" t="str">
        <f>TEXT(Table1[[#This Row],[Order_Date]], "MMM")</f>
        <v>Feb</v>
      </c>
      <c r="N881" s="1">
        <f>YEAR(Table1[[#This Row],[Order_Date]])</f>
        <v>2023</v>
      </c>
      <c r="O881" s="7">
        <f>Table1[[#This Row],[Profit]]/Table1[[#This Row],[Total_Sales]]</f>
        <v>0.41433523054294302</v>
      </c>
    </row>
    <row r="882" spans="1:15" x14ac:dyDescent="0.25">
      <c r="A882" s="1">
        <v>881</v>
      </c>
      <c r="B882" s="2">
        <v>45469</v>
      </c>
      <c r="C882" s="1" t="s">
        <v>16</v>
      </c>
      <c r="D882" s="1" t="s">
        <v>20</v>
      </c>
      <c r="E882" s="1" t="s">
        <v>21</v>
      </c>
      <c r="F882" s="1" t="s">
        <v>24</v>
      </c>
      <c r="G882" s="1">
        <v>6</v>
      </c>
      <c r="H882" s="1">
        <v>628</v>
      </c>
      <c r="I882" s="1">
        <v>15</v>
      </c>
      <c r="J882" s="4">
        <v>3202.8</v>
      </c>
      <c r="K882" s="4">
        <v>2482.04</v>
      </c>
      <c r="L882" s="4">
        <v>720.76</v>
      </c>
      <c r="M882" s="1" t="str">
        <f>TEXT(Table1[[#This Row],[Order_Date]], "MMM")</f>
        <v>Jun</v>
      </c>
      <c r="N882" s="1">
        <f>YEAR(Table1[[#This Row],[Order_Date]])</f>
        <v>2024</v>
      </c>
      <c r="O882" s="7">
        <f>Table1[[#This Row],[Profit]]/Table1[[#This Row],[Total_Sales]]</f>
        <v>0.2250405894842013</v>
      </c>
    </row>
    <row r="883" spans="1:15" x14ac:dyDescent="0.25">
      <c r="A883" s="1">
        <v>882</v>
      </c>
      <c r="B883" s="2">
        <v>45177</v>
      </c>
      <c r="C883" s="1" t="s">
        <v>25</v>
      </c>
      <c r="D883" s="1" t="s">
        <v>13</v>
      </c>
      <c r="E883" s="1" t="s">
        <v>14</v>
      </c>
      <c r="F883" s="1" t="s">
        <v>18</v>
      </c>
      <c r="G883" s="1">
        <v>5</v>
      </c>
      <c r="H883" s="1">
        <v>509</v>
      </c>
      <c r="I883" s="1">
        <v>10</v>
      </c>
      <c r="J883" s="4">
        <v>2290.5</v>
      </c>
      <c r="K883" s="4">
        <v>1244.94</v>
      </c>
      <c r="L883" s="4">
        <v>1045.56</v>
      </c>
      <c r="M883" s="1" t="str">
        <f>TEXT(Table1[[#This Row],[Order_Date]], "MMM")</f>
        <v>Sep</v>
      </c>
      <c r="N883" s="1">
        <f>YEAR(Table1[[#This Row],[Order_Date]])</f>
        <v>2023</v>
      </c>
      <c r="O883" s="7">
        <f>Table1[[#This Row],[Profit]]/Table1[[#This Row],[Total_Sales]]</f>
        <v>0.45647675180091679</v>
      </c>
    </row>
    <row r="884" spans="1:15" x14ac:dyDescent="0.25">
      <c r="A884" s="1">
        <v>883</v>
      </c>
      <c r="B884" s="2">
        <v>45407</v>
      </c>
      <c r="C884" s="1" t="s">
        <v>25</v>
      </c>
      <c r="D884" s="1" t="s">
        <v>20</v>
      </c>
      <c r="E884" s="1" t="s">
        <v>30</v>
      </c>
      <c r="F884" s="1" t="s">
        <v>24</v>
      </c>
      <c r="G884" s="1">
        <v>1</v>
      </c>
      <c r="H884" s="1">
        <v>492</v>
      </c>
      <c r="I884" s="1">
        <v>5</v>
      </c>
      <c r="J884" s="4">
        <v>467.4</v>
      </c>
      <c r="K884" s="4">
        <v>369.32</v>
      </c>
      <c r="L884" s="4">
        <v>98.08</v>
      </c>
      <c r="M884" s="1" t="str">
        <f>TEXT(Table1[[#This Row],[Order_Date]], "MMM")</f>
        <v>Apr</v>
      </c>
      <c r="N884" s="1">
        <f>YEAR(Table1[[#This Row],[Order_Date]])</f>
        <v>2024</v>
      </c>
      <c r="O884" s="7">
        <f>Table1[[#This Row],[Profit]]/Table1[[#This Row],[Total_Sales]]</f>
        <v>0.20984167736414208</v>
      </c>
    </row>
    <row r="885" spans="1:15" x14ac:dyDescent="0.25">
      <c r="A885" s="1">
        <v>884</v>
      </c>
      <c r="B885" s="2">
        <v>45361</v>
      </c>
      <c r="C885" s="1" t="s">
        <v>25</v>
      </c>
      <c r="D885" s="1" t="s">
        <v>26</v>
      </c>
      <c r="E885" s="1" t="s">
        <v>42</v>
      </c>
      <c r="F885" s="1" t="s">
        <v>40</v>
      </c>
      <c r="G885" s="1">
        <v>10</v>
      </c>
      <c r="H885" s="1">
        <v>370</v>
      </c>
      <c r="I885" s="1">
        <v>20</v>
      </c>
      <c r="J885" s="4">
        <v>2960</v>
      </c>
      <c r="K885" s="4">
        <v>1974.01</v>
      </c>
      <c r="L885" s="4">
        <v>985.99</v>
      </c>
      <c r="M885" s="1" t="str">
        <f>TEXT(Table1[[#This Row],[Order_Date]], "MMM")</f>
        <v>Mar</v>
      </c>
      <c r="N885" s="1">
        <f>YEAR(Table1[[#This Row],[Order_Date]])</f>
        <v>2024</v>
      </c>
      <c r="O885" s="7">
        <f>Table1[[#This Row],[Profit]]/Table1[[#This Row],[Total_Sales]]</f>
        <v>0.33310472972972971</v>
      </c>
    </row>
    <row r="886" spans="1:15" x14ac:dyDescent="0.25">
      <c r="A886" s="1">
        <v>885</v>
      </c>
      <c r="B886" s="2">
        <v>44937</v>
      </c>
      <c r="C886" s="1" t="s">
        <v>25</v>
      </c>
      <c r="D886" s="1" t="s">
        <v>32</v>
      </c>
      <c r="E886" s="1" t="s">
        <v>45</v>
      </c>
      <c r="F886" s="1" t="s">
        <v>15</v>
      </c>
      <c r="G886" s="1">
        <v>4</v>
      </c>
      <c r="H886" s="1">
        <v>525</v>
      </c>
      <c r="I886" s="1">
        <v>20</v>
      </c>
      <c r="J886" s="4">
        <v>1680</v>
      </c>
      <c r="K886" s="4">
        <v>931.82</v>
      </c>
      <c r="L886" s="4">
        <v>748.18</v>
      </c>
      <c r="M886" s="1" t="str">
        <f>TEXT(Table1[[#This Row],[Order_Date]], "MMM")</f>
        <v>Jan</v>
      </c>
      <c r="N886" s="1">
        <f>YEAR(Table1[[#This Row],[Order_Date]])</f>
        <v>2023</v>
      </c>
      <c r="O886" s="7">
        <f>Table1[[#This Row],[Profit]]/Table1[[#This Row],[Total_Sales]]</f>
        <v>0.44534523809523807</v>
      </c>
    </row>
    <row r="887" spans="1:15" x14ac:dyDescent="0.25">
      <c r="A887" s="1">
        <v>886</v>
      </c>
      <c r="B887" s="2">
        <v>45305</v>
      </c>
      <c r="C887" s="1" t="s">
        <v>25</v>
      </c>
      <c r="D887" s="1" t="s">
        <v>32</v>
      </c>
      <c r="E887" s="1" t="s">
        <v>33</v>
      </c>
      <c r="F887" s="1" t="s">
        <v>31</v>
      </c>
      <c r="G887" s="1">
        <v>9</v>
      </c>
      <c r="H887" s="1">
        <v>874</v>
      </c>
      <c r="I887" s="1">
        <v>5</v>
      </c>
      <c r="J887" s="4">
        <v>7472.7</v>
      </c>
      <c r="K887" s="4">
        <v>4653.62</v>
      </c>
      <c r="L887" s="4">
        <v>2819.08</v>
      </c>
      <c r="M887" s="1" t="str">
        <f>TEXT(Table1[[#This Row],[Order_Date]], "MMM")</f>
        <v>Jan</v>
      </c>
      <c r="N887" s="1">
        <f>YEAR(Table1[[#This Row],[Order_Date]])</f>
        <v>2024</v>
      </c>
      <c r="O887" s="7">
        <f>Table1[[#This Row],[Profit]]/Table1[[#This Row],[Total_Sales]]</f>
        <v>0.37725052524522595</v>
      </c>
    </row>
    <row r="888" spans="1:15" x14ac:dyDescent="0.25">
      <c r="A888" s="1">
        <v>887</v>
      </c>
      <c r="B888" s="2">
        <v>45062</v>
      </c>
      <c r="C888" s="1" t="s">
        <v>16</v>
      </c>
      <c r="D888" s="1" t="s">
        <v>20</v>
      </c>
      <c r="E888" s="1" t="s">
        <v>21</v>
      </c>
      <c r="F888" s="1" t="s">
        <v>40</v>
      </c>
      <c r="G888" s="1">
        <v>10</v>
      </c>
      <c r="H888" s="1">
        <v>152</v>
      </c>
      <c r="I888" s="1">
        <v>0</v>
      </c>
      <c r="J888" s="4">
        <v>1520</v>
      </c>
      <c r="K888" s="4">
        <v>992.82</v>
      </c>
      <c r="L888" s="4">
        <v>527.17999999999995</v>
      </c>
      <c r="M888" s="1" t="str">
        <f>TEXT(Table1[[#This Row],[Order_Date]], "MMM")</f>
        <v>May</v>
      </c>
      <c r="N888" s="1">
        <f>YEAR(Table1[[#This Row],[Order_Date]])</f>
        <v>2023</v>
      </c>
      <c r="O888" s="7">
        <f>Table1[[#This Row],[Profit]]/Table1[[#This Row],[Total_Sales]]</f>
        <v>0.34682894736842101</v>
      </c>
    </row>
    <row r="889" spans="1:15" x14ac:dyDescent="0.25">
      <c r="A889" s="1">
        <v>888</v>
      </c>
      <c r="B889" s="2">
        <v>45444</v>
      </c>
      <c r="C889" s="1" t="s">
        <v>19</v>
      </c>
      <c r="D889" s="1" t="s">
        <v>26</v>
      </c>
      <c r="E889" s="1" t="s">
        <v>37</v>
      </c>
      <c r="F889" s="1" t="s">
        <v>35</v>
      </c>
      <c r="G889" s="1">
        <v>2</v>
      </c>
      <c r="H889" s="1">
        <v>528</v>
      </c>
      <c r="I889" s="1">
        <v>15</v>
      </c>
      <c r="J889" s="4">
        <v>897.6</v>
      </c>
      <c r="K889" s="4">
        <v>501.12</v>
      </c>
      <c r="L889" s="4">
        <v>396.48</v>
      </c>
      <c r="M889" s="1" t="str">
        <f>TEXT(Table1[[#This Row],[Order_Date]], "MMM")</f>
        <v>Jun</v>
      </c>
      <c r="N889" s="1">
        <f>YEAR(Table1[[#This Row],[Order_Date]])</f>
        <v>2024</v>
      </c>
      <c r="O889" s="7">
        <f>Table1[[#This Row],[Profit]]/Table1[[#This Row],[Total_Sales]]</f>
        <v>0.44171122994652406</v>
      </c>
    </row>
    <row r="890" spans="1:15" x14ac:dyDescent="0.25">
      <c r="A890" s="1">
        <v>889</v>
      </c>
      <c r="B890" s="2">
        <v>44995</v>
      </c>
      <c r="C890" s="1" t="s">
        <v>12</v>
      </c>
      <c r="D890" s="1" t="s">
        <v>22</v>
      </c>
      <c r="E890" s="1" t="s">
        <v>23</v>
      </c>
      <c r="F890" s="1" t="s">
        <v>15</v>
      </c>
      <c r="G890" s="1">
        <v>5</v>
      </c>
      <c r="H890" s="1">
        <v>76</v>
      </c>
      <c r="I890" s="1">
        <v>10</v>
      </c>
      <c r="J890" s="4">
        <v>342</v>
      </c>
      <c r="K890" s="4">
        <v>264.51</v>
      </c>
      <c r="L890" s="4">
        <v>77.489999999999995</v>
      </c>
      <c r="M890" s="1" t="str">
        <f>TEXT(Table1[[#This Row],[Order_Date]], "MMM")</f>
        <v>Mar</v>
      </c>
      <c r="N890" s="1">
        <f>YEAR(Table1[[#This Row],[Order_Date]])</f>
        <v>2023</v>
      </c>
      <c r="O890" s="7">
        <f>Table1[[#This Row],[Profit]]/Table1[[#This Row],[Total_Sales]]</f>
        <v>0.22657894736842105</v>
      </c>
    </row>
    <row r="891" spans="1:15" x14ac:dyDescent="0.25">
      <c r="A891" s="1">
        <v>890</v>
      </c>
      <c r="B891" s="2">
        <v>45374</v>
      </c>
      <c r="C891" s="1" t="s">
        <v>12</v>
      </c>
      <c r="D891" s="1" t="s">
        <v>13</v>
      </c>
      <c r="E891" s="1" t="s">
        <v>14</v>
      </c>
      <c r="F891" s="1" t="s">
        <v>35</v>
      </c>
      <c r="G891" s="1">
        <v>2</v>
      </c>
      <c r="H891" s="1">
        <v>642</v>
      </c>
      <c r="I891" s="1">
        <v>0</v>
      </c>
      <c r="J891" s="4">
        <v>1284</v>
      </c>
      <c r="K891" s="4">
        <v>977.72</v>
      </c>
      <c r="L891" s="4">
        <v>306.27999999999997</v>
      </c>
      <c r="M891" s="1" t="str">
        <f>TEXT(Table1[[#This Row],[Order_Date]], "MMM")</f>
        <v>Mar</v>
      </c>
      <c r="N891" s="1">
        <f>YEAR(Table1[[#This Row],[Order_Date]])</f>
        <v>2024</v>
      </c>
      <c r="O891" s="7">
        <f>Table1[[#This Row],[Profit]]/Table1[[#This Row],[Total_Sales]]</f>
        <v>0.23853582554517133</v>
      </c>
    </row>
    <row r="892" spans="1:15" x14ac:dyDescent="0.25">
      <c r="A892" s="1">
        <v>891</v>
      </c>
      <c r="B892" s="2">
        <v>45288</v>
      </c>
      <c r="C892" s="1" t="s">
        <v>12</v>
      </c>
      <c r="D892" s="1" t="s">
        <v>13</v>
      </c>
      <c r="E892" s="1" t="s">
        <v>39</v>
      </c>
      <c r="F892" s="1" t="s">
        <v>31</v>
      </c>
      <c r="G892" s="1">
        <v>1</v>
      </c>
      <c r="H892" s="1">
        <v>909</v>
      </c>
      <c r="I892" s="1">
        <v>15</v>
      </c>
      <c r="J892" s="4">
        <v>772.65</v>
      </c>
      <c r="K892" s="4">
        <v>401.7</v>
      </c>
      <c r="L892" s="4">
        <v>370.95</v>
      </c>
      <c r="M892" s="1" t="str">
        <f>TEXT(Table1[[#This Row],[Order_Date]], "MMM")</f>
        <v>Dec</v>
      </c>
      <c r="N892" s="1">
        <f>YEAR(Table1[[#This Row],[Order_Date]])</f>
        <v>2023</v>
      </c>
      <c r="O892" s="7">
        <f>Table1[[#This Row],[Profit]]/Table1[[#This Row],[Total_Sales]]</f>
        <v>0.48010095127159774</v>
      </c>
    </row>
    <row r="893" spans="1:15" x14ac:dyDescent="0.25">
      <c r="A893" s="1">
        <v>892</v>
      </c>
      <c r="B893" s="2">
        <v>45623</v>
      </c>
      <c r="C893" s="1" t="s">
        <v>25</v>
      </c>
      <c r="D893" s="1" t="s">
        <v>22</v>
      </c>
      <c r="E893" s="1" t="s">
        <v>23</v>
      </c>
      <c r="F893" s="1" t="s">
        <v>35</v>
      </c>
      <c r="G893" s="1">
        <v>6</v>
      </c>
      <c r="H893" s="1">
        <v>639</v>
      </c>
      <c r="I893" s="1">
        <v>15</v>
      </c>
      <c r="J893" s="4">
        <v>3258.9</v>
      </c>
      <c r="K893" s="4">
        <v>1689.67</v>
      </c>
      <c r="L893" s="4">
        <v>1569.23</v>
      </c>
      <c r="M893" s="1" t="str">
        <f>TEXT(Table1[[#This Row],[Order_Date]], "MMM")</f>
        <v>Nov</v>
      </c>
      <c r="N893" s="1">
        <f>YEAR(Table1[[#This Row],[Order_Date]])</f>
        <v>2024</v>
      </c>
      <c r="O893" s="7">
        <f>Table1[[#This Row],[Profit]]/Table1[[#This Row],[Total_Sales]]</f>
        <v>0.48152137224216762</v>
      </c>
    </row>
    <row r="894" spans="1:15" x14ac:dyDescent="0.25">
      <c r="A894" s="1">
        <v>893</v>
      </c>
      <c r="B894" s="2">
        <v>45266</v>
      </c>
      <c r="C894" s="1" t="s">
        <v>25</v>
      </c>
      <c r="D894" s="1" t="s">
        <v>32</v>
      </c>
      <c r="E894" s="1" t="s">
        <v>34</v>
      </c>
      <c r="F894" s="1" t="s">
        <v>18</v>
      </c>
      <c r="G894" s="1">
        <v>9</v>
      </c>
      <c r="H894" s="1">
        <v>489</v>
      </c>
      <c r="I894" s="1">
        <v>15</v>
      </c>
      <c r="J894" s="4">
        <v>3740.85</v>
      </c>
      <c r="K894" s="4">
        <v>2566.64</v>
      </c>
      <c r="L894" s="4">
        <v>1174.21</v>
      </c>
      <c r="M894" s="1" t="str">
        <f>TEXT(Table1[[#This Row],[Order_Date]], "MMM")</f>
        <v>Dec</v>
      </c>
      <c r="N894" s="1">
        <f>YEAR(Table1[[#This Row],[Order_Date]])</f>
        <v>2023</v>
      </c>
      <c r="O894" s="7">
        <f>Table1[[#This Row],[Profit]]/Table1[[#This Row],[Total_Sales]]</f>
        <v>0.31388855474023286</v>
      </c>
    </row>
    <row r="895" spans="1:15" x14ac:dyDescent="0.25">
      <c r="A895" s="1">
        <v>894</v>
      </c>
      <c r="B895" s="2">
        <v>44977</v>
      </c>
      <c r="C895" s="1" t="s">
        <v>19</v>
      </c>
      <c r="D895" s="1" t="s">
        <v>20</v>
      </c>
      <c r="E895" s="1" t="s">
        <v>30</v>
      </c>
      <c r="F895" s="1" t="s">
        <v>15</v>
      </c>
      <c r="G895" s="1">
        <v>2</v>
      </c>
      <c r="H895" s="1">
        <v>368</v>
      </c>
      <c r="I895" s="1">
        <v>20</v>
      </c>
      <c r="J895" s="4">
        <v>588.79999999999995</v>
      </c>
      <c r="K895" s="4">
        <v>352.79</v>
      </c>
      <c r="L895" s="4">
        <v>236.01</v>
      </c>
      <c r="M895" s="1" t="str">
        <f>TEXT(Table1[[#This Row],[Order_Date]], "MMM")</f>
        <v>Feb</v>
      </c>
      <c r="N895" s="1">
        <f>YEAR(Table1[[#This Row],[Order_Date]])</f>
        <v>2023</v>
      </c>
      <c r="O895" s="7">
        <f>Table1[[#This Row],[Profit]]/Table1[[#This Row],[Total_Sales]]</f>
        <v>0.40083220108695655</v>
      </c>
    </row>
    <row r="896" spans="1:15" x14ac:dyDescent="0.25">
      <c r="A896" s="1">
        <v>895</v>
      </c>
      <c r="B896" s="2">
        <v>45272</v>
      </c>
      <c r="C896" s="1" t="s">
        <v>12</v>
      </c>
      <c r="D896" s="1" t="s">
        <v>20</v>
      </c>
      <c r="E896" s="1" t="s">
        <v>21</v>
      </c>
      <c r="F896" s="1" t="s">
        <v>35</v>
      </c>
      <c r="G896" s="1">
        <v>6</v>
      </c>
      <c r="H896" s="1">
        <v>268</v>
      </c>
      <c r="I896" s="1">
        <v>10</v>
      </c>
      <c r="J896" s="4">
        <v>1447.2</v>
      </c>
      <c r="K896" s="4">
        <v>1047.96</v>
      </c>
      <c r="L896" s="4">
        <v>399.24</v>
      </c>
      <c r="M896" s="1" t="str">
        <f>TEXT(Table1[[#This Row],[Order_Date]], "MMM")</f>
        <v>Dec</v>
      </c>
      <c r="N896" s="1">
        <f>YEAR(Table1[[#This Row],[Order_Date]])</f>
        <v>2023</v>
      </c>
      <c r="O896" s="7">
        <f>Table1[[#This Row],[Profit]]/Table1[[#This Row],[Total_Sales]]</f>
        <v>0.27587064676616913</v>
      </c>
    </row>
    <row r="897" spans="1:15" x14ac:dyDescent="0.25">
      <c r="A897" s="1">
        <v>896</v>
      </c>
      <c r="B897" s="2">
        <v>45346</v>
      </c>
      <c r="C897" s="1" t="s">
        <v>12</v>
      </c>
      <c r="D897" s="1" t="s">
        <v>26</v>
      </c>
      <c r="E897" s="1" t="s">
        <v>37</v>
      </c>
      <c r="F897" s="1" t="s">
        <v>24</v>
      </c>
      <c r="G897" s="1">
        <v>9</v>
      </c>
      <c r="H897" s="1">
        <v>22</v>
      </c>
      <c r="I897" s="1">
        <v>15</v>
      </c>
      <c r="J897" s="4">
        <v>168.3</v>
      </c>
      <c r="K897" s="4">
        <v>126.92</v>
      </c>
      <c r="L897" s="4">
        <v>41.38</v>
      </c>
      <c r="M897" s="1" t="str">
        <f>TEXT(Table1[[#This Row],[Order_Date]], "MMM")</f>
        <v>Feb</v>
      </c>
      <c r="N897" s="1">
        <f>YEAR(Table1[[#This Row],[Order_Date]])</f>
        <v>2024</v>
      </c>
      <c r="O897" s="7">
        <f>Table1[[#This Row],[Profit]]/Table1[[#This Row],[Total_Sales]]</f>
        <v>0.24587046939988116</v>
      </c>
    </row>
    <row r="898" spans="1:15" x14ac:dyDescent="0.25">
      <c r="A898" s="1">
        <v>897</v>
      </c>
      <c r="B898" s="2">
        <v>45107</v>
      </c>
      <c r="C898" s="1" t="s">
        <v>16</v>
      </c>
      <c r="D898" s="1" t="s">
        <v>20</v>
      </c>
      <c r="E898" s="1" t="s">
        <v>28</v>
      </c>
      <c r="F898" s="1" t="s">
        <v>35</v>
      </c>
      <c r="G898" s="1">
        <v>10</v>
      </c>
      <c r="H898" s="1">
        <v>192</v>
      </c>
      <c r="I898" s="1">
        <v>10</v>
      </c>
      <c r="J898" s="4">
        <v>1728</v>
      </c>
      <c r="K898" s="4">
        <v>1214.6400000000001</v>
      </c>
      <c r="L898" s="4">
        <v>513.36</v>
      </c>
      <c r="M898" s="1" t="str">
        <f>TEXT(Table1[[#This Row],[Order_Date]], "MMM")</f>
        <v>Jun</v>
      </c>
      <c r="N898" s="1">
        <f>YEAR(Table1[[#This Row],[Order_Date]])</f>
        <v>2023</v>
      </c>
      <c r="O898" s="7">
        <f>Table1[[#This Row],[Profit]]/Table1[[#This Row],[Total_Sales]]</f>
        <v>0.29708333333333337</v>
      </c>
    </row>
    <row r="899" spans="1:15" x14ac:dyDescent="0.25">
      <c r="A899" s="1">
        <v>898</v>
      </c>
      <c r="B899" s="2">
        <v>45168</v>
      </c>
      <c r="C899" s="1" t="s">
        <v>19</v>
      </c>
      <c r="D899" s="1" t="s">
        <v>32</v>
      </c>
      <c r="E899" s="1" t="s">
        <v>34</v>
      </c>
      <c r="F899" s="1" t="s">
        <v>31</v>
      </c>
      <c r="G899" s="1">
        <v>9</v>
      </c>
      <c r="H899" s="1">
        <v>238</v>
      </c>
      <c r="I899" s="1">
        <v>5</v>
      </c>
      <c r="J899" s="4">
        <v>2034.9</v>
      </c>
      <c r="K899" s="4">
        <v>1105.43</v>
      </c>
      <c r="L899" s="4">
        <v>929.47</v>
      </c>
      <c r="M899" s="1" t="str">
        <f>TEXT(Table1[[#This Row],[Order_Date]], "MMM")</f>
        <v>Aug</v>
      </c>
      <c r="N899" s="1">
        <f>YEAR(Table1[[#This Row],[Order_Date]])</f>
        <v>2023</v>
      </c>
      <c r="O899" s="7">
        <f>Table1[[#This Row],[Profit]]/Table1[[#This Row],[Total_Sales]]</f>
        <v>0.45676446017003292</v>
      </c>
    </row>
    <row r="900" spans="1:15" x14ac:dyDescent="0.25">
      <c r="A900" s="1">
        <v>899</v>
      </c>
      <c r="B900" s="2">
        <v>45404</v>
      </c>
      <c r="C900" s="1" t="s">
        <v>25</v>
      </c>
      <c r="D900" s="1" t="s">
        <v>20</v>
      </c>
      <c r="E900" s="1" t="s">
        <v>43</v>
      </c>
      <c r="F900" s="1" t="s">
        <v>24</v>
      </c>
      <c r="G900" s="1">
        <v>3</v>
      </c>
      <c r="H900" s="1">
        <v>41</v>
      </c>
      <c r="I900" s="1">
        <v>10</v>
      </c>
      <c r="J900" s="4">
        <v>110.7</v>
      </c>
      <c r="K900" s="4">
        <v>76.67</v>
      </c>
      <c r="L900" s="4">
        <v>34.03</v>
      </c>
      <c r="M900" s="1" t="str">
        <f>TEXT(Table1[[#This Row],[Order_Date]], "MMM")</f>
        <v>Apr</v>
      </c>
      <c r="N900" s="1">
        <f>YEAR(Table1[[#This Row],[Order_Date]])</f>
        <v>2024</v>
      </c>
      <c r="O900" s="7">
        <f>Table1[[#This Row],[Profit]]/Table1[[#This Row],[Total_Sales]]</f>
        <v>0.30740740740740741</v>
      </c>
    </row>
    <row r="901" spans="1:15" x14ac:dyDescent="0.25">
      <c r="A901" s="1">
        <v>900</v>
      </c>
      <c r="B901" s="2">
        <v>45529</v>
      </c>
      <c r="C901" s="1" t="s">
        <v>16</v>
      </c>
      <c r="D901" s="1" t="s">
        <v>32</v>
      </c>
      <c r="E901" s="1" t="s">
        <v>34</v>
      </c>
      <c r="F901" s="1" t="s">
        <v>15</v>
      </c>
      <c r="G901" s="1">
        <v>8</v>
      </c>
      <c r="H901" s="1">
        <v>802</v>
      </c>
      <c r="I901" s="1">
        <v>10</v>
      </c>
      <c r="J901" s="4">
        <v>5774.4</v>
      </c>
      <c r="K901" s="4">
        <v>4475.1400000000003</v>
      </c>
      <c r="L901" s="4">
        <v>1299.26</v>
      </c>
      <c r="M901" s="1" t="str">
        <f>TEXT(Table1[[#This Row],[Order_Date]], "MMM")</f>
        <v>Aug</v>
      </c>
      <c r="N901" s="1">
        <f>YEAR(Table1[[#This Row],[Order_Date]])</f>
        <v>2024</v>
      </c>
      <c r="O901" s="7">
        <f>Table1[[#This Row],[Profit]]/Table1[[#This Row],[Total_Sales]]</f>
        <v>0.22500346356331394</v>
      </c>
    </row>
    <row r="902" spans="1:15" x14ac:dyDescent="0.25">
      <c r="A902" s="1">
        <v>901</v>
      </c>
      <c r="B902" s="2">
        <v>45098</v>
      </c>
      <c r="C902" s="1" t="s">
        <v>12</v>
      </c>
      <c r="D902" s="1" t="s">
        <v>26</v>
      </c>
      <c r="E902" s="1" t="s">
        <v>42</v>
      </c>
      <c r="F902" s="1" t="s">
        <v>24</v>
      </c>
      <c r="G902" s="1">
        <v>9</v>
      </c>
      <c r="H902" s="1">
        <v>509</v>
      </c>
      <c r="I902" s="1">
        <v>5</v>
      </c>
      <c r="J902" s="4">
        <v>4351.95</v>
      </c>
      <c r="K902" s="4">
        <v>2344.7600000000002</v>
      </c>
      <c r="L902" s="4">
        <v>2007.19</v>
      </c>
      <c r="M902" s="1" t="str">
        <f>TEXT(Table1[[#This Row],[Order_Date]], "MMM")</f>
        <v>Jun</v>
      </c>
      <c r="N902" s="1">
        <f>YEAR(Table1[[#This Row],[Order_Date]])</f>
        <v>2023</v>
      </c>
      <c r="O902" s="7">
        <f>Table1[[#This Row],[Profit]]/Table1[[#This Row],[Total_Sales]]</f>
        <v>0.46121623639977483</v>
      </c>
    </row>
    <row r="903" spans="1:15" x14ac:dyDescent="0.25">
      <c r="A903" s="1">
        <v>902</v>
      </c>
      <c r="B903" s="2">
        <v>45125</v>
      </c>
      <c r="C903" s="1" t="s">
        <v>12</v>
      </c>
      <c r="D903" s="1" t="s">
        <v>22</v>
      </c>
      <c r="E903" s="1" t="s">
        <v>36</v>
      </c>
      <c r="F903" s="1" t="s">
        <v>24</v>
      </c>
      <c r="G903" s="1">
        <v>5</v>
      </c>
      <c r="H903" s="1">
        <v>357</v>
      </c>
      <c r="I903" s="1">
        <v>0</v>
      </c>
      <c r="J903" s="4">
        <v>1785</v>
      </c>
      <c r="K903" s="4">
        <v>1049.52</v>
      </c>
      <c r="L903" s="4">
        <v>735.48</v>
      </c>
      <c r="M903" s="1" t="str">
        <f>TEXT(Table1[[#This Row],[Order_Date]], "MMM")</f>
        <v>Jul</v>
      </c>
      <c r="N903" s="1">
        <f>YEAR(Table1[[#This Row],[Order_Date]])</f>
        <v>2023</v>
      </c>
      <c r="O903" s="7">
        <f>Table1[[#This Row],[Profit]]/Table1[[#This Row],[Total_Sales]]</f>
        <v>0.41203361344537814</v>
      </c>
    </row>
    <row r="904" spans="1:15" x14ac:dyDescent="0.25">
      <c r="A904" s="1">
        <v>903</v>
      </c>
      <c r="B904" s="2">
        <v>45558</v>
      </c>
      <c r="C904" s="1" t="s">
        <v>16</v>
      </c>
      <c r="D904" s="1" t="s">
        <v>26</v>
      </c>
      <c r="E904" s="1" t="s">
        <v>27</v>
      </c>
      <c r="F904" s="1" t="s">
        <v>18</v>
      </c>
      <c r="G904" s="1">
        <v>6</v>
      </c>
      <c r="H904" s="1">
        <v>698</v>
      </c>
      <c r="I904" s="1">
        <v>20</v>
      </c>
      <c r="J904" s="4">
        <v>3350.4</v>
      </c>
      <c r="K904" s="4">
        <v>2272.27</v>
      </c>
      <c r="L904" s="4">
        <v>1078.1300000000001</v>
      </c>
      <c r="M904" s="1" t="str">
        <f>TEXT(Table1[[#This Row],[Order_Date]], "MMM")</f>
        <v>Sep</v>
      </c>
      <c r="N904" s="1">
        <f>YEAR(Table1[[#This Row],[Order_Date]])</f>
        <v>2024</v>
      </c>
      <c r="O904" s="7">
        <f>Table1[[#This Row],[Profit]]/Table1[[#This Row],[Total_Sales]]</f>
        <v>0.32179142788920728</v>
      </c>
    </row>
    <row r="905" spans="1:15" x14ac:dyDescent="0.25">
      <c r="A905" s="1">
        <v>904</v>
      </c>
      <c r="B905" s="2">
        <v>45504</v>
      </c>
      <c r="C905" s="1" t="s">
        <v>12</v>
      </c>
      <c r="D905" s="1" t="s">
        <v>32</v>
      </c>
      <c r="E905" s="1" t="s">
        <v>41</v>
      </c>
      <c r="F905" s="1" t="s">
        <v>18</v>
      </c>
      <c r="G905" s="1">
        <v>4</v>
      </c>
      <c r="H905" s="1">
        <v>99</v>
      </c>
      <c r="I905" s="1">
        <v>5</v>
      </c>
      <c r="J905" s="4">
        <v>376.2</v>
      </c>
      <c r="K905" s="4">
        <v>266.95</v>
      </c>
      <c r="L905" s="4">
        <v>109.25</v>
      </c>
      <c r="M905" s="1" t="str">
        <f>TEXT(Table1[[#This Row],[Order_Date]], "MMM")</f>
        <v>Jul</v>
      </c>
      <c r="N905" s="1">
        <f>YEAR(Table1[[#This Row],[Order_Date]])</f>
        <v>2024</v>
      </c>
      <c r="O905" s="7">
        <f>Table1[[#This Row],[Profit]]/Table1[[#This Row],[Total_Sales]]</f>
        <v>0.29040404040404039</v>
      </c>
    </row>
    <row r="906" spans="1:15" x14ac:dyDescent="0.25">
      <c r="A906" s="1">
        <v>905</v>
      </c>
      <c r="B906" s="2">
        <v>45636</v>
      </c>
      <c r="C906" s="1" t="s">
        <v>16</v>
      </c>
      <c r="D906" s="1" t="s">
        <v>13</v>
      </c>
      <c r="E906" s="1" t="s">
        <v>17</v>
      </c>
      <c r="F906" s="1" t="s">
        <v>18</v>
      </c>
      <c r="G906" s="1">
        <v>4</v>
      </c>
      <c r="H906" s="1">
        <v>374</v>
      </c>
      <c r="I906" s="1">
        <v>5</v>
      </c>
      <c r="J906" s="4">
        <v>1421.2</v>
      </c>
      <c r="K906" s="4">
        <v>993.61</v>
      </c>
      <c r="L906" s="4">
        <v>427.59</v>
      </c>
      <c r="M906" s="1" t="str">
        <f>TEXT(Table1[[#This Row],[Order_Date]], "MMM")</f>
        <v>Dec</v>
      </c>
      <c r="N906" s="1">
        <f>YEAR(Table1[[#This Row],[Order_Date]])</f>
        <v>2024</v>
      </c>
      <c r="O906" s="7">
        <f>Table1[[#This Row],[Profit]]/Table1[[#This Row],[Total_Sales]]</f>
        <v>0.30086546580354628</v>
      </c>
    </row>
    <row r="907" spans="1:15" x14ac:dyDescent="0.25">
      <c r="A907" s="1">
        <v>906</v>
      </c>
      <c r="B907" s="2">
        <v>45466</v>
      </c>
      <c r="C907" s="1" t="s">
        <v>19</v>
      </c>
      <c r="D907" s="1" t="s">
        <v>22</v>
      </c>
      <c r="E907" s="1" t="s">
        <v>29</v>
      </c>
      <c r="F907" s="1" t="s">
        <v>24</v>
      </c>
      <c r="G907" s="1">
        <v>3</v>
      </c>
      <c r="H907" s="1">
        <v>650</v>
      </c>
      <c r="I907" s="1">
        <v>10</v>
      </c>
      <c r="J907" s="4">
        <v>1755</v>
      </c>
      <c r="K907" s="4">
        <v>1048.04</v>
      </c>
      <c r="L907" s="4">
        <v>706.96</v>
      </c>
      <c r="M907" s="1" t="str">
        <f>TEXT(Table1[[#This Row],[Order_Date]], "MMM")</f>
        <v>Jun</v>
      </c>
      <c r="N907" s="1">
        <f>YEAR(Table1[[#This Row],[Order_Date]])</f>
        <v>2024</v>
      </c>
      <c r="O907" s="7">
        <f>Table1[[#This Row],[Profit]]/Table1[[#This Row],[Total_Sales]]</f>
        <v>0.40282621082621084</v>
      </c>
    </row>
    <row r="908" spans="1:15" x14ac:dyDescent="0.25">
      <c r="A908" s="1">
        <v>907</v>
      </c>
      <c r="B908" s="2">
        <v>44990</v>
      </c>
      <c r="C908" s="1" t="s">
        <v>12</v>
      </c>
      <c r="D908" s="1" t="s">
        <v>32</v>
      </c>
      <c r="E908" s="1" t="s">
        <v>34</v>
      </c>
      <c r="F908" s="1" t="s">
        <v>24</v>
      </c>
      <c r="G908" s="1">
        <v>2</v>
      </c>
      <c r="H908" s="1">
        <v>190</v>
      </c>
      <c r="I908" s="1">
        <v>20</v>
      </c>
      <c r="J908" s="4">
        <v>304</v>
      </c>
      <c r="K908" s="4">
        <v>211.73</v>
      </c>
      <c r="L908" s="4">
        <v>92.27</v>
      </c>
      <c r="M908" s="1" t="str">
        <f>TEXT(Table1[[#This Row],[Order_Date]], "MMM")</f>
        <v>Mar</v>
      </c>
      <c r="N908" s="1">
        <f>YEAR(Table1[[#This Row],[Order_Date]])</f>
        <v>2023</v>
      </c>
      <c r="O908" s="7">
        <f>Table1[[#This Row],[Profit]]/Table1[[#This Row],[Total_Sales]]</f>
        <v>0.30351973684210526</v>
      </c>
    </row>
    <row r="909" spans="1:15" x14ac:dyDescent="0.25">
      <c r="A909" s="1">
        <v>908</v>
      </c>
      <c r="B909" s="2">
        <v>45509</v>
      </c>
      <c r="C909" s="1" t="s">
        <v>19</v>
      </c>
      <c r="D909" s="1" t="s">
        <v>32</v>
      </c>
      <c r="E909" s="1" t="s">
        <v>34</v>
      </c>
      <c r="F909" s="1" t="s">
        <v>15</v>
      </c>
      <c r="G909" s="1">
        <v>6</v>
      </c>
      <c r="H909" s="1">
        <v>406</v>
      </c>
      <c r="I909" s="1">
        <v>20</v>
      </c>
      <c r="J909" s="4">
        <v>1948.8</v>
      </c>
      <c r="K909" s="4">
        <v>1424.6</v>
      </c>
      <c r="L909" s="4">
        <v>524.20000000000005</v>
      </c>
      <c r="M909" s="1" t="str">
        <f>TEXT(Table1[[#This Row],[Order_Date]], "MMM")</f>
        <v>Aug</v>
      </c>
      <c r="N909" s="1">
        <f>YEAR(Table1[[#This Row],[Order_Date]])</f>
        <v>2024</v>
      </c>
      <c r="O909" s="7">
        <f>Table1[[#This Row],[Profit]]/Table1[[#This Row],[Total_Sales]]</f>
        <v>0.2689860426929393</v>
      </c>
    </row>
    <row r="910" spans="1:15" x14ac:dyDescent="0.25">
      <c r="A910" s="1">
        <v>909</v>
      </c>
      <c r="B910" s="2">
        <v>45380</v>
      </c>
      <c r="C910" s="1" t="s">
        <v>12</v>
      </c>
      <c r="D910" s="1" t="s">
        <v>13</v>
      </c>
      <c r="E910" s="1" t="s">
        <v>17</v>
      </c>
      <c r="F910" s="1" t="s">
        <v>18</v>
      </c>
      <c r="G910" s="1">
        <v>1</v>
      </c>
      <c r="H910" s="1">
        <v>800</v>
      </c>
      <c r="I910" s="1">
        <v>15</v>
      </c>
      <c r="J910" s="4">
        <v>680</v>
      </c>
      <c r="K910" s="4">
        <v>345.5</v>
      </c>
      <c r="L910" s="4">
        <v>334.5</v>
      </c>
      <c r="M910" s="1" t="str">
        <f>TEXT(Table1[[#This Row],[Order_Date]], "MMM")</f>
        <v>Mar</v>
      </c>
      <c r="N910" s="1">
        <f>YEAR(Table1[[#This Row],[Order_Date]])</f>
        <v>2024</v>
      </c>
      <c r="O910" s="7">
        <f>Table1[[#This Row],[Profit]]/Table1[[#This Row],[Total_Sales]]</f>
        <v>0.49191176470588233</v>
      </c>
    </row>
    <row r="911" spans="1:15" x14ac:dyDescent="0.25">
      <c r="A911" s="1">
        <v>910</v>
      </c>
      <c r="B911" s="2">
        <v>45451</v>
      </c>
      <c r="C911" s="1" t="s">
        <v>19</v>
      </c>
      <c r="D911" s="1" t="s">
        <v>22</v>
      </c>
      <c r="E911" s="1" t="s">
        <v>29</v>
      </c>
      <c r="F911" s="1" t="s">
        <v>15</v>
      </c>
      <c r="G911" s="1">
        <v>6</v>
      </c>
      <c r="H911" s="1">
        <v>388</v>
      </c>
      <c r="I911" s="1">
        <v>15</v>
      </c>
      <c r="J911" s="4">
        <v>1978.8</v>
      </c>
      <c r="K911" s="4">
        <v>1482.24</v>
      </c>
      <c r="L911" s="4">
        <v>496.56</v>
      </c>
      <c r="M911" s="1" t="str">
        <f>TEXT(Table1[[#This Row],[Order_Date]], "MMM")</f>
        <v>Jun</v>
      </c>
      <c r="N911" s="1">
        <f>YEAR(Table1[[#This Row],[Order_Date]])</f>
        <v>2024</v>
      </c>
      <c r="O911" s="7">
        <f>Table1[[#This Row],[Profit]]/Table1[[#This Row],[Total_Sales]]</f>
        <v>0.2509399636143117</v>
      </c>
    </row>
    <row r="912" spans="1:15" x14ac:dyDescent="0.25">
      <c r="A912" s="1">
        <v>911</v>
      </c>
      <c r="B912" s="2">
        <v>45209</v>
      </c>
      <c r="C912" s="1" t="s">
        <v>12</v>
      </c>
      <c r="D912" s="1" t="s">
        <v>13</v>
      </c>
      <c r="E912" s="1" t="s">
        <v>14</v>
      </c>
      <c r="F912" s="1" t="s">
        <v>18</v>
      </c>
      <c r="G912" s="1">
        <v>7</v>
      </c>
      <c r="H912" s="1">
        <v>672</v>
      </c>
      <c r="I912" s="1">
        <v>10</v>
      </c>
      <c r="J912" s="4">
        <v>4233.6000000000004</v>
      </c>
      <c r="K912" s="4">
        <v>2195.7800000000002</v>
      </c>
      <c r="L912" s="4">
        <v>2037.82</v>
      </c>
      <c r="M912" s="1" t="str">
        <f>TEXT(Table1[[#This Row],[Order_Date]], "MMM")</f>
        <v>Oct</v>
      </c>
      <c r="N912" s="1">
        <f>YEAR(Table1[[#This Row],[Order_Date]])</f>
        <v>2023</v>
      </c>
      <c r="O912" s="7">
        <f>Table1[[#This Row],[Profit]]/Table1[[#This Row],[Total_Sales]]</f>
        <v>0.48134448223733933</v>
      </c>
    </row>
    <row r="913" spans="1:15" x14ac:dyDescent="0.25">
      <c r="A913" s="1">
        <v>912</v>
      </c>
      <c r="B913" s="2">
        <v>45326</v>
      </c>
      <c r="C913" s="1" t="s">
        <v>25</v>
      </c>
      <c r="D913" s="1" t="s">
        <v>22</v>
      </c>
      <c r="E913" s="1" t="s">
        <v>23</v>
      </c>
      <c r="F913" s="1" t="s">
        <v>18</v>
      </c>
      <c r="G913" s="1">
        <v>3</v>
      </c>
      <c r="H913" s="1">
        <v>298</v>
      </c>
      <c r="I913" s="1">
        <v>10</v>
      </c>
      <c r="J913" s="4">
        <v>804.6</v>
      </c>
      <c r="K913" s="4">
        <v>634.48</v>
      </c>
      <c r="L913" s="4">
        <v>170.12</v>
      </c>
      <c r="M913" s="1" t="str">
        <f>TEXT(Table1[[#This Row],[Order_Date]], "MMM")</f>
        <v>Feb</v>
      </c>
      <c r="N913" s="1">
        <f>YEAR(Table1[[#This Row],[Order_Date]])</f>
        <v>2024</v>
      </c>
      <c r="O913" s="7">
        <f>Table1[[#This Row],[Profit]]/Table1[[#This Row],[Total_Sales]]</f>
        <v>0.2114342530449913</v>
      </c>
    </row>
    <row r="914" spans="1:15" x14ac:dyDescent="0.25">
      <c r="A914" s="1">
        <v>913</v>
      </c>
      <c r="B914" s="2">
        <v>45223</v>
      </c>
      <c r="C914" s="1" t="s">
        <v>25</v>
      </c>
      <c r="D914" s="1" t="s">
        <v>32</v>
      </c>
      <c r="E914" s="1" t="s">
        <v>34</v>
      </c>
      <c r="F914" s="1" t="s">
        <v>24</v>
      </c>
      <c r="G914" s="1">
        <v>10</v>
      </c>
      <c r="H914" s="1">
        <v>618</v>
      </c>
      <c r="I914" s="1">
        <v>15</v>
      </c>
      <c r="J914" s="4">
        <v>5253</v>
      </c>
      <c r="K914" s="4">
        <v>3733.08</v>
      </c>
      <c r="L914" s="4">
        <v>1519.92</v>
      </c>
      <c r="M914" s="1" t="str">
        <f>TEXT(Table1[[#This Row],[Order_Date]], "MMM")</f>
        <v>Oct</v>
      </c>
      <c r="N914" s="1">
        <f>YEAR(Table1[[#This Row],[Order_Date]])</f>
        <v>2023</v>
      </c>
      <c r="O914" s="7">
        <f>Table1[[#This Row],[Profit]]/Table1[[#This Row],[Total_Sales]]</f>
        <v>0.28934323243860655</v>
      </c>
    </row>
    <row r="915" spans="1:15" x14ac:dyDescent="0.25">
      <c r="A915" s="1">
        <v>914</v>
      </c>
      <c r="B915" s="2">
        <v>45202</v>
      </c>
      <c r="C915" s="1" t="s">
        <v>12</v>
      </c>
      <c r="D915" s="1" t="s">
        <v>20</v>
      </c>
      <c r="E915" s="1" t="s">
        <v>30</v>
      </c>
      <c r="F915" s="1" t="s">
        <v>40</v>
      </c>
      <c r="G915" s="1">
        <v>1</v>
      </c>
      <c r="H915" s="1">
        <v>423</v>
      </c>
      <c r="I915" s="1">
        <v>20</v>
      </c>
      <c r="J915" s="4">
        <v>338.4</v>
      </c>
      <c r="K915" s="4">
        <v>175.38</v>
      </c>
      <c r="L915" s="4">
        <v>163.02000000000001</v>
      </c>
      <c r="M915" s="1" t="str">
        <f>TEXT(Table1[[#This Row],[Order_Date]], "MMM")</f>
        <v>Oct</v>
      </c>
      <c r="N915" s="1">
        <f>YEAR(Table1[[#This Row],[Order_Date]])</f>
        <v>2023</v>
      </c>
      <c r="O915" s="7">
        <f>Table1[[#This Row],[Profit]]/Table1[[#This Row],[Total_Sales]]</f>
        <v>0.48173758865248234</v>
      </c>
    </row>
    <row r="916" spans="1:15" x14ac:dyDescent="0.25">
      <c r="A916" s="1">
        <v>915</v>
      </c>
      <c r="B916" s="2">
        <v>45064</v>
      </c>
      <c r="C916" s="1" t="s">
        <v>19</v>
      </c>
      <c r="D916" s="1" t="s">
        <v>20</v>
      </c>
      <c r="E916" s="1" t="s">
        <v>21</v>
      </c>
      <c r="F916" s="1" t="s">
        <v>31</v>
      </c>
      <c r="G916" s="1">
        <v>2</v>
      </c>
      <c r="H916" s="1">
        <v>194</v>
      </c>
      <c r="I916" s="1">
        <v>20</v>
      </c>
      <c r="J916" s="4">
        <v>310.39999999999998</v>
      </c>
      <c r="K916" s="4">
        <v>206.93</v>
      </c>
      <c r="L916" s="4">
        <v>103.47</v>
      </c>
      <c r="M916" s="1" t="str">
        <f>TEXT(Table1[[#This Row],[Order_Date]], "MMM")</f>
        <v>May</v>
      </c>
      <c r="N916" s="1">
        <f>YEAR(Table1[[#This Row],[Order_Date]])</f>
        <v>2023</v>
      </c>
      <c r="O916" s="7">
        <f>Table1[[#This Row],[Profit]]/Table1[[#This Row],[Total_Sales]]</f>
        <v>0.33334407216494849</v>
      </c>
    </row>
    <row r="917" spans="1:15" x14ac:dyDescent="0.25">
      <c r="A917" s="1">
        <v>916</v>
      </c>
      <c r="B917" s="2">
        <v>44945</v>
      </c>
      <c r="C917" s="1" t="s">
        <v>16</v>
      </c>
      <c r="D917" s="1" t="s">
        <v>22</v>
      </c>
      <c r="E917" s="1" t="s">
        <v>44</v>
      </c>
      <c r="F917" s="1" t="s">
        <v>35</v>
      </c>
      <c r="G917" s="1">
        <v>7</v>
      </c>
      <c r="H917" s="1">
        <v>388</v>
      </c>
      <c r="I917" s="1">
        <v>15</v>
      </c>
      <c r="J917" s="4">
        <v>2308.6</v>
      </c>
      <c r="K917" s="4">
        <v>1620.47</v>
      </c>
      <c r="L917" s="4">
        <v>688.13</v>
      </c>
      <c r="M917" s="1" t="str">
        <f>TEXT(Table1[[#This Row],[Order_Date]], "MMM")</f>
        <v>Jan</v>
      </c>
      <c r="N917" s="1">
        <f>YEAR(Table1[[#This Row],[Order_Date]])</f>
        <v>2023</v>
      </c>
      <c r="O917" s="7">
        <f>Table1[[#This Row],[Profit]]/Table1[[#This Row],[Total_Sales]]</f>
        <v>0.29807242484622715</v>
      </c>
    </row>
    <row r="918" spans="1:15" x14ac:dyDescent="0.25">
      <c r="A918" s="1">
        <v>917</v>
      </c>
      <c r="B918" s="2">
        <v>45650</v>
      </c>
      <c r="C918" s="1" t="s">
        <v>25</v>
      </c>
      <c r="D918" s="1" t="s">
        <v>32</v>
      </c>
      <c r="E918" s="1" t="s">
        <v>41</v>
      </c>
      <c r="F918" s="1" t="s">
        <v>31</v>
      </c>
      <c r="G918" s="1">
        <v>7</v>
      </c>
      <c r="H918" s="1">
        <v>223</v>
      </c>
      <c r="I918" s="1">
        <v>20</v>
      </c>
      <c r="J918" s="4">
        <v>1248.8</v>
      </c>
      <c r="K918" s="4">
        <v>757.41</v>
      </c>
      <c r="L918" s="4">
        <v>491.39</v>
      </c>
      <c r="M918" s="1" t="str">
        <f>TEXT(Table1[[#This Row],[Order_Date]], "MMM")</f>
        <v>Dec</v>
      </c>
      <c r="N918" s="1">
        <f>YEAR(Table1[[#This Row],[Order_Date]])</f>
        <v>2024</v>
      </c>
      <c r="O918" s="7">
        <f>Table1[[#This Row],[Profit]]/Table1[[#This Row],[Total_Sales]]</f>
        <v>0.39348975016015375</v>
      </c>
    </row>
    <row r="919" spans="1:15" x14ac:dyDescent="0.25">
      <c r="A919" s="1">
        <v>918</v>
      </c>
      <c r="B919" s="2">
        <v>45324</v>
      </c>
      <c r="C919" s="1" t="s">
        <v>16</v>
      </c>
      <c r="D919" s="1" t="s">
        <v>32</v>
      </c>
      <c r="E919" s="1" t="s">
        <v>33</v>
      </c>
      <c r="F919" s="1" t="s">
        <v>40</v>
      </c>
      <c r="G919" s="1">
        <v>6</v>
      </c>
      <c r="H919" s="1">
        <v>165</v>
      </c>
      <c r="I919" s="1">
        <v>15</v>
      </c>
      <c r="J919" s="4">
        <v>841.5</v>
      </c>
      <c r="K919" s="4">
        <v>589.64</v>
      </c>
      <c r="L919" s="4">
        <v>251.86</v>
      </c>
      <c r="M919" s="1" t="str">
        <f>TEXT(Table1[[#This Row],[Order_Date]], "MMM")</f>
        <v>Feb</v>
      </c>
      <c r="N919" s="1">
        <f>YEAR(Table1[[#This Row],[Order_Date]])</f>
        <v>2024</v>
      </c>
      <c r="O919" s="7">
        <f>Table1[[#This Row],[Profit]]/Table1[[#This Row],[Total_Sales]]</f>
        <v>0.29929887106357694</v>
      </c>
    </row>
    <row r="920" spans="1:15" x14ac:dyDescent="0.25">
      <c r="A920" s="1">
        <v>919</v>
      </c>
      <c r="B920" s="2">
        <v>45230</v>
      </c>
      <c r="C920" s="1" t="s">
        <v>16</v>
      </c>
      <c r="D920" s="1" t="s">
        <v>20</v>
      </c>
      <c r="E920" s="1" t="s">
        <v>43</v>
      </c>
      <c r="F920" s="1" t="s">
        <v>18</v>
      </c>
      <c r="G920" s="1">
        <v>7</v>
      </c>
      <c r="H920" s="1">
        <v>99</v>
      </c>
      <c r="I920" s="1">
        <v>0</v>
      </c>
      <c r="J920" s="4">
        <v>693</v>
      </c>
      <c r="K920" s="4">
        <v>548.17999999999995</v>
      </c>
      <c r="L920" s="4">
        <v>144.82</v>
      </c>
      <c r="M920" s="1" t="str">
        <f>TEXT(Table1[[#This Row],[Order_Date]], "MMM")</f>
        <v>Oct</v>
      </c>
      <c r="N920" s="1">
        <f>YEAR(Table1[[#This Row],[Order_Date]])</f>
        <v>2023</v>
      </c>
      <c r="O920" s="7">
        <f>Table1[[#This Row],[Profit]]/Table1[[#This Row],[Total_Sales]]</f>
        <v>0.20897546897546895</v>
      </c>
    </row>
    <row r="921" spans="1:15" x14ac:dyDescent="0.25">
      <c r="A921" s="1">
        <v>920</v>
      </c>
      <c r="B921" s="2">
        <v>45320</v>
      </c>
      <c r="C921" s="1" t="s">
        <v>12</v>
      </c>
      <c r="D921" s="1" t="s">
        <v>22</v>
      </c>
      <c r="E921" s="1" t="s">
        <v>23</v>
      </c>
      <c r="F921" s="1" t="s">
        <v>15</v>
      </c>
      <c r="G921" s="1">
        <v>3</v>
      </c>
      <c r="H921" s="1">
        <v>517</v>
      </c>
      <c r="I921" s="1">
        <v>10</v>
      </c>
      <c r="J921" s="4">
        <v>1395.9</v>
      </c>
      <c r="K921" s="4">
        <v>971.07</v>
      </c>
      <c r="L921" s="4">
        <v>424.83</v>
      </c>
      <c r="M921" s="1" t="str">
        <f>TEXT(Table1[[#This Row],[Order_Date]], "MMM")</f>
        <v>Jan</v>
      </c>
      <c r="N921" s="1">
        <f>YEAR(Table1[[#This Row],[Order_Date]])</f>
        <v>2024</v>
      </c>
      <c r="O921" s="7">
        <f>Table1[[#This Row],[Profit]]/Table1[[#This Row],[Total_Sales]]</f>
        <v>0.30434128519234899</v>
      </c>
    </row>
    <row r="922" spans="1:15" x14ac:dyDescent="0.25">
      <c r="A922" s="1">
        <v>921</v>
      </c>
      <c r="B922" s="2">
        <v>45117</v>
      </c>
      <c r="C922" s="1" t="s">
        <v>25</v>
      </c>
      <c r="D922" s="1" t="s">
        <v>13</v>
      </c>
      <c r="E922" s="1" t="s">
        <v>39</v>
      </c>
      <c r="F922" s="1" t="s">
        <v>24</v>
      </c>
      <c r="G922" s="1">
        <v>8</v>
      </c>
      <c r="H922" s="1">
        <v>188</v>
      </c>
      <c r="I922" s="1">
        <v>0</v>
      </c>
      <c r="J922" s="4">
        <v>1504</v>
      </c>
      <c r="K922" s="4">
        <v>1079.3</v>
      </c>
      <c r="L922" s="4">
        <v>424.7</v>
      </c>
      <c r="M922" s="1" t="str">
        <f>TEXT(Table1[[#This Row],[Order_Date]], "MMM")</f>
        <v>Jul</v>
      </c>
      <c r="N922" s="1">
        <f>YEAR(Table1[[#This Row],[Order_Date]])</f>
        <v>2023</v>
      </c>
      <c r="O922" s="7">
        <f>Table1[[#This Row],[Profit]]/Table1[[#This Row],[Total_Sales]]</f>
        <v>0.28238031914893619</v>
      </c>
    </row>
    <row r="923" spans="1:15" x14ac:dyDescent="0.25">
      <c r="A923" s="1">
        <v>922</v>
      </c>
      <c r="B923" s="2">
        <v>45196</v>
      </c>
      <c r="C923" s="1" t="s">
        <v>12</v>
      </c>
      <c r="D923" s="1" t="s">
        <v>22</v>
      </c>
      <c r="E923" s="1" t="s">
        <v>44</v>
      </c>
      <c r="F923" s="1" t="s">
        <v>24</v>
      </c>
      <c r="G923" s="1">
        <v>9</v>
      </c>
      <c r="H923" s="1">
        <v>93</v>
      </c>
      <c r="I923" s="1">
        <v>0</v>
      </c>
      <c r="J923" s="4">
        <v>837</v>
      </c>
      <c r="K923" s="4">
        <v>537.16</v>
      </c>
      <c r="L923" s="4">
        <v>299.83999999999997</v>
      </c>
      <c r="M923" s="1" t="str">
        <f>TEXT(Table1[[#This Row],[Order_Date]], "MMM")</f>
        <v>Sep</v>
      </c>
      <c r="N923" s="1">
        <f>YEAR(Table1[[#This Row],[Order_Date]])</f>
        <v>2023</v>
      </c>
      <c r="O923" s="7">
        <f>Table1[[#This Row],[Profit]]/Table1[[#This Row],[Total_Sales]]</f>
        <v>0.35823178016726404</v>
      </c>
    </row>
    <row r="924" spans="1:15" x14ac:dyDescent="0.25">
      <c r="A924" s="1">
        <v>923</v>
      </c>
      <c r="B924" s="2">
        <v>45143</v>
      </c>
      <c r="C924" s="1" t="s">
        <v>12</v>
      </c>
      <c r="D924" s="1" t="s">
        <v>32</v>
      </c>
      <c r="E924" s="1" t="s">
        <v>34</v>
      </c>
      <c r="F924" s="1" t="s">
        <v>15</v>
      </c>
      <c r="G924" s="1">
        <v>9</v>
      </c>
      <c r="H924" s="1">
        <v>711</v>
      </c>
      <c r="I924" s="1">
        <v>20</v>
      </c>
      <c r="J924" s="4">
        <v>5119.2</v>
      </c>
      <c r="K924" s="4">
        <v>2853.34</v>
      </c>
      <c r="L924" s="4">
        <v>2265.86</v>
      </c>
      <c r="M924" s="1" t="str">
        <f>TEXT(Table1[[#This Row],[Order_Date]], "MMM")</f>
        <v>Aug</v>
      </c>
      <c r="N924" s="1">
        <f>YEAR(Table1[[#This Row],[Order_Date]])</f>
        <v>2023</v>
      </c>
      <c r="O924" s="7">
        <f>Table1[[#This Row],[Profit]]/Table1[[#This Row],[Total_Sales]]</f>
        <v>0.44261994061572124</v>
      </c>
    </row>
    <row r="925" spans="1:15" x14ac:dyDescent="0.25">
      <c r="A925" s="1">
        <v>924</v>
      </c>
      <c r="B925" s="2">
        <v>45606</v>
      </c>
      <c r="C925" s="1" t="s">
        <v>19</v>
      </c>
      <c r="D925" s="1" t="s">
        <v>22</v>
      </c>
      <c r="E925" s="1" t="s">
        <v>29</v>
      </c>
      <c r="F925" s="1" t="s">
        <v>40</v>
      </c>
      <c r="G925" s="1">
        <v>5</v>
      </c>
      <c r="H925" s="1">
        <v>482</v>
      </c>
      <c r="I925" s="1">
        <v>10</v>
      </c>
      <c r="J925" s="4">
        <v>2169</v>
      </c>
      <c r="K925" s="4">
        <v>1196.1500000000001</v>
      </c>
      <c r="L925" s="4">
        <v>972.85</v>
      </c>
      <c r="M925" s="1" t="str">
        <f>TEXT(Table1[[#This Row],[Order_Date]], "MMM")</f>
        <v>Nov</v>
      </c>
      <c r="N925" s="1">
        <f>YEAR(Table1[[#This Row],[Order_Date]])</f>
        <v>2024</v>
      </c>
      <c r="O925" s="7">
        <f>Table1[[#This Row],[Profit]]/Table1[[#This Row],[Total_Sales]]</f>
        <v>0.44852466574458277</v>
      </c>
    </row>
    <row r="926" spans="1:15" x14ac:dyDescent="0.25">
      <c r="A926" s="1">
        <v>925</v>
      </c>
      <c r="B926" s="2">
        <v>45007</v>
      </c>
      <c r="C926" s="1" t="s">
        <v>16</v>
      </c>
      <c r="D926" s="1" t="s">
        <v>13</v>
      </c>
      <c r="E926" s="1" t="s">
        <v>38</v>
      </c>
      <c r="F926" s="1" t="s">
        <v>15</v>
      </c>
      <c r="G926" s="1">
        <v>6</v>
      </c>
      <c r="H926" s="1">
        <v>464</v>
      </c>
      <c r="I926" s="1">
        <v>15</v>
      </c>
      <c r="J926" s="4">
        <v>2366.4</v>
      </c>
      <c r="K926" s="4">
        <v>1458.93</v>
      </c>
      <c r="L926" s="4">
        <v>907.47</v>
      </c>
      <c r="M926" s="1" t="str">
        <f>TEXT(Table1[[#This Row],[Order_Date]], "MMM")</f>
        <v>Mar</v>
      </c>
      <c r="N926" s="1">
        <f>YEAR(Table1[[#This Row],[Order_Date]])</f>
        <v>2023</v>
      </c>
      <c r="O926" s="7">
        <f>Table1[[#This Row],[Profit]]/Table1[[#This Row],[Total_Sales]]</f>
        <v>0.38348123732251521</v>
      </c>
    </row>
    <row r="927" spans="1:15" x14ac:dyDescent="0.25">
      <c r="A927" s="1">
        <v>926</v>
      </c>
      <c r="B927" s="2">
        <v>45038</v>
      </c>
      <c r="C927" s="1" t="s">
        <v>12</v>
      </c>
      <c r="D927" s="1" t="s">
        <v>22</v>
      </c>
      <c r="E927" s="1" t="s">
        <v>44</v>
      </c>
      <c r="F927" s="1" t="s">
        <v>40</v>
      </c>
      <c r="G927" s="1">
        <v>6</v>
      </c>
      <c r="H927" s="1">
        <v>513</v>
      </c>
      <c r="I927" s="1">
        <v>5</v>
      </c>
      <c r="J927" s="4">
        <v>2924.1</v>
      </c>
      <c r="K927" s="4">
        <v>1515.52</v>
      </c>
      <c r="L927" s="4">
        <v>1408.58</v>
      </c>
      <c r="M927" s="1" t="str">
        <f>TEXT(Table1[[#This Row],[Order_Date]], "MMM")</f>
        <v>Apr</v>
      </c>
      <c r="N927" s="1">
        <f>YEAR(Table1[[#This Row],[Order_Date]])</f>
        <v>2023</v>
      </c>
      <c r="O927" s="7">
        <f>Table1[[#This Row],[Profit]]/Table1[[#This Row],[Total_Sales]]</f>
        <v>0.48171403166786358</v>
      </c>
    </row>
    <row r="928" spans="1:15" x14ac:dyDescent="0.25">
      <c r="A928" s="1">
        <v>927</v>
      </c>
      <c r="B928" s="2">
        <v>45224</v>
      </c>
      <c r="C928" s="1" t="s">
        <v>25</v>
      </c>
      <c r="D928" s="1" t="s">
        <v>26</v>
      </c>
      <c r="E928" s="1" t="s">
        <v>46</v>
      </c>
      <c r="F928" s="1" t="s">
        <v>18</v>
      </c>
      <c r="G928" s="1">
        <v>6</v>
      </c>
      <c r="H928" s="1">
        <v>336</v>
      </c>
      <c r="I928" s="1">
        <v>10</v>
      </c>
      <c r="J928" s="4">
        <v>1814.4</v>
      </c>
      <c r="K928" s="4">
        <v>1233.83</v>
      </c>
      <c r="L928" s="4">
        <v>580.57000000000005</v>
      </c>
      <c r="M928" s="1" t="str">
        <f>TEXT(Table1[[#This Row],[Order_Date]], "MMM")</f>
        <v>Oct</v>
      </c>
      <c r="N928" s="1">
        <f>YEAR(Table1[[#This Row],[Order_Date]])</f>
        <v>2023</v>
      </c>
      <c r="O928" s="7">
        <f>Table1[[#This Row],[Profit]]/Table1[[#This Row],[Total_Sales]]</f>
        <v>0.31997905643738977</v>
      </c>
    </row>
    <row r="929" spans="1:15" x14ac:dyDescent="0.25">
      <c r="A929" s="1">
        <v>928</v>
      </c>
      <c r="B929" s="2">
        <v>45007</v>
      </c>
      <c r="C929" s="1" t="s">
        <v>19</v>
      </c>
      <c r="D929" s="1" t="s">
        <v>32</v>
      </c>
      <c r="E929" s="1" t="s">
        <v>34</v>
      </c>
      <c r="F929" s="1" t="s">
        <v>18</v>
      </c>
      <c r="G929" s="1">
        <v>9</v>
      </c>
      <c r="H929" s="1">
        <v>463</v>
      </c>
      <c r="I929" s="1">
        <v>5</v>
      </c>
      <c r="J929" s="4">
        <v>3958.65</v>
      </c>
      <c r="K929" s="4">
        <v>2648.79</v>
      </c>
      <c r="L929" s="4">
        <v>1309.8599999999999</v>
      </c>
      <c r="M929" s="1" t="str">
        <f>TEXT(Table1[[#This Row],[Order_Date]], "MMM")</f>
        <v>Mar</v>
      </c>
      <c r="N929" s="1">
        <f>YEAR(Table1[[#This Row],[Order_Date]])</f>
        <v>2023</v>
      </c>
      <c r="O929" s="7">
        <f>Table1[[#This Row],[Profit]]/Table1[[#This Row],[Total_Sales]]</f>
        <v>0.33088552915766734</v>
      </c>
    </row>
    <row r="930" spans="1:15" x14ac:dyDescent="0.25">
      <c r="A930" s="1">
        <v>929</v>
      </c>
      <c r="B930" s="2">
        <v>45417</v>
      </c>
      <c r="C930" s="1" t="s">
        <v>16</v>
      </c>
      <c r="D930" s="1" t="s">
        <v>13</v>
      </c>
      <c r="E930" s="1" t="s">
        <v>14</v>
      </c>
      <c r="F930" s="1" t="s">
        <v>18</v>
      </c>
      <c r="G930" s="1">
        <v>6</v>
      </c>
      <c r="H930" s="1">
        <v>357</v>
      </c>
      <c r="I930" s="1">
        <v>5</v>
      </c>
      <c r="J930" s="4">
        <v>2034.9</v>
      </c>
      <c r="K930" s="4">
        <v>1104.07</v>
      </c>
      <c r="L930" s="4">
        <v>930.83</v>
      </c>
      <c r="M930" s="1" t="str">
        <f>TEXT(Table1[[#This Row],[Order_Date]], "MMM")</f>
        <v>May</v>
      </c>
      <c r="N930" s="1">
        <f>YEAR(Table1[[#This Row],[Order_Date]])</f>
        <v>2024</v>
      </c>
      <c r="O930" s="7">
        <f>Table1[[#This Row],[Profit]]/Table1[[#This Row],[Total_Sales]]</f>
        <v>0.45743279768047568</v>
      </c>
    </row>
    <row r="931" spans="1:15" x14ac:dyDescent="0.25">
      <c r="A931" s="1">
        <v>930</v>
      </c>
      <c r="B931" s="2">
        <v>45114</v>
      </c>
      <c r="C931" s="1" t="s">
        <v>25</v>
      </c>
      <c r="D931" s="1" t="s">
        <v>32</v>
      </c>
      <c r="E931" s="1" t="s">
        <v>45</v>
      </c>
      <c r="F931" s="1" t="s">
        <v>35</v>
      </c>
      <c r="G931" s="1">
        <v>5</v>
      </c>
      <c r="H931" s="1">
        <v>50</v>
      </c>
      <c r="I931" s="1">
        <v>10</v>
      </c>
      <c r="J931" s="4">
        <v>225</v>
      </c>
      <c r="K931" s="4">
        <v>113.82</v>
      </c>
      <c r="L931" s="4">
        <v>111.18</v>
      </c>
      <c r="M931" s="1" t="str">
        <f>TEXT(Table1[[#This Row],[Order_Date]], "MMM")</f>
        <v>Jul</v>
      </c>
      <c r="N931" s="1">
        <f>YEAR(Table1[[#This Row],[Order_Date]])</f>
        <v>2023</v>
      </c>
      <c r="O931" s="7">
        <f>Table1[[#This Row],[Profit]]/Table1[[#This Row],[Total_Sales]]</f>
        <v>0.49413333333333337</v>
      </c>
    </row>
    <row r="932" spans="1:15" x14ac:dyDescent="0.25">
      <c r="A932" s="1">
        <v>931</v>
      </c>
      <c r="B932" s="2">
        <v>45616</v>
      </c>
      <c r="C932" s="1" t="s">
        <v>19</v>
      </c>
      <c r="D932" s="1" t="s">
        <v>20</v>
      </c>
      <c r="E932" s="1" t="s">
        <v>43</v>
      </c>
      <c r="F932" s="1" t="s">
        <v>31</v>
      </c>
      <c r="G932" s="1">
        <v>8</v>
      </c>
      <c r="H932" s="1">
        <v>478</v>
      </c>
      <c r="I932" s="1">
        <v>5</v>
      </c>
      <c r="J932" s="4">
        <v>3632.8</v>
      </c>
      <c r="K932" s="4">
        <v>2778.03</v>
      </c>
      <c r="L932" s="4">
        <v>854.77</v>
      </c>
      <c r="M932" s="1" t="str">
        <f>TEXT(Table1[[#This Row],[Order_Date]], "MMM")</f>
        <v>Nov</v>
      </c>
      <c r="N932" s="1">
        <f>YEAR(Table1[[#This Row],[Order_Date]])</f>
        <v>2024</v>
      </c>
      <c r="O932" s="7">
        <f>Table1[[#This Row],[Profit]]/Table1[[#This Row],[Total_Sales]]</f>
        <v>0.23529233648975995</v>
      </c>
    </row>
    <row r="933" spans="1:15" x14ac:dyDescent="0.25">
      <c r="A933" s="1">
        <v>932</v>
      </c>
      <c r="B933" s="2">
        <v>45124</v>
      </c>
      <c r="C933" s="1" t="s">
        <v>16</v>
      </c>
      <c r="D933" s="1" t="s">
        <v>20</v>
      </c>
      <c r="E933" s="1" t="s">
        <v>21</v>
      </c>
      <c r="F933" s="1" t="s">
        <v>24</v>
      </c>
      <c r="G933" s="1">
        <v>1</v>
      </c>
      <c r="H933" s="1">
        <v>85</v>
      </c>
      <c r="I933" s="1">
        <v>20</v>
      </c>
      <c r="J933" s="4">
        <v>68</v>
      </c>
      <c r="K933" s="4">
        <v>47.87</v>
      </c>
      <c r="L933" s="4">
        <v>20.13</v>
      </c>
      <c r="M933" s="1" t="str">
        <f>TEXT(Table1[[#This Row],[Order_Date]], "MMM")</f>
        <v>Jul</v>
      </c>
      <c r="N933" s="1">
        <f>YEAR(Table1[[#This Row],[Order_Date]])</f>
        <v>2023</v>
      </c>
      <c r="O933" s="7">
        <f>Table1[[#This Row],[Profit]]/Table1[[#This Row],[Total_Sales]]</f>
        <v>0.29602941176470587</v>
      </c>
    </row>
    <row r="934" spans="1:15" x14ac:dyDescent="0.25">
      <c r="A934" s="1">
        <v>933</v>
      </c>
      <c r="B934" s="2">
        <v>45526</v>
      </c>
      <c r="C934" s="1" t="s">
        <v>16</v>
      </c>
      <c r="D934" s="1" t="s">
        <v>20</v>
      </c>
      <c r="E934" s="1" t="s">
        <v>21</v>
      </c>
      <c r="F934" s="1" t="s">
        <v>15</v>
      </c>
      <c r="G934" s="1">
        <v>1</v>
      </c>
      <c r="H934" s="1">
        <v>632</v>
      </c>
      <c r="I934" s="1">
        <v>0</v>
      </c>
      <c r="J934" s="4">
        <v>632</v>
      </c>
      <c r="K934" s="4">
        <v>464.59</v>
      </c>
      <c r="L934" s="4">
        <v>167.41</v>
      </c>
      <c r="M934" s="1" t="str">
        <f>TEXT(Table1[[#This Row],[Order_Date]], "MMM")</f>
        <v>Aug</v>
      </c>
      <c r="N934" s="1">
        <f>YEAR(Table1[[#This Row],[Order_Date]])</f>
        <v>2024</v>
      </c>
      <c r="O934" s="7">
        <f>Table1[[#This Row],[Profit]]/Table1[[#This Row],[Total_Sales]]</f>
        <v>0.26488924050632912</v>
      </c>
    </row>
    <row r="935" spans="1:15" x14ac:dyDescent="0.25">
      <c r="A935" s="1">
        <v>934</v>
      </c>
      <c r="B935" s="2">
        <v>45056</v>
      </c>
      <c r="C935" s="1" t="s">
        <v>12</v>
      </c>
      <c r="D935" s="1" t="s">
        <v>22</v>
      </c>
      <c r="E935" s="1" t="s">
        <v>23</v>
      </c>
      <c r="F935" s="1" t="s">
        <v>18</v>
      </c>
      <c r="G935" s="1">
        <v>5</v>
      </c>
      <c r="H935" s="1">
        <v>807</v>
      </c>
      <c r="I935" s="1">
        <v>5</v>
      </c>
      <c r="J935" s="4">
        <v>3833.25</v>
      </c>
      <c r="K935" s="4">
        <v>2304.7600000000002</v>
      </c>
      <c r="L935" s="4">
        <v>1528.49</v>
      </c>
      <c r="M935" s="1" t="str">
        <f>TEXT(Table1[[#This Row],[Order_Date]], "MMM")</f>
        <v>May</v>
      </c>
      <c r="N935" s="1">
        <f>YEAR(Table1[[#This Row],[Order_Date]])</f>
        <v>2023</v>
      </c>
      <c r="O935" s="7">
        <f>Table1[[#This Row],[Profit]]/Table1[[#This Row],[Total_Sales]]</f>
        <v>0.39874519011282855</v>
      </c>
    </row>
    <row r="936" spans="1:15" x14ac:dyDescent="0.25">
      <c r="A936" s="1">
        <v>935</v>
      </c>
      <c r="B936" s="2">
        <v>45634</v>
      </c>
      <c r="C936" s="1" t="s">
        <v>25</v>
      </c>
      <c r="D936" s="1" t="s">
        <v>26</v>
      </c>
      <c r="E936" s="1" t="s">
        <v>42</v>
      </c>
      <c r="F936" s="1" t="s">
        <v>31</v>
      </c>
      <c r="G936" s="1">
        <v>5</v>
      </c>
      <c r="H936" s="1">
        <v>408</v>
      </c>
      <c r="I936" s="1">
        <v>10</v>
      </c>
      <c r="J936" s="4">
        <v>1836</v>
      </c>
      <c r="K936" s="4">
        <v>1149.6600000000001</v>
      </c>
      <c r="L936" s="4">
        <v>686.34</v>
      </c>
      <c r="M936" s="1" t="str">
        <f>TEXT(Table1[[#This Row],[Order_Date]], "MMM")</f>
        <v>Dec</v>
      </c>
      <c r="N936" s="1">
        <f>YEAR(Table1[[#This Row],[Order_Date]])</f>
        <v>2024</v>
      </c>
      <c r="O936" s="7">
        <f>Table1[[#This Row],[Profit]]/Table1[[#This Row],[Total_Sales]]</f>
        <v>0.37382352941176472</v>
      </c>
    </row>
    <row r="937" spans="1:15" x14ac:dyDescent="0.25">
      <c r="A937" s="1">
        <v>936</v>
      </c>
      <c r="B937" s="2">
        <v>45531</v>
      </c>
      <c r="C937" s="1" t="s">
        <v>12</v>
      </c>
      <c r="D937" s="1" t="s">
        <v>22</v>
      </c>
      <c r="E937" s="1" t="s">
        <v>44</v>
      </c>
      <c r="F937" s="1" t="s">
        <v>24</v>
      </c>
      <c r="G937" s="1">
        <v>10</v>
      </c>
      <c r="H937" s="1">
        <v>828</v>
      </c>
      <c r="I937" s="1">
        <v>10</v>
      </c>
      <c r="J937" s="4">
        <v>7452</v>
      </c>
      <c r="K937" s="4">
        <v>4370.8599999999997</v>
      </c>
      <c r="L937" s="4">
        <v>3081.14</v>
      </c>
      <c r="M937" s="1" t="str">
        <f>TEXT(Table1[[#This Row],[Order_Date]], "MMM")</f>
        <v>Aug</v>
      </c>
      <c r="N937" s="1">
        <f>YEAR(Table1[[#This Row],[Order_Date]])</f>
        <v>2024</v>
      </c>
      <c r="O937" s="7">
        <f>Table1[[#This Row],[Profit]]/Table1[[#This Row],[Total_Sales]]</f>
        <v>0.41346484165324743</v>
      </c>
    </row>
    <row r="938" spans="1:15" x14ac:dyDescent="0.25">
      <c r="A938" s="1">
        <v>937</v>
      </c>
      <c r="B938" s="2">
        <v>45509</v>
      </c>
      <c r="C938" s="1" t="s">
        <v>19</v>
      </c>
      <c r="D938" s="1" t="s">
        <v>26</v>
      </c>
      <c r="E938" s="1" t="s">
        <v>46</v>
      </c>
      <c r="F938" s="1" t="s">
        <v>24</v>
      </c>
      <c r="G938" s="1">
        <v>2</v>
      </c>
      <c r="H938" s="1">
        <v>214</v>
      </c>
      <c r="I938" s="1">
        <v>5</v>
      </c>
      <c r="J938" s="4">
        <v>406.6</v>
      </c>
      <c r="K938" s="4">
        <v>291.62</v>
      </c>
      <c r="L938" s="4">
        <v>114.98</v>
      </c>
      <c r="M938" s="1" t="str">
        <f>TEXT(Table1[[#This Row],[Order_Date]], "MMM")</f>
        <v>Aug</v>
      </c>
      <c r="N938" s="1">
        <f>YEAR(Table1[[#This Row],[Order_Date]])</f>
        <v>2024</v>
      </c>
      <c r="O938" s="7">
        <f>Table1[[#This Row],[Profit]]/Table1[[#This Row],[Total_Sales]]</f>
        <v>0.28278406296114117</v>
      </c>
    </row>
    <row r="939" spans="1:15" x14ac:dyDescent="0.25">
      <c r="A939" s="1">
        <v>938</v>
      </c>
      <c r="B939" s="2">
        <v>45247</v>
      </c>
      <c r="C939" s="1" t="s">
        <v>12</v>
      </c>
      <c r="D939" s="1" t="s">
        <v>32</v>
      </c>
      <c r="E939" s="1" t="s">
        <v>33</v>
      </c>
      <c r="F939" s="1" t="s">
        <v>31</v>
      </c>
      <c r="G939" s="1">
        <v>1</v>
      </c>
      <c r="H939" s="1">
        <v>973</v>
      </c>
      <c r="I939" s="1">
        <v>10</v>
      </c>
      <c r="J939" s="4">
        <v>875.7</v>
      </c>
      <c r="K939" s="4">
        <v>531.74</v>
      </c>
      <c r="L939" s="4">
        <v>343.96</v>
      </c>
      <c r="M939" s="1" t="str">
        <f>TEXT(Table1[[#This Row],[Order_Date]], "MMM")</f>
        <v>Nov</v>
      </c>
      <c r="N939" s="1">
        <f>YEAR(Table1[[#This Row],[Order_Date]])</f>
        <v>2023</v>
      </c>
      <c r="O939" s="7">
        <f>Table1[[#This Row],[Profit]]/Table1[[#This Row],[Total_Sales]]</f>
        <v>0.39278291652392366</v>
      </c>
    </row>
    <row r="940" spans="1:15" x14ac:dyDescent="0.25">
      <c r="A940" s="1">
        <v>939</v>
      </c>
      <c r="B940" s="2">
        <v>45284</v>
      </c>
      <c r="C940" s="1" t="s">
        <v>19</v>
      </c>
      <c r="D940" s="1" t="s">
        <v>26</v>
      </c>
      <c r="E940" s="1" t="s">
        <v>27</v>
      </c>
      <c r="F940" s="1" t="s">
        <v>35</v>
      </c>
      <c r="G940" s="1">
        <v>6</v>
      </c>
      <c r="H940" s="1">
        <v>799</v>
      </c>
      <c r="I940" s="1">
        <v>5</v>
      </c>
      <c r="J940" s="4">
        <v>4554.3</v>
      </c>
      <c r="K940" s="4">
        <v>2362.5</v>
      </c>
      <c r="L940" s="4">
        <v>2191.8000000000002</v>
      </c>
      <c r="M940" s="1" t="str">
        <f>TEXT(Table1[[#This Row],[Order_Date]], "MMM")</f>
        <v>Dec</v>
      </c>
      <c r="N940" s="1">
        <f>YEAR(Table1[[#This Row],[Order_Date]])</f>
        <v>2023</v>
      </c>
      <c r="O940" s="7">
        <f>Table1[[#This Row],[Profit]]/Table1[[#This Row],[Total_Sales]]</f>
        <v>0.48125946907318362</v>
      </c>
    </row>
    <row r="941" spans="1:15" x14ac:dyDescent="0.25">
      <c r="A941" s="1">
        <v>940</v>
      </c>
      <c r="B941" s="2">
        <v>45581</v>
      </c>
      <c r="C941" s="1" t="s">
        <v>19</v>
      </c>
      <c r="D941" s="1" t="s">
        <v>20</v>
      </c>
      <c r="E941" s="1" t="s">
        <v>43</v>
      </c>
      <c r="F941" s="1" t="s">
        <v>24</v>
      </c>
      <c r="G941" s="1">
        <v>9</v>
      </c>
      <c r="H941" s="1">
        <v>536</v>
      </c>
      <c r="I941" s="1">
        <v>5</v>
      </c>
      <c r="J941" s="4">
        <v>4582.8</v>
      </c>
      <c r="K941" s="4">
        <v>3363.47</v>
      </c>
      <c r="L941" s="4">
        <v>1219.33</v>
      </c>
      <c r="M941" s="1" t="str">
        <f>TEXT(Table1[[#This Row],[Order_Date]], "MMM")</f>
        <v>Oct</v>
      </c>
      <c r="N941" s="1">
        <f>YEAR(Table1[[#This Row],[Order_Date]])</f>
        <v>2024</v>
      </c>
      <c r="O941" s="7">
        <f>Table1[[#This Row],[Profit]]/Table1[[#This Row],[Total_Sales]]</f>
        <v>0.2660665968403596</v>
      </c>
    </row>
    <row r="942" spans="1:15" x14ac:dyDescent="0.25">
      <c r="A942" s="1">
        <v>941</v>
      </c>
      <c r="B942" s="2">
        <v>45038</v>
      </c>
      <c r="C942" s="1" t="s">
        <v>25</v>
      </c>
      <c r="D942" s="1" t="s">
        <v>26</v>
      </c>
      <c r="E942" s="1" t="s">
        <v>37</v>
      </c>
      <c r="F942" s="1" t="s">
        <v>15</v>
      </c>
      <c r="G942" s="1">
        <v>5</v>
      </c>
      <c r="H942" s="1">
        <v>848</v>
      </c>
      <c r="I942" s="1">
        <v>15</v>
      </c>
      <c r="J942" s="4">
        <v>3604</v>
      </c>
      <c r="K942" s="4">
        <v>2327.0700000000002</v>
      </c>
      <c r="L942" s="4">
        <v>1276.93</v>
      </c>
      <c r="M942" s="1" t="str">
        <f>TEXT(Table1[[#This Row],[Order_Date]], "MMM")</f>
        <v>Apr</v>
      </c>
      <c r="N942" s="1">
        <f>YEAR(Table1[[#This Row],[Order_Date]])</f>
        <v>2023</v>
      </c>
      <c r="O942" s="7">
        <f>Table1[[#This Row],[Profit]]/Table1[[#This Row],[Total_Sales]]</f>
        <v>0.35430910099889013</v>
      </c>
    </row>
    <row r="943" spans="1:15" x14ac:dyDescent="0.25">
      <c r="A943" s="1">
        <v>942</v>
      </c>
      <c r="B943" s="2">
        <v>45402</v>
      </c>
      <c r="C943" s="1" t="s">
        <v>19</v>
      </c>
      <c r="D943" s="1" t="s">
        <v>26</v>
      </c>
      <c r="E943" s="1" t="s">
        <v>42</v>
      </c>
      <c r="F943" s="1" t="s">
        <v>18</v>
      </c>
      <c r="G943" s="1">
        <v>8</v>
      </c>
      <c r="H943" s="1">
        <v>181</v>
      </c>
      <c r="I943" s="1">
        <v>15</v>
      </c>
      <c r="J943" s="4">
        <v>1230.8</v>
      </c>
      <c r="K943" s="4">
        <v>890.44</v>
      </c>
      <c r="L943" s="4">
        <v>340.36</v>
      </c>
      <c r="M943" s="1" t="str">
        <f>TEXT(Table1[[#This Row],[Order_Date]], "MMM")</f>
        <v>Apr</v>
      </c>
      <c r="N943" s="1">
        <f>YEAR(Table1[[#This Row],[Order_Date]])</f>
        <v>2024</v>
      </c>
      <c r="O943" s="7">
        <f>Table1[[#This Row],[Profit]]/Table1[[#This Row],[Total_Sales]]</f>
        <v>0.27653558661033478</v>
      </c>
    </row>
    <row r="944" spans="1:15" x14ac:dyDescent="0.25">
      <c r="A944" s="1">
        <v>943</v>
      </c>
      <c r="B944" s="2">
        <v>45414</v>
      </c>
      <c r="C944" s="1" t="s">
        <v>12</v>
      </c>
      <c r="D944" s="1" t="s">
        <v>22</v>
      </c>
      <c r="E944" s="1" t="s">
        <v>44</v>
      </c>
      <c r="F944" s="1" t="s">
        <v>24</v>
      </c>
      <c r="G944" s="1">
        <v>3</v>
      </c>
      <c r="H944" s="1">
        <v>843</v>
      </c>
      <c r="I944" s="1">
        <v>5</v>
      </c>
      <c r="J944" s="4">
        <v>2402.5500000000002</v>
      </c>
      <c r="K944" s="4">
        <v>1278.06</v>
      </c>
      <c r="L944" s="4">
        <v>1124.49</v>
      </c>
      <c r="M944" s="1" t="str">
        <f>TEXT(Table1[[#This Row],[Order_Date]], "MMM")</f>
        <v>May</v>
      </c>
      <c r="N944" s="1">
        <f>YEAR(Table1[[#This Row],[Order_Date]])</f>
        <v>2024</v>
      </c>
      <c r="O944" s="7">
        <f>Table1[[#This Row],[Profit]]/Table1[[#This Row],[Total_Sales]]</f>
        <v>0.4680402072797652</v>
      </c>
    </row>
    <row r="945" spans="1:15" x14ac:dyDescent="0.25">
      <c r="A945" s="1">
        <v>944</v>
      </c>
      <c r="B945" s="2">
        <v>45067</v>
      </c>
      <c r="C945" s="1" t="s">
        <v>25</v>
      </c>
      <c r="D945" s="1" t="s">
        <v>13</v>
      </c>
      <c r="E945" s="1" t="s">
        <v>14</v>
      </c>
      <c r="F945" s="1" t="s">
        <v>24</v>
      </c>
      <c r="G945" s="1">
        <v>2</v>
      </c>
      <c r="H945" s="1">
        <v>30</v>
      </c>
      <c r="I945" s="1">
        <v>20</v>
      </c>
      <c r="J945" s="4">
        <v>48</v>
      </c>
      <c r="K945" s="4">
        <v>33.51</v>
      </c>
      <c r="L945" s="4">
        <v>14.49</v>
      </c>
      <c r="M945" s="1" t="str">
        <f>TEXT(Table1[[#This Row],[Order_Date]], "MMM")</f>
        <v>May</v>
      </c>
      <c r="N945" s="1">
        <f>YEAR(Table1[[#This Row],[Order_Date]])</f>
        <v>2023</v>
      </c>
      <c r="O945" s="7">
        <f>Table1[[#This Row],[Profit]]/Table1[[#This Row],[Total_Sales]]</f>
        <v>0.301875</v>
      </c>
    </row>
    <row r="946" spans="1:15" x14ac:dyDescent="0.25">
      <c r="A946" s="1">
        <v>945</v>
      </c>
      <c r="B946" s="2">
        <v>45102</v>
      </c>
      <c r="C946" s="1" t="s">
        <v>12</v>
      </c>
      <c r="D946" s="1" t="s">
        <v>20</v>
      </c>
      <c r="E946" s="1" t="s">
        <v>28</v>
      </c>
      <c r="F946" s="1" t="s">
        <v>35</v>
      </c>
      <c r="G946" s="1">
        <v>1</v>
      </c>
      <c r="H946" s="1">
        <v>971</v>
      </c>
      <c r="I946" s="1">
        <v>5</v>
      </c>
      <c r="J946" s="4">
        <v>922.45</v>
      </c>
      <c r="K946" s="4">
        <v>703.1</v>
      </c>
      <c r="L946" s="4">
        <v>219.35</v>
      </c>
      <c r="M946" s="1" t="str">
        <f>TEXT(Table1[[#This Row],[Order_Date]], "MMM")</f>
        <v>Jun</v>
      </c>
      <c r="N946" s="1">
        <f>YEAR(Table1[[#This Row],[Order_Date]])</f>
        <v>2023</v>
      </c>
      <c r="O946" s="7">
        <f>Table1[[#This Row],[Profit]]/Table1[[#This Row],[Total_Sales]]</f>
        <v>0.23779066616076749</v>
      </c>
    </row>
    <row r="947" spans="1:15" x14ac:dyDescent="0.25">
      <c r="A947" s="1">
        <v>946</v>
      </c>
      <c r="B947" s="2">
        <v>45181</v>
      </c>
      <c r="C947" s="1" t="s">
        <v>12</v>
      </c>
      <c r="D947" s="1" t="s">
        <v>13</v>
      </c>
      <c r="E947" s="1" t="s">
        <v>14</v>
      </c>
      <c r="F947" s="1" t="s">
        <v>40</v>
      </c>
      <c r="G947" s="1">
        <v>5</v>
      </c>
      <c r="H947" s="1">
        <v>684</v>
      </c>
      <c r="I947" s="1">
        <v>15</v>
      </c>
      <c r="J947" s="4">
        <v>2907</v>
      </c>
      <c r="K947" s="4">
        <v>2248.14</v>
      </c>
      <c r="L947" s="4">
        <v>658.86</v>
      </c>
      <c r="M947" s="1" t="str">
        <f>TEXT(Table1[[#This Row],[Order_Date]], "MMM")</f>
        <v>Sep</v>
      </c>
      <c r="N947" s="1">
        <f>YEAR(Table1[[#This Row],[Order_Date]])</f>
        <v>2023</v>
      </c>
      <c r="O947" s="7">
        <f>Table1[[#This Row],[Profit]]/Table1[[#This Row],[Total_Sales]]</f>
        <v>0.22664602683178536</v>
      </c>
    </row>
    <row r="948" spans="1:15" x14ac:dyDescent="0.25">
      <c r="A948" s="1">
        <v>947</v>
      </c>
      <c r="B948" s="2">
        <v>45062</v>
      </c>
      <c r="C948" s="1" t="s">
        <v>25</v>
      </c>
      <c r="D948" s="1" t="s">
        <v>32</v>
      </c>
      <c r="E948" s="1" t="s">
        <v>45</v>
      </c>
      <c r="F948" s="1" t="s">
        <v>24</v>
      </c>
      <c r="G948" s="1">
        <v>5</v>
      </c>
      <c r="H948" s="1">
        <v>420</v>
      </c>
      <c r="I948" s="1">
        <v>10</v>
      </c>
      <c r="J948" s="4">
        <v>1890</v>
      </c>
      <c r="K948" s="4">
        <v>1498.16</v>
      </c>
      <c r="L948" s="4">
        <v>391.84</v>
      </c>
      <c r="M948" s="1" t="str">
        <f>TEXT(Table1[[#This Row],[Order_Date]], "MMM")</f>
        <v>May</v>
      </c>
      <c r="N948" s="1">
        <f>YEAR(Table1[[#This Row],[Order_Date]])</f>
        <v>2023</v>
      </c>
      <c r="O948" s="7">
        <f>Table1[[#This Row],[Profit]]/Table1[[#This Row],[Total_Sales]]</f>
        <v>0.2073227513227513</v>
      </c>
    </row>
    <row r="949" spans="1:15" x14ac:dyDescent="0.25">
      <c r="A949" s="1">
        <v>948</v>
      </c>
      <c r="B949" s="2">
        <v>45237</v>
      </c>
      <c r="C949" s="1" t="s">
        <v>25</v>
      </c>
      <c r="D949" s="1" t="s">
        <v>26</v>
      </c>
      <c r="E949" s="1" t="s">
        <v>37</v>
      </c>
      <c r="F949" s="1" t="s">
        <v>35</v>
      </c>
      <c r="G949" s="1">
        <v>7</v>
      </c>
      <c r="H949" s="1">
        <v>10</v>
      </c>
      <c r="I949" s="1">
        <v>5</v>
      </c>
      <c r="J949" s="4">
        <v>66.5</v>
      </c>
      <c r="K949" s="4">
        <v>36.42</v>
      </c>
      <c r="L949" s="4">
        <v>30.08</v>
      </c>
      <c r="M949" s="1" t="str">
        <f>TEXT(Table1[[#This Row],[Order_Date]], "MMM")</f>
        <v>Nov</v>
      </c>
      <c r="N949" s="1">
        <f>YEAR(Table1[[#This Row],[Order_Date]])</f>
        <v>2023</v>
      </c>
      <c r="O949" s="7">
        <f>Table1[[#This Row],[Profit]]/Table1[[#This Row],[Total_Sales]]</f>
        <v>0.45233082706766914</v>
      </c>
    </row>
    <row r="950" spans="1:15" x14ac:dyDescent="0.25">
      <c r="A950" s="1">
        <v>949</v>
      </c>
      <c r="B950" s="2">
        <v>45076</v>
      </c>
      <c r="C950" s="1" t="s">
        <v>25</v>
      </c>
      <c r="D950" s="1" t="s">
        <v>20</v>
      </c>
      <c r="E950" s="1" t="s">
        <v>21</v>
      </c>
      <c r="F950" s="1" t="s">
        <v>31</v>
      </c>
      <c r="G950" s="1">
        <v>4</v>
      </c>
      <c r="H950" s="1">
        <v>11</v>
      </c>
      <c r="I950" s="1">
        <v>10</v>
      </c>
      <c r="J950" s="4">
        <v>39.6</v>
      </c>
      <c r="K950" s="4">
        <v>24.8</v>
      </c>
      <c r="L950" s="4">
        <v>14.8</v>
      </c>
      <c r="M950" s="1" t="str">
        <f>TEXT(Table1[[#This Row],[Order_Date]], "MMM")</f>
        <v>May</v>
      </c>
      <c r="N950" s="1">
        <f>YEAR(Table1[[#This Row],[Order_Date]])</f>
        <v>2023</v>
      </c>
      <c r="O950" s="7">
        <f>Table1[[#This Row],[Profit]]/Table1[[#This Row],[Total_Sales]]</f>
        <v>0.37373737373737376</v>
      </c>
    </row>
    <row r="951" spans="1:15" x14ac:dyDescent="0.25">
      <c r="A951" s="1">
        <v>950</v>
      </c>
      <c r="B951" s="2">
        <v>45596</v>
      </c>
      <c r="C951" s="1" t="s">
        <v>12</v>
      </c>
      <c r="D951" s="1" t="s">
        <v>32</v>
      </c>
      <c r="E951" s="1" t="s">
        <v>41</v>
      </c>
      <c r="F951" s="1" t="s">
        <v>31</v>
      </c>
      <c r="G951" s="1">
        <v>9</v>
      </c>
      <c r="H951" s="1">
        <v>951</v>
      </c>
      <c r="I951" s="1">
        <v>15</v>
      </c>
      <c r="J951" s="4">
        <v>7275.15</v>
      </c>
      <c r="K951" s="4">
        <v>4863.62</v>
      </c>
      <c r="L951" s="4">
        <v>2411.5300000000002</v>
      </c>
      <c r="M951" s="1" t="str">
        <f>TEXT(Table1[[#This Row],[Order_Date]], "MMM")</f>
        <v>Oct</v>
      </c>
      <c r="N951" s="1">
        <f>YEAR(Table1[[#This Row],[Order_Date]])</f>
        <v>2024</v>
      </c>
      <c r="O951" s="7">
        <f>Table1[[#This Row],[Profit]]/Table1[[#This Row],[Total_Sales]]</f>
        <v>0.33147495240647962</v>
      </c>
    </row>
    <row r="952" spans="1:15" x14ac:dyDescent="0.25">
      <c r="A952" s="1">
        <v>951</v>
      </c>
      <c r="B952" s="2">
        <v>45191</v>
      </c>
      <c r="C952" s="1" t="s">
        <v>19</v>
      </c>
      <c r="D952" s="1" t="s">
        <v>22</v>
      </c>
      <c r="E952" s="1" t="s">
        <v>29</v>
      </c>
      <c r="F952" s="1" t="s">
        <v>35</v>
      </c>
      <c r="G952" s="1">
        <v>8</v>
      </c>
      <c r="H952" s="1">
        <v>862</v>
      </c>
      <c r="I952" s="1">
        <v>20</v>
      </c>
      <c r="J952" s="4">
        <v>5516.8</v>
      </c>
      <c r="K952" s="4">
        <v>3007.56</v>
      </c>
      <c r="L952" s="4">
        <v>2509.2399999999998</v>
      </c>
      <c r="M952" s="1" t="str">
        <f>TEXT(Table1[[#This Row],[Order_Date]], "MMM")</f>
        <v>Sep</v>
      </c>
      <c r="N952" s="1">
        <f>YEAR(Table1[[#This Row],[Order_Date]])</f>
        <v>2023</v>
      </c>
      <c r="O952" s="7">
        <f>Table1[[#This Row],[Profit]]/Table1[[#This Row],[Total_Sales]]</f>
        <v>0.4548361368909512</v>
      </c>
    </row>
    <row r="953" spans="1:15" x14ac:dyDescent="0.25">
      <c r="A953" s="1">
        <v>952</v>
      </c>
      <c r="B953" s="2">
        <v>45194</v>
      </c>
      <c r="C953" s="1" t="s">
        <v>25</v>
      </c>
      <c r="D953" s="1" t="s">
        <v>32</v>
      </c>
      <c r="E953" s="1" t="s">
        <v>34</v>
      </c>
      <c r="F953" s="1" t="s">
        <v>35</v>
      </c>
      <c r="G953" s="1">
        <v>2</v>
      </c>
      <c r="H953" s="1">
        <v>855</v>
      </c>
      <c r="I953" s="1">
        <v>0</v>
      </c>
      <c r="J953" s="4">
        <v>1710</v>
      </c>
      <c r="K953" s="4">
        <v>1362.5</v>
      </c>
      <c r="L953" s="4">
        <v>347.5</v>
      </c>
      <c r="M953" s="1" t="str">
        <f>TEXT(Table1[[#This Row],[Order_Date]], "MMM")</f>
        <v>Sep</v>
      </c>
      <c r="N953" s="1">
        <f>YEAR(Table1[[#This Row],[Order_Date]])</f>
        <v>2023</v>
      </c>
      <c r="O953" s="7">
        <f>Table1[[#This Row],[Profit]]/Table1[[#This Row],[Total_Sales]]</f>
        <v>0.20321637426900585</v>
      </c>
    </row>
    <row r="954" spans="1:15" x14ac:dyDescent="0.25">
      <c r="A954" s="1">
        <v>953</v>
      </c>
      <c r="B954" s="2">
        <v>45316</v>
      </c>
      <c r="C954" s="1" t="s">
        <v>16</v>
      </c>
      <c r="D954" s="1" t="s">
        <v>20</v>
      </c>
      <c r="E954" s="1" t="s">
        <v>30</v>
      </c>
      <c r="F954" s="1" t="s">
        <v>35</v>
      </c>
      <c r="G954" s="1">
        <v>7</v>
      </c>
      <c r="H954" s="1">
        <v>211</v>
      </c>
      <c r="I954" s="1">
        <v>20</v>
      </c>
      <c r="J954" s="4">
        <v>1181.5999999999999</v>
      </c>
      <c r="K954" s="4">
        <v>816.94</v>
      </c>
      <c r="L954" s="4">
        <v>364.66</v>
      </c>
      <c r="M954" s="1" t="str">
        <f>TEXT(Table1[[#This Row],[Order_Date]], "MMM")</f>
        <v>Jan</v>
      </c>
      <c r="N954" s="1">
        <f>YEAR(Table1[[#This Row],[Order_Date]])</f>
        <v>2024</v>
      </c>
      <c r="O954" s="7">
        <f>Table1[[#This Row],[Profit]]/Table1[[#This Row],[Total_Sales]]</f>
        <v>0.30861543669600544</v>
      </c>
    </row>
    <row r="955" spans="1:15" x14ac:dyDescent="0.25">
      <c r="A955" s="1">
        <v>954</v>
      </c>
      <c r="B955" s="2">
        <v>45558</v>
      </c>
      <c r="C955" s="1" t="s">
        <v>25</v>
      </c>
      <c r="D955" s="1" t="s">
        <v>20</v>
      </c>
      <c r="E955" s="1" t="s">
        <v>30</v>
      </c>
      <c r="F955" s="1" t="s">
        <v>35</v>
      </c>
      <c r="G955" s="1">
        <v>5</v>
      </c>
      <c r="H955" s="1">
        <v>807</v>
      </c>
      <c r="I955" s="1">
        <v>20</v>
      </c>
      <c r="J955" s="4">
        <v>3228</v>
      </c>
      <c r="K955" s="4">
        <v>1871.03</v>
      </c>
      <c r="L955" s="4">
        <v>1356.97</v>
      </c>
      <c r="M955" s="1" t="str">
        <f>TEXT(Table1[[#This Row],[Order_Date]], "MMM")</f>
        <v>Sep</v>
      </c>
      <c r="N955" s="1">
        <f>YEAR(Table1[[#This Row],[Order_Date]])</f>
        <v>2024</v>
      </c>
      <c r="O955" s="7">
        <f>Table1[[#This Row],[Profit]]/Table1[[#This Row],[Total_Sales]]</f>
        <v>0.42037484510532841</v>
      </c>
    </row>
    <row r="956" spans="1:15" x14ac:dyDescent="0.25">
      <c r="A956" s="1">
        <v>955</v>
      </c>
      <c r="B956" s="2">
        <v>45058</v>
      </c>
      <c r="C956" s="1" t="s">
        <v>16</v>
      </c>
      <c r="D956" s="1" t="s">
        <v>22</v>
      </c>
      <c r="E956" s="1" t="s">
        <v>29</v>
      </c>
      <c r="F956" s="1" t="s">
        <v>40</v>
      </c>
      <c r="G956" s="1">
        <v>8</v>
      </c>
      <c r="H956" s="1">
        <v>997</v>
      </c>
      <c r="I956" s="1">
        <v>20</v>
      </c>
      <c r="J956" s="4">
        <v>6380.8</v>
      </c>
      <c r="K956" s="4">
        <v>3231.69</v>
      </c>
      <c r="L956" s="4">
        <v>3149.11</v>
      </c>
      <c r="M956" s="1" t="str">
        <f>TEXT(Table1[[#This Row],[Order_Date]], "MMM")</f>
        <v>May</v>
      </c>
      <c r="N956" s="1">
        <f>YEAR(Table1[[#This Row],[Order_Date]])</f>
        <v>2023</v>
      </c>
      <c r="O956" s="7">
        <f>Table1[[#This Row],[Profit]]/Table1[[#This Row],[Total_Sales]]</f>
        <v>0.49352902457372116</v>
      </c>
    </row>
    <row r="957" spans="1:15" x14ac:dyDescent="0.25">
      <c r="A957" s="1">
        <v>956</v>
      </c>
      <c r="B957" s="2">
        <v>45091</v>
      </c>
      <c r="C957" s="1" t="s">
        <v>12</v>
      </c>
      <c r="D957" s="1" t="s">
        <v>20</v>
      </c>
      <c r="E957" s="1" t="s">
        <v>28</v>
      </c>
      <c r="F957" s="1" t="s">
        <v>40</v>
      </c>
      <c r="G957" s="1">
        <v>5</v>
      </c>
      <c r="H957" s="1">
        <v>988</v>
      </c>
      <c r="I957" s="1">
        <v>0</v>
      </c>
      <c r="J957" s="4">
        <v>4940</v>
      </c>
      <c r="K957" s="4">
        <v>2614.2800000000002</v>
      </c>
      <c r="L957" s="4">
        <v>2325.7199999999998</v>
      </c>
      <c r="M957" s="1" t="str">
        <f>TEXT(Table1[[#This Row],[Order_Date]], "MMM")</f>
        <v>Jun</v>
      </c>
      <c r="N957" s="1">
        <f>YEAR(Table1[[#This Row],[Order_Date]])</f>
        <v>2023</v>
      </c>
      <c r="O957" s="7">
        <f>Table1[[#This Row],[Profit]]/Table1[[#This Row],[Total_Sales]]</f>
        <v>0.47079352226720644</v>
      </c>
    </row>
    <row r="958" spans="1:15" x14ac:dyDescent="0.25">
      <c r="A958" s="1">
        <v>957</v>
      </c>
      <c r="B958" s="2">
        <v>45433</v>
      </c>
      <c r="C958" s="1" t="s">
        <v>25</v>
      </c>
      <c r="D958" s="1" t="s">
        <v>32</v>
      </c>
      <c r="E958" s="1" t="s">
        <v>41</v>
      </c>
      <c r="F958" s="1" t="s">
        <v>18</v>
      </c>
      <c r="G958" s="1">
        <v>10</v>
      </c>
      <c r="H958" s="1">
        <v>194</v>
      </c>
      <c r="I958" s="1">
        <v>15</v>
      </c>
      <c r="J958" s="4">
        <v>1649</v>
      </c>
      <c r="K958" s="4">
        <v>976.3</v>
      </c>
      <c r="L958" s="4">
        <v>672.7</v>
      </c>
      <c r="M958" s="1" t="str">
        <f>TEXT(Table1[[#This Row],[Order_Date]], "MMM")</f>
        <v>May</v>
      </c>
      <c r="N958" s="1">
        <f>YEAR(Table1[[#This Row],[Order_Date]])</f>
        <v>2024</v>
      </c>
      <c r="O958" s="7">
        <f>Table1[[#This Row],[Profit]]/Table1[[#This Row],[Total_Sales]]</f>
        <v>0.40794420861127961</v>
      </c>
    </row>
    <row r="959" spans="1:15" x14ac:dyDescent="0.25">
      <c r="A959" s="1">
        <v>958</v>
      </c>
      <c r="B959" s="2">
        <v>45124</v>
      </c>
      <c r="C959" s="1" t="s">
        <v>19</v>
      </c>
      <c r="D959" s="1" t="s">
        <v>32</v>
      </c>
      <c r="E959" s="1" t="s">
        <v>41</v>
      </c>
      <c r="F959" s="1" t="s">
        <v>31</v>
      </c>
      <c r="G959" s="1">
        <v>3</v>
      </c>
      <c r="H959" s="1">
        <v>156</v>
      </c>
      <c r="I959" s="1">
        <v>5</v>
      </c>
      <c r="J959" s="4">
        <v>444.6</v>
      </c>
      <c r="K959" s="4">
        <v>350.1</v>
      </c>
      <c r="L959" s="4">
        <v>94.5</v>
      </c>
      <c r="M959" s="1" t="str">
        <f>TEXT(Table1[[#This Row],[Order_Date]], "MMM")</f>
        <v>Jul</v>
      </c>
      <c r="N959" s="1">
        <f>YEAR(Table1[[#This Row],[Order_Date]])</f>
        <v>2023</v>
      </c>
      <c r="O959" s="7">
        <f>Table1[[#This Row],[Profit]]/Table1[[#This Row],[Total_Sales]]</f>
        <v>0.21255060728744937</v>
      </c>
    </row>
    <row r="960" spans="1:15" x14ac:dyDescent="0.25">
      <c r="A960" s="1">
        <v>959</v>
      </c>
      <c r="B960" s="2">
        <v>45074</v>
      </c>
      <c r="C960" s="1" t="s">
        <v>19</v>
      </c>
      <c r="D960" s="1" t="s">
        <v>22</v>
      </c>
      <c r="E960" s="1" t="s">
        <v>23</v>
      </c>
      <c r="F960" s="1" t="s">
        <v>24</v>
      </c>
      <c r="G960" s="1">
        <v>1</v>
      </c>
      <c r="H960" s="1">
        <v>175</v>
      </c>
      <c r="I960" s="1">
        <v>0</v>
      </c>
      <c r="J960" s="4">
        <v>175</v>
      </c>
      <c r="K960" s="4">
        <v>109.41</v>
      </c>
      <c r="L960" s="4">
        <v>65.59</v>
      </c>
      <c r="M960" s="1" t="str">
        <f>TEXT(Table1[[#This Row],[Order_Date]], "MMM")</f>
        <v>May</v>
      </c>
      <c r="N960" s="1">
        <f>YEAR(Table1[[#This Row],[Order_Date]])</f>
        <v>2023</v>
      </c>
      <c r="O960" s="7">
        <f>Table1[[#This Row],[Profit]]/Table1[[#This Row],[Total_Sales]]</f>
        <v>0.37480000000000002</v>
      </c>
    </row>
    <row r="961" spans="1:15" x14ac:dyDescent="0.25">
      <c r="A961" s="1">
        <v>960</v>
      </c>
      <c r="B961" s="2">
        <v>45407</v>
      </c>
      <c r="C961" s="1" t="s">
        <v>16</v>
      </c>
      <c r="D961" s="1" t="s">
        <v>32</v>
      </c>
      <c r="E961" s="1" t="s">
        <v>45</v>
      </c>
      <c r="F961" s="1" t="s">
        <v>18</v>
      </c>
      <c r="G961" s="1">
        <v>7</v>
      </c>
      <c r="H961" s="1">
        <v>436</v>
      </c>
      <c r="I961" s="1">
        <v>10</v>
      </c>
      <c r="J961" s="4">
        <v>2746.8</v>
      </c>
      <c r="K961" s="4">
        <v>1397.4</v>
      </c>
      <c r="L961" s="4">
        <v>1349.4</v>
      </c>
      <c r="M961" s="1" t="str">
        <f>TEXT(Table1[[#This Row],[Order_Date]], "MMM")</f>
        <v>Apr</v>
      </c>
      <c r="N961" s="1">
        <f>YEAR(Table1[[#This Row],[Order_Date]])</f>
        <v>2024</v>
      </c>
      <c r="O961" s="7">
        <f>Table1[[#This Row],[Profit]]/Table1[[#This Row],[Total_Sales]]</f>
        <v>0.49126256006989955</v>
      </c>
    </row>
    <row r="962" spans="1:15" x14ac:dyDescent="0.25">
      <c r="A962" s="1">
        <v>961</v>
      </c>
      <c r="B962" s="2">
        <v>45291</v>
      </c>
      <c r="C962" s="1" t="s">
        <v>12</v>
      </c>
      <c r="D962" s="1" t="s">
        <v>26</v>
      </c>
      <c r="E962" s="1" t="s">
        <v>46</v>
      </c>
      <c r="F962" s="1" t="s">
        <v>15</v>
      </c>
      <c r="G962" s="1">
        <v>2</v>
      </c>
      <c r="H962" s="1">
        <v>879</v>
      </c>
      <c r="I962" s="1">
        <v>15</v>
      </c>
      <c r="J962" s="4">
        <v>1494.3</v>
      </c>
      <c r="K962" s="4">
        <v>890.75</v>
      </c>
      <c r="L962" s="4">
        <v>603.54999999999995</v>
      </c>
      <c r="M962" s="1" t="str">
        <f>TEXT(Table1[[#This Row],[Order_Date]], "MMM")</f>
        <v>Dec</v>
      </c>
      <c r="N962" s="1">
        <f>YEAR(Table1[[#This Row],[Order_Date]])</f>
        <v>2023</v>
      </c>
      <c r="O962" s="7">
        <f>Table1[[#This Row],[Profit]]/Table1[[#This Row],[Total_Sales]]</f>
        <v>0.40390149233754935</v>
      </c>
    </row>
    <row r="963" spans="1:15" x14ac:dyDescent="0.25">
      <c r="A963" s="1">
        <v>962</v>
      </c>
      <c r="B963" s="2">
        <v>45473</v>
      </c>
      <c r="C963" s="1" t="s">
        <v>12</v>
      </c>
      <c r="D963" s="1" t="s">
        <v>22</v>
      </c>
      <c r="E963" s="1" t="s">
        <v>29</v>
      </c>
      <c r="F963" s="1" t="s">
        <v>15</v>
      </c>
      <c r="G963" s="1">
        <v>3</v>
      </c>
      <c r="H963" s="1">
        <v>760</v>
      </c>
      <c r="I963" s="1">
        <v>0</v>
      </c>
      <c r="J963" s="4">
        <v>2280</v>
      </c>
      <c r="K963" s="4">
        <v>1699.76</v>
      </c>
      <c r="L963" s="4">
        <v>580.24</v>
      </c>
      <c r="M963" s="1" t="str">
        <f>TEXT(Table1[[#This Row],[Order_Date]], "MMM")</f>
        <v>Jun</v>
      </c>
      <c r="N963" s="1">
        <f>YEAR(Table1[[#This Row],[Order_Date]])</f>
        <v>2024</v>
      </c>
      <c r="O963" s="7">
        <f>Table1[[#This Row],[Profit]]/Table1[[#This Row],[Total_Sales]]</f>
        <v>0.25449122807017543</v>
      </c>
    </row>
    <row r="964" spans="1:15" x14ac:dyDescent="0.25">
      <c r="A964" s="1">
        <v>963</v>
      </c>
      <c r="B964" s="2">
        <v>45281</v>
      </c>
      <c r="C964" s="1" t="s">
        <v>16</v>
      </c>
      <c r="D964" s="1" t="s">
        <v>32</v>
      </c>
      <c r="E964" s="1" t="s">
        <v>45</v>
      </c>
      <c r="F964" s="1" t="s">
        <v>18</v>
      </c>
      <c r="G964" s="1">
        <v>1</v>
      </c>
      <c r="H964" s="1">
        <v>636</v>
      </c>
      <c r="I964" s="1">
        <v>5</v>
      </c>
      <c r="J964" s="4">
        <v>604.20000000000005</v>
      </c>
      <c r="K964" s="4">
        <v>400.32</v>
      </c>
      <c r="L964" s="4">
        <v>203.88</v>
      </c>
      <c r="M964" s="1" t="str">
        <f>TEXT(Table1[[#This Row],[Order_Date]], "MMM")</f>
        <v>Dec</v>
      </c>
      <c r="N964" s="1">
        <f>YEAR(Table1[[#This Row],[Order_Date]])</f>
        <v>2023</v>
      </c>
      <c r="O964" s="7">
        <f>Table1[[#This Row],[Profit]]/Table1[[#This Row],[Total_Sales]]</f>
        <v>0.33743793445878845</v>
      </c>
    </row>
    <row r="965" spans="1:15" x14ac:dyDescent="0.25">
      <c r="A965" s="1">
        <v>964</v>
      </c>
      <c r="B965" s="2">
        <v>45202</v>
      </c>
      <c r="C965" s="1" t="s">
        <v>19</v>
      </c>
      <c r="D965" s="1" t="s">
        <v>20</v>
      </c>
      <c r="E965" s="1" t="s">
        <v>21</v>
      </c>
      <c r="F965" s="1" t="s">
        <v>18</v>
      </c>
      <c r="G965" s="1">
        <v>10</v>
      </c>
      <c r="H965" s="1">
        <v>479</v>
      </c>
      <c r="I965" s="1">
        <v>10</v>
      </c>
      <c r="J965" s="4">
        <v>4311</v>
      </c>
      <c r="K965" s="4">
        <v>2857.42</v>
      </c>
      <c r="L965" s="4">
        <v>1453.58</v>
      </c>
      <c r="M965" s="1" t="str">
        <f>TEXT(Table1[[#This Row],[Order_Date]], "MMM")</f>
        <v>Oct</v>
      </c>
      <c r="N965" s="1">
        <f>YEAR(Table1[[#This Row],[Order_Date]])</f>
        <v>2023</v>
      </c>
      <c r="O965" s="7">
        <f>Table1[[#This Row],[Profit]]/Table1[[#This Row],[Total_Sales]]</f>
        <v>0.33717930874507074</v>
      </c>
    </row>
    <row r="966" spans="1:15" x14ac:dyDescent="0.25">
      <c r="A966" s="1">
        <v>965</v>
      </c>
      <c r="B966" s="2">
        <v>44976</v>
      </c>
      <c r="C966" s="1" t="s">
        <v>19</v>
      </c>
      <c r="D966" s="1" t="s">
        <v>20</v>
      </c>
      <c r="E966" s="1" t="s">
        <v>30</v>
      </c>
      <c r="F966" s="1" t="s">
        <v>40</v>
      </c>
      <c r="G966" s="1">
        <v>6</v>
      </c>
      <c r="H966" s="1">
        <v>157</v>
      </c>
      <c r="I966" s="1">
        <v>20</v>
      </c>
      <c r="J966" s="4">
        <v>753.6</v>
      </c>
      <c r="K966" s="4">
        <v>524.79</v>
      </c>
      <c r="L966" s="4">
        <v>228.81</v>
      </c>
      <c r="M966" s="1" t="str">
        <f>TEXT(Table1[[#This Row],[Order_Date]], "MMM")</f>
        <v>Feb</v>
      </c>
      <c r="N966" s="1">
        <f>YEAR(Table1[[#This Row],[Order_Date]])</f>
        <v>2023</v>
      </c>
      <c r="O966" s="7">
        <f>Table1[[#This Row],[Profit]]/Table1[[#This Row],[Total_Sales]]</f>
        <v>0.30362261146496816</v>
      </c>
    </row>
    <row r="967" spans="1:15" x14ac:dyDescent="0.25">
      <c r="A967" s="1">
        <v>966</v>
      </c>
      <c r="B967" s="2">
        <v>45251</v>
      </c>
      <c r="C967" s="1" t="s">
        <v>12</v>
      </c>
      <c r="D967" s="1" t="s">
        <v>22</v>
      </c>
      <c r="E967" s="1" t="s">
        <v>23</v>
      </c>
      <c r="F967" s="1" t="s">
        <v>15</v>
      </c>
      <c r="G967" s="1">
        <v>7</v>
      </c>
      <c r="H967" s="1">
        <v>609</v>
      </c>
      <c r="I967" s="1">
        <v>15</v>
      </c>
      <c r="J967" s="4">
        <v>3623.55</v>
      </c>
      <c r="K967" s="4">
        <v>1928.52</v>
      </c>
      <c r="L967" s="4">
        <v>1695.03</v>
      </c>
      <c r="M967" s="1" t="str">
        <f>TEXT(Table1[[#This Row],[Order_Date]], "MMM")</f>
        <v>Nov</v>
      </c>
      <c r="N967" s="1">
        <f>YEAR(Table1[[#This Row],[Order_Date]])</f>
        <v>2023</v>
      </c>
      <c r="O967" s="7">
        <f>Table1[[#This Row],[Profit]]/Table1[[#This Row],[Total_Sales]]</f>
        <v>0.46778159539677938</v>
      </c>
    </row>
    <row r="968" spans="1:15" x14ac:dyDescent="0.25">
      <c r="A968" s="1">
        <v>967</v>
      </c>
      <c r="B968" s="2">
        <v>45126</v>
      </c>
      <c r="C968" s="1" t="s">
        <v>12</v>
      </c>
      <c r="D968" s="1" t="s">
        <v>32</v>
      </c>
      <c r="E968" s="1" t="s">
        <v>45</v>
      </c>
      <c r="F968" s="1" t="s">
        <v>18</v>
      </c>
      <c r="G968" s="1">
        <v>6</v>
      </c>
      <c r="H968" s="1">
        <v>989</v>
      </c>
      <c r="I968" s="1">
        <v>10</v>
      </c>
      <c r="J968" s="4">
        <v>5340.6</v>
      </c>
      <c r="K968" s="4">
        <v>2799.3</v>
      </c>
      <c r="L968" s="4">
        <v>2541.3000000000002</v>
      </c>
      <c r="M968" s="1" t="str">
        <f>TEXT(Table1[[#This Row],[Order_Date]], "MMM")</f>
        <v>Jul</v>
      </c>
      <c r="N968" s="1">
        <f>YEAR(Table1[[#This Row],[Order_Date]])</f>
        <v>2023</v>
      </c>
      <c r="O968" s="7">
        <f>Table1[[#This Row],[Profit]]/Table1[[#This Row],[Total_Sales]]</f>
        <v>0.47584541062801933</v>
      </c>
    </row>
    <row r="969" spans="1:15" x14ac:dyDescent="0.25">
      <c r="A969" s="1">
        <v>968</v>
      </c>
      <c r="B969" s="2">
        <v>44943</v>
      </c>
      <c r="C969" s="1" t="s">
        <v>12</v>
      </c>
      <c r="D969" s="1" t="s">
        <v>26</v>
      </c>
      <c r="E969" s="1" t="s">
        <v>27</v>
      </c>
      <c r="F969" s="1" t="s">
        <v>31</v>
      </c>
      <c r="G969" s="1">
        <v>8</v>
      </c>
      <c r="H969" s="1">
        <v>787</v>
      </c>
      <c r="I969" s="1">
        <v>5</v>
      </c>
      <c r="J969" s="4">
        <v>5981.2</v>
      </c>
      <c r="K969" s="4">
        <v>4502.05</v>
      </c>
      <c r="L969" s="4">
        <v>1479.15</v>
      </c>
      <c r="M969" s="1" t="str">
        <f>TEXT(Table1[[#This Row],[Order_Date]], "MMM")</f>
        <v>Jan</v>
      </c>
      <c r="N969" s="1">
        <f>YEAR(Table1[[#This Row],[Order_Date]])</f>
        <v>2023</v>
      </c>
      <c r="O969" s="7">
        <f>Table1[[#This Row],[Profit]]/Table1[[#This Row],[Total_Sales]]</f>
        <v>0.24729987293519698</v>
      </c>
    </row>
    <row r="970" spans="1:15" x14ac:dyDescent="0.25">
      <c r="A970" s="1">
        <v>969</v>
      </c>
      <c r="B970" s="2">
        <v>44996</v>
      </c>
      <c r="C970" s="1" t="s">
        <v>12</v>
      </c>
      <c r="D970" s="1" t="s">
        <v>20</v>
      </c>
      <c r="E970" s="1" t="s">
        <v>30</v>
      </c>
      <c r="F970" s="1" t="s">
        <v>40</v>
      </c>
      <c r="G970" s="1">
        <v>10</v>
      </c>
      <c r="H970" s="1">
        <v>168</v>
      </c>
      <c r="I970" s="1">
        <v>20</v>
      </c>
      <c r="J970" s="4">
        <v>1344</v>
      </c>
      <c r="K970" s="4">
        <v>1033.8800000000001</v>
      </c>
      <c r="L970" s="4">
        <v>310.12</v>
      </c>
      <c r="M970" s="1" t="str">
        <f>TEXT(Table1[[#This Row],[Order_Date]], "MMM")</f>
        <v>Mar</v>
      </c>
      <c r="N970" s="1">
        <f>YEAR(Table1[[#This Row],[Order_Date]])</f>
        <v>2023</v>
      </c>
      <c r="O970" s="7">
        <f>Table1[[#This Row],[Profit]]/Table1[[#This Row],[Total_Sales]]</f>
        <v>0.23074404761904763</v>
      </c>
    </row>
    <row r="971" spans="1:15" x14ac:dyDescent="0.25">
      <c r="A971" s="1">
        <v>970</v>
      </c>
      <c r="B971" s="2">
        <v>45566</v>
      </c>
      <c r="C971" s="1" t="s">
        <v>12</v>
      </c>
      <c r="D971" s="1" t="s">
        <v>20</v>
      </c>
      <c r="E971" s="1" t="s">
        <v>30</v>
      </c>
      <c r="F971" s="1" t="s">
        <v>35</v>
      </c>
      <c r="G971" s="1">
        <v>3</v>
      </c>
      <c r="H971" s="1">
        <v>619</v>
      </c>
      <c r="I971" s="1">
        <v>15</v>
      </c>
      <c r="J971" s="4">
        <v>1578.45</v>
      </c>
      <c r="K971" s="4">
        <v>892.38</v>
      </c>
      <c r="L971" s="4">
        <v>686.07</v>
      </c>
      <c r="M971" s="1" t="str">
        <f>TEXT(Table1[[#This Row],[Order_Date]], "MMM")</f>
        <v>Oct</v>
      </c>
      <c r="N971" s="1">
        <f>YEAR(Table1[[#This Row],[Order_Date]])</f>
        <v>2024</v>
      </c>
      <c r="O971" s="7">
        <f>Table1[[#This Row],[Profit]]/Table1[[#This Row],[Total_Sales]]</f>
        <v>0.43464791409293929</v>
      </c>
    </row>
    <row r="972" spans="1:15" x14ac:dyDescent="0.25">
      <c r="A972" s="1">
        <v>971</v>
      </c>
      <c r="B972" s="2">
        <v>45594</v>
      </c>
      <c r="C972" s="1" t="s">
        <v>25</v>
      </c>
      <c r="D972" s="1" t="s">
        <v>20</v>
      </c>
      <c r="E972" s="1" t="s">
        <v>43</v>
      </c>
      <c r="F972" s="1" t="s">
        <v>18</v>
      </c>
      <c r="G972" s="1">
        <v>3</v>
      </c>
      <c r="H972" s="1">
        <v>521</v>
      </c>
      <c r="I972" s="1">
        <v>5</v>
      </c>
      <c r="J972" s="4">
        <v>1484.85</v>
      </c>
      <c r="K972" s="4">
        <v>766.05</v>
      </c>
      <c r="L972" s="4">
        <v>718.8</v>
      </c>
      <c r="M972" s="1" t="str">
        <f>TEXT(Table1[[#This Row],[Order_Date]], "MMM")</f>
        <v>Oct</v>
      </c>
      <c r="N972" s="1">
        <f>YEAR(Table1[[#This Row],[Order_Date]])</f>
        <v>2024</v>
      </c>
      <c r="O972" s="7">
        <f>Table1[[#This Row],[Profit]]/Table1[[#This Row],[Total_Sales]]</f>
        <v>0.48408930194969191</v>
      </c>
    </row>
    <row r="973" spans="1:15" x14ac:dyDescent="0.25">
      <c r="A973" s="1">
        <v>972</v>
      </c>
      <c r="B973" s="2">
        <v>45538</v>
      </c>
      <c r="C973" s="1" t="s">
        <v>12</v>
      </c>
      <c r="D973" s="1" t="s">
        <v>26</v>
      </c>
      <c r="E973" s="1" t="s">
        <v>46</v>
      </c>
      <c r="F973" s="1" t="s">
        <v>15</v>
      </c>
      <c r="G973" s="1">
        <v>2</v>
      </c>
      <c r="H973" s="1">
        <v>260</v>
      </c>
      <c r="I973" s="1">
        <v>15</v>
      </c>
      <c r="J973" s="4">
        <v>442</v>
      </c>
      <c r="K973" s="4">
        <v>327.72</v>
      </c>
      <c r="L973" s="4">
        <v>114.28</v>
      </c>
      <c r="M973" s="1" t="str">
        <f>TEXT(Table1[[#This Row],[Order_Date]], "MMM")</f>
        <v>Sep</v>
      </c>
      <c r="N973" s="1">
        <f>YEAR(Table1[[#This Row],[Order_Date]])</f>
        <v>2024</v>
      </c>
      <c r="O973" s="7">
        <f>Table1[[#This Row],[Profit]]/Table1[[#This Row],[Total_Sales]]</f>
        <v>0.258552036199095</v>
      </c>
    </row>
    <row r="974" spans="1:15" x14ac:dyDescent="0.25">
      <c r="A974" s="1">
        <v>973</v>
      </c>
      <c r="B974" s="2">
        <v>45426</v>
      </c>
      <c r="C974" s="1" t="s">
        <v>19</v>
      </c>
      <c r="D974" s="1" t="s">
        <v>20</v>
      </c>
      <c r="E974" s="1" t="s">
        <v>28</v>
      </c>
      <c r="F974" s="1" t="s">
        <v>18</v>
      </c>
      <c r="G974" s="1">
        <v>2</v>
      </c>
      <c r="H974" s="1">
        <v>630</v>
      </c>
      <c r="I974" s="1">
        <v>20</v>
      </c>
      <c r="J974" s="4">
        <v>1008</v>
      </c>
      <c r="K974" s="4">
        <v>594.51</v>
      </c>
      <c r="L974" s="4">
        <v>413.49</v>
      </c>
      <c r="M974" s="1" t="str">
        <f>TEXT(Table1[[#This Row],[Order_Date]], "MMM")</f>
        <v>May</v>
      </c>
      <c r="N974" s="1">
        <f>YEAR(Table1[[#This Row],[Order_Date]])</f>
        <v>2024</v>
      </c>
      <c r="O974" s="7">
        <f>Table1[[#This Row],[Profit]]/Table1[[#This Row],[Total_Sales]]</f>
        <v>0.41020833333333334</v>
      </c>
    </row>
    <row r="975" spans="1:15" x14ac:dyDescent="0.25">
      <c r="A975" s="1">
        <v>974</v>
      </c>
      <c r="B975" s="2">
        <v>44998</v>
      </c>
      <c r="C975" s="1" t="s">
        <v>25</v>
      </c>
      <c r="D975" s="1" t="s">
        <v>20</v>
      </c>
      <c r="E975" s="1" t="s">
        <v>43</v>
      </c>
      <c r="F975" s="1" t="s">
        <v>40</v>
      </c>
      <c r="G975" s="1">
        <v>5</v>
      </c>
      <c r="H975" s="1">
        <v>509</v>
      </c>
      <c r="I975" s="1">
        <v>15</v>
      </c>
      <c r="J975" s="4">
        <v>2163.25</v>
      </c>
      <c r="K975" s="4">
        <v>1668.36</v>
      </c>
      <c r="L975" s="4">
        <v>494.89</v>
      </c>
      <c r="M975" s="1" t="str">
        <f>TEXT(Table1[[#This Row],[Order_Date]], "MMM")</f>
        <v>Mar</v>
      </c>
      <c r="N975" s="1">
        <f>YEAR(Table1[[#This Row],[Order_Date]])</f>
        <v>2023</v>
      </c>
      <c r="O975" s="7">
        <f>Table1[[#This Row],[Profit]]/Table1[[#This Row],[Total_Sales]]</f>
        <v>0.22877152432682307</v>
      </c>
    </row>
    <row r="976" spans="1:15" x14ac:dyDescent="0.25">
      <c r="A976" s="1">
        <v>975</v>
      </c>
      <c r="B976" s="2">
        <v>44955</v>
      </c>
      <c r="C976" s="1" t="s">
        <v>19</v>
      </c>
      <c r="D976" s="1" t="s">
        <v>20</v>
      </c>
      <c r="E976" s="1" t="s">
        <v>21</v>
      </c>
      <c r="F976" s="1" t="s">
        <v>24</v>
      </c>
      <c r="G976" s="1">
        <v>3</v>
      </c>
      <c r="H976" s="1">
        <v>309</v>
      </c>
      <c r="I976" s="1">
        <v>20</v>
      </c>
      <c r="J976" s="4">
        <v>741.6</v>
      </c>
      <c r="K976" s="4">
        <v>591.72</v>
      </c>
      <c r="L976" s="4">
        <v>149.88</v>
      </c>
      <c r="M976" s="1" t="str">
        <f>TEXT(Table1[[#This Row],[Order_Date]], "MMM")</f>
        <v>Jan</v>
      </c>
      <c r="N976" s="1">
        <f>YEAR(Table1[[#This Row],[Order_Date]])</f>
        <v>2023</v>
      </c>
      <c r="O976" s="7">
        <f>Table1[[#This Row],[Profit]]/Table1[[#This Row],[Total_Sales]]</f>
        <v>0.20210355987055015</v>
      </c>
    </row>
    <row r="977" spans="1:15" x14ac:dyDescent="0.25">
      <c r="A977" s="1">
        <v>976</v>
      </c>
      <c r="B977" s="2">
        <v>44974</v>
      </c>
      <c r="C977" s="1" t="s">
        <v>12</v>
      </c>
      <c r="D977" s="1" t="s">
        <v>32</v>
      </c>
      <c r="E977" s="1" t="s">
        <v>45</v>
      </c>
      <c r="F977" s="1" t="s">
        <v>24</v>
      </c>
      <c r="G977" s="1">
        <v>7</v>
      </c>
      <c r="H977" s="1">
        <v>30</v>
      </c>
      <c r="I977" s="1">
        <v>20</v>
      </c>
      <c r="J977" s="4">
        <v>168</v>
      </c>
      <c r="K977" s="4">
        <v>132.94</v>
      </c>
      <c r="L977" s="4">
        <v>35.06</v>
      </c>
      <c r="M977" s="1" t="str">
        <f>TEXT(Table1[[#This Row],[Order_Date]], "MMM")</f>
        <v>Feb</v>
      </c>
      <c r="N977" s="1">
        <f>YEAR(Table1[[#This Row],[Order_Date]])</f>
        <v>2023</v>
      </c>
      <c r="O977" s="7">
        <f>Table1[[#This Row],[Profit]]/Table1[[#This Row],[Total_Sales]]</f>
        <v>0.2086904761904762</v>
      </c>
    </row>
    <row r="978" spans="1:15" x14ac:dyDescent="0.25">
      <c r="A978" s="1">
        <v>977</v>
      </c>
      <c r="B978" s="2">
        <v>45080</v>
      </c>
      <c r="C978" s="1" t="s">
        <v>25</v>
      </c>
      <c r="D978" s="1" t="s">
        <v>13</v>
      </c>
      <c r="E978" s="1" t="s">
        <v>14</v>
      </c>
      <c r="F978" s="1" t="s">
        <v>35</v>
      </c>
      <c r="G978" s="1">
        <v>1</v>
      </c>
      <c r="H978" s="1">
        <v>272</v>
      </c>
      <c r="I978" s="1">
        <v>10</v>
      </c>
      <c r="J978" s="4">
        <v>244.8</v>
      </c>
      <c r="K978" s="4">
        <v>191.21</v>
      </c>
      <c r="L978" s="4">
        <v>53.59</v>
      </c>
      <c r="M978" s="1" t="str">
        <f>TEXT(Table1[[#This Row],[Order_Date]], "MMM")</f>
        <v>Jun</v>
      </c>
      <c r="N978" s="1">
        <f>YEAR(Table1[[#This Row],[Order_Date]])</f>
        <v>2023</v>
      </c>
      <c r="O978" s="7">
        <f>Table1[[#This Row],[Profit]]/Table1[[#This Row],[Total_Sales]]</f>
        <v>0.21891339869281046</v>
      </c>
    </row>
    <row r="979" spans="1:15" x14ac:dyDescent="0.25">
      <c r="A979" s="1">
        <v>978</v>
      </c>
      <c r="B979" s="2">
        <v>45241</v>
      </c>
      <c r="C979" s="1" t="s">
        <v>19</v>
      </c>
      <c r="D979" s="1" t="s">
        <v>26</v>
      </c>
      <c r="E979" s="1" t="s">
        <v>42</v>
      </c>
      <c r="F979" s="1" t="s">
        <v>24</v>
      </c>
      <c r="G979" s="1">
        <v>4</v>
      </c>
      <c r="H979" s="1">
        <v>296</v>
      </c>
      <c r="I979" s="1">
        <v>5</v>
      </c>
      <c r="J979" s="4">
        <v>1124.8</v>
      </c>
      <c r="K979" s="4">
        <v>723.79</v>
      </c>
      <c r="L979" s="4">
        <v>401.01</v>
      </c>
      <c r="M979" s="1" t="str">
        <f>TEXT(Table1[[#This Row],[Order_Date]], "MMM")</f>
        <v>Nov</v>
      </c>
      <c r="N979" s="1">
        <f>YEAR(Table1[[#This Row],[Order_Date]])</f>
        <v>2023</v>
      </c>
      <c r="O979" s="7">
        <f>Table1[[#This Row],[Profit]]/Table1[[#This Row],[Total_Sales]]</f>
        <v>0.35651671408250357</v>
      </c>
    </row>
    <row r="980" spans="1:15" x14ac:dyDescent="0.25">
      <c r="A980" s="1">
        <v>979</v>
      </c>
      <c r="B980" s="2">
        <v>45016</v>
      </c>
      <c r="C980" s="1" t="s">
        <v>25</v>
      </c>
      <c r="D980" s="1" t="s">
        <v>20</v>
      </c>
      <c r="E980" s="1" t="s">
        <v>43</v>
      </c>
      <c r="F980" s="1" t="s">
        <v>35</v>
      </c>
      <c r="G980" s="1">
        <v>2</v>
      </c>
      <c r="H980" s="1">
        <v>899</v>
      </c>
      <c r="I980" s="1">
        <v>10</v>
      </c>
      <c r="J980" s="4">
        <v>1618.2</v>
      </c>
      <c r="K980" s="4">
        <v>1068.51</v>
      </c>
      <c r="L980" s="4">
        <v>549.69000000000005</v>
      </c>
      <c r="M980" s="1" t="str">
        <f>TEXT(Table1[[#This Row],[Order_Date]], "MMM")</f>
        <v>Mar</v>
      </c>
      <c r="N980" s="1">
        <f>YEAR(Table1[[#This Row],[Order_Date]])</f>
        <v>2023</v>
      </c>
      <c r="O980" s="7">
        <f>Table1[[#This Row],[Profit]]/Table1[[#This Row],[Total_Sales]]</f>
        <v>0.33969225064886915</v>
      </c>
    </row>
    <row r="981" spans="1:15" x14ac:dyDescent="0.25">
      <c r="A981" s="1">
        <v>980</v>
      </c>
      <c r="B981" s="2">
        <v>45247</v>
      </c>
      <c r="C981" s="1" t="s">
        <v>12</v>
      </c>
      <c r="D981" s="1" t="s">
        <v>22</v>
      </c>
      <c r="E981" s="1" t="s">
        <v>36</v>
      </c>
      <c r="F981" s="1" t="s">
        <v>35</v>
      </c>
      <c r="G981" s="1">
        <v>7</v>
      </c>
      <c r="H981" s="1">
        <v>181</v>
      </c>
      <c r="I981" s="1">
        <v>10</v>
      </c>
      <c r="J981" s="4">
        <v>1140.3</v>
      </c>
      <c r="K981" s="4">
        <v>876.12</v>
      </c>
      <c r="L981" s="4">
        <v>264.18</v>
      </c>
      <c r="M981" s="1" t="str">
        <f>TEXT(Table1[[#This Row],[Order_Date]], "MMM")</f>
        <v>Nov</v>
      </c>
      <c r="N981" s="1">
        <f>YEAR(Table1[[#This Row],[Order_Date]])</f>
        <v>2023</v>
      </c>
      <c r="O981" s="7">
        <f>Table1[[#This Row],[Profit]]/Table1[[#This Row],[Total_Sales]]</f>
        <v>0.23167587476979742</v>
      </c>
    </row>
    <row r="982" spans="1:15" x14ac:dyDescent="0.25">
      <c r="A982" s="1">
        <v>981</v>
      </c>
      <c r="B982" s="2">
        <v>45612</v>
      </c>
      <c r="C982" s="1" t="s">
        <v>12</v>
      </c>
      <c r="D982" s="1" t="s">
        <v>32</v>
      </c>
      <c r="E982" s="1" t="s">
        <v>41</v>
      </c>
      <c r="F982" s="1" t="s">
        <v>31</v>
      </c>
      <c r="G982" s="1">
        <v>6</v>
      </c>
      <c r="H982" s="1">
        <v>573</v>
      </c>
      <c r="I982" s="1">
        <v>5</v>
      </c>
      <c r="J982" s="4">
        <v>3266.1</v>
      </c>
      <c r="K982" s="4">
        <v>2312.94</v>
      </c>
      <c r="L982" s="4">
        <v>953.16</v>
      </c>
      <c r="M982" s="1" t="str">
        <f>TEXT(Table1[[#This Row],[Order_Date]], "MMM")</f>
        <v>Nov</v>
      </c>
      <c r="N982" s="1">
        <f>YEAR(Table1[[#This Row],[Order_Date]])</f>
        <v>2024</v>
      </c>
      <c r="O982" s="7">
        <f>Table1[[#This Row],[Profit]]/Table1[[#This Row],[Total_Sales]]</f>
        <v>0.29183429778635067</v>
      </c>
    </row>
    <row r="983" spans="1:15" x14ac:dyDescent="0.25">
      <c r="A983" s="1">
        <v>982</v>
      </c>
      <c r="B983" s="2">
        <v>45132</v>
      </c>
      <c r="C983" s="1" t="s">
        <v>16</v>
      </c>
      <c r="D983" s="1" t="s">
        <v>26</v>
      </c>
      <c r="E983" s="1" t="s">
        <v>37</v>
      </c>
      <c r="F983" s="1" t="s">
        <v>31</v>
      </c>
      <c r="G983" s="1">
        <v>1</v>
      </c>
      <c r="H983" s="1">
        <v>641</v>
      </c>
      <c r="I983" s="1">
        <v>10</v>
      </c>
      <c r="J983" s="4">
        <v>576.9</v>
      </c>
      <c r="K983" s="4">
        <v>344.49</v>
      </c>
      <c r="L983" s="4">
        <v>232.41</v>
      </c>
      <c r="M983" s="1" t="str">
        <f>TEXT(Table1[[#This Row],[Order_Date]], "MMM")</f>
        <v>Jul</v>
      </c>
      <c r="N983" s="1">
        <f>YEAR(Table1[[#This Row],[Order_Date]])</f>
        <v>2023</v>
      </c>
      <c r="O983" s="7">
        <f>Table1[[#This Row],[Profit]]/Table1[[#This Row],[Total_Sales]]</f>
        <v>0.4028601144045762</v>
      </c>
    </row>
    <row r="984" spans="1:15" x14ac:dyDescent="0.25">
      <c r="A984" s="1">
        <v>983</v>
      </c>
      <c r="B984" s="2">
        <v>45241</v>
      </c>
      <c r="C984" s="1" t="s">
        <v>16</v>
      </c>
      <c r="D984" s="1" t="s">
        <v>26</v>
      </c>
      <c r="E984" s="1" t="s">
        <v>42</v>
      </c>
      <c r="F984" s="1" t="s">
        <v>40</v>
      </c>
      <c r="G984" s="1">
        <v>3</v>
      </c>
      <c r="H984" s="1">
        <v>449</v>
      </c>
      <c r="I984" s="1">
        <v>15</v>
      </c>
      <c r="J984" s="4">
        <v>1144.95</v>
      </c>
      <c r="K984" s="4">
        <v>737.07</v>
      </c>
      <c r="L984" s="4">
        <v>407.88</v>
      </c>
      <c r="M984" s="1" t="str">
        <f>TEXT(Table1[[#This Row],[Order_Date]], "MMM")</f>
        <v>Nov</v>
      </c>
      <c r="N984" s="1">
        <f>YEAR(Table1[[#This Row],[Order_Date]])</f>
        <v>2023</v>
      </c>
      <c r="O984" s="7">
        <f>Table1[[#This Row],[Profit]]/Table1[[#This Row],[Total_Sales]]</f>
        <v>0.35624263068256257</v>
      </c>
    </row>
    <row r="985" spans="1:15" x14ac:dyDescent="0.25">
      <c r="A985" s="1">
        <v>984</v>
      </c>
      <c r="B985" s="2">
        <v>45012</v>
      </c>
      <c r="C985" s="1" t="s">
        <v>12</v>
      </c>
      <c r="D985" s="1" t="s">
        <v>26</v>
      </c>
      <c r="E985" s="1" t="s">
        <v>27</v>
      </c>
      <c r="F985" s="1" t="s">
        <v>24</v>
      </c>
      <c r="G985" s="1">
        <v>4</v>
      </c>
      <c r="H985" s="1">
        <v>728</v>
      </c>
      <c r="I985" s="1">
        <v>5</v>
      </c>
      <c r="J985" s="4">
        <v>2766.4</v>
      </c>
      <c r="K985" s="4">
        <v>1569.46</v>
      </c>
      <c r="L985" s="4">
        <v>1196.94</v>
      </c>
      <c r="M985" s="1" t="str">
        <f>TEXT(Table1[[#This Row],[Order_Date]], "MMM")</f>
        <v>Mar</v>
      </c>
      <c r="N985" s="1">
        <f>YEAR(Table1[[#This Row],[Order_Date]])</f>
        <v>2023</v>
      </c>
      <c r="O985" s="7">
        <f>Table1[[#This Row],[Profit]]/Table1[[#This Row],[Total_Sales]]</f>
        <v>0.43267061885482938</v>
      </c>
    </row>
    <row r="986" spans="1:15" x14ac:dyDescent="0.25">
      <c r="A986" s="1">
        <v>985</v>
      </c>
      <c r="B986" s="2">
        <v>45437</v>
      </c>
      <c r="C986" s="1" t="s">
        <v>25</v>
      </c>
      <c r="D986" s="1" t="s">
        <v>22</v>
      </c>
      <c r="E986" s="1" t="s">
        <v>23</v>
      </c>
      <c r="F986" s="1" t="s">
        <v>31</v>
      </c>
      <c r="G986" s="1">
        <v>7</v>
      </c>
      <c r="H986" s="1">
        <v>222</v>
      </c>
      <c r="I986" s="1">
        <v>20</v>
      </c>
      <c r="J986" s="4">
        <v>1243.2</v>
      </c>
      <c r="K986" s="4">
        <v>929.37</v>
      </c>
      <c r="L986" s="4">
        <v>313.83</v>
      </c>
      <c r="M986" s="1" t="str">
        <f>TEXT(Table1[[#This Row],[Order_Date]], "MMM")</f>
        <v>May</v>
      </c>
      <c r="N986" s="1">
        <f>YEAR(Table1[[#This Row],[Order_Date]])</f>
        <v>2024</v>
      </c>
      <c r="O986" s="7">
        <f>Table1[[#This Row],[Profit]]/Table1[[#This Row],[Total_Sales]]</f>
        <v>0.25243725868725869</v>
      </c>
    </row>
    <row r="987" spans="1:15" x14ac:dyDescent="0.25">
      <c r="A987" s="1">
        <v>986</v>
      </c>
      <c r="B987" s="2">
        <v>45121</v>
      </c>
      <c r="C987" s="1" t="s">
        <v>19</v>
      </c>
      <c r="D987" s="1" t="s">
        <v>26</v>
      </c>
      <c r="E987" s="1" t="s">
        <v>46</v>
      </c>
      <c r="F987" s="1" t="s">
        <v>24</v>
      </c>
      <c r="G987" s="1">
        <v>2</v>
      </c>
      <c r="H987" s="1">
        <v>158</v>
      </c>
      <c r="I987" s="1">
        <v>15</v>
      </c>
      <c r="J987" s="4">
        <v>268.60000000000002</v>
      </c>
      <c r="K987" s="4">
        <v>186.99</v>
      </c>
      <c r="L987" s="4">
        <v>81.61</v>
      </c>
      <c r="M987" s="1" t="str">
        <f>TEXT(Table1[[#This Row],[Order_Date]], "MMM")</f>
        <v>Jul</v>
      </c>
      <c r="N987" s="1">
        <f>YEAR(Table1[[#This Row],[Order_Date]])</f>
        <v>2023</v>
      </c>
      <c r="O987" s="7">
        <f>Table1[[#This Row],[Profit]]/Table1[[#This Row],[Total_Sales]]</f>
        <v>0.30383469843633654</v>
      </c>
    </row>
    <row r="988" spans="1:15" x14ac:dyDescent="0.25">
      <c r="A988" s="1">
        <v>987</v>
      </c>
      <c r="B988" s="2">
        <v>45347</v>
      </c>
      <c r="C988" s="1" t="s">
        <v>19</v>
      </c>
      <c r="D988" s="1" t="s">
        <v>22</v>
      </c>
      <c r="E988" s="1" t="s">
        <v>44</v>
      </c>
      <c r="F988" s="1" t="s">
        <v>35</v>
      </c>
      <c r="G988" s="1">
        <v>4</v>
      </c>
      <c r="H988" s="1">
        <v>746</v>
      </c>
      <c r="I988" s="1">
        <v>10</v>
      </c>
      <c r="J988" s="4">
        <v>2685.6</v>
      </c>
      <c r="K988" s="4">
        <v>1716.61</v>
      </c>
      <c r="L988" s="4">
        <v>968.99</v>
      </c>
      <c r="M988" s="1" t="str">
        <f>TEXT(Table1[[#This Row],[Order_Date]], "MMM")</f>
        <v>Feb</v>
      </c>
      <c r="N988" s="1">
        <f>YEAR(Table1[[#This Row],[Order_Date]])</f>
        <v>2024</v>
      </c>
      <c r="O988" s="7">
        <f>Table1[[#This Row],[Profit]]/Table1[[#This Row],[Total_Sales]]</f>
        <v>0.36080950253202265</v>
      </c>
    </row>
    <row r="989" spans="1:15" x14ac:dyDescent="0.25">
      <c r="A989" s="1">
        <v>988</v>
      </c>
      <c r="B989" s="2">
        <v>45360</v>
      </c>
      <c r="C989" s="1" t="s">
        <v>19</v>
      </c>
      <c r="D989" s="1" t="s">
        <v>32</v>
      </c>
      <c r="E989" s="1" t="s">
        <v>33</v>
      </c>
      <c r="F989" s="1" t="s">
        <v>15</v>
      </c>
      <c r="G989" s="1">
        <v>9</v>
      </c>
      <c r="H989" s="1">
        <v>923</v>
      </c>
      <c r="I989" s="1">
        <v>20</v>
      </c>
      <c r="J989" s="4">
        <v>6645.6</v>
      </c>
      <c r="K989" s="4">
        <v>3397.26</v>
      </c>
      <c r="L989" s="4">
        <v>3248.34</v>
      </c>
      <c r="M989" s="1" t="str">
        <f>TEXT(Table1[[#This Row],[Order_Date]], "MMM")</f>
        <v>Mar</v>
      </c>
      <c r="N989" s="1">
        <f>YEAR(Table1[[#This Row],[Order_Date]])</f>
        <v>2024</v>
      </c>
      <c r="O989" s="7">
        <f>Table1[[#This Row],[Profit]]/Table1[[#This Row],[Total_Sales]]</f>
        <v>0.48879559407728423</v>
      </c>
    </row>
    <row r="990" spans="1:15" x14ac:dyDescent="0.25">
      <c r="A990" s="1">
        <v>989</v>
      </c>
      <c r="B990" s="2">
        <v>45430</v>
      </c>
      <c r="C990" s="1" t="s">
        <v>19</v>
      </c>
      <c r="D990" s="1" t="s">
        <v>13</v>
      </c>
      <c r="E990" s="1" t="s">
        <v>17</v>
      </c>
      <c r="F990" s="1" t="s">
        <v>35</v>
      </c>
      <c r="G990" s="1">
        <v>6</v>
      </c>
      <c r="H990" s="1">
        <v>597</v>
      </c>
      <c r="I990" s="1">
        <v>0</v>
      </c>
      <c r="J990" s="4">
        <v>3582</v>
      </c>
      <c r="K990" s="4">
        <v>2194.0100000000002</v>
      </c>
      <c r="L990" s="4">
        <v>1387.99</v>
      </c>
      <c r="M990" s="1" t="str">
        <f>TEXT(Table1[[#This Row],[Order_Date]], "MMM")</f>
        <v>May</v>
      </c>
      <c r="N990" s="1">
        <f>YEAR(Table1[[#This Row],[Order_Date]])</f>
        <v>2024</v>
      </c>
      <c r="O990" s="7">
        <f>Table1[[#This Row],[Profit]]/Table1[[#This Row],[Total_Sales]]</f>
        <v>0.38749022892238971</v>
      </c>
    </row>
    <row r="991" spans="1:15" x14ac:dyDescent="0.25">
      <c r="A991" s="1">
        <v>990</v>
      </c>
      <c r="B991" s="2">
        <v>45407</v>
      </c>
      <c r="C991" s="1" t="s">
        <v>16</v>
      </c>
      <c r="D991" s="1" t="s">
        <v>32</v>
      </c>
      <c r="E991" s="1" t="s">
        <v>33</v>
      </c>
      <c r="F991" s="1" t="s">
        <v>31</v>
      </c>
      <c r="G991" s="1">
        <v>5</v>
      </c>
      <c r="H991" s="1">
        <v>792</v>
      </c>
      <c r="I991" s="1">
        <v>20</v>
      </c>
      <c r="J991" s="4">
        <v>3168</v>
      </c>
      <c r="K991" s="4">
        <v>2066.46</v>
      </c>
      <c r="L991" s="4">
        <v>1101.54</v>
      </c>
      <c r="M991" s="1" t="str">
        <f>TEXT(Table1[[#This Row],[Order_Date]], "MMM")</f>
        <v>Apr</v>
      </c>
      <c r="N991" s="1">
        <f>YEAR(Table1[[#This Row],[Order_Date]])</f>
        <v>2024</v>
      </c>
      <c r="O991" s="7">
        <f>Table1[[#This Row],[Profit]]/Table1[[#This Row],[Total_Sales]]</f>
        <v>0.34770833333333334</v>
      </c>
    </row>
    <row r="992" spans="1:15" x14ac:dyDescent="0.25">
      <c r="A992" s="1">
        <v>991</v>
      </c>
      <c r="B992" s="2">
        <v>45441</v>
      </c>
      <c r="C992" s="1" t="s">
        <v>19</v>
      </c>
      <c r="D992" s="1" t="s">
        <v>32</v>
      </c>
      <c r="E992" s="1" t="s">
        <v>45</v>
      </c>
      <c r="F992" s="1" t="s">
        <v>40</v>
      </c>
      <c r="G992" s="1">
        <v>10</v>
      </c>
      <c r="H992" s="1">
        <v>324</v>
      </c>
      <c r="I992" s="1">
        <v>15</v>
      </c>
      <c r="J992" s="4">
        <v>2754</v>
      </c>
      <c r="K992" s="4">
        <v>2199.0100000000002</v>
      </c>
      <c r="L992" s="4">
        <v>554.99</v>
      </c>
      <c r="M992" s="1" t="str">
        <f>TEXT(Table1[[#This Row],[Order_Date]], "MMM")</f>
        <v>May</v>
      </c>
      <c r="N992" s="1">
        <f>YEAR(Table1[[#This Row],[Order_Date]])</f>
        <v>2024</v>
      </c>
      <c r="O992" s="7">
        <f>Table1[[#This Row],[Profit]]/Table1[[#This Row],[Total_Sales]]</f>
        <v>0.20152142338416848</v>
      </c>
    </row>
    <row r="993" spans="1:15" x14ac:dyDescent="0.25">
      <c r="A993" s="1">
        <v>992</v>
      </c>
      <c r="B993" s="2">
        <v>45219</v>
      </c>
      <c r="C993" s="1" t="s">
        <v>19</v>
      </c>
      <c r="D993" s="1" t="s">
        <v>26</v>
      </c>
      <c r="E993" s="1" t="s">
        <v>27</v>
      </c>
      <c r="F993" s="1" t="s">
        <v>18</v>
      </c>
      <c r="G993" s="1">
        <v>9</v>
      </c>
      <c r="H993" s="1">
        <v>59</v>
      </c>
      <c r="I993" s="1">
        <v>0</v>
      </c>
      <c r="J993" s="4">
        <v>531</v>
      </c>
      <c r="K993" s="4">
        <v>393.49</v>
      </c>
      <c r="L993" s="4">
        <v>137.51</v>
      </c>
      <c r="M993" s="1" t="str">
        <f>TEXT(Table1[[#This Row],[Order_Date]], "MMM")</f>
        <v>Oct</v>
      </c>
      <c r="N993" s="1">
        <f>YEAR(Table1[[#This Row],[Order_Date]])</f>
        <v>2023</v>
      </c>
      <c r="O993" s="7">
        <f>Table1[[#This Row],[Profit]]/Table1[[#This Row],[Total_Sales]]</f>
        <v>0.25896421845574386</v>
      </c>
    </row>
    <row r="994" spans="1:15" x14ac:dyDescent="0.25">
      <c r="A994" s="1">
        <v>993</v>
      </c>
      <c r="B994" s="2">
        <v>45476</v>
      </c>
      <c r="C994" s="1" t="s">
        <v>25</v>
      </c>
      <c r="D994" s="1" t="s">
        <v>32</v>
      </c>
      <c r="E994" s="1" t="s">
        <v>41</v>
      </c>
      <c r="F994" s="1" t="s">
        <v>18</v>
      </c>
      <c r="G994" s="1">
        <v>8</v>
      </c>
      <c r="H994" s="1">
        <v>367</v>
      </c>
      <c r="I994" s="1">
        <v>15</v>
      </c>
      <c r="J994" s="4">
        <v>2495.6</v>
      </c>
      <c r="K994" s="4">
        <v>1756.16</v>
      </c>
      <c r="L994" s="4">
        <v>739.44</v>
      </c>
      <c r="M994" s="1" t="str">
        <f>TEXT(Table1[[#This Row],[Order_Date]], "MMM")</f>
        <v>Jul</v>
      </c>
      <c r="N994" s="1">
        <f>YEAR(Table1[[#This Row],[Order_Date]])</f>
        <v>2024</v>
      </c>
      <c r="O994" s="7">
        <f>Table1[[#This Row],[Profit]]/Table1[[#This Row],[Total_Sales]]</f>
        <v>0.29629748357108515</v>
      </c>
    </row>
    <row r="995" spans="1:15" x14ac:dyDescent="0.25">
      <c r="A995" s="1">
        <v>994</v>
      </c>
      <c r="B995" s="2">
        <v>45245</v>
      </c>
      <c r="C995" s="1" t="s">
        <v>19</v>
      </c>
      <c r="D995" s="1" t="s">
        <v>22</v>
      </c>
      <c r="E995" s="1" t="s">
        <v>29</v>
      </c>
      <c r="F995" s="1" t="s">
        <v>15</v>
      </c>
      <c r="G995" s="1">
        <v>6</v>
      </c>
      <c r="H995" s="1">
        <v>923</v>
      </c>
      <c r="I995" s="1">
        <v>15</v>
      </c>
      <c r="J995" s="4">
        <v>4707.3</v>
      </c>
      <c r="K995" s="4">
        <v>2746.56</v>
      </c>
      <c r="L995" s="4">
        <v>1960.74</v>
      </c>
      <c r="M995" s="1" t="str">
        <f>TEXT(Table1[[#This Row],[Order_Date]], "MMM")</f>
        <v>Nov</v>
      </c>
      <c r="N995" s="1">
        <f>YEAR(Table1[[#This Row],[Order_Date]])</f>
        <v>2023</v>
      </c>
      <c r="O995" s="7">
        <f>Table1[[#This Row],[Profit]]/Table1[[#This Row],[Total_Sales]]</f>
        <v>0.41653176980434642</v>
      </c>
    </row>
    <row r="996" spans="1:15" x14ac:dyDescent="0.25">
      <c r="A996" s="1">
        <v>995</v>
      </c>
      <c r="B996" s="2">
        <v>45422</v>
      </c>
      <c r="C996" s="1" t="s">
        <v>12</v>
      </c>
      <c r="D996" s="1" t="s">
        <v>20</v>
      </c>
      <c r="E996" s="1" t="s">
        <v>21</v>
      </c>
      <c r="F996" s="1" t="s">
        <v>15</v>
      </c>
      <c r="G996" s="1">
        <v>6</v>
      </c>
      <c r="H996" s="1">
        <v>492</v>
      </c>
      <c r="I996" s="1">
        <v>20</v>
      </c>
      <c r="J996" s="4">
        <v>2361.6</v>
      </c>
      <c r="K996" s="4">
        <v>1520.39</v>
      </c>
      <c r="L996" s="4">
        <v>841.21</v>
      </c>
      <c r="M996" s="1" t="str">
        <f>TEXT(Table1[[#This Row],[Order_Date]], "MMM")</f>
        <v>May</v>
      </c>
      <c r="N996" s="1">
        <f>YEAR(Table1[[#This Row],[Order_Date]])</f>
        <v>2024</v>
      </c>
      <c r="O996" s="7">
        <f>Table1[[#This Row],[Profit]]/Table1[[#This Row],[Total_Sales]]</f>
        <v>0.35620342140921413</v>
      </c>
    </row>
    <row r="997" spans="1:15" x14ac:dyDescent="0.25">
      <c r="A997" s="1">
        <v>996</v>
      </c>
      <c r="B997" s="2">
        <v>45140</v>
      </c>
      <c r="C997" s="1" t="s">
        <v>12</v>
      </c>
      <c r="D997" s="1" t="s">
        <v>20</v>
      </c>
      <c r="E997" s="1" t="s">
        <v>30</v>
      </c>
      <c r="F997" s="1" t="s">
        <v>31</v>
      </c>
      <c r="G997" s="1">
        <v>4</v>
      </c>
      <c r="H997" s="1">
        <v>91</v>
      </c>
      <c r="I997" s="1">
        <v>5</v>
      </c>
      <c r="J997" s="4">
        <v>345.8</v>
      </c>
      <c r="K997" s="4">
        <v>245.04</v>
      </c>
      <c r="L997" s="4">
        <v>100.76</v>
      </c>
      <c r="M997" s="1" t="str">
        <f>TEXT(Table1[[#This Row],[Order_Date]], "MMM")</f>
        <v>Aug</v>
      </c>
      <c r="N997" s="1">
        <f>YEAR(Table1[[#This Row],[Order_Date]])</f>
        <v>2023</v>
      </c>
      <c r="O997" s="7">
        <f>Table1[[#This Row],[Profit]]/Table1[[#This Row],[Total_Sales]]</f>
        <v>0.29138230190861769</v>
      </c>
    </row>
    <row r="998" spans="1:15" x14ac:dyDescent="0.25">
      <c r="A998" s="1">
        <v>997</v>
      </c>
      <c r="B998" s="2">
        <v>45432</v>
      </c>
      <c r="C998" s="1" t="s">
        <v>19</v>
      </c>
      <c r="D998" s="1" t="s">
        <v>32</v>
      </c>
      <c r="E998" s="1" t="s">
        <v>45</v>
      </c>
      <c r="F998" s="1" t="s">
        <v>40</v>
      </c>
      <c r="G998" s="1">
        <v>9</v>
      </c>
      <c r="H998" s="1">
        <v>722</v>
      </c>
      <c r="I998" s="1">
        <v>0</v>
      </c>
      <c r="J998" s="4">
        <v>6498</v>
      </c>
      <c r="K998" s="4">
        <v>3301.3</v>
      </c>
      <c r="L998" s="4">
        <v>3196.7</v>
      </c>
      <c r="M998" s="1" t="str">
        <f>TEXT(Table1[[#This Row],[Order_Date]], "MMM")</f>
        <v>May</v>
      </c>
      <c r="N998" s="1">
        <f>YEAR(Table1[[#This Row],[Order_Date]])</f>
        <v>2024</v>
      </c>
      <c r="O998" s="7">
        <f>Table1[[#This Row],[Profit]]/Table1[[#This Row],[Total_Sales]]</f>
        <v>0.49195136965220065</v>
      </c>
    </row>
    <row r="999" spans="1:15" x14ac:dyDescent="0.25">
      <c r="A999" s="1">
        <v>998</v>
      </c>
      <c r="B999" s="2">
        <v>45176</v>
      </c>
      <c r="C999" s="1" t="s">
        <v>25</v>
      </c>
      <c r="D999" s="1" t="s">
        <v>20</v>
      </c>
      <c r="E999" s="1" t="s">
        <v>30</v>
      </c>
      <c r="F999" s="1" t="s">
        <v>31</v>
      </c>
      <c r="G999" s="1">
        <v>9</v>
      </c>
      <c r="H999" s="1">
        <v>532</v>
      </c>
      <c r="I999" s="1">
        <v>0</v>
      </c>
      <c r="J999" s="4">
        <v>4788</v>
      </c>
      <c r="K999" s="4">
        <v>2981.79</v>
      </c>
      <c r="L999" s="4">
        <v>1806.21</v>
      </c>
      <c r="M999" s="1" t="str">
        <f>TEXT(Table1[[#This Row],[Order_Date]], "MMM")</f>
        <v>Sep</v>
      </c>
      <c r="N999" s="1">
        <f>YEAR(Table1[[#This Row],[Order_Date]])</f>
        <v>2023</v>
      </c>
      <c r="O999" s="7">
        <f>Table1[[#This Row],[Profit]]/Table1[[#This Row],[Total_Sales]]</f>
        <v>0.37723684210526315</v>
      </c>
    </row>
    <row r="1000" spans="1:15" x14ac:dyDescent="0.25">
      <c r="A1000" s="1">
        <v>999</v>
      </c>
      <c r="B1000" s="2">
        <v>44967</v>
      </c>
      <c r="C1000" s="1" t="s">
        <v>16</v>
      </c>
      <c r="D1000" s="1" t="s">
        <v>13</v>
      </c>
      <c r="E1000" s="1" t="s">
        <v>38</v>
      </c>
      <c r="F1000" s="1" t="s">
        <v>40</v>
      </c>
      <c r="G1000" s="1">
        <v>8</v>
      </c>
      <c r="H1000" s="1">
        <v>385</v>
      </c>
      <c r="I1000" s="1">
        <v>15</v>
      </c>
      <c r="J1000" s="4">
        <v>2618</v>
      </c>
      <c r="K1000" s="4">
        <v>1440.56</v>
      </c>
      <c r="L1000" s="4">
        <v>1177.44</v>
      </c>
      <c r="M1000" s="1" t="str">
        <f>TEXT(Table1[[#This Row],[Order_Date]], "MMM")</f>
        <v>Feb</v>
      </c>
      <c r="N1000" s="1">
        <f>YEAR(Table1[[#This Row],[Order_Date]])</f>
        <v>2023</v>
      </c>
      <c r="O1000" s="7">
        <f>Table1[[#This Row],[Profit]]/Table1[[#This Row],[Total_Sales]]</f>
        <v>0.4497478991596639</v>
      </c>
    </row>
    <row r="1001" spans="1:15" x14ac:dyDescent="0.25">
      <c r="A1001" s="1">
        <v>1000</v>
      </c>
      <c r="B1001" s="2">
        <v>45190</v>
      </c>
      <c r="C1001" s="1" t="s">
        <v>12</v>
      </c>
      <c r="D1001" s="1" t="s">
        <v>26</v>
      </c>
      <c r="E1001" s="1" t="s">
        <v>42</v>
      </c>
      <c r="F1001" s="1" t="s">
        <v>24</v>
      </c>
      <c r="G1001" s="1">
        <v>6</v>
      </c>
      <c r="H1001" s="1">
        <v>691</v>
      </c>
      <c r="I1001" s="1">
        <v>10</v>
      </c>
      <c r="J1001" s="4">
        <v>3731.4</v>
      </c>
      <c r="K1001" s="4">
        <v>2613.69</v>
      </c>
      <c r="L1001" s="4">
        <v>1117.71</v>
      </c>
      <c r="M1001" s="1" t="str">
        <f>TEXT(Table1[[#This Row],[Order_Date]], "MMM")</f>
        <v>Sep</v>
      </c>
      <c r="N1001" s="1">
        <f>YEAR(Table1[[#This Row],[Order_Date]])</f>
        <v>2023</v>
      </c>
      <c r="O1001" s="7">
        <f>Table1[[#This Row],[Profit]]/Table1[[#This Row],[Total_Sales]]</f>
        <v>0.2995417269657501</v>
      </c>
    </row>
    <row r="1002" spans="1:15" x14ac:dyDescent="0.25">
      <c r="A1002" s="1">
        <v>1001</v>
      </c>
      <c r="B1002" s="2">
        <v>45237</v>
      </c>
      <c r="C1002" s="1" t="s">
        <v>16</v>
      </c>
      <c r="D1002" s="1" t="s">
        <v>32</v>
      </c>
      <c r="E1002" s="1" t="s">
        <v>41</v>
      </c>
      <c r="F1002" s="1" t="s">
        <v>31</v>
      </c>
      <c r="G1002" s="1">
        <v>10</v>
      </c>
      <c r="H1002" s="1">
        <v>475</v>
      </c>
      <c r="I1002" s="1">
        <v>15</v>
      </c>
      <c r="J1002" s="4">
        <v>4037.5</v>
      </c>
      <c r="K1002" s="4">
        <v>2964.99</v>
      </c>
      <c r="L1002" s="4">
        <v>1072.51</v>
      </c>
      <c r="M1002" s="1" t="str">
        <f>TEXT(Table1[[#This Row],[Order_Date]], "MMM")</f>
        <v>Nov</v>
      </c>
      <c r="N1002" s="1">
        <f>YEAR(Table1[[#This Row],[Order_Date]])</f>
        <v>2023</v>
      </c>
      <c r="O1002" s="7">
        <f>Table1[[#This Row],[Profit]]/Table1[[#This Row],[Total_Sales]]</f>
        <v>0.2656371517027864</v>
      </c>
    </row>
    <row r="1003" spans="1:15" x14ac:dyDescent="0.25">
      <c r="A1003" s="1">
        <v>1002</v>
      </c>
      <c r="B1003" s="2">
        <v>45537</v>
      </c>
      <c r="C1003" s="1" t="s">
        <v>16</v>
      </c>
      <c r="D1003" s="1" t="s">
        <v>20</v>
      </c>
      <c r="E1003" s="1" t="s">
        <v>28</v>
      </c>
      <c r="F1003" s="1" t="s">
        <v>24</v>
      </c>
      <c r="G1003" s="1">
        <v>7</v>
      </c>
      <c r="H1003" s="1">
        <v>759</v>
      </c>
      <c r="I1003" s="1">
        <v>20</v>
      </c>
      <c r="J1003" s="4">
        <v>4250.3999999999996</v>
      </c>
      <c r="K1003" s="4">
        <v>2713.43</v>
      </c>
      <c r="L1003" s="4">
        <v>1536.97</v>
      </c>
      <c r="M1003" s="1" t="str">
        <f>TEXT(Table1[[#This Row],[Order_Date]], "MMM")</f>
        <v>Sep</v>
      </c>
      <c r="N1003" s="1">
        <f>YEAR(Table1[[#This Row],[Order_Date]])</f>
        <v>2024</v>
      </c>
      <c r="O1003" s="7">
        <f>Table1[[#This Row],[Profit]]/Table1[[#This Row],[Total_Sales]]</f>
        <v>0.36160596649727089</v>
      </c>
    </row>
    <row r="1004" spans="1:15" x14ac:dyDescent="0.25">
      <c r="A1004" s="1">
        <v>1003</v>
      </c>
      <c r="B1004" s="2">
        <v>45172</v>
      </c>
      <c r="C1004" s="1" t="s">
        <v>25</v>
      </c>
      <c r="D1004" s="1" t="s">
        <v>26</v>
      </c>
      <c r="E1004" s="1" t="s">
        <v>27</v>
      </c>
      <c r="F1004" s="1" t="s">
        <v>35</v>
      </c>
      <c r="G1004" s="1">
        <v>7</v>
      </c>
      <c r="H1004" s="1">
        <v>788</v>
      </c>
      <c r="I1004" s="1">
        <v>0</v>
      </c>
      <c r="J1004" s="4">
        <v>5516</v>
      </c>
      <c r="K1004" s="4">
        <v>3603.74</v>
      </c>
      <c r="L1004" s="4">
        <v>1912.26</v>
      </c>
      <c r="M1004" s="1" t="str">
        <f>TEXT(Table1[[#This Row],[Order_Date]], "MMM")</f>
        <v>Sep</v>
      </c>
      <c r="N1004" s="1">
        <f>YEAR(Table1[[#This Row],[Order_Date]])</f>
        <v>2023</v>
      </c>
      <c r="O1004" s="7">
        <f>Table1[[#This Row],[Profit]]/Table1[[#This Row],[Total_Sales]]</f>
        <v>0.34667512690355329</v>
      </c>
    </row>
    <row r="1005" spans="1:15" x14ac:dyDescent="0.25">
      <c r="A1005" s="1">
        <v>1004</v>
      </c>
      <c r="B1005" s="2">
        <v>45067</v>
      </c>
      <c r="C1005" s="1" t="s">
        <v>12</v>
      </c>
      <c r="D1005" s="1" t="s">
        <v>13</v>
      </c>
      <c r="E1005" s="1" t="s">
        <v>38</v>
      </c>
      <c r="F1005" s="1" t="s">
        <v>35</v>
      </c>
      <c r="G1005" s="1">
        <v>1</v>
      </c>
      <c r="H1005" s="1">
        <v>579</v>
      </c>
      <c r="I1005" s="1">
        <v>0</v>
      </c>
      <c r="J1005" s="4">
        <v>579</v>
      </c>
      <c r="K1005" s="4">
        <v>315.13</v>
      </c>
      <c r="L1005" s="4">
        <v>263.87</v>
      </c>
      <c r="M1005" s="1" t="str">
        <f>TEXT(Table1[[#This Row],[Order_Date]], "MMM")</f>
        <v>May</v>
      </c>
      <c r="N1005" s="1">
        <f>YEAR(Table1[[#This Row],[Order_Date]])</f>
        <v>2023</v>
      </c>
      <c r="O1005" s="7">
        <f>Table1[[#This Row],[Profit]]/Table1[[#This Row],[Total_Sales]]</f>
        <v>0.45573402417962006</v>
      </c>
    </row>
    <row r="1006" spans="1:15" x14ac:dyDescent="0.25">
      <c r="A1006" s="1">
        <v>1005</v>
      </c>
      <c r="B1006" s="2">
        <v>45172</v>
      </c>
      <c r="C1006" s="1" t="s">
        <v>19</v>
      </c>
      <c r="D1006" s="1" t="s">
        <v>32</v>
      </c>
      <c r="E1006" s="1" t="s">
        <v>34</v>
      </c>
      <c r="F1006" s="1" t="s">
        <v>18</v>
      </c>
      <c r="G1006" s="1">
        <v>9</v>
      </c>
      <c r="H1006" s="1">
        <v>885</v>
      </c>
      <c r="I1006" s="1">
        <v>20</v>
      </c>
      <c r="J1006" s="4">
        <v>6372</v>
      </c>
      <c r="K1006" s="4">
        <v>3639.79</v>
      </c>
      <c r="L1006" s="4">
        <v>2732.21</v>
      </c>
      <c r="M1006" s="1" t="str">
        <f>TEXT(Table1[[#This Row],[Order_Date]], "MMM")</f>
        <v>Sep</v>
      </c>
      <c r="N1006" s="1">
        <f>YEAR(Table1[[#This Row],[Order_Date]])</f>
        <v>2023</v>
      </c>
      <c r="O1006" s="7">
        <f>Table1[[#This Row],[Profit]]/Table1[[#This Row],[Total_Sales]]</f>
        <v>0.42878374136848713</v>
      </c>
    </row>
    <row r="1007" spans="1:15" x14ac:dyDescent="0.25">
      <c r="A1007" s="1">
        <v>1006</v>
      </c>
      <c r="B1007" s="2">
        <v>45593</v>
      </c>
      <c r="C1007" s="1" t="s">
        <v>16</v>
      </c>
      <c r="D1007" s="1" t="s">
        <v>20</v>
      </c>
      <c r="E1007" s="1" t="s">
        <v>30</v>
      </c>
      <c r="F1007" s="1" t="s">
        <v>40</v>
      </c>
      <c r="G1007" s="1">
        <v>9</v>
      </c>
      <c r="H1007" s="1">
        <v>34</v>
      </c>
      <c r="I1007" s="1">
        <v>10</v>
      </c>
      <c r="J1007" s="4">
        <v>275.39999999999998</v>
      </c>
      <c r="K1007" s="4">
        <v>206.51</v>
      </c>
      <c r="L1007" s="4">
        <v>68.89</v>
      </c>
      <c r="M1007" s="1" t="str">
        <f>TEXT(Table1[[#This Row],[Order_Date]], "MMM")</f>
        <v>Oct</v>
      </c>
      <c r="N1007" s="1">
        <f>YEAR(Table1[[#This Row],[Order_Date]])</f>
        <v>2024</v>
      </c>
      <c r="O1007" s="7">
        <f>Table1[[#This Row],[Profit]]/Table1[[#This Row],[Total_Sales]]</f>
        <v>0.25014524328249821</v>
      </c>
    </row>
    <row r="1008" spans="1:15" x14ac:dyDescent="0.25">
      <c r="A1008" s="1">
        <v>1007</v>
      </c>
      <c r="B1008" s="2">
        <v>45058</v>
      </c>
      <c r="C1008" s="1" t="s">
        <v>12</v>
      </c>
      <c r="D1008" s="1" t="s">
        <v>22</v>
      </c>
      <c r="E1008" s="1" t="s">
        <v>44</v>
      </c>
      <c r="F1008" s="1" t="s">
        <v>18</v>
      </c>
      <c r="G1008" s="1">
        <v>8</v>
      </c>
      <c r="H1008" s="1">
        <v>856</v>
      </c>
      <c r="I1008" s="1">
        <v>10</v>
      </c>
      <c r="J1008" s="4">
        <v>6163.2</v>
      </c>
      <c r="K1008" s="4">
        <v>4129</v>
      </c>
      <c r="L1008" s="4">
        <v>2034.2</v>
      </c>
      <c r="M1008" s="1" t="str">
        <f>TEXT(Table1[[#This Row],[Order_Date]], "MMM")</f>
        <v>May</v>
      </c>
      <c r="N1008" s="1">
        <f>YEAR(Table1[[#This Row],[Order_Date]])</f>
        <v>2023</v>
      </c>
      <c r="O1008" s="7">
        <f>Table1[[#This Row],[Profit]]/Table1[[#This Row],[Total_Sales]]</f>
        <v>0.33005581516095539</v>
      </c>
    </row>
    <row r="1009" spans="1:15" x14ac:dyDescent="0.25">
      <c r="A1009" s="1">
        <v>1008</v>
      </c>
      <c r="B1009" s="2">
        <v>45004</v>
      </c>
      <c r="C1009" s="1" t="s">
        <v>12</v>
      </c>
      <c r="D1009" s="1" t="s">
        <v>22</v>
      </c>
      <c r="E1009" s="1" t="s">
        <v>29</v>
      </c>
      <c r="F1009" s="1" t="s">
        <v>35</v>
      </c>
      <c r="G1009" s="1">
        <v>9</v>
      </c>
      <c r="H1009" s="1">
        <v>359</v>
      </c>
      <c r="I1009" s="1">
        <v>10</v>
      </c>
      <c r="J1009" s="4">
        <v>2907.9</v>
      </c>
      <c r="K1009" s="4">
        <v>1973.25</v>
      </c>
      <c r="L1009" s="4">
        <v>934.65</v>
      </c>
      <c r="M1009" s="1" t="str">
        <f>TEXT(Table1[[#This Row],[Order_Date]], "MMM")</f>
        <v>Mar</v>
      </c>
      <c r="N1009" s="1">
        <f>YEAR(Table1[[#This Row],[Order_Date]])</f>
        <v>2023</v>
      </c>
      <c r="O1009" s="7">
        <f>Table1[[#This Row],[Profit]]/Table1[[#This Row],[Total_Sales]]</f>
        <v>0.32141751779634786</v>
      </c>
    </row>
    <row r="1010" spans="1:15" x14ac:dyDescent="0.25">
      <c r="A1010" s="1">
        <v>1009</v>
      </c>
      <c r="B1010" s="2">
        <v>45564</v>
      </c>
      <c r="C1010" s="1" t="s">
        <v>12</v>
      </c>
      <c r="D1010" s="1" t="s">
        <v>32</v>
      </c>
      <c r="E1010" s="1" t="s">
        <v>33</v>
      </c>
      <c r="F1010" s="1" t="s">
        <v>31</v>
      </c>
      <c r="G1010" s="1">
        <v>2</v>
      </c>
      <c r="H1010" s="1">
        <v>903</v>
      </c>
      <c r="I1010" s="1">
        <v>5</v>
      </c>
      <c r="J1010" s="4">
        <v>1715.7</v>
      </c>
      <c r="K1010" s="4">
        <v>865.52</v>
      </c>
      <c r="L1010" s="4">
        <v>850.18</v>
      </c>
      <c r="M1010" s="1" t="str">
        <f>TEXT(Table1[[#This Row],[Order_Date]], "MMM")</f>
        <v>Sep</v>
      </c>
      <c r="N1010" s="1">
        <f>YEAR(Table1[[#This Row],[Order_Date]])</f>
        <v>2024</v>
      </c>
      <c r="O1010" s="7">
        <f>Table1[[#This Row],[Profit]]/Table1[[#This Row],[Total_Sales]]</f>
        <v>0.49552952147811385</v>
      </c>
    </row>
    <row r="1011" spans="1:15" x14ac:dyDescent="0.25">
      <c r="A1011" s="1">
        <v>1010</v>
      </c>
      <c r="B1011" s="2">
        <v>45310</v>
      </c>
      <c r="C1011" s="1" t="s">
        <v>19</v>
      </c>
      <c r="D1011" s="1" t="s">
        <v>13</v>
      </c>
      <c r="E1011" s="1" t="s">
        <v>17</v>
      </c>
      <c r="F1011" s="1" t="s">
        <v>31</v>
      </c>
      <c r="G1011" s="1">
        <v>7</v>
      </c>
      <c r="H1011" s="1">
        <v>212</v>
      </c>
      <c r="I1011" s="1">
        <v>0</v>
      </c>
      <c r="J1011" s="4">
        <v>1484</v>
      </c>
      <c r="K1011" s="4">
        <v>878.09</v>
      </c>
      <c r="L1011" s="4">
        <v>605.91</v>
      </c>
      <c r="M1011" s="1" t="str">
        <f>TEXT(Table1[[#This Row],[Order_Date]], "MMM")</f>
        <v>Jan</v>
      </c>
      <c r="N1011" s="1">
        <f>YEAR(Table1[[#This Row],[Order_Date]])</f>
        <v>2024</v>
      </c>
      <c r="O1011" s="7">
        <f>Table1[[#This Row],[Profit]]/Table1[[#This Row],[Total_Sales]]</f>
        <v>0.40829514824797841</v>
      </c>
    </row>
    <row r="1012" spans="1:15" x14ac:dyDescent="0.25">
      <c r="A1012" s="1">
        <v>1011</v>
      </c>
      <c r="B1012" s="2">
        <v>45558</v>
      </c>
      <c r="C1012" s="1" t="s">
        <v>12</v>
      </c>
      <c r="D1012" s="1" t="s">
        <v>26</v>
      </c>
      <c r="E1012" s="1" t="s">
        <v>42</v>
      </c>
      <c r="F1012" s="1" t="s">
        <v>18</v>
      </c>
      <c r="G1012" s="1">
        <v>4</v>
      </c>
      <c r="H1012" s="1">
        <v>739</v>
      </c>
      <c r="I1012" s="1">
        <v>20</v>
      </c>
      <c r="J1012" s="4">
        <v>2364.8000000000002</v>
      </c>
      <c r="K1012" s="4">
        <v>1290.25</v>
      </c>
      <c r="L1012" s="4">
        <v>1074.55</v>
      </c>
      <c r="M1012" s="1" t="str">
        <f>TEXT(Table1[[#This Row],[Order_Date]], "MMM")</f>
        <v>Sep</v>
      </c>
      <c r="N1012" s="1">
        <f>YEAR(Table1[[#This Row],[Order_Date]])</f>
        <v>2024</v>
      </c>
      <c r="O1012" s="7">
        <f>Table1[[#This Row],[Profit]]/Table1[[#This Row],[Total_Sales]]</f>
        <v>0.45439360622462782</v>
      </c>
    </row>
    <row r="1013" spans="1:15" x14ac:dyDescent="0.25">
      <c r="A1013" s="1">
        <v>1012</v>
      </c>
      <c r="B1013" s="2">
        <v>45458</v>
      </c>
      <c r="C1013" s="1" t="s">
        <v>25</v>
      </c>
      <c r="D1013" s="1" t="s">
        <v>32</v>
      </c>
      <c r="E1013" s="1" t="s">
        <v>33</v>
      </c>
      <c r="F1013" s="1" t="s">
        <v>18</v>
      </c>
      <c r="G1013" s="1">
        <v>6</v>
      </c>
      <c r="H1013" s="1">
        <v>89</v>
      </c>
      <c r="I1013" s="1">
        <v>10</v>
      </c>
      <c r="J1013" s="4">
        <v>480.6</v>
      </c>
      <c r="K1013" s="4">
        <v>303.2</v>
      </c>
      <c r="L1013" s="4">
        <v>177.4</v>
      </c>
      <c r="M1013" s="1" t="str">
        <f>TEXT(Table1[[#This Row],[Order_Date]], "MMM")</f>
        <v>Jun</v>
      </c>
      <c r="N1013" s="1">
        <f>YEAR(Table1[[#This Row],[Order_Date]])</f>
        <v>2024</v>
      </c>
      <c r="O1013" s="7">
        <f>Table1[[#This Row],[Profit]]/Table1[[#This Row],[Total_Sales]]</f>
        <v>0.36912193091968371</v>
      </c>
    </row>
    <row r="1014" spans="1:15" x14ac:dyDescent="0.25">
      <c r="A1014" s="1">
        <v>1013</v>
      </c>
      <c r="B1014" s="2">
        <v>44942</v>
      </c>
      <c r="C1014" s="1" t="s">
        <v>25</v>
      </c>
      <c r="D1014" s="1" t="s">
        <v>32</v>
      </c>
      <c r="E1014" s="1" t="s">
        <v>33</v>
      </c>
      <c r="F1014" s="1" t="s">
        <v>31</v>
      </c>
      <c r="G1014" s="1">
        <v>9</v>
      </c>
      <c r="H1014" s="1">
        <v>892</v>
      </c>
      <c r="I1014" s="1">
        <v>15</v>
      </c>
      <c r="J1014" s="4">
        <v>6823.8</v>
      </c>
      <c r="K1014" s="4">
        <v>3418.67</v>
      </c>
      <c r="L1014" s="4">
        <v>3405.13</v>
      </c>
      <c r="M1014" s="1" t="str">
        <f>TEXT(Table1[[#This Row],[Order_Date]], "MMM")</f>
        <v>Jan</v>
      </c>
      <c r="N1014" s="1">
        <f>YEAR(Table1[[#This Row],[Order_Date]])</f>
        <v>2023</v>
      </c>
      <c r="O1014" s="7">
        <f>Table1[[#This Row],[Profit]]/Table1[[#This Row],[Total_Sales]]</f>
        <v>0.49900788417011049</v>
      </c>
    </row>
    <row r="1015" spans="1:15" x14ac:dyDescent="0.25">
      <c r="A1015" s="1">
        <v>1014</v>
      </c>
      <c r="B1015" s="2">
        <v>45442</v>
      </c>
      <c r="C1015" s="1" t="s">
        <v>12</v>
      </c>
      <c r="D1015" s="1" t="s">
        <v>20</v>
      </c>
      <c r="E1015" s="1" t="s">
        <v>30</v>
      </c>
      <c r="F1015" s="1" t="s">
        <v>35</v>
      </c>
      <c r="G1015" s="1">
        <v>3</v>
      </c>
      <c r="H1015" s="1">
        <v>840</v>
      </c>
      <c r="I1015" s="1">
        <v>0</v>
      </c>
      <c r="J1015" s="4">
        <v>2520</v>
      </c>
      <c r="K1015" s="4">
        <v>1367.3</v>
      </c>
      <c r="L1015" s="4">
        <v>1152.7</v>
      </c>
      <c r="M1015" s="1" t="str">
        <f>TEXT(Table1[[#This Row],[Order_Date]], "MMM")</f>
        <v>May</v>
      </c>
      <c r="N1015" s="1">
        <f>YEAR(Table1[[#This Row],[Order_Date]])</f>
        <v>2024</v>
      </c>
      <c r="O1015" s="7">
        <f>Table1[[#This Row],[Profit]]/Table1[[#This Row],[Total_Sales]]</f>
        <v>0.45742063492063495</v>
      </c>
    </row>
    <row r="1016" spans="1:15" x14ac:dyDescent="0.25">
      <c r="A1016" s="1">
        <v>1015</v>
      </c>
      <c r="B1016" s="2">
        <v>44995</v>
      </c>
      <c r="C1016" s="1" t="s">
        <v>12</v>
      </c>
      <c r="D1016" s="1" t="s">
        <v>20</v>
      </c>
      <c r="E1016" s="1" t="s">
        <v>21</v>
      </c>
      <c r="F1016" s="1" t="s">
        <v>18</v>
      </c>
      <c r="G1016" s="1">
        <v>6</v>
      </c>
      <c r="H1016" s="1">
        <v>330</v>
      </c>
      <c r="I1016" s="1">
        <v>0</v>
      </c>
      <c r="J1016" s="4">
        <v>1980</v>
      </c>
      <c r="K1016" s="4">
        <v>1027.1199999999999</v>
      </c>
      <c r="L1016" s="4">
        <v>952.88</v>
      </c>
      <c r="M1016" s="1" t="str">
        <f>TEXT(Table1[[#This Row],[Order_Date]], "MMM")</f>
        <v>Mar</v>
      </c>
      <c r="N1016" s="1">
        <f>YEAR(Table1[[#This Row],[Order_Date]])</f>
        <v>2023</v>
      </c>
      <c r="O1016" s="7">
        <f>Table1[[#This Row],[Profit]]/Table1[[#This Row],[Total_Sales]]</f>
        <v>0.48125252525252527</v>
      </c>
    </row>
    <row r="1017" spans="1:15" x14ac:dyDescent="0.25">
      <c r="A1017" s="1">
        <v>1016</v>
      </c>
      <c r="B1017" s="2">
        <v>45296</v>
      </c>
      <c r="C1017" s="1" t="s">
        <v>19</v>
      </c>
      <c r="D1017" s="1" t="s">
        <v>26</v>
      </c>
      <c r="E1017" s="1" t="s">
        <v>27</v>
      </c>
      <c r="F1017" s="1" t="s">
        <v>24</v>
      </c>
      <c r="G1017" s="1">
        <v>7</v>
      </c>
      <c r="H1017" s="1">
        <v>450</v>
      </c>
      <c r="I1017" s="1">
        <v>15</v>
      </c>
      <c r="J1017" s="4">
        <v>2677.5</v>
      </c>
      <c r="K1017" s="4">
        <v>1341.94</v>
      </c>
      <c r="L1017" s="4">
        <v>1335.56</v>
      </c>
      <c r="M1017" s="1" t="str">
        <f>TEXT(Table1[[#This Row],[Order_Date]], "MMM")</f>
        <v>Jan</v>
      </c>
      <c r="N1017" s="1">
        <f>YEAR(Table1[[#This Row],[Order_Date]])</f>
        <v>2024</v>
      </c>
      <c r="O1017" s="7">
        <f>Table1[[#This Row],[Profit]]/Table1[[#This Row],[Total_Sales]]</f>
        <v>0.49880859010270773</v>
      </c>
    </row>
    <row r="1018" spans="1:15" x14ac:dyDescent="0.25">
      <c r="A1018" s="1">
        <v>1017</v>
      </c>
      <c r="B1018" s="2">
        <v>45192</v>
      </c>
      <c r="C1018" s="1" t="s">
        <v>16</v>
      </c>
      <c r="D1018" s="1" t="s">
        <v>13</v>
      </c>
      <c r="E1018" s="1" t="s">
        <v>17</v>
      </c>
      <c r="F1018" s="1" t="s">
        <v>31</v>
      </c>
      <c r="G1018" s="1">
        <v>5</v>
      </c>
      <c r="H1018" s="1">
        <v>913</v>
      </c>
      <c r="I1018" s="1">
        <v>10</v>
      </c>
      <c r="J1018" s="4">
        <v>4108.5</v>
      </c>
      <c r="K1018" s="4">
        <v>2789.84</v>
      </c>
      <c r="L1018" s="4">
        <v>1318.66</v>
      </c>
      <c r="M1018" s="1" t="str">
        <f>TEXT(Table1[[#This Row],[Order_Date]], "MMM")</f>
        <v>Sep</v>
      </c>
      <c r="N1018" s="1">
        <f>YEAR(Table1[[#This Row],[Order_Date]])</f>
        <v>2023</v>
      </c>
      <c r="O1018" s="7">
        <f>Table1[[#This Row],[Profit]]/Table1[[#This Row],[Total_Sales]]</f>
        <v>0.32095898746501156</v>
      </c>
    </row>
    <row r="1019" spans="1:15" x14ac:dyDescent="0.25">
      <c r="A1019" s="1">
        <v>1018</v>
      </c>
      <c r="B1019" s="2">
        <v>45374</v>
      </c>
      <c r="C1019" s="1" t="s">
        <v>16</v>
      </c>
      <c r="D1019" s="1" t="s">
        <v>32</v>
      </c>
      <c r="E1019" s="1" t="s">
        <v>41</v>
      </c>
      <c r="F1019" s="1" t="s">
        <v>31</v>
      </c>
      <c r="G1019" s="1">
        <v>5</v>
      </c>
      <c r="H1019" s="1">
        <v>525</v>
      </c>
      <c r="I1019" s="1">
        <v>10</v>
      </c>
      <c r="J1019" s="4">
        <v>2362.5</v>
      </c>
      <c r="K1019" s="4">
        <v>1707.57</v>
      </c>
      <c r="L1019" s="4">
        <v>654.92999999999995</v>
      </c>
      <c r="M1019" s="1" t="str">
        <f>TEXT(Table1[[#This Row],[Order_Date]], "MMM")</f>
        <v>Mar</v>
      </c>
      <c r="N1019" s="1">
        <f>YEAR(Table1[[#This Row],[Order_Date]])</f>
        <v>2024</v>
      </c>
      <c r="O1019" s="7">
        <f>Table1[[#This Row],[Profit]]/Table1[[#This Row],[Total_Sales]]</f>
        <v>0.27721904761904759</v>
      </c>
    </row>
    <row r="1020" spans="1:15" x14ac:dyDescent="0.25">
      <c r="A1020" s="1">
        <v>1019</v>
      </c>
      <c r="B1020" s="2">
        <v>44984</v>
      </c>
      <c r="C1020" s="1" t="s">
        <v>25</v>
      </c>
      <c r="D1020" s="1" t="s">
        <v>22</v>
      </c>
      <c r="E1020" s="1" t="s">
        <v>23</v>
      </c>
      <c r="F1020" s="1" t="s">
        <v>35</v>
      </c>
      <c r="G1020" s="1">
        <v>6</v>
      </c>
      <c r="H1020" s="1">
        <v>747</v>
      </c>
      <c r="I1020" s="1">
        <v>5</v>
      </c>
      <c r="J1020" s="4">
        <v>4257.8999999999996</v>
      </c>
      <c r="K1020" s="4">
        <v>2900</v>
      </c>
      <c r="L1020" s="4">
        <v>1357.9</v>
      </c>
      <c r="M1020" s="1" t="str">
        <f>TEXT(Table1[[#This Row],[Order_Date]], "MMM")</f>
        <v>Feb</v>
      </c>
      <c r="N1020" s="1">
        <f>YEAR(Table1[[#This Row],[Order_Date]])</f>
        <v>2023</v>
      </c>
      <c r="O1020" s="7">
        <f>Table1[[#This Row],[Profit]]/Table1[[#This Row],[Total_Sales]]</f>
        <v>0.31891307921745465</v>
      </c>
    </row>
    <row r="1021" spans="1:15" x14ac:dyDescent="0.25">
      <c r="A1021" s="1">
        <v>1020</v>
      </c>
      <c r="B1021" s="2">
        <v>44980</v>
      </c>
      <c r="C1021" s="1" t="s">
        <v>25</v>
      </c>
      <c r="D1021" s="1" t="s">
        <v>13</v>
      </c>
      <c r="E1021" s="1" t="s">
        <v>39</v>
      </c>
      <c r="F1021" s="1" t="s">
        <v>35</v>
      </c>
      <c r="G1021" s="1">
        <v>3</v>
      </c>
      <c r="H1021" s="1">
        <v>705</v>
      </c>
      <c r="I1021" s="1">
        <v>20</v>
      </c>
      <c r="J1021" s="4">
        <v>1692</v>
      </c>
      <c r="K1021" s="4">
        <v>1295.46</v>
      </c>
      <c r="L1021" s="4">
        <v>396.54</v>
      </c>
      <c r="M1021" s="1" t="str">
        <f>TEXT(Table1[[#This Row],[Order_Date]], "MMM")</f>
        <v>Feb</v>
      </c>
      <c r="N1021" s="1">
        <f>YEAR(Table1[[#This Row],[Order_Date]])</f>
        <v>2023</v>
      </c>
      <c r="O1021" s="7">
        <f>Table1[[#This Row],[Profit]]/Table1[[#This Row],[Total_Sales]]</f>
        <v>0.23436170212765958</v>
      </c>
    </row>
    <row r="1022" spans="1:15" x14ac:dyDescent="0.25">
      <c r="A1022" s="1">
        <v>1021</v>
      </c>
      <c r="B1022" s="2">
        <v>45358</v>
      </c>
      <c r="C1022" s="1" t="s">
        <v>25</v>
      </c>
      <c r="D1022" s="1" t="s">
        <v>32</v>
      </c>
      <c r="E1022" s="1" t="s">
        <v>33</v>
      </c>
      <c r="F1022" s="1" t="s">
        <v>40</v>
      </c>
      <c r="G1022" s="1">
        <v>5</v>
      </c>
      <c r="H1022" s="1">
        <v>41</v>
      </c>
      <c r="I1022" s="1">
        <v>5</v>
      </c>
      <c r="J1022" s="4">
        <v>194.75</v>
      </c>
      <c r="K1022" s="4">
        <v>139.13999999999999</v>
      </c>
      <c r="L1022" s="4">
        <v>55.61</v>
      </c>
      <c r="M1022" s="1" t="str">
        <f>TEXT(Table1[[#This Row],[Order_Date]], "MMM")</f>
        <v>Mar</v>
      </c>
      <c r="N1022" s="1">
        <f>YEAR(Table1[[#This Row],[Order_Date]])</f>
        <v>2024</v>
      </c>
      <c r="O1022" s="7">
        <f>Table1[[#This Row],[Profit]]/Table1[[#This Row],[Total_Sales]]</f>
        <v>0.28554557124518615</v>
      </c>
    </row>
    <row r="1023" spans="1:15" x14ac:dyDescent="0.25">
      <c r="A1023" s="1">
        <v>1022</v>
      </c>
      <c r="B1023" s="2">
        <v>45574</v>
      </c>
      <c r="C1023" s="1" t="s">
        <v>25</v>
      </c>
      <c r="D1023" s="1" t="s">
        <v>13</v>
      </c>
      <c r="E1023" s="1" t="s">
        <v>14</v>
      </c>
      <c r="F1023" s="1" t="s">
        <v>18</v>
      </c>
      <c r="G1023" s="1">
        <v>10</v>
      </c>
      <c r="H1023" s="1">
        <v>162</v>
      </c>
      <c r="I1023" s="1">
        <v>20</v>
      </c>
      <c r="J1023" s="4">
        <v>1296</v>
      </c>
      <c r="K1023" s="4">
        <v>670.31</v>
      </c>
      <c r="L1023" s="4">
        <v>625.69000000000005</v>
      </c>
      <c r="M1023" s="1" t="str">
        <f>TEXT(Table1[[#This Row],[Order_Date]], "MMM")</f>
        <v>Oct</v>
      </c>
      <c r="N1023" s="1">
        <f>YEAR(Table1[[#This Row],[Order_Date]])</f>
        <v>2024</v>
      </c>
      <c r="O1023" s="7">
        <f>Table1[[#This Row],[Profit]]/Table1[[#This Row],[Total_Sales]]</f>
        <v>0.48278549382716052</v>
      </c>
    </row>
    <row r="1024" spans="1:15" x14ac:dyDescent="0.25">
      <c r="A1024" s="1">
        <v>1023</v>
      </c>
      <c r="B1024" s="2">
        <v>45239</v>
      </c>
      <c r="C1024" s="1" t="s">
        <v>16</v>
      </c>
      <c r="D1024" s="1" t="s">
        <v>32</v>
      </c>
      <c r="E1024" s="1" t="s">
        <v>34</v>
      </c>
      <c r="F1024" s="1" t="s">
        <v>40</v>
      </c>
      <c r="G1024" s="1">
        <v>4</v>
      </c>
      <c r="H1024" s="1">
        <v>174</v>
      </c>
      <c r="I1024" s="1">
        <v>15</v>
      </c>
      <c r="J1024" s="4">
        <v>591.6</v>
      </c>
      <c r="K1024" s="4">
        <v>443.7</v>
      </c>
      <c r="L1024" s="4">
        <v>147.9</v>
      </c>
      <c r="M1024" s="1" t="str">
        <f>TEXT(Table1[[#This Row],[Order_Date]], "MMM")</f>
        <v>Nov</v>
      </c>
      <c r="N1024" s="1">
        <f>YEAR(Table1[[#This Row],[Order_Date]])</f>
        <v>2023</v>
      </c>
      <c r="O1024" s="7">
        <f>Table1[[#This Row],[Profit]]/Table1[[#This Row],[Total_Sales]]</f>
        <v>0.25</v>
      </c>
    </row>
    <row r="1025" spans="1:15" x14ac:dyDescent="0.25">
      <c r="A1025" s="1">
        <v>1024</v>
      </c>
      <c r="B1025" s="2">
        <v>44946</v>
      </c>
      <c r="C1025" s="1" t="s">
        <v>19</v>
      </c>
      <c r="D1025" s="1" t="s">
        <v>22</v>
      </c>
      <c r="E1025" s="1" t="s">
        <v>36</v>
      </c>
      <c r="F1025" s="1" t="s">
        <v>35</v>
      </c>
      <c r="G1025" s="1">
        <v>1</v>
      </c>
      <c r="H1025" s="1">
        <v>459</v>
      </c>
      <c r="I1025" s="1">
        <v>5</v>
      </c>
      <c r="J1025" s="4">
        <v>436.05</v>
      </c>
      <c r="K1025" s="4">
        <v>286.75</v>
      </c>
      <c r="L1025" s="4">
        <v>149.30000000000001</v>
      </c>
      <c r="M1025" s="1" t="str">
        <f>TEXT(Table1[[#This Row],[Order_Date]], "MMM")</f>
        <v>Jan</v>
      </c>
      <c r="N1025" s="1">
        <f>YEAR(Table1[[#This Row],[Order_Date]])</f>
        <v>2023</v>
      </c>
      <c r="O1025" s="7">
        <f>Table1[[#This Row],[Profit]]/Table1[[#This Row],[Total_Sales]]</f>
        <v>0.34239192753124642</v>
      </c>
    </row>
    <row r="1026" spans="1:15" x14ac:dyDescent="0.25">
      <c r="A1026" s="1">
        <v>1025</v>
      </c>
      <c r="B1026" s="2">
        <v>44990</v>
      </c>
      <c r="C1026" s="1" t="s">
        <v>25</v>
      </c>
      <c r="D1026" s="1" t="s">
        <v>13</v>
      </c>
      <c r="E1026" s="1" t="s">
        <v>38</v>
      </c>
      <c r="F1026" s="1" t="s">
        <v>40</v>
      </c>
      <c r="G1026" s="1">
        <v>10</v>
      </c>
      <c r="H1026" s="1">
        <v>546</v>
      </c>
      <c r="I1026" s="1">
        <v>10</v>
      </c>
      <c r="J1026" s="4">
        <v>4914</v>
      </c>
      <c r="K1026" s="4">
        <v>2497.7800000000002</v>
      </c>
      <c r="L1026" s="4">
        <v>2416.2199999999998</v>
      </c>
      <c r="M1026" s="1" t="str">
        <f>TEXT(Table1[[#This Row],[Order_Date]], "MMM")</f>
        <v>Mar</v>
      </c>
      <c r="N1026" s="1">
        <f>YEAR(Table1[[#This Row],[Order_Date]])</f>
        <v>2023</v>
      </c>
      <c r="O1026" s="7">
        <f>Table1[[#This Row],[Profit]]/Table1[[#This Row],[Total_Sales]]</f>
        <v>0.49170126170126166</v>
      </c>
    </row>
    <row r="1027" spans="1:15" x14ac:dyDescent="0.25">
      <c r="A1027" s="1">
        <v>1026</v>
      </c>
      <c r="B1027" s="2">
        <v>45517</v>
      </c>
      <c r="C1027" s="1" t="s">
        <v>12</v>
      </c>
      <c r="D1027" s="1" t="s">
        <v>13</v>
      </c>
      <c r="E1027" s="1" t="s">
        <v>39</v>
      </c>
      <c r="F1027" s="1" t="s">
        <v>15</v>
      </c>
      <c r="G1027" s="1">
        <v>1</v>
      </c>
      <c r="H1027" s="1">
        <v>48</v>
      </c>
      <c r="I1027" s="1">
        <v>5</v>
      </c>
      <c r="J1027" s="4">
        <v>45.6</v>
      </c>
      <c r="K1027" s="4">
        <v>33.229999999999997</v>
      </c>
      <c r="L1027" s="4">
        <v>12.37</v>
      </c>
      <c r="M1027" s="1" t="str">
        <f>TEXT(Table1[[#This Row],[Order_Date]], "MMM")</f>
        <v>Aug</v>
      </c>
      <c r="N1027" s="1">
        <f>YEAR(Table1[[#This Row],[Order_Date]])</f>
        <v>2024</v>
      </c>
      <c r="O1027" s="7">
        <f>Table1[[#This Row],[Profit]]/Table1[[#This Row],[Total_Sales]]</f>
        <v>0.27127192982456139</v>
      </c>
    </row>
    <row r="1028" spans="1:15" x14ac:dyDescent="0.25">
      <c r="A1028" s="1">
        <v>1027</v>
      </c>
      <c r="B1028" s="2">
        <v>45485</v>
      </c>
      <c r="C1028" s="1" t="s">
        <v>12</v>
      </c>
      <c r="D1028" s="1" t="s">
        <v>22</v>
      </c>
      <c r="E1028" s="1" t="s">
        <v>23</v>
      </c>
      <c r="F1028" s="1" t="s">
        <v>24</v>
      </c>
      <c r="G1028" s="1">
        <v>1</v>
      </c>
      <c r="H1028" s="1">
        <v>573</v>
      </c>
      <c r="I1028" s="1">
        <v>20</v>
      </c>
      <c r="J1028" s="4">
        <v>458.4</v>
      </c>
      <c r="K1028" s="4">
        <v>318.19</v>
      </c>
      <c r="L1028" s="4">
        <v>140.21</v>
      </c>
      <c r="M1028" s="1" t="str">
        <f>TEXT(Table1[[#This Row],[Order_Date]], "MMM")</f>
        <v>Jul</v>
      </c>
      <c r="N1028" s="1">
        <f>YEAR(Table1[[#This Row],[Order_Date]])</f>
        <v>2024</v>
      </c>
      <c r="O1028" s="7">
        <f>Table1[[#This Row],[Profit]]/Table1[[#This Row],[Total_Sales]]</f>
        <v>0.30586823734729496</v>
      </c>
    </row>
    <row r="1029" spans="1:15" x14ac:dyDescent="0.25">
      <c r="A1029" s="1">
        <v>1028</v>
      </c>
      <c r="B1029" s="2">
        <v>44985</v>
      </c>
      <c r="C1029" s="1" t="s">
        <v>16</v>
      </c>
      <c r="D1029" s="1" t="s">
        <v>22</v>
      </c>
      <c r="E1029" s="1" t="s">
        <v>36</v>
      </c>
      <c r="F1029" s="1" t="s">
        <v>15</v>
      </c>
      <c r="G1029" s="1">
        <v>7</v>
      </c>
      <c r="H1029" s="1">
        <v>784</v>
      </c>
      <c r="I1029" s="1">
        <v>15</v>
      </c>
      <c r="J1029" s="4">
        <v>4664.8</v>
      </c>
      <c r="K1029" s="4">
        <v>2639.34</v>
      </c>
      <c r="L1029" s="4">
        <v>2025.46</v>
      </c>
      <c r="M1029" s="1" t="str">
        <f>TEXT(Table1[[#This Row],[Order_Date]], "MMM")</f>
        <v>Feb</v>
      </c>
      <c r="N1029" s="1">
        <f>YEAR(Table1[[#This Row],[Order_Date]])</f>
        <v>2023</v>
      </c>
      <c r="O1029" s="7">
        <f>Table1[[#This Row],[Profit]]/Table1[[#This Row],[Total_Sales]]</f>
        <v>0.4342008231864174</v>
      </c>
    </row>
    <row r="1030" spans="1:15" x14ac:dyDescent="0.25">
      <c r="A1030" s="1">
        <v>1029</v>
      </c>
      <c r="B1030" s="2">
        <v>44944</v>
      </c>
      <c r="C1030" s="1" t="s">
        <v>25</v>
      </c>
      <c r="D1030" s="1" t="s">
        <v>13</v>
      </c>
      <c r="E1030" s="1" t="s">
        <v>17</v>
      </c>
      <c r="F1030" s="1" t="s">
        <v>18</v>
      </c>
      <c r="G1030" s="1">
        <v>4</v>
      </c>
      <c r="H1030" s="1">
        <v>674</v>
      </c>
      <c r="I1030" s="1">
        <v>15</v>
      </c>
      <c r="J1030" s="4">
        <v>2291.6</v>
      </c>
      <c r="K1030" s="4">
        <v>1320.65</v>
      </c>
      <c r="L1030" s="4">
        <v>970.95</v>
      </c>
      <c r="M1030" s="1" t="str">
        <f>TEXT(Table1[[#This Row],[Order_Date]], "MMM")</f>
        <v>Jan</v>
      </c>
      <c r="N1030" s="1">
        <f>YEAR(Table1[[#This Row],[Order_Date]])</f>
        <v>2023</v>
      </c>
      <c r="O1030" s="7">
        <f>Table1[[#This Row],[Profit]]/Table1[[#This Row],[Total_Sales]]</f>
        <v>0.42369959853377559</v>
      </c>
    </row>
    <row r="1031" spans="1:15" x14ac:dyDescent="0.25">
      <c r="A1031" s="1">
        <v>1030</v>
      </c>
      <c r="B1031" s="2">
        <v>45651</v>
      </c>
      <c r="C1031" s="1" t="s">
        <v>25</v>
      </c>
      <c r="D1031" s="1" t="s">
        <v>32</v>
      </c>
      <c r="E1031" s="1" t="s">
        <v>45</v>
      </c>
      <c r="F1031" s="1" t="s">
        <v>40</v>
      </c>
      <c r="G1031" s="1">
        <v>4</v>
      </c>
      <c r="H1031" s="1">
        <v>569</v>
      </c>
      <c r="I1031" s="1">
        <v>10</v>
      </c>
      <c r="J1031" s="4">
        <v>2048.4</v>
      </c>
      <c r="K1031" s="4">
        <v>1540.25</v>
      </c>
      <c r="L1031" s="4">
        <v>508.15</v>
      </c>
      <c r="M1031" s="1" t="str">
        <f>TEXT(Table1[[#This Row],[Order_Date]], "MMM")</f>
        <v>Dec</v>
      </c>
      <c r="N1031" s="1">
        <f>YEAR(Table1[[#This Row],[Order_Date]])</f>
        <v>2024</v>
      </c>
      <c r="O1031" s="7">
        <f>Table1[[#This Row],[Profit]]/Table1[[#This Row],[Total_Sales]]</f>
        <v>0.24807166569029485</v>
      </c>
    </row>
    <row r="1032" spans="1:15" x14ac:dyDescent="0.25">
      <c r="A1032" s="1">
        <v>1031</v>
      </c>
      <c r="B1032" s="2">
        <v>44952</v>
      </c>
      <c r="C1032" s="1" t="s">
        <v>16</v>
      </c>
      <c r="D1032" s="1" t="s">
        <v>20</v>
      </c>
      <c r="E1032" s="1" t="s">
        <v>21</v>
      </c>
      <c r="F1032" s="1" t="s">
        <v>18</v>
      </c>
      <c r="G1032" s="1">
        <v>5</v>
      </c>
      <c r="H1032" s="1">
        <v>813</v>
      </c>
      <c r="I1032" s="1">
        <v>20</v>
      </c>
      <c r="J1032" s="4">
        <v>3252</v>
      </c>
      <c r="K1032" s="4">
        <v>2475.0300000000002</v>
      </c>
      <c r="L1032" s="4">
        <v>776.97</v>
      </c>
      <c r="M1032" s="1" t="str">
        <f>TEXT(Table1[[#This Row],[Order_Date]], "MMM")</f>
        <v>Jan</v>
      </c>
      <c r="N1032" s="1">
        <f>YEAR(Table1[[#This Row],[Order_Date]])</f>
        <v>2023</v>
      </c>
      <c r="O1032" s="7">
        <f>Table1[[#This Row],[Profit]]/Table1[[#This Row],[Total_Sales]]</f>
        <v>0.23892066420664207</v>
      </c>
    </row>
    <row r="1033" spans="1:15" x14ac:dyDescent="0.25">
      <c r="A1033" s="1">
        <v>1032</v>
      </c>
      <c r="B1033" s="2">
        <v>45610</v>
      </c>
      <c r="C1033" s="1" t="s">
        <v>12</v>
      </c>
      <c r="D1033" s="1" t="s">
        <v>13</v>
      </c>
      <c r="E1033" s="1" t="s">
        <v>38</v>
      </c>
      <c r="F1033" s="1" t="s">
        <v>35</v>
      </c>
      <c r="G1033" s="1">
        <v>2</v>
      </c>
      <c r="H1033" s="1">
        <v>846</v>
      </c>
      <c r="I1033" s="1">
        <v>10</v>
      </c>
      <c r="J1033" s="4">
        <v>1522.8</v>
      </c>
      <c r="K1033" s="4">
        <v>1066.46</v>
      </c>
      <c r="L1033" s="4">
        <v>456.34</v>
      </c>
      <c r="M1033" s="1" t="str">
        <f>TEXT(Table1[[#This Row],[Order_Date]], "MMM")</f>
        <v>Nov</v>
      </c>
      <c r="N1033" s="1">
        <f>YEAR(Table1[[#This Row],[Order_Date]])</f>
        <v>2024</v>
      </c>
      <c r="O1033" s="7">
        <f>Table1[[#This Row],[Profit]]/Table1[[#This Row],[Total_Sales]]</f>
        <v>0.29967165747307589</v>
      </c>
    </row>
    <row r="1034" spans="1:15" x14ac:dyDescent="0.25">
      <c r="A1034" s="1">
        <v>1033</v>
      </c>
      <c r="B1034" s="2">
        <v>45131</v>
      </c>
      <c r="C1034" s="1" t="s">
        <v>12</v>
      </c>
      <c r="D1034" s="1" t="s">
        <v>22</v>
      </c>
      <c r="E1034" s="1" t="s">
        <v>36</v>
      </c>
      <c r="F1034" s="1" t="s">
        <v>24</v>
      </c>
      <c r="G1034" s="1">
        <v>6</v>
      </c>
      <c r="H1034" s="1">
        <v>890</v>
      </c>
      <c r="I1034" s="1">
        <v>15</v>
      </c>
      <c r="J1034" s="4">
        <v>4539</v>
      </c>
      <c r="K1034" s="4">
        <v>3275.35</v>
      </c>
      <c r="L1034" s="4">
        <v>1263.6500000000001</v>
      </c>
      <c r="M1034" s="1" t="str">
        <f>TEXT(Table1[[#This Row],[Order_Date]], "MMM")</f>
        <v>Jul</v>
      </c>
      <c r="N1034" s="1">
        <f>YEAR(Table1[[#This Row],[Order_Date]])</f>
        <v>2023</v>
      </c>
      <c r="O1034" s="7">
        <f>Table1[[#This Row],[Profit]]/Table1[[#This Row],[Total_Sales]]</f>
        <v>0.27839832562238381</v>
      </c>
    </row>
    <row r="1035" spans="1:15" x14ac:dyDescent="0.25">
      <c r="A1035" s="1">
        <v>1034</v>
      </c>
      <c r="B1035" s="2">
        <v>45424</v>
      </c>
      <c r="C1035" s="1" t="s">
        <v>19</v>
      </c>
      <c r="D1035" s="1" t="s">
        <v>20</v>
      </c>
      <c r="E1035" s="1" t="s">
        <v>28</v>
      </c>
      <c r="F1035" s="1" t="s">
        <v>35</v>
      </c>
      <c r="G1035" s="1">
        <v>7</v>
      </c>
      <c r="H1035" s="1">
        <v>653</v>
      </c>
      <c r="I1035" s="1">
        <v>10</v>
      </c>
      <c r="J1035" s="4">
        <v>4113.8999999999996</v>
      </c>
      <c r="K1035" s="4">
        <v>2885.57</v>
      </c>
      <c r="L1035" s="4">
        <v>1228.33</v>
      </c>
      <c r="M1035" s="1" t="str">
        <f>TEXT(Table1[[#This Row],[Order_Date]], "MMM")</f>
        <v>May</v>
      </c>
      <c r="N1035" s="1">
        <f>YEAR(Table1[[#This Row],[Order_Date]])</f>
        <v>2024</v>
      </c>
      <c r="O1035" s="7">
        <f>Table1[[#This Row],[Profit]]/Table1[[#This Row],[Total_Sales]]</f>
        <v>0.29858042247016214</v>
      </c>
    </row>
    <row r="1036" spans="1:15" x14ac:dyDescent="0.25">
      <c r="A1036" s="1">
        <v>1035</v>
      </c>
      <c r="B1036" s="2">
        <v>44929</v>
      </c>
      <c r="C1036" s="1" t="s">
        <v>12</v>
      </c>
      <c r="D1036" s="1" t="s">
        <v>32</v>
      </c>
      <c r="E1036" s="1" t="s">
        <v>34</v>
      </c>
      <c r="F1036" s="1" t="s">
        <v>35</v>
      </c>
      <c r="G1036" s="1">
        <v>5</v>
      </c>
      <c r="H1036" s="1">
        <v>517</v>
      </c>
      <c r="I1036" s="1">
        <v>0</v>
      </c>
      <c r="J1036" s="4">
        <v>2585</v>
      </c>
      <c r="K1036" s="4">
        <v>1977.61</v>
      </c>
      <c r="L1036" s="4">
        <v>607.39</v>
      </c>
      <c r="M1036" s="1" t="str">
        <f>TEXT(Table1[[#This Row],[Order_Date]], "MMM")</f>
        <v>Jan</v>
      </c>
      <c r="N1036" s="1">
        <f>YEAR(Table1[[#This Row],[Order_Date]])</f>
        <v>2023</v>
      </c>
      <c r="O1036" s="7">
        <f>Table1[[#This Row],[Profit]]/Table1[[#This Row],[Total_Sales]]</f>
        <v>0.23496711798839459</v>
      </c>
    </row>
    <row r="1037" spans="1:15" x14ac:dyDescent="0.25">
      <c r="A1037" s="1">
        <v>1036</v>
      </c>
      <c r="B1037" s="2">
        <v>45157</v>
      </c>
      <c r="C1037" s="1" t="s">
        <v>19</v>
      </c>
      <c r="D1037" s="1" t="s">
        <v>22</v>
      </c>
      <c r="E1037" s="1" t="s">
        <v>44</v>
      </c>
      <c r="F1037" s="1" t="s">
        <v>24</v>
      </c>
      <c r="G1037" s="1">
        <v>3</v>
      </c>
      <c r="H1037" s="1">
        <v>478</v>
      </c>
      <c r="I1037" s="1">
        <v>10</v>
      </c>
      <c r="J1037" s="4">
        <v>1290.5999999999999</v>
      </c>
      <c r="K1037" s="4">
        <v>729.52</v>
      </c>
      <c r="L1037" s="4">
        <v>561.08000000000004</v>
      </c>
      <c r="M1037" s="1" t="str">
        <f>TEXT(Table1[[#This Row],[Order_Date]], "MMM")</f>
        <v>Aug</v>
      </c>
      <c r="N1037" s="1">
        <f>YEAR(Table1[[#This Row],[Order_Date]])</f>
        <v>2023</v>
      </c>
      <c r="O1037" s="7">
        <f>Table1[[#This Row],[Profit]]/Table1[[#This Row],[Total_Sales]]</f>
        <v>0.43474353014101974</v>
      </c>
    </row>
    <row r="1038" spans="1:15" x14ac:dyDescent="0.25">
      <c r="A1038" s="1">
        <v>1037</v>
      </c>
      <c r="B1038" s="2">
        <v>45216</v>
      </c>
      <c r="C1038" s="1" t="s">
        <v>25</v>
      </c>
      <c r="D1038" s="1" t="s">
        <v>26</v>
      </c>
      <c r="E1038" s="1" t="s">
        <v>42</v>
      </c>
      <c r="F1038" s="1" t="s">
        <v>24</v>
      </c>
      <c r="G1038" s="1">
        <v>10</v>
      </c>
      <c r="H1038" s="1">
        <v>875</v>
      </c>
      <c r="I1038" s="1">
        <v>5</v>
      </c>
      <c r="J1038" s="4">
        <v>8312.5</v>
      </c>
      <c r="K1038" s="4">
        <v>6616.15</v>
      </c>
      <c r="L1038" s="4">
        <v>1696.35</v>
      </c>
      <c r="M1038" s="1" t="str">
        <f>TEXT(Table1[[#This Row],[Order_Date]], "MMM")</f>
        <v>Oct</v>
      </c>
      <c r="N1038" s="1">
        <f>YEAR(Table1[[#This Row],[Order_Date]])</f>
        <v>2023</v>
      </c>
      <c r="O1038" s="7">
        <f>Table1[[#This Row],[Profit]]/Table1[[#This Row],[Total_Sales]]</f>
        <v>0.20407218045112782</v>
      </c>
    </row>
    <row r="1039" spans="1:15" x14ac:dyDescent="0.25">
      <c r="A1039" s="1">
        <v>1038</v>
      </c>
      <c r="B1039" s="2">
        <v>45279</v>
      </c>
      <c r="C1039" s="1" t="s">
        <v>12</v>
      </c>
      <c r="D1039" s="1" t="s">
        <v>22</v>
      </c>
      <c r="E1039" s="1" t="s">
        <v>44</v>
      </c>
      <c r="F1039" s="1" t="s">
        <v>35</v>
      </c>
      <c r="G1039" s="1">
        <v>8</v>
      </c>
      <c r="H1039" s="1">
        <v>872</v>
      </c>
      <c r="I1039" s="1">
        <v>20</v>
      </c>
      <c r="J1039" s="4">
        <v>5580.8</v>
      </c>
      <c r="K1039" s="4">
        <v>2986.52</v>
      </c>
      <c r="L1039" s="4">
        <v>2594.2800000000002</v>
      </c>
      <c r="M1039" s="1" t="str">
        <f>TEXT(Table1[[#This Row],[Order_Date]], "MMM")</f>
        <v>Dec</v>
      </c>
      <c r="N1039" s="1">
        <f>YEAR(Table1[[#This Row],[Order_Date]])</f>
        <v>2023</v>
      </c>
      <c r="O1039" s="7">
        <f>Table1[[#This Row],[Profit]]/Table1[[#This Row],[Total_Sales]]</f>
        <v>0.46485808486238533</v>
      </c>
    </row>
    <row r="1040" spans="1:15" x14ac:dyDescent="0.25">
      <c r="A1040" s="1">
        <v>1039</v>
      </c>
      <c r="B1040" s="2">
        <v>45313</v>
      </c>
      <c r="C1040" s="1" t="s">
        <v>12</v>
      </c>
      <c r="D1040" s="1" t="s">
        <v>26</v>
      </c>
      <c r="E1040" s="1" t="s">
        <v>27</v>
      </c>
      <c r="F1040" s="1" t="s">
        <v>31</v>
      </c>
      <c r="G1040" s="1">
        <v>8</v>
      </c>
      <c r="H1040" s="1">
        <v>793</v>
      </c>
      <c r="I1040" s="1">
        <v>0</v>
      </c>
      <c r="J1040" s="4">
        <v>6344</v>
      </c>
      <c r="K1040" s="4">
        <v>4051.13</v>
      </c>
      <c r="L1040" s="4">
        <v>2292.87</v>
      </c>
      <c r="M1040" s="1" t="str">
        <f>TEXT(Table1[[#This Row],[Order_Date]], "MMM")</f>
        <v>Jan</v>
      </c>
      <c r="N1040" s="1">
        <f>YEAR(Table1[[#This Row],[Order_Date]])</f>
        <v>2024</v>
      </c>
      <c r="O1040" s="7">
        <f>Table1[[#This Row],[Profit]]/Table1[[#This Row],[Total_Sales]]</f>
        <v>0.36142339218158887</v>
      </c>
    </row>
    <row r="1041" spans="1:15" x14ac:dyDescent="0.25">
      <c r="A1041" s="1">
        <v>1040</v>
      </c>
      <c r="B1041" s="2">
        <v>45373</v>
      </c>
      <c r="C1041" s="1" t="s">
        <v>25</v>
      </c>
      <c r="D1041" s="1" t="s">
        <v>13</v>
      </c>
      <c r="E1041" s="1" t="s">
        <v>17</v>
      </c>
      <c r="F1041" s="1" t="s">
        <v>18</v>
      </c>
      <c r="G1041" s="1">
        <v>2</v>
      </c>
      <c r="H1041" s="1">
        <v>578</v>
      </c>
      <c r="I1041" s="1">
        <v>20</v>
      </c>
      <c r="J1041" s="4">
        <v>924.8</v>
      </c>
      <c r="K1041" s="4">
        <v>729.34</v>
      </c>
      <c r="L1041" s="4">
        <v>195.46</v>
      </c>
      <c r="M1041" s="1" t="str">
        <f>TEXT(Table1[[#This Row],[Order_Date]], "MMM")</f>
        <v>Mar</v>
      </c>
      <c r="N1041" s="1">
        <f>YEAR(Table1[[#This Row],[Order_Date]])</f>
        <v>2024</v>
      </c>
      <c r="O1041" s="7">
        <f>Table1[[#This Row],[Profit]]/Table1[[#This Row],[Total_Sales]]</f>
        <v>0.21135380622837371</v>
      </c>
    </row>
    <row r="1042" spans="1:15" x14ac:dyDescent="0.25">
      <c r="A1042" s="1">
        <v>1041</v>
      </c>
      <c r="B1042" s="2">
        <v>45255</v>
      </c>
      <c r="C1042" s="1" t="s">
        <v>25</v>
      </c>
      <c r="D1042" s="1" t="s">
        <v>20</v>
      </c>
      <c r="E1042" s="1" t="s">
        <v>43</v>
      </c>
      <c r="F1042" s="1" t="s">
        <v>24</v>
      </c>
      <c r="G1042" s="1">
        <v>9</v>
      </c>
      <c r="H1042" s="1">
        <v>38</v>
      </c>
      <c r="I1042" s="1">
        <v>0</v>
      </c>
      <c r="J1042" s="4">
        <v>342</v>
      </c>
      <c r="K1042" s="4">
        <v>253.56</v>
      </c>
      <c r="L1042" s="4">
        <v>88.44</v>
      </c>
      <c r="M1042" s="1" t="str">
        <f>TEXT(Table1[[#This Row],[Order_Date]], "MMM")</f>
        <v>Nov</v>
      </c>
      <c r="N1042" s="1">
        <f>YEAR(Table1[[#This Row],[Order_Date]])</f>
        <v>2023</v>
      </c>
      <c r="O1042" s="7">
        <f>Table1[[#This Row],[Profit]]/Table1[[#This Row],[Total_Sales]]</f>
        <v>0.25859649122807016</v>
      </c>
    </row>
    <row r="1043" spans="1:15" x14ac:dyDescent="0.25">
      <c r="A1043" s="1">
        <v>1042</v>
      </c>
      <c r="B1043" s="2">
        <v>45019</v>
      </c>
      <c r="C1043" s="1" t="s">
        <v>19</v>
      </c>
      <c r="D1043" s="1" t="s">
        <v>22</v>
      </c>
      <c r="E1043" s="1" t="s">
        <v>29</v>
      </c>
      <c r="F1043" s="1" t="s">
        <v>31</v>
      </c>
      <c r="G1043" s="1">
        <v>4</v>
      </c>
      <c r="H1043" s="1">
        <v>406</v>
      </c>
      <c r="I1043" s="1">
        <v>15</v>
      </c>
      <c r="J1043" s="4">
        <v>1380.4</v>
      </c>
      <c r="K1043" s="4">
        <v>849.62</v>
      </c>
      <c r="L1043" s="4">
        <v>530.78</v>
      </c>
      <c r="M1043" s="1" t="str">
        <f>TEXT(Table1[[#This Row],[Order_Date]], "MMM")</f>
        <v>Apr</v>
      </c>
      <c r="N1043" s="1">
        <f>YEAR(Table1[[#This Row],[Order_Date]])</f>
        <v>2023</v>
      </c>
      <c r="O1043" s="7">
        <f>Table1[[#This Row],[Profit]]/Table1[[#This Row],[Total_Sales]]</f>
        <v>0.38451173572877423</v>
      </c>
    </row>
    <row r="1044" spans="1:15" x14ac:dyDescent="0.25">
      <c r="A1044" s="1">
        <v>1043</v>
      </c>
      <c r="B1044" s="2">
        <v>45527</v>
      </c>
      <c r="C1044" s="1" t="s">
        <v>12</v>
      </c>
      <c r="D1044" s="1" t="s">
        <v>26</v>
      </c>
      <c r="E1044" s="1" t="s">
        <v>42</v>
      </c>
      <c r="F1044" s="1" t="s">
        <v>18</v>
      </c>
      <c r="G1044" s="1">
        <v>7</v>
      </c>
      <c r="H1044" s="1">
        <v>489</v>
      </c>
      <c r="I1044" s="1">
        <v>10</v>
      </c>
      <c r="J1044" s="4">
        <v>3080.7</v>
      </c>
      <c r="K1044" s="4">
        <v>1607</v>
      </c>
      <c r="L1044" s="4">
        <v>1473.7</v>
      </c>
      <c r="M1044" s="1" t="str">
        <f>TEXT(Table1[[#This Row],[Order_Date]], "MMM")</f>
        <v>Aug</v>
      </c>
      <c r="N1044" s="1">
        <f>YEAR(Table1[[#This Row],[Order_Date]])</f>
        <v>2024</v>
      </c>
      <c r="O1044" s="7">
        <f>Table1[[#This Row],[Profit]]/Table1[[#This Row],[Total_Sales]]</f>
        <v>0.47836530658616555</v>
      </c>
    </row>
    <row r="1045" spans="1:15" x14ac:dyDescent="0.25">
      <c r="A1045" s="1">
        <v>1044</v>
      </c>
      <c r="B1045" s="2">
        <v>45515</v>
      </c>
      <c r="C1045" s="1" t="s">
        <v>19</v>
      </c>
      <c r="D1045" s="1" t="s">
        <v>32</v>
      </c>
      <c r="E1045" s="1" t="s">
        <v>33</v>
      </c>
      <c r="F1045" s="1" t="s">
        <v>35</v>
      </c>
      <c r="G1045" s="1">
        <v>7</v>
      </c>
      <c r="H1045" s="1">
        <v>421</v>
      </c>
      <c r="I1045" s="1">
        <v>15</v>
      </c>
      <c r="J1045" s="4">
        <v>2504.9499999999998</v>
      </c>
      <c r="K1045" s="4">
        <v>1945.27</v>
      </c>
      <c r="L1045" s="4">
        <v>559.67999999999995</v>
      </c>
      <c r="M1045" s="1" t="str">
        <f>TEXT(Table1[[#This Row],[Order_Date]], "MMM")</f>
        <v>Aug</v>
      </c>
      <c r="N1045" s="1">
        <f>YEAR(Table1[[#This Row],[Order_Date]])</f>
        <v>2024</v>
      </c>
      <c r="O1045" s="7">
        <f>Table1[[#This Row],[Profit]]/Table1[[#This Row],[Total_Sales]]</f>
        <v>0.22342960937344059</v>
      </c>
    </row>
    <row r="1046" spans="1:15" x14ac:dyDescent="0.25">
      <c r="A1046" s="1">
        <v>1045</v>
      </c>
      <c r="B1046" s="2">
        <v>45553</v>
      </c>
      <c r="C1046" s="1" t="s">
        <v>16</v>
      </c>
      <c r="D1046" s="1" t="s">
        <v>32</v>
      </c>
      <c r="E1046" s="1" t="s">
        <v>45</v>
      </c>
      <c r="F1046" s="1" t="s">
        <v>35</v>
      </c>
      <c r="G1046" s="1">
        <v>9</v>
      </c>
      <c r="H1046" s="1">
        <v>946</v>
      </c>
      <c r="I1046" s="1">
        <v>0</v>
      </c>
      <c r="J1046" s="4">
        <v>8514</v>
      </c>
      <c r="K1046" s="4">
        <v>6692.05</v>
      </c>
      <c r="L1046" s="4">
        <v>1821.95</v>
      </c>
      <c r="M1046" s="1" t="str">
        <f>TEXT(Table1[[#This Row],[Order_Date]], "MMM")</f>
        <v>Sep</v>
      </c>
      <c r="N1046" s="1">
        <f>YEAR(Table1[[#This Row],[Order_Date]])</f>
        <v>2024</v>
      </c>
      <c r="O1046" s="7">
        <f>Table1[[#This Row],[Profit]]/Table1[[#This Row],[Total_Sales]]</f>
        <v>0.21399459713413202</v>
      </c>
    </row>
    <row r="1047" spans="1:15" x14ac:dyDescent="0.25">
      <c r="A1047" s="1">
        <v>1046</v>
      </c>
      <c r="B1047" s="2">
        <v>45515</v>
      </c>
      <c r="C1047" s="1" t="s">
        <v>19</v>
      </c>
      <c r="D1047" s="1" t="s">
        <v>20</v>
      </c>
      <c r="E1047" s="1" t="s">
        <v>21</v>
      </c>
      <c r="F1047" s="1" t="s">
        <v>40</v>
      </c>
      <c r="G1047" s="1">
        <v>8</v>
      </c>
      <c r="H1047" s="1">
        <v>732</v>
      </c>
      <c r="I1047" s="1">
        <v>5</v>
      </c>
      <c r="J1047" s="4">
        <v>5563.2</v>
      </c>
      <c r="K1047" s="4">
        <v>4056.01</v>
      </c>
      <c r="L1047" s="4">
        <v>1507.19</v>
      </c>
      <c r="M1047" s="1" t="str">
        <f>TEXT(Table1[[#This Row],[Order_Date]], "MMM")</f>
        <v>Aug</v>
      </c>
      <c r="N1047" s="1">
        <f>YEAR(Table1[[#This Row],[Order_Date]])</f>
        <v>2024</v>
      </c>
      <c r="O1047" s="7">
        <f>Table1[[#This Row],[Profit]]/Table1[[#This Row],[Total_Sales]]</f>
        <v>0.27092141213689963</v>
      </c>
    </row>
    <row r="1048" spans="1:15" x14ac:dyDescent="0.25">
      <c r="A1048" s="1">
        <v>1047</v>
      </c>
      <c r="B1048" s="2">
        <v>45123</v>
      </c>
      <c r="C1048" s="1" t="s">
        <v>12</v>
      </c>
      <c r="D1048" s="1" t="s">
        <v>22</v>
      </c>
      <c r="E1048" s="1" t="s">
        <v>44</v>
      </c>
      <c r="F1048" s="1" t="s">
        <v>40</v>
      </c>
      <c r="G1048" s="1">
        <v>1</v>
      </c>
      <c r="H1048" s="1">
        <v>772</v>
      </c>
      <c r="I1048" s="1">
        <v>15</v>
      </c>
      <c r="J1048" s="4">
        <v>656.2</v>
      </c>
      <c r="K1048" s="4">
        <v>460</v>
      </c>
      <c r="L1048" s="4">
        <v>196.2</v>
      </c>
      <c r="M1048" s="1" t="str">
        <f>TEXT(Table1[[#This Row],[Order_Date]], "MMM")</f>
        <v>Jul</v>
      </c>
      <c r="N1048" s="1">
        <f>YEAR(Table1[[#This Row],[Order_Date]])</f>
        <v>2023</v>
      </c>
      <c r="O1048" s="7">
        <f>Table1[[#This Row],[Profit]]/Table1[[#This Row],[Total_Sales]]</f>
        <v>0.29899420908259672</v>
      </c>
    </row>
    <row r="1049" spans="1:15" x14ac:dyDescent="0.25">
      <c r="A1049" s="1">
        <v>1048</v>
      </c>
      <c r="B1049" s="2">
        <v>45356</v>
      </c>
      <c r="C1049" s="1" t="s">
        <v>12</v>
      </c>
      <c r="D1049" s="1" t="s">
        <v>26</v>
      </c>
      <c r="E1049" s="1" t="s">
        <v>27</v>
      </c>
      <c r="F1049" s="1" t="s">
        <v>40</v>
      </c>
      <c r="G1049" s="1">
        <v>5</v>
      </c>
      <c r="H1049" s="1">
        <v>530</v>
      </c>
      <c r="I1049" s="1">
        <v>0</v>
      </c>
      <c r="J1049" s="4">
        <v>2650</v>
      </c>
      <c r="K1049" s="4">
        <v>1738.26</v>
      </c>
      <c r="L1049" s="4">
        <v>911.74</v>
      </c>
      <c r="M1049" s="1" t="str">
        <f>TEXT(Table1[[#This Row],[Order_Date]], "MMM")</f>
        <v>Mar</v>
      </c>
      <c r="N1049" s="1">
        <f>YEAR(Table1[[#This Row],[Order_Date]])</f>
        <v>2024</v>
      </c>
      <c r="O1049" s="7">
        <f>Table1[[#This Row],[Profit]]/Table1[[#This Row],[Total_Sales]]</f>
        <v>0.34405283018867927</v>
      </c>
    </row>
    <row r="1050" spans="1:15" x14ac:dyDescent="0.25">
      <c r="A1050" s="1">
        <v>1049</v>
      </c>
      <c r="B1050" s="2">
        <v>45275</v>
      </c>
      <c r="C1050" s="1" t="s">
        <v>25</v>
      </c>
      <c r="D1050" s="1" t="s">
        <v>32</v>
      </c>
      <c r="E1050" s="1" t="s">
        <v>41</v>
      </c>
      <c r="F1050" s="1" t="s">
        <v>40</v>
      </c>
      <c r="G1050" s="1">
        <v>6</v>
      </c>
      <c r="H1050" s="1">
        <v>572</v>
      </c>
      <c r="I1050" s="1">
        <v>15</v>
      </c>
      <c r="J1050" s="4">
        <v>2917.2</v>
      </c>
      <c r="K1050" s="4">
        <v>1976.18</v>
      </c>
      <c r="L1050" s="4">
        <v>941.02</v>
      </c>
      <c r="M1050" s="1" t="str">
        <f>TEXT(Table1[[#This Row],[Order_Date]], "MMM")</f>
        <v>Dec</v>
      </c>
      <c r="N1050" s="1">
        <f>YEAR(Table1[[#This Row],[Order_Date]])</f>
        <v>2023</v>
      </c>
      <c r="O1050" s="7">
        <f>Table1[[#This Row],[Profit]]/Table1[[#This Row],[Total_Sales]]</f>
        <v>0.32257644316467848</v>
      </c>
    </row>
    <row r="1051" spans="1:15" x14ac:dyDescent="0.25">
      <c r="A1051" s="1">
        <v>1050</v>
      </c>
      <c r="B1051" s="2">
        <v>45348</v>
      </c>
      <c r="C1051" s="1" t="s">
        <v>19</v>
      </c>
      <c r="D1051" s="1" t="s">
        <v>13</v>
      </c>
      <c r="E1051" s="1" t="s">
        <v>17</v>
      </c>
      <c r="F1051" s="1" t="s">
        <v>24</v>
      </c>
      <c r="G1051" s="1">
        <v>9</v>
      </c>
      <c r="H1051" s="1">
        <v>719</v>
      </c>
      <c r="I1051" s="1">
        <v>15</v>
      </c>
      <c r="J1051" s="4">
        <v>5500.35</v>
      </c>
      <c r="K1051" s="4">
        <v>4223.42</v>
      </c>
      <c r="L1051" s="4">
        <v>1276.93</v>
      </c>
      <c r="M1051" s="1" t="str">
        <f>TEXT(Table1[[#This Row],[Order_Date]], "MMM")</f>
        <v>Feb</v>
      </c>
      <c r="N1051" s="1">
        <f>YEAR(Table1[[#This Row],[Order_Date]])</f>
        <v>2024</v>
      </c>
      <c r="O1051" s="7">
        <f>Table1[[#This Row],[Profit]]/Table1[[#This Row],[Total_Sales]]</f>
        <v>0.23215431745252574</v>
      </c>
    </row>
    <row r="1052" spans="1:15" x14ac:dyDescent="0.25">
      <c r="A1052" s="1">
        <v>1051</v>
      </c>
      <c r="B1052" s="2">
        <v>45047</v>
      </c>
      <c r="C1052" s="1" t="s">
        <v>19</v>
      </c>
      <c r="D1052" s="1" t="s">
        <v>20</v>
      </c>
      <c r="E1052" s="1" t="s">
        <v>28</v>
      </c>
      <c r="F1052" s="1" t="s">
        <v>40</v>
      </c>
      <c r="G1052" s="1">
        <v>9</v>
      </c>
      <c r="H1052" s="1">
        <v>311</v>
      </c>
      <c r="I1052" s="1">
        <v>15</v>
      </c>
      <c r="J1052" s="4">
        <v>2379.15</v>
      </c>
      <c r="K1052" s="4">
        <v>1669.75</v>
      </c>
      <c r="L1052" s="4">
        <v>709.4</v>
      </c>
      <c r="M1052" s="1" t="str">
        <f>TEXT(Table1[[#This Row],[Order_Date]], "MMM")</f>
        <v>May</v>
      </c>
      <c r="N1052" s="1">
        <f>YEAR(Table1[[#This Row],[Order_Date]])</f>
        <v>2023</v>
      </c>
      <c r="O1052" s="7">
        <f>Table1[[#This Row],[Profit]]/Table1[[#This Row],[Total_Sales]]</f>
        <v>0.29817371750415061</v>
      </c>
    </row>
    <row r="1053" spans="1:15" x14ac:dyDescent="0.25">
      <c r="A1053" s="1">
        <v>1052</v>
      </c>
      <c r="B1053" s="2">
        <v>45505</v>
      </c>
      <c r="C1053" s="1" t="s">
        <v>16</v>
      </c>
      <c r="D1053" s="1" t="s">
        <v>32</v>
      </c>
      <c r="E1053" s="1" t="s">
        <v>41</v>
      </c>
      <c r="F1053" s="1" t="s">
        <v>31</v>
      </c>
      <c r="G1053" s="1">
        <v>2</v>
      </c>
      <c r="H1053" s="1">
        <v>996</v>
      </c>
      <c r="I1053" s="1">
        <v>10</v>
      </c>
      <c r="J1053" s="4">
        <v>1792.8</v>
      </c>
      <c r="K1053" s="4">
        <v>1066.08</v>
      </c>
      <c r="L1053" s="4">
        <v>726.72</v>
      </c>
      <c r="M1053" s="1" t="str">
        <f>TEXT(Table1[[#This Row],[Order_Date]], "MMM")</f>
        <v>Aug</v>
      </c>
      <c r="N1053" s="1">
        <f>YEAR(Table1[[#This Row],[Order_Date]])</f>
        <v>2024</v>
      </c>
      <c r="O1053" s="7">
        <f>Table1[[#This Row],[Profit]]/Table1[[#This Row],[Total_Sales]]</f>
        <v>0.40535475234270418</v>
      </c>
    </row>
    <row r="1054" spans="1:15" x14ac:dyDescent="0.25">
      <c r="A1054" s="1">
        <v>1053</v>
      </c>
      <c r="B1054" s="2">
        <v>45100</v>
      </c>
      <c r="C1054" s="1" t="s">
        <v>12</v>
      </c>
      <c r="D1054" s="1" t="s">
        <v>32</v>
      </c>
      <c r="E1054" s="1" t="s">
        <v>41</v>
      </c>
      <c r="F1054" s="1" t="s">
        <v>24</v>
      </c>
      <c r="G1054" s="1">
        <v>9</v>
      </c>
      <c r="H1054" s="1">
        <v>387</v>
      </c>
      <c r="I1054" s="1">
        <v>15</v>
      </c>
      <c r="J1054" s="4">
        <v>2960.55</v>
      </c>
      <c r="K1054" s="4">
        <v>1889.89</v>
      </c>
      <c r="L1054" s="4">
        <v>1070.6600000000001</v>
      </c>
      <c r="M1054" s="1" t="str">
        <f>TEXT(Table1[[#This Row],[Order_Date]], "MMM")</f>
        <v>Jun</v>
      </c>
      <c r="N1054" s="1">
        <f>YEAR(Table1[[#This Row],[Order_Date]])</f>
        <v>2023</v>
      </c>
      <c r="O1054" s="7">
        <f>Table1[[#This Row],[Profit]]/Table1[[#This Row],[Total_Sales]]</f>
        <v>0.36164226241745623</v>
      </c>
    </row>
    <row r="1055" spans="1:15" x14ac:dyDescent="0.25">
      <c r="A1055" s="1">
        <v>1054</v>
      </c>
      <c r="B1055" s="2">
        <v>45199</v>
      </c>
      <c r="C1055" s="1" t="s">
        <v>16</v>
      </c>
      <c r="D1055" s="1" t="s">
        <v>32</v>
      </c>
      <c r="E1055" s="1" t="s">
        <v>41</v>
      </c>
      <c r="F1055" s="1" t="s">
        <v>24</v>
      </c>
      <c r="G1055" s="1">
        <v>4</v>
      </c>
      <c r="H1055" s="1">
        <v>797</v>
      </c>
      <c r="I1055" s="1">
        <v>10</v>
      </c>
      <c r="J1055" s="4">
        <v>2869.2</v>
      </c>
      <c r="K1055" s="4">
        <v>1975.46</v>
      </c>
      <c r="L1055" s="4">
        <v>893.74</v>
      </c>
      <c r="M1055" s="1" t="str">
        <f>TEXT(Table1[[#This Row],[Order_Date]], "MMM")</f>
        <v>Sep</v>
      </c>
      <c r="N1055" s="1">
        <f>YEAR(Table1[[#This Row],[Order_Date]])</f>
        <v>2023</v>
      </c>
      <c r="O1055" s="7">
        <f>Table1[[#This Row],[Profit]]/Table1[[#This Row],[Total_Sales]]</f>
        <v>0.3114944932385334</v>
      </c>
    </row>
    <row r="1056" spans="1:15" x14ac:dyDescent="0.25">
      <c r="A1056" s="1">
        <v>1055</v>
      </c>
      <c r="B1056" s="2">
        <v>45409</v>
      </c>
      <c r="C1056" s="1" t="s">
        <v>16</v>
      </c>
      <c r="D1056" s="1" t="s">
        <v>20</v>
      </c>
      <c r="E1056" s="1" t="s">
        <v>43</v>
      </c>
      <c r="F1056" s="1" t="s">
        <v>40</v>
      </c>
      <c r="G1056" s="1">
        <v>4</v>
      </c>
      <c r="H1056" s="1">
        <v>175</v>
      </c>
      <c r="I1056" s="1">
        <v>20</v>
      </c>
      <c r="J1056" s="4">
        <v>560</v>
      </c>
      <c r="K1056" s="4">
        <v>410.02</v>
      </c>
      <c r="L1056" s="4">
        <v>149.97999999999999</v>
      </c>
      <c r="M1056" s="1" t="str">
        <f>TEXT(Table1[[#This Row],[Order_Date]], "MMM")</f>
        <v>Apr</v>
      </c>
      <c r="N1056" s="1">
        <f>YEAR(Table1[[#This Row],[Order_Date]])</f>
        <v>2024</v>
      </c>
      <c r="O1056" s="7">
        <f>Table1[[#This Row],[Profit]]/Table1[[#This Row],[Total_Sales]]</f>
        <v>0.26782142857142854</v>
      </c>
    </row>
    <row r="1057" spans="1:15" x14ac:dyDescent="0.25">
      <c r="A1057" s="1">
        <v>1056</v>
      </c>
      <c r="B1057" s="2">
        <v>45402</v>
      </c>
      <c r="C1057" s="1" t="s">
        <v>25</v>
      </c>
      <c r="D1057" s="1" t="s">
        <v>20</v>
      </c>
      <c r="E1057" s="1" t="s">
        <v>21</v>
      </c>
      <c r="F1057" s="1" t="s">
        <v>18</v>
      </c>
      <c r="G1057" s="1">
        <v>10</v>
      </c>
      <c r="H1057" s="1">
        <v>280</v>
      </c>
      <c r="I1057" s="1">
        <v>5</v>
      </c>
      <c r="J1057" s="4">
        <v>2660</v>
      </c>
      <c r="K1057" s="4">
        <v>1970.11</v>
      </c>
      <c r="L1057" s="4">
        <v>689.89</v>
      </c>
      <c r="M1057" s="1" t="str">
        <f>TEXT(Table1[[#This Row],[Order_Date]], "MMM")</f>
        <v>Apr</v>
      </c>
      <c r="N1057" s="1">
        <f>YEAR(Table1[[#This Row],[Order_Date]])</f>
        <v>2024</v>
      </c>
      <c r="O1057" s="7">
        <f>Table1[[#This Row],[Profit]]/Table1[[#This Row],[Total_Sales]]</f>
        <v>0.25935714285714284</v>
      </c>
    </row>
    <row r="1058" spans="1:15" x14ac:dyDescent="0.25">
      <c r="A1058" s="1">
        <v>1057</v>
      </c>
      <c r="B1058" s="2">
        <v>45320</v>
      </c>
      <c r="C1058" s="1" t="s">
        <v>25</v>
      </c>
      <c r="D1058" s="1" t="s">
        <v>20</v>
      </c>
      <c r="E1058" s="1" t="s">
        <v>43</v>
      </c>
      <c r="F1058" s="1" t="s">
        <v>31</v>
      </c>
      <c r="G1058" s="1">
        <v>4</v>
      </c>
      <c r="H1058" s="1">
        <v>542</v>
      </c>
      <c r="I1058" s="1">
        <v>20</v>
      </c>
      <c r="J1058" s="4">
        <v>1734.4</v>
      </c>
      <c r="K1058" s="4">
        <v>1357.77</v>
      </c>
      <c r="L1058" s="4">
        <v>376.63</v>
      </c>
      <c r="M1058" s="1" t="str">
        <f>TEXT(Table1[[#This Row],[Order_Date]], "MMM")</f>
        <v>Jan</v>
      </c>
      <c r="N1058" s="1">
        <f>YEAR(Table1[[#This Row],[Order_Date]])</f>
        <v>2024</v>
      </c>
      <c r="O1058" s="7">
        <f>Table1[[#This Row],[Profit]]/Table1[[#This Row],[Total_Sales]]</f>
        <v>0.21715290590405903</v>
      </c>
    </row>
    <row r="1059" spans="1:15" x14ac:dyDescent="0.25">
      <c r="A1059" s="1">
        <v>1058</v>
      </c>
      <c r="B1059" s="2">
        <v>45328</v>
      </c>
      <c r="C1059" s="1" t="s">
        <v>16</v>
      </c>
      <c r="D1059" s="1" t="s">
        <v>20</v>
      </c>
      <c r="E1059" s="1" t="s">
        <v>21</v>
      </c>
      <c r="F1059" s="1" t="s">
        <v>15</v>
      </c>
      <c r="G1059" s="1">
        <v>2</v>
      </c>
      <c r="H1059" s="1">
        <v>712</v>
      </c>
      <c r="I1059" s="1">
        <v>0</v>
      </c>
      <c r="J1059" s="4">
        <v>1424</v>
      </c>
      <c r="K1059" s="4">
        <v>928.28</v>
      </c>
      <c r="L1059" s="4">
        <v>495.72</v>
      </c>
      <c r="M1059" s="1" t="str">
        <f>TEXT(Table1[[#This Row],[Order_Date]], "MMM")</f>
        <v>Feb</v>
      </c>
      <c r="N1059" s="1">
        <f>YEAR(Table1[[#This Row],[Order_Date]])</f>
        <v>2024</v>
      </c>
      <c r="O1059" s="7">
        <f>Table1[[#This Row],[Profit]]/Table1[[#This Row],[Total_Sales]]</f>
        <v>0.34811797752808993</v>
      </c>
    </row>
    <row r="1060" spans="1:15" x14ac:dyDescent="0.25">
      <c r="A1060" s="1">
        <v>1059</v>
      </c>
      <c r="B1060" s="2">
        <v>45496</v>
      </c>
      <c r="C1060" s="1" t="s">
        <v>19</v>
      </c>
      <c r="D1060" s="1" t="s">
        <v>26</v>
      </c>
      <c r="E1060" s="1" t="s">
        <v>37</v>
      </c>
      <c r="F1060" s="1" t="s">
        <v>40</v>
      </c>
      <c r="G1060" s="1">
        <v>6</v>
      </c>
      <c r="H1060" s="1">
        <v>343</v>
      </c>
      <c r="I1060" s="1">
        <v>20</v>
      </c>
      <c r="J1060" s="4">
        <v>1646.4</v>
      </c>
      <c r="K1060" s="4">
        <v>1103.55</v>
      </c>
      <c r="L1060" s="4">
        <v>542.85</v>
      </c>
      <c r="M1060" s="1" t="str">
        <f>TEXT(Table1[[#This Row],[Order_Date]], "MMM")</f>
        <v>Jul</v>
      </c>
      <c r="N1060" s="1">
        <f>YEAR(Table1[[#This Row],[Order_Date]])</f>
        <v>2024</v>
      </c>
      <c r="O1060" s="7">
        <f>Table1[[#This Row],[Profit]]/Table1[[#This Row],[Total_Sales]]</f>
        <v>0.32971938775510201</v>
      </c>
    </row>
    <row r="1061" spans="1:15" x14ac:dyDescent="0.25">
      <c r="A1061" s="1">
        <v>1060</v>
      </c>
      <c r="B1061" s="2">
        <v>45114</v>
      </c>
      <c r="C1061" s="1" t="s">
        <v>16</v>
      </c>
      <c r="D1061" s="1" t="s">
        <v>26</v>
      </c>
      <c r="E1061" s="1" t="s">
        <v>42</v>
      </c>
      <c r="F1061" s="1" t="s">
        <v>31</v>
      </c>
      <c r="G1061" s="1">
        <v>4</v>
      </c>
      <c r="H1061" s="1">
        <v>54</v>
      </c>
      <c r="I1061" s="1">
        <v>0</v>
      </c>
      <c r="J1061" s="4">
        <v>216</v>
      </c>
      <c r="K1061" s="4">
        <v>159.09</v>
      </c>
      <c r="L1061" s="4">
        <v>56.91</v>
      </c>
      <c r="M1061" s="1" t="str">
        <f>TEXT(Table1[[#This Row],[Order_Date]], "MMM")</f>
        <v>Jul</v>
      </c>
      <c r="N1061" s="1">
        <f>YEAR(Table1[[#This Row],[Order_Date]])</f>
        <v>2023</v>
      </c>
      <c r="O1061" s="7">
        <f>Table1[[#This Row],[Profit]]/Table1[[#This Row],[Total_Sales]]</f>
        <v>0.26347222222222222</v>
      </c>
    </row>
    <row r="1062" spans="1:15" x14ac:dyDescent="0.25">
      <c r="A1062" s="1">
        <v>1061</v>
      </c>
      <c r="B1062" s="2">
        <v>45452</v>
      </c>
      <c r="C1062" s="1" t="s">
        <v>25</v>
      </c>
      <c r="D1062" s="1" t="s">
        <v>32</v>
      </c>
      <c r="E1062" s="1" t="s">
        <v>34</v>
      </c>
      <c r="F1062" s="1" t="s">
        <v>31</v>
      </c>
      <c r="G1062" s="1">
        <v>7</v>
      </c>
      <c r="H1062" s="1">
        <v>852</v>
      </c>
      <c r="I1062" s="1">
        <v>15</v>
      </c>
      <c r="J1062" s="4">
        <v>5069.3999999999996</v>
      </c>
      <c r="K1062" s="4">
        <v>3496.52</v>
      </c>
      <c r="L1062" s="4">
        <v>1572.88</v>
      </c>
      <c r="M1062" s="1" t="str">
        <f>TEXT(Table1[[#This Row],[Order_Date]], "MMM")</f>
        <v>Jun</v>
      </c>
      <c r="N1062" s="1">
        <f>YEAR(Table1[[#This Row],[Order_Date]])</f>
        <v>2024</v>
      </c>
      <c r="O1062" s="7">
        <f>Table1[[#This Row],[Profit]]/Table1[[#This Row],[Total_Sales]]</f>
        <v>0.31026945989663474</v>
      </c>
    </row>
    <row r="1063" spans="1:15" x14ac:dyDescent="0.25">
      <c r="A1063" s="1">
        <v>1062</v>
      </c>
      <c r="B1063" s="2">
        <v>45604</v>
      </c>
      <c r="C1063" s="1" t="s">
        <v>25</v>
      </c>
      <c r="D1063" s="1" t="s">
        <v>20</v>
      </c>
      <c r="E1063" s="1" t="s">
        <v>21</v>
      </c>
      <c r="F1063" s="1" t="s">
        <v>18</v>
      </c>
      <c r="G1063" s="1">
        <v>6</v>
      </c>
      <c r="H1063" s="1">
        <v>949</v>
      </c>
      <c r="I1063" s="1">
        <v>20</v>
      </c>
      <c r="J1063" s="4">
        <v>4555.2</v>
      </c>
      <c r="K1063" s="4">
        <v>2773.85</v>
      </c>
      <c r="L1063" s="4">
        <v>1781.35</v>
      </c>
      <c r="M1063" s="1" t="str">
        <f>TEXT(Table1[[#This Row],[Order_Date]], "MMM")</f>
        <v>Nov</v>
      </c>
      <c r="N1063" s="1">
        <f>YEAR(Table1[[#This Row],[Order_Date]])</f>
        <v>2024</v>
      </c>
      <c r="O1063" s="7">
        <f>Table1[[#This Row],[Profit]]/Table1[[#This Row],[Total_Sales]]</f>
        <v>0.3910585704250088</v>
      </c>
    </row>
    <row r="1064" spans="1:15" x14ac:dyDescent="0.25">
      <c r="A1064" s="1">
        <v>1063</v>
      </c>
      <c r="B1064" s="2">
        <v>45157</v>
      </c>
      <c r="C1064" s="1" t="s">
        <v>25</v>
      </c>
      <c r="D1064" s="1" t="s">
        <v>26</v>
      </c>
      <c r="E1064" s="1" t="s">
        <v>37</v>
      </c>
      <c r="F1064" s="1" t="s">
        <v>31</v>
      </c>
      <c r="G1064" s="1">
        <v>10</v>
      </c>
      <c r="H1064" s="1">
        <v>608</v>
      </c>
      <c r="I1064" s="1">
        <v>5</v>
      </c>
      <c r="J1064" s="4">
        <v>5776</v>
      </c>
      <c r="K1064" s="4">
        <v>3532.27</v>
      </c>
      <c r="L1064" s="4">
        <v>2243.73</v>
      </c>
      <c r="M1064" s="1" t="str">
        <f>TEXT(Table1[[#This Row],[Order_Date]], "MMM")</f>
        <v>Aug</v>
      </c>
      <c r="N1064" s="1">
        <f>YEAR(Table1[[#This Row],[Order_Date]])</f>
        <v>2023</v>
      </c>
      <c r="O1064" s="7">
        <f>Table1[[#This Row],[Profit]]/Table1[[#This Row],[Total_Sales]]</f>
        <v>0.38845740997229916</v>
      </c>
    </row>
    <row r="1065" spans="1:15" x14ac:dyDescent="0.25">
      <c r="A1065" s="1">
        <v>1064</v>
      </c>
      <c r="B1065" s="2">
        <v>45575</v>
      </c>
      <c r="C1065" s="1" t="s">
        <v>16</v>
      </c>
      <c r="D1065" s="1" t="s">
        <v>13</v>
      </c>
      <c r="E1065" s="1" t="s">
        <v>14</v>
      </c>
      <c r="F1065" s="1" t="s">
        <v>15</v>
      </c>
      <c r="G1065" s="1">
        <v>7</v>
      </c>
      <c r="H1065" s="1">
        <v>85</v>
      </c>
      <c r="I1065" s="1">
        <v>10</v>
      </c>
      <c r="J1065" s="4">
        <v>535.5</v>
      </c>
      <c r="K1065" s="4">
        <v>405.11</v>
      </c>
      <c r="L1065" s="4">
        <v>130.38999999999999</v>
      </c>
      <c r="M1065" s="1" t="str">
        <f>TEXT(Table1[[#This Row],[Order_Date]], "MMM")</f>
        <v>Oct</v>
      </c>
      <c r="N1065" s="1">
        <f>YEAR(Table1[[#This Row],[Order_Date]])</f>
        <v>2024</v>
      </c>
      <c r="O1065" s="7">
        <f>Table1[[#This Row],[Profit]]/Table1[[#This Row],[Total_Sales]]</f>
        <v>0.24349206349206345</v>
      </c>
    </row>
    <row r="1066" spans="1:15" x14ac:dyDescent="0.25">
      <c r="A1066" s="1">
        <v>1065</v>
      </c>
      <c r="B1066" s="2">
        <v>45386</v>
      </c>
      <c r="C1066" s="1" t="s">
        <v>16</v>
      </c>
      <c r="D1066" s="1" t="s">
        <v>22</v>
      </c>
      <c r="E1066" s="1" t="s">
        <v>36</v>
      </c>
      <c r="F1066" s="1" t="s">
        <v>40</v>
      </c>
      <c r="G1066" s="1">
        <v>2</v>
      </c>
      <c r="H1066" s="1">
        <v>928</v>
      </c>
      <c r="I1066" s="1">
        <v>10</v>
      </c>
      <c r="J1066" s="4">
        <v>1670.4</v>
      </c>
      <c r="K1066" s="4">
        <v>865.38</v>
      </c>
      <c r="L1066" s="4">
        <v>805.02</v>
      </c>
      <c r="M1066" s="1" t="str">
        <f>TEXT(Table1[[#This Row],[Order_Date]], "MMM")</f>
        <v>Apr</v>
      </c>
      <c r="N1066" s="1">
        <f>YEAR(Table1[[#This Row],[Order_Date]])</f>
        <v>2024</v>
      </c>
      <c r="O1066" s="7">
        <f>Table1[[#This Row],[Profit]]/Table1[[#This Row],[Total_Sales]]</f>
        <v>0.48193247126436778</v>
      </c>
    </row>
    <row r="1067" spans="1:15" x14ac:dyDescent="0.25">
      <c r="A1067" s="1">
        <v>1066</v>
      </c>
      <c r="B1067" s="2">
        <v>45304</v>
      </c>
      <c r="C1067" s="1" t="s">
        <v>16</v>
      </c>
      <c r="D1067" s="1" t="s">
        <v>22</v>
      </c>
      <c r="E1067" s="1" t="s">
        <v>29</v>
      </c>
      <c r="F1067" s="1" t="s">
        <v>40</v>
      </c>
      <c r="G1067" s="1">
        <v>7</v>
      </c>
      <c r="H1067" s="1">
        <v>846</v>
      </c>
      <c r="I1067" s="1">
        <v>15</v>
      </c>
      <c r="J1067" s="4">
        <v>5033.7</v>
      </c>
      <c r="K1067" s="4">
        <v>3786.97</v>
      </c>
      <c r="L1067" s="4">
        <v>1246.73</v>
      </c>
      <c r="M1067" s="1" t="str">
        <f>TEXT(Table1[[#This Row],[Order_Date]], "MMM")</f>
        <v>Jan</v>
      </c>
      <c r="N1067" s="1">
        <f>YEAR(Table1[[#This Row],[Order_Date]])</f>
        <v>2024</v>
      </c>
      <c r="O1067" s="7">
        <f>Table1[[#This Row],[Profit]]/Table1[[#This Row],[Total_Sales]]</f>
        <v>0.24767665931620877</v>
      </c>
    </row>
    <row r="1068" spans="1:15" x14ac:dyDescent="0.25">
      <c r="A1068" s="1">
        <v>1067</v>
      </c>
      <c r="B1068" s="2">
        <v>45085</v>
      </c>
      <c r="C1068" s="1" t="s">
        <v>25</v>
      </c>
      <c r="D1068" s="1" t="s">
        <v>22</v>
      </c>
      <c r="E1068" s="1" t="s">
        <v>36</v>
      </c>
      <c r="F1068" s="1" t="s">
        <v>31</v>
      </c>
      <c r="G1068" s="1">
        <v>9</v>
      </c>
      <c r="H1068" s="1">
        <v>227</v>
      </c>
      <c r="I1068" s="1">
        <v>15</v>
      </c>
      <c r="J1068" s="4">
        <v>1736.55</v>
      </c>
      <c r="K1068" s="4">
        <v>1214.8499999999999</v>
      </c>
      <c r="L1068" s="4">
        <v>521.70000000000005</v>
      </c>
      <c r="M1068" s="1" t="str">
        <f>TEXT(Table1[[#This Row],[Order_Date]], "MMM")</f>
        <v>Jun</v>
      </c>
      <c r="N1068" s="1">
        <f>YEAR(Table1[[#This Row],[Order_Date]])</f>
        <v>2023</v>
      </c>
      <c r="O1068" s="7">
        <f>Table1[[#This Row],[Profit]]/Table1[[#This Row],[Total_Sales]]</f>
        <v>0.30042325300164124</v>
      </c>
    </row>
    <row r="1069" spans="1:15" x14ac:dyDescent="0.25">
      <c r="A1069" s="1">
        <v>1068</v>
      </c>
      <c r="B1069" s="2">
        <v>45143</v>
      </c>
      <c r="C1069" s="1" t="s">
        <v>12</v>
      </c>
      <c r="D1069" s="1" t="s">
        <v>32</v>
      </c>
      <c r="E1069" s="1" t="s">
        <v>41</v>
      </c>
      <c r="F1069" s="1" t="s">
        <v>35</v>
      </c>
      <c r="G1069" s="1">
        <v>8</v>
      </c>
      <c r="H1069" s="1">
        <v>654</v>
      </c>
      <c r="I1069" s="1">
        <v>20</v>
      </c>
      <c r="J1069" s="4">
        <v>4185.6000000000004</v>
      </c>
      <c r="K1069" s="4">
        <v>2427.62</v>
      </c>
      <c r="L1069" s="4">
        <v>1757.98</v>
      </c>
      <c r="M1069" s="1" t="str">
        <f>TEXT(Table1[[#This Row],[Order_Date]], "MMM")</f>
        <v>Aug</v>
      </c>
      <c r="N1069" s="1">
        <f>YEAR(Table1[[#This Row],[Order_Date]])</f>
        <v>2023</v>
      </c>
      <c r="O1069" s="7">
        <f>Table1[[#This Row],[Profit]]/Table1[[#This Row],[Total_Sales]]</f>
        <v>0.42000668960244647</v>
      </c>
    </row>
    <row r="1070" spans="1:15" x14ac:dyDescent="0.25">
      <c r="A1070" s="1">
        <v>1069</v>
      </c>
      <c r="B1070" s="2">
        <v>45625</v>
      </c>
      <c r="C1070" s="1" t="s">
        <v>19</v>
      </c>
      <c r="D1070" s="1" t="s">
        <v>26</v>
      </c>
      <c r="E1070" s="1" t="s">
        <v>42</v>
      </c>
      <c r="F1070" s="1" t="s">
        <v>31</v>
      </c>
      <c r="G1070" s="1">
        <v>2</v>
      </c>
      <c r="H1070" s="1">
        <v>383</v>
      </c>
      <c r="I1070" s="1">
        <v>15</v>
      </c>
      <c r="J1070" s="4">
        <v>651.1</v>
      </c>
      <c r="K1070" s="4">
        <v>374.35</v>
      </c>
      <c r="L1070" s="4">
        <v>276.75</v>
      </c>
      <c r="M1070" s="1" t="str">
        <f>TEXT(Table1[[#This Row],[Order_Date]], "MMM")</f>
        <v>Nov</v>
      </c>
      <c r="N1070" s="1">
        <f>YEAR(Table1[[#This Row],[Order_Date]])</f>
        <v>2024</v>
      </c>
      <c r="O1070" s="7">
        <f>Table1[[#This Row],[Profit]]/Table1[[#This Row],[Total_Sales]]</f>
        <v>0.42504991552756871</v>
      </c>
    </row>
    <row r="1071" spans="1:15" x14ac:dyDescent="0.25">
      <c r="A1071" s="1">
        <v>1070</v>
      </c>
      <c r="B1071" s="2">
        <v>45042</v>
      </c>
      <c r="C1071" s="1" t="s">
        <v>12</v>
      </c>
      <c r="D1071" s="1" t="s">
        <v>13</v>
      </c>
      <c r="E1071" s="1" t="s">
        <v>17</v>
      </c>
      <c r="F1071" s="1" t="s">
        <v>31</v>
      </c>
      <c r="G1071" s="1">
        <v>9</v>
      </c>
      <c r="H1071" s="1">
        <v>408</v>
      </c>
      <c r="I1071" s="1">
        <v>20</v>
      </c>
      <c r="J1071" s="4">
        <v>2937.6</v>
      </c>
      <c r="K1071" s="4">
        <v>2348.27</v>
      </c>
      <c r="L1071" s="4">
        <v>589.33000000000004</v>
      </c>
      <c r="M1071" s="1" t="str">
        <f>TEXT(Table1[[#This Row],[Order_Date]], "MMM")</f>
        <v>Apr</v>
      </c>
      <c r="N1071" s="1">
        <f>YEAR(Table1[[#This Row],[Order_Date]])</f>
        <v>2023</v>
      </c>
      <c r="O1071" s="7">
        <f>Table1[[#This Row],[Profit]]/Table1[[#This Row],[Total_Sales]]</f>
        <v>0.20061614923747279</v>
      </c>
    </row>
    <row r="1072" spans="1:15" x14ac:dyDescent="0.25">
      <c r="A1072" s="1">
        <v>1071</v>
      </c>
      <c r="B1072" s="2">
        <v>45114</v>
      </c>
      <c r="C1072" s="1" t="s">
        <v>19</v>
      </c>
      <c r="D1072" s="1" t="s">
        <v>20</v>
      </c>
      <c r="E1072" s="1" t="s">
        <v>21</v>
      </c>
      <c r="F1072" s="1" t="s">
        <v>18</v>
      </c>
      <c r="G1072" s="1">
        <v>8</v>
      </c>
      <c r="H1072" s="1">
        <v>238</v>
      </c>
      <c r="I1072" s="1">
        <v>10</v>
      </c>
      <c r="J1072" s="4">
        <v>1713.6</v>
      </c>
      <c r="K1072" s="4">
        <v>871.3</v>
      </c>
      <c r="L1072" s="4">
        <v>842.3</v>
      </c>
      <c r="M1072" s="1" t="str">
        <f>TEXT(Table1[[#This Row],[Order_Date]], "MMM")</f>
        <v>Jul</v>
      </c>
      <c r="N1072" s="1">
        <f>YEAR(Table1[[#This Row],[Order_Date]])</f>
        <v>2023</v>
      </c>
      <c r="O1072" s="7">
        <f>Table1[[#This Row],[Profit]]/Table1[[#This Row],[Total_Sales]]</f>
        <v>0.49153828197945842</v>
      </c>
    </row>
    <row r="1073" spans="1:15" x14ac:dyDescent="0.25">
      <c r="A1073" s="1">
        <v>1072</v>
      </c>
      <c r="B1073" s="2">
        <v>45092</v>
      </c>
      <c r="C1073" s="1" t="s">
        <v>25</v>
      </c>
      <c r="D1073" s="1" t="s">
        <v>20</v>
      </c>
      <c r="E1073" s="1" t="s">
        <v>28</v>
      </c>
      <c r="F1073" s="1" t="s">
        <v>35</v>
      </c>
      <c r="G1073" s="1">
        <v>9</v>
      </c>
      <c r="H1073" s="1">
        <v>507</v>
      </c>
      <c r="I1073" s="1">
        <v>15</v>
      </c>
      <c r="J1073" s="4">
        <v>3878.55</v>
      </c>
      <c r="K1073" s="4">
        <v>2901.63</v>
      </c>
      <c r="L1073" s="4">
        <v>976.92</v>
      </c>
      <c r="M1073" s="1" t="str">
        <f>TEXT(Table1[[#This Row],[Order_Date]], "MMM")</f>
        <v>Jun</v>
      </c>
      <c r="N1073" s="1">
        <f>YEAR(Table1[[#This Row],[Order_Date]])</f>
        <v>2023</v>
      </c>
      <c r="O1073" s="7">
        <f>Table1[[#This Row],[Profit]]/Table1[[#This Row],[Total_Sales]]</f>
        <v>0.25187763468306451</v>
      </c>
    </row>
    <row r="1074" spans="1:15" x14ac:dyDescent="0.25">
      <c r="A1074" s="1">
        <v>1073</v>
      </c>
      <c r="B1074" s="2">
        <v>45332</v>
      </c>
      <c r="C1074" s="1" t="s">
        <v>19</v>
      </c>
      <c r="D1074" s="1" t="s">
        <v>22</v>
      </c>
      <c r="E1074" s="1" t="s">
        <v>29</v>
      </c>
      <c r="F1074" s="1" t="s">
        <v>15</v>
      </c>
      <c r="G1074" s="1">
        <v>5</v>
      </c>
      <c r="H1074" s="1">
        <v>96</v>
      </c>
      <c r="I1074" s="1">
        <v>15</v>
      </c>
      <c r="J1074" s="4">
        <v>408</v>
      </c>
      <c r="K1074" s="4">
        <v>253.48</v>
      </c>
      <c r="L1074" s="4">
        <v>154.52000000000001</v>
      </c>
      <c r="M1074" s="1" t="str">
        <f>TEXT(Table1[[#This Row],[Order_Date]], "MMM")</f>
        <v>Feb</v>
      </c>
      <c r="N1074" s="1">
        <f>YEAR(Table1[[#This Row],[Order_Date]])</f>
        <v>2024</v>
      </c>
      <c r="O1074" s="7">
        <f>Table1[[#This Row],[Profit]]/Table1[[#This Row],[Total_Sales]]</f>
        <v>0.37872549019607843</v>
      </c>
    </row>
    <row r="1075" spans="1:15" x14ac:dyDescent="0.25">
      <c r="A1075" s="1">
        <v>1074</v>
      </c>
      <c r="B1075" s="2">
        <v>45231</v>
      </c>
      <c r="C1075" s="1" t="s">
        <v>16</v>
      </c>
      <c r="D1075" s="1" t="s">
        <v>20</v>
      </c>
      <c r="E1075" s="1" t="s">
        <v>21</v>
      </c>
      <c r="F1075" s="1" t="s">
        <v>35</v>
      </c>
      <c r="G1075" s="1">
        <v>9</v>
      </c>
      <c r="H1075" s="1">
        <v>360</v>
      </c>
      <c r="I1075" s="1">
        <v>10</v>
      </c>
      <c r="J1075" s="4">
        <v>2916</v>
      </c>
      <c r="K1075" s="4">
        <v>1781.36</v>
      </c>
      <c r="L1075" s="4">
        <v>1134.6400000000001</v>
      </c>
      <c r="M1075" s="1" t="str">
        <f>TEXT(Table1[[#This Row],[Order_Date]], "MMM")</f>
        <v>Nov</v>
      </c>
      <c r="N1075" s="1">
        <f>YEAR(Table1[[#This Row],[Order_Date]])</f>
        <v>2023</v>
      </c>
      <c r="O1075" s="7">
        <f>Table1[[#This Row],[Profit]]/Table1[[#This Row],[Total_Sales]]</f>
        <v>0.38910836762688616</v>
      </c>
    </row>
    <row r="1076" spans="1:15" x14ac:dyDescent="0.25">
      <c r="A1076" s="1">
        <v>1075</v>
      </c>
      <c r="B1076" s="2">
        <v>45069</v>
      </c>
      <c r="C1076" s="1" t="s">
        <v>19</v>
      </c>
      <c r="D1076" s="1" t="s">
        <v>13</v>
      </c>
      <c r="E1076" s="1" t="s">
        <v>38</v>
      </c>
      <c r="F1076" s="1" t="s">
        <v>24</v>
      </c>
      <c r="G1076" s="1">
        <v>3</v>
      </c>
      <c r="H1076" s="1">
        <v>416</v>
      </c>
      <c r="I1076" s="1">
        <v>15</v>
      </c>
      <c r="J1076" s="4">
        <v>1060.8</v>
      </c>
      <c r="K1076" s="4">
        <v>764.28</v>
      </c>
      <c r="L1076" s="4">
        <v>296.52</v>
      </c>
      <c r="M1076" s="1" t="str">
        <f>TEXT(Table1[[#This Row],[Order_Date]], "MMM")</f>
        <v>May</v>
      </c>
      <c r="N1076" s="1">
        <f>YEAR(Table1[[#This Row],[Order_Date]])</f>
        <v>2023</v>
      </c>
      <c r="O1076" s="7">
        <f>Table1[[#This Row],[Profit]]/Table1[[#This Row],[Total_Sales]]</f>
        <v>0.27952488687782806</v>
      </c>
    </row>
    <row r="1077" spans="1:15" x14ac:dyDescent="0.25">
      <c r="A1077" s="1">
        <v>1076</v>
      </c>
      <c r="B1077" s="2">
        <v>44936</v>
      </c>
      <c r="C1077" s="1" t="s">
        <v>25</v>
      </c>
      <c r="D1077" s="1" t="s">
        <v>22</v>
      </c>
      <c r="E1077" s="1" t="s">
        <v>29</v>
      </c>
      <c r="F1077" s="1" t="s">
        <v>18</v>
      </c>
      <c r="G1077" s="1">
        <v>6</v>
      </c>
      <c r="H1077" s="1">
        <v>171</v>
      </c>
      <c r="I1077" s="1">
        <v>0</v>
      </c>
      <c r="J1077" s="4">
        <v>1026</v>
      </c>
      <c r="K1077" s="4">
        <v>815.46</v>
      </c>
      <c r="L1077" s="4">
        <v>210.54</v>
      </c>
      <c r="M1077" s="1" t="str">
        <f>TEXT(Table1[[#This Row],[Order_Date]], "MMM")</f>
        <v>Jan</v>
      </c>
      <c r="N1077" s="1">
        <f>YEAR(Table1[[#This Row],[Order_Date]])</f>
        <v>2023</v>
      </c>
      <c r="O1077" s="7">
        <f>Table1[[#This Row],[Profit]]/Table1[[#This Row],[Total_Sales]]</f>
        <v>0.20520467836257308</v>
      </c>
    </row>
    <row r="1078" spans="1:15" x14ac:dyDescent="0.25">
      <c r="A1078" s="1">
        <v>1077</v>
      </c>
      <c r="B1078" s="2">
        <v>45077</v>
      </c>
      <c r="C1078" s="1" t="s">
        <v>19</v>
      </c>
      <c r="D1078" s="1" t="s">
        <v>20</v>
      </c>
      <c r="E1078" s="1" t="s">
        <v>28</v>
      </c>
      <c r="F1078" s="1" t="s">
        <v>18</v>
      </c>
      <c r="G1078" s="1">
        <v>4</v>
      </c>
      <c r="H1078" s="1">
        <v>649</v>
      </c>
      <c r="I1078" s="1">
        <v>10</v>
      </c>
      <c r="J1078" s="4">
        <v>2336.4</v>
      </c>
      <c r="K1078" s="4">
        <v>1177.77</v>
      </c>
      <c r="L1078" s="4">
        <v>1158.6300000000001</v>
      </c>
      <c r="M1078" s="1" t="str">
        <f>TEXT(Table1[[#This Row],[Order_Date]], "MMM")</f>
        <v>May</v>
      </c>
      <c r="N1078" s="1">
        <f>YEAR(Table1[[#This Row],[Order_Date]])</f>
        <v>2023</v>
      </c>
      <c r="O1078" s="7">
        <f>Table1[[#This Row],[Profit]]/Table1[[#This Row],[Total_Sales]]</f>
        <v>0.49590395480225991</v>
      </c>
    </row>
    <row r="1079" spans="1:15" x14ac:dyDescent="0.25">
      <c r="A1079" s="1">
        <v>1078</v>
      </c>
      <c r="B1079" s="2">
        <v>45410</v>
      </c>
      <c r="C1079" s="1" t="s">
        <v>19</v>
      </c>
      <c r="D1079" s="1" t="s">
        <v>32</v>
      </c>
      <c r="E1079" s="1" t="s">
        <v>41</v>
      </c>
      <c r="F1079" s="1" t="s">
        <v>31</v>
      </c>
      <c r="G1079" s="1">
        <v>4</v>
      </c>
      <c r="H1079" s="1">
        <v>374</v>
      </c>
      <c r="I1079" s="1">
        <v>10</v>
      </c>
      <c r="J1079" s="4">
        <v>1346.4</v>
      </c>
      <c r="K1079" s="4">
        <v>760.82</v>
      </c>
      <c r="L1079" s="4">
        <v>585.58000000000004</v>
      </c>
      <c r="M1079" s="1" t="str">
        <f>TEXT(Table1[[#This Row],[Order_Date]], "MMM")</f>
        <v>Apr</v>
      </c>
      <c r="N1079" s="1">
        <f>YEAR(Table1[[#This Row],[Order_Date]])</f>
        <v>2024</v>
      </c>
      <c r="O1079" s="7">
        <f>Table1[[#This Row],[Profit]]/Table1[[#This Row],[Total_Sales]]</f>
        <v>0.43492275698158051</v>
      </c>
    </row>
    <row r="1080" spans="1:15" x14ac:dyDescent="0.25">
      <c r="A1080" s="1">
        <v>1079</v>
      </c>
      <c r="B1080" s="2">
        <v>45451</v>
      </c>
      <c r="C1080" s="1" t="s">
        <v>19</v>
      </c>
      <c r="D1080" s="1" t="s">
        <v>13</v>
      </c>
      <c r="E1080" s="1" t="s">
        <v>14</v>
      </c>
      <c r="F1080" s="1" t="s">
        <v>24</v>
      </c>
      <c r="G1080" s="1">
        <v>1</v>
      </c>
      <c r="H1080" s="1">
        <v>600</v>
      </c>
      <c r="I1080" s="1">
        <v>15</v>
      </c>
      <c r="J1080" s="4">
        <v>510</v>
      </c>
      <c r="K1080" s="4">
        <v>337</v>
      </c>
      <c r="L1080" s="4">
        <v>173</v>
      </c>
      <c r="M1080" s="1" t="str">
        <f>TEXT(Table1[[#This Row],[Order_Date]], "MMM")</f>
        <v>Jun</v>
      </c>
      <c r="N1080" s="1">
        <f>YEAR(Table1[[#This Row],[Order_Date]])</f>
        <v>2024</v>
      </c>
      <c r="O1080" s="7">
        <f>Table1[[#This Row],[Profit]]/Table1[[#This Row],[Total_Sales]]</f>
        <v>0.33921568627450982</v>
      </c>
    </row>
    <row r="1081" spans="1:15" x14ac:dyDescent="0.25">
      <c r="A1081" s="1">
        <v>1080</v>
      </c>
      <c r="B1081" s="2">
        <v>45066</v>
      </c>
      <c r="C1081" s="1" t="s">
        <v>19</v>
      </c>
      <c r="D1081" s="1" t="s">
        <v>26</v>
      </c>
      <c r="E1081" s="1" t="s">
        <v>27</v>
      </c>
      <c r="F1081" s="1" t="s">
        <v>31</v>
      </c>
      <c r="G1081" s="1">
        <v>5</v>
      </c>
      <c r="H1081" s="1">
        <v>592</v>
      </c>
      <c r="I1081" s="1">
        <v>15</v>
      </c>
      <c r="J1081" s="4">
        <v>2516</v>
      </c>
      <c r="K1081" s="4">
        <v>1529</v>
      </c>
      <c r="L1081" s="4">
        <v>987</v>
      </c>
      <c r="M1081" s="1" t="str">
        <f>TEXT(Table1[[#This Row],[Order_Date]], "MMM")</f>
        <v>May</v>
      </c>
      <c r="N1081" s="1">
        <f>YEAR(Table1[[#This Row],[Order_Date]])</f>
        <v>2023</v>
      </c>
      <c r="O1081" s="7">
        <f>Table1[[#This Row],[Profit]]/Table1[[#This Row],[Total_Sales]]</f>
        <v>0.39228934817170114</v>
      </c>
    </row>
    <row r="1082" spans="1:15" x14ac:dyDescent="0.25">
      <c r="A1082" s="1">
        <v>1081</v>
      </c>
      <c r="B1082" s="2">
        <v>45357</v>
      </c>
      <c r="C1082" s="1" t="s">
        <v>12</v>
      </c>
      <c r="D1082" s="1" t="s">
        <v>32</v>
      </c>
      <c r="E1082" s="1" t="s">
        <v>33</v>
      </c>
      <c r="F1082" s="1" t="s">
        <v>15</v>
      </c>
      <c r="G1082" s="1">
        <v>8</v>
      </c>
      <c r="H1082" s="1">
        <v>613</v>
      </c>
      <c r="I1082" s="1">
        <v>0</v>
      </c>
      <c r="J1082" s="4">
        <v>4904</v>
      </c>
      <c r="K1082" s="4">
        <v>2926.91</v>
      </c>
      <c r="L1082" s="4">
        <v>1977.09</v>
      </c>
      <c r="M1082" s="1" t="str">
        <f>TEXT(Table1[[#This Row],[Order_Date]], "MMM")</f>
        <v>Mar</v>
      </c>
      <c r="N1082" s="1">
        <f>YEAR(Table1[[#This Row],[Order_Date]])</f>
        <v>2024</v>
      </c>
      <c r="O1082" s="7">
        <f>Table1[[#This Row],[Profit]]/Table1[[#This Row],[Total_Sales]]</f>
        <v>0.40315864600326262</v>
      </c>
    </row>
    <row r="1083" spans="1:15" x14ac:dyDescent="0.25">
      <c r="A1083" s="1">
        <v>1082</v>
      </c>
      <c r="B1083" s="2">
        <v>45334</v>
      </c>
      <c r="C1083" s="1" t="s">
        <v>25</v>
      </c>
      <c r="D1083" s="1" t="s">
        <v>26</v>
      </c>
      <c r="E1083" s="1" t="s">
        <v>27</v>
      </c>
      <c r="F1083" s="1" t="s">
        <v>40</v>
      </c>
      <c r="G1083" s="1">
        <v>6</v>
      </c>
      <c r="H1083" s="1">
        <v>415</v>
      </c>
      <c r="I1083" s="1">
        <v>20</v>
      </c>
      <c r="J1083" s="4">
        <v>1992</v>
      </c>
      <c r="K1083" s="4">
        <v>1043.3499999999999</v>
      </c>
      <c r="L1083" s="4">
        <v>948.65</v>
      </c>
      <c r="M1083" s="1" t="str">
        <f>TEXT(Table1[[#This Row],[Order_Date]], "MMM")</f>
        <v>Feb</v>
      </c>
      <c r="N1083" s="1">
        <f>YEAR(Table1[[#This Row],[Order_Date]])</f>
        <v>2024</v>
      </c>
      <c r="O1083" s="7">
        <f>Table1[[#This Row],[Profit]]/Table1[[#This Row],[Total_Sales]]</f>
        <v>0.47622991967871486</v>
      </c>
    </row>
    <row r="1084" spans="1:15" x14ac:dyDescent="0.25">
      <c r="A1084" s="1">
        <v>1083</v>
      </c>
      <c r="B1084" s="2">
        <v>45339</v>
      </c>
      <c r="C1084" s="1" t="s">
        <v>25</v>
      </c>
      <c r="D1084" s="1" t="s">
        <v>32</v>
      </c>
      <c r="E1084" s="1" t="s">
        <v>45</v>
      </c>
      <c r="F1084" s="1" t="s">
        <v>31</v>
      </c>
      <c r="G1084" s="1">
        <v>3</v>
      </c>
      <c r="H1084" s="1">
        <v>391</v>
      </c>
      <c r="I1084" s="1">
        <v>15</v>
      </c>
      <c r="J1084" s="4">
        <v>997.05</v>
      </c>
      <c r="K1084" s="4">
        <v>784.76</v>
      </c>
      <c r="L1084" s="4">
        <v>212.29</v>
      </c>
      <c r="M1084" s="1" t="str">
        <f>TEXT(Table1[[#This Row],[Order_Date]], "MMM")</f>
        <v>Feb</v>
      </c>
      <c r="N1084" s="1">
        <f>YEAR(Table1[[#This Row],[Order_Date]])</f>
        <v>2024</v>
      </c>
      <c r="O1084" s="7">
        <f>Table1[[#This Row],[Profit]]/Table1[[#This Row],[Total_Sales]]</f>
        <v>0.21291810841983852</v>
      </c>
    </row>
    <row r="1085" spans="1:15" x14ac:dyDescent="0.25">
      <c r="A1085" s="1">
        <v>1084</v>
      </c>
      <c r="B1085" s="2">
        <v>45364</v>
      </c>
      <c r="C1085" s="1" t="s">
        <v>16</v>
      </c>
      <c r="D1085" s="1" t="s">
        <v>32</v>
      </c>
      <c r="E1085" s="1" t="s">
        <v>33</v>
      </c>
      <c r="F1085" s="1" t="s">
        <v>15</v>
      </c>
      <c r="G1085" s="1">
        <v>5</v>
      </c>
      <c r="H1085" s="1">
        <v>483</v>
      </c>
      <c r="I1085" s="1">
        <v>20</v>
      </c>
      <c r="J1085" s="4">
        <v>1932</v>
      </c>
      <c r="K1085" s="4">
        <v>1354.08</v>
      </c>
      <c r="L1085" s="4">
        <v>577.91999999999996</v>
      </c>
      <c r="M1085" s="1" t="str">
        <f>TEXT(Table1[[#This Row],[Order_Date]], "MMM")</f>
        <v>Mar</v>
      </c>
      <c r="N1085" s="1">
        <f>YEAR(Table1[[#This Row],[Order_Date]])</f>
        <v>2024</v>
      </c>
      <c r="O1085" s="7">
        <f>Table1[[#This Row],[Profit]]/Table1[[#This Row],[Total_Sales]]</f>
        <v>0.2991304347826087</v>
      </c>
    </row>
    <row r="1086" spans="1:15" x14ac:dyDescent="0.25">
      <c r="A1086" s="1">
        <v>1085</v>
      </c>
      <c r="B1086" s="2">
        <v>45631</v>
      </c>
      <c r="C1086" s="1" t="s">
        <v>12</v>
      </c>
      <c r="D1086" s="1" t="s">
        <v>26</v>
      </c>
      <c r="E1086" s="1" t="s">
        <v>46</v>
      </c>
      <c r="F1086" s="1" t="s">
        <v>35</v>
      </c>
      <c r="G1086" s="1">
        <v>5</v>
      </c>
      <c r="H1086" s="1">
        <v>551</v>
      </c>
      <c r="I1086" s="1">
        <v>5</v>
      </c>
      <c r="J1086" s="4">
        <v>2617.25</v>
      </c>
      <c r="K1086" s="4">
        <v>1553.51</v>
      </c>
      <c r="L1086" s="4">
        <v>1063.74</v>
      </c>
      <c r="M1086" s="1" t="str">
        <f>TEXT(Table1[[#This Row],[Order_Date]], "MMM")</f>
        <v>Dec</v>
      </c>
      <c r="N1086" s="1">
        <f>YEAR(Table1[[#This Row],[Order_Date]])</f>
        <v>2024</v>
      </c>
      <c r="O1086" s="7">
        <f>Table1[[#This Row],[Profit]]/Table1[[#This Row],[Total_Sales]]</f>
        <v>0.40643423440634252</v>
      </c>
    </row>
    <row r="1087" spans="1:15" x14ac:dyDescent="0.25">
      <c r="A1087" s="1">
        <v>1086</v>
      </c>
      <c r="B1087" s="2">
        <v>45296</v>
      </c>
      <c r="C1087" s="1" t="s">
        <v>19</v>
      </c>
      <c r="D1087" s="1" t="s">
        <v>32</v>
      </c>
      <c r="E1087" s="1" t="s">
        <v>41</v>
      </c>
      <c r="F1087" s="1" t="s">
        <v>40</v>
      </c>
      <c r="G1087" s="1">
        <v>7</v>
      </c>
      <c r="H1087" s="1">
        <v>259</v>
      </c>
      <c r="I1087" s="1">
        <v>0</v>
      </c>
      <c r="J1087" s="4">
        <v>1813</v>
      </c>
      <c r="K1087" s="4">
        <v>1219.5999999999999</v>
      </c>
      <c r="L1087" s="4">
        <v>593.4</v>
      </c>
      <c r="M1087" s="1" t="str">
        <f>TEXT(Table1[[#This Row],[Order_Date]], "MMM")</f>
        <v>Jan</v>
      </c>
      <c r="N1087" s="1">
        <f>YEAR(Table1[[#This Row],[Order_Date]])</f>
        <v>2024</v>
      </c>
      <c r="O1087" s="7">
        <f>Table1[[#This Row],[Profit]]/Table1[[#This Row],[Total_Sales]]</f>
        <v>0.32730281301709874</v>
      </c>
    </row>
    <row r="1088" spans="1:15" x14ac:dyDescent="0.25">
      <c r="A1088" s="1">
        <v>1087</v>
      </c>
      <c r="B1088" s="2">
        <v>45095</v>
      </c>
      <c r="C1088" s="1" t="s">
        <v>19</v>
      </c>
      <c r="D1088" s="1" t="s">
        <v>13</v>
      </c>
      <c r="E1088" s="1" t="s">
        <v>17</v>
      </c>
      <c r="F1088" s="1" t="s">
        <v>40</v>
      </c>
      <c r="G1088" s="1">
        <v>7</v>
      </c>
      <c r="H1088" s="1">
        <v>547</v>
      </c>
      <c r="I1088" s="1">
        <v>5</v>
      </c>
      <c r="J1088" s="4">
        <v>3637.55</v>
      </c>
      <c r="K1088" s="4">
        <v>2465.16</v>
      </c>
      <c r="L1088" s="4">
        <v>1172.3900000000001</v>
      </c>
      <c r="M1088" s="1" t="str">
        <f>TEXT(Table1[[#This Row],[Order_Date]], "MMM")</f>
        <v>Jun</v>
      </c>
      <c r="N1088" s="1">
        <f>YEAR(Table1[[#This Row],[Order_Date]])</f>
        <v>2023</v>
      </c>
      <c r="O1088" s="7">
        <f>Table1[[#This Row],[Profit]]/Table1[[#This Row],[Total_Sales]]</f>
        <v>0.32230209894022077</v>
      </c>
    </row>
    <row r="1089" spans="1:15" x14ac:dyDescent="0.25">
      <c r="A1089" s="1">
        <v>1088</v>
      </c>
      <c r="B1089" s="2">
        <v>45641</v>
      </c>
      <c r="C1089" s="1" t="s">
        <v>25</v>
      </c>
      <c r="D1089" s="1" t="s">
        <v>26</v>
      </c>
      <c r="E1089" s="1" t="s">
        <v>42</v>
      </c>
      <c r="F1089" s="1" t="s">
        <v>40</v>
      </c>
      <c r="G1089" s="1">
        <v>2</v>
      </c>
      <c r="H1089" s="1">
        <v>558</v>
      </c>
      <c r="I1089" s="1">
        <v>10</v>
      </c>
      <c r="J1089" s="4">
        <v>1004.4</v>
      </c>
      <c r="K1089" s="4">
        <v>521.44000000000005</v>
      </c>
      <c r="L1089" s="4">
        <v>482.96</v>
      </c>
      <c r="M1089" s="1" t="str">
        <f>TEXT(Table1[[#This Row],[Order_Date]], "MMM")</f>
        <v>Dec</v>
      </c>
      <c r="N1089" s="1">
        <f>YEAR(Table1[[#This Row],[Order_Date]])</f>
        <v>2024</v>
      </c>
      <c r="O1089" s="7">
        <f>Table1[[#This Row],[Profit]]/Table1[[#This Row],[Total_Sales]]</f>
        <v>0.48084428514536043</v>
      </c>
    </row>
    <row r="1090" spans="1:15" x14ac:dyDescent="0.25">
      <c r="A1090" s="1">
        <v>1089</v>
      </c>
      <c r="B1090" s="2">
        <v>45069</v>
      </c>
      <c r="C1090" s="1" t="s">
        <v>19</v>
      </c>
      <c r="D1090" s="1" t="s">
        <v>20</v>
      </c>
      <c r="E1090" s="1" t="s">
        <v>21</v>
      </c>
      <c r="F1090" s="1" t="s">
        <v>31</v>
      </c>
      <c r="G1090" s="1">
        <v>5</v>
      </c>
      <c r="H1090" s="1">
        <v>745</v>
      </c>
      <c r="I1090" s="1">
        <v>0</v>
      </c>
      <c r="J1090" s="4">
        <v>3725</v>
      </c>
      <c r="K1090" s="4">
        <v>2691</v>
      </c>
      <c r="L1090" s="4">
        <v>1034</v>
      </c>
      <c r="M1090" s="1" t="str">
        <f>TEXT(Table1[[#This Row],[Order_Date]], "MMM")</f>
        <v>May</v>
      </c>
      <c r="N1090" s="1">
        <f>YEAR(Table1[[#This Row],[Order_Date]])</f>
        <v>2023</v>
      </c>
      <c r="O1090" s="7">
        <f>Table1[[#This Row],[Profit]]/Table1[[#This Row],[Total_Sales]]</f>
        <v>0.27758389261744965</v>
      </c>
    </row>
    <row r="1091" spans="1:15" x14ac:dyDescent="0.25">
      <c r="A1091" s="1">
        <v>1090</v>
      </c>
      <c r="B1091" s="2">
        <v>45037</v>
      </c>
      <c r="C1091" s="1" t="s">
        <v>19</v>
      </c>
      <c r="D1091" s="1" t="s">
        <v>13</v>
      </c>
      <c r="E1091" s="1" t="s">
        <v>17</v>
      </c>
      <c r="F1091" s="1" t="s">
        <v>35</v>
      </c>
      <c r="G1091" s="1">
        <v>2</v>
      </c>
      <c r="H1091" s="1">
        <v>142</v>
      </c>
      <c r="I1091" s="1">
        <v>10</v>
      </c>
      <c r="J1091" s="4">
        <v>255.6</v>
      </c>
      <c r="K1091" s="4">
        <v>169.19</v>
      </c>
      <c r="L1091" s="4">
        <v>86.41</v>
      </c>
      <c r="M1091" s="1" t="str">
        <f>TEXT(Table1[[#This Row],[Order_Date]], "MMM")</f>
        <v>Apr</v>
      </c>
      <c r="N1091" s="1">
        <f>YEAR(Table1[[#This Row],[Order_Date]])</f>
        <v>2023</v>
      </c>
      <c r="O1091" s="7">
        <f>Table1[[#This Row],[Profit]]/Table1[[#This Row],[Total_Sales]]</f>
        <v>0.33806729264475743</v>
      </c>
    </row>
    <row r="1092" spans="1:15" x14ac:dyDescent="0.25">
      <c r="A1092" s="1">
        <v>1091</v>
      </c>
      <c r="B1092" s="2">
        <v>45297</v>
      </c>
      <c r="C1092" s="1" t="s">
        <v>16</v>
      </c>
      <c r="D1092" s="1" t="s">
        <v>22</v>
      </c>
      <c r="E1092" s="1" t="s">
        <v>29</v>
      </c>
      <c r="F1092" s="1" t="s">
        <v>31</v>
      </c>
      <c r="G1092" s="1">
        <v>10</v>
      </c>
      <c r="H1092" s="1">
        <v>390</v>
      </c>
      <c r="I1092" s="1">
        <v>15</v>
      </c>
      <c r="J1092" s="4">
        <v>3315</v>
      </c>
      <c r="K1092" s="4">
        <v>2619.2600000000002</v>
      </c>
      <c r="L1092" s="4">
        <v>695.74</v>
      </c>
      <c r="M1092" s="1" t="str">
        <f>TEXT(Table1[[#This Row],[Order_Date]], "MMM")</f>
        <v>Jan</v>
      </c>
      <c r="N1092" s="1">
        <f>YEAR(Table1[[#This Row],[Order_Date]])</f>
        <v>2024</v>
      </c>
      <c r="O1092" s="7">
        <f>Table1[[#This Row],[Profit]]/Table1[[#This Row],[Total_Sales]]</f>
        <v>0.20987631975867271</v>
      </c>
    </row>
    <row r="1093" spans="1:15" x14ac:dyDescent="0.25">
      <c r="A1093" s="1">
        <v>1092</v>
      </c>
      <c r="B1093" s="2">
        <v>45145</v>
      </c>
      <c r="C1093" s="1" t="s">
        <v>12</v>
      </c>
      <c r="D1093" s="1" t="s">
        <v>32</v>
      </c>
      <c r="E1093" s="1" t="s">
        <v>33</v>
      </c>
      <c r="F1093" s="1" t="s">
        <v>18</v>
      </c>
      <c r="G1093" s="1">
        <v>4</v>
      </c>
      <c r="H1093" s="1">
        <v>546</v>
      </c>
      <c r="I1093" s="1">
        <v>20</v>
      </c>
      <c r="J1093" s="4">
        <v>1747.2</v>
      </c>
      <c r="K1093" s="4">
        <v>1193.53</v>
      </c>
      <c r="L1093" s="4">
        <v>553.66999999999996</v>
      </c>
      <c r="M1093" s="1" t="str">
        <f>TEXT(Table1[[#This Row],[Order_Date]], "MMM")</f>
        <v>Aug</v>
      </c>
      <c r="N1093" s="1">
        <f>YEAR(Table1[[#This Row],[Order_Date]])</f>
        <v>2023</v>
      </c>
      <c r="O1093" s="7">
        <f>Table1[[#This Row],[Profit]]/Table1[[#This Row],[Total_Sales]]</f>
        <v>0.31688988095238091</v>
      </c>
    </row>
    <row r="1094" spans="1:15" x14ac:dyDescent="0.25">
      <c r="A1094" s="1">
        <v>1093</v>
      </c>
      <c r="B1094" s="2">
        <v>45140</v>
      </c>
      <c r="C1094" s="1" t="s">
        <v>25</v>
      </c>
      <c r="D1094" s="1" t="s">
        <v>26</v>
      </c>
      <c r="E1094" s="1" t="s">
        <v>46</v>
      </c>
      <c r="F1094" s="1" t="s">
        <v>18</v>
      </c>
      <c r="G1094" s="1">
        <v>7</v>
      </c>
      <c r="H1094" s="1">
        <v>91</v>
      </c>
      <c r="I1094" s="1">
        <v>5</v>
      </c>
      <c r="J1094" s="4">
        <v>605.15</v>
      </c>
      <c r="K1094" s="4">
        <v>459.65</v>
      </c>
      <c r="L1094" s="4">
        <v>145.5</v>
      </c>
      <c r="M1094" s="1" t="str">
        <f>TEXT(Table1[[#This Row],[Order_Date]], "MMM")</f>
        <v>Aug</v>
      </c>
      <c r="N1094" s="1">
        <f>YEAR(Table1[[#This Row],[Order_Date]])</f>
        <v>2023</v>
      </c>
      <c r="O1094" s="7">
        <f>Table1[[#This Row],[Profit]]/Table1[[#This Row],[Total_Sales]]</f>
        <v>0.24043625547384948</v>
      </c>
    </row>
    <row r="1095" spans="1:15" x14ac:dyDescent="0.25">
      <c r="A1095" s="1">
        <v>1094</v>
      </c>
      <c r="B1095" s="2">
        <v>44988</v>
      </c>
      <c r="C1095" s="1" t="s">
        <v>19</v>
      </c>
      <c r="D1095" s="1" t="s">
        <v>26</v>
      </c>
      <c r="E1095" s="1" t="s">
        <v>42</v>
      </c>
      <c r="F1095" s="1" t="s">
        <v>31</v>
      </c>
      <c r="G1095" s="1">
        <v>7</v>
      </c>
      <c r="H1095" s="1">
        <v>462</v>
      </c>
      <c r="I1095" s="1">
        <v>20</v>
      </c>
      <c r="J1095" s="4">
        <v>2587.1999999999998</v>
      </c>
      <c r="K1095" s="4">
        <v>1964.4</v>
      </c>
      <c r="L1095" s="4">
        <v>622.79999999999995</v>
      </c>
      <c r="M1095" s="1" t="str">
        <f>TEXT(Table1[[#This Row],[Order_Date]], "MMM")</f>
        <v>Mar</v>
      </c>
      <c r="N1095" s="1">
        <f>YEAR(Table1[[#This Row],[Order_Date]])</f>
        <v>2023</v>
      </c>
      <c r="O1095" s="7">
        <f>Table1[[#This Row],[Profit]]/Table1[[#This Row],[Total_Sales]]</f>
        <v>0.24072356215213359</v>
      </c>
    </row>
    <row r="1096" spans="1:15" x14ac:dyDescent="0.25">
      <c r="A1096" s="1">
        <v>1095</v>
      </c>
      <c r="B1096" s="2">
        <v>45466</v>
      </c>
      <c r="C1096" s="1" t="s">
        <v>19</v>
      </c>
      <c r="D1096" s="1" t="s">
        <v>32</v>
      </c>
      <c r="E1096" s="1" t="s">
        <v>41</v>
      </c>
      <c r="F1096" s="1" t="s">
        <v>31</v>
      </c>
      <c r="G1096" s="1">
        <v>10</v>
      </c>
      <c r="H1096" s="1">
        <v>20</v>
      </c>
      <c r="I1096" s="1">
        <v>5</v>
      </c>
      <c r="J1096" s="4">
        <v>190</v>
      </c>
      <c r="K1096" s="4">
        <v>140.18</v>
      </c>
      <c r="L1096" s="4">
        <v>49.82</v>
      </c>
      <c r="M1096" s="1" t="str">
        <f>TEXT(Table1[[#This Row],[Order_Date]], "MMM")</f>
        <v>Jun</v>
      </c>
      <c r="N1096" s="1">
        <f>YEAR(Table1[[#This Row],[Order_Date]])</f>
        <v>2024</v>
      </c>
      <c r="O1096" s="7">
        <f>Table1[[#This Row],[Profit]]/Table1[[#This Row],[Total_Sales]]</f>
        <v>0.26221052631578945</v>
      </c>
    </row>
    <row r="1097" spans="1:15" x14ac:dyDescent="0.25">
      <c r="A1097" s="1">
        <v>1096</v>
      </c>
      <c r="B1097" s="2">
        <v>44979</v>
      </c>
      <c r="C1097" s="1" t="s">
        <v>16</v>
      </c>
      <c r="D1097" s="1" t="s">
        <v>20</v>
      </c>
      <c r="E1097" s="1" t="s">
        <v>43</v>
      </c>
      <c r="F1097" s="1" t="s">
        <v>24</v>
      </c>
      <c r="G1097" s="1">
        <v>2</v>
      </c>
      <c r="H1097" s="1">
        <v>128</v>
      </c>
      <c r="I1097" s="1">
        <v>15</v>
      </c>
      <c r="J1097" s="4">
        <v>217.6</v>
      </c>
      <c r="K1097" s="4">
        <v>154.84</v>
      </c>
      <c r="L1097" s="4">
        <v>62.76</v>
      </c>
      <c r="M1097" s="1" t="str">
        <f>TEXT(Table1[[#This Row],[Order_Date]], "MMM")</f>
        <v>Feb</v>
      </c>
      <c r="N1097" s="1">
        <f>YEAR(Table1[[#This Row],[Order_Date]])</f>
        <v>2023</v>
      </c>
      <c r="O1097" s="7">
        <f>Table1[[#This Row],[Profit]]/Table1[[#This Row],[Total_Sales]]</f>
        <v>0.2884191176470588</v>
      </c>
    </row>
    <row r="1098" spans="1:15" x14ac:dyDescent="0.25">
      <c r="A1098" s="1">
        <v>1097</v>
      </c>
      <c r="B1098" s="2">
        <v>45101</v>
      </c>
      <c r="C1098" s="1" t="s">
        <v>19</v>
      </c>
      <c r="D1098" s="1" t="s">
        <v>20</v>
      </c>
      <c r="E1098" s="1" t="s">
        <v>21</v>
      </c>
      <c r="F1098" s="1" t="s">
        <v>31</v>
      </c>
      <c r="G1098" s="1">
        <v>1</v>
      </c>
      <c r="H1098" s="1">
        <v>124</v>
      </c>
      <c r="I1098" s="1">
        <v>15</v>
      </c>
      <c r="J1098" s="4">
        <v>105.4</v>
      </c>
      <c r="K1098" s="4">
        <v>81.84</v>
      </c>
      <c r="L1098" s="4">
        <v>23.56</v>
      </c>
      <c r="M1098" s="1" t="str">
        <f>TEXT(Table1[[#This Row],[Order_Date]], "MMM")</f>
        <v>Jun</v>
      </c>
      <c r="N1098" s="1">
        <f>YEAR(Table1[[#This Row],[Order_Date]])</f>
        <v>2023</v>
      </c>
      <c r="O1098" s="7">
        <f>Table1[[#This Row],[Profit]]/Table1[[#This Row],[Total_Sales]]</f>
        <v>0.22352941176470587</v>
      </c>
    </row>
    <row r="1099" spans="1:15" x14ac:dyDescent="0.25">
      <c r="A1099" s="1">
        <v>1098</v>
      </c>
      <c r="B1099" s="2">
        <v>44946</v>
      </c>
      <c r="C1099" s="1" t="s">
        <v>12</v>
      </c>
      <c r="D1099" s="1" t="s">
        <v>22</v>
      </c>
      <c r="E1099" s="1" t="s">
        <v>29</v>
      </c>
      <c r="F1099" s="1" t="s">
        <v>31</v>
      </c>
      <c r="G1099" s="1">
        <v>9</v>
      </c>
      <c r="H1099" s="1">
        <v>102</v>
      </c>
      <c r="I1099" s="1">
        <v>20</v>
      </c>
      <c r="J1099" s="4">
        <v>734.4</v>
      </c>
      <c r="K1099" s="4">
        <v>574.70000000000005</v>
      </c>
      <c r="L1099" s="4">
        <v>159.69999999999999</v>
      </c>
      <c r="M1099" s="1" t="str">
        <f>TEXT(Table1[[#This Row],[Order_Date]], "MMM")</f>
        <v>Jan</v>
      </c>
      <c r="N1099" s="1">
        <f>YEAR(Table1[[#This Row],[Order_Date]])</f>
        <v>2023</v>
      </c>
      <c r="O1099" s="7">
        <f>Table1[[#This Row],[Profit]]/Table1[[#This Row],[Total_Sales]]</f>
        <v>0.21745642701525053</v>
      </c>
    </row>
    <row r="1100" spans="1:15" x14ac:dyDescent="0.25">
      <c r="A1100" s="1">
        <v>1099</v>
      </c>
      <c r="B1100" s="2">
        <v>45197</v>
      </c>
      <c r="C1100" s="1" t="s">
        <v>25</v>
      </c>
      <c r="D1100" s="1" t="s">
        <v>20</v>
      </c>
      <c r="E1100" s="1" t="s">
        <v>21</v>
      </c>
      <c r="F1100" s="1" t="s">
        <v>31</v>
      </c>
      <c r="G1100" s="1">
        <v>8</v>
      </c>
      <c r="H1100" s="1">
        <v>502</v>
      </c>
      <c r="I1100" s="1">
        <v>0</v>
      </c>
      <c r="J1100" s="4">
        <v>4016</v>
      </c>
      <c r="K1100" s="4">
        <v>3144.58</v>
      </c>
      <c r="L1100" s="4">
        <v>871.42</v>
      </c>
      <c r="M1100" s="1" t="str">
        <f>TEXT(Table1[[#This Row],[Order_Date]], "MMM")</f>
        <v>Sep</v>
      </c>
      <c r="N1100" s="1">
        <f>YEAR(Table1[[#This Row],[Order_Date]])</f>
        <v>2023</v>
      </c>
      <c r="O1100" s="7">
        <f>Table1[[#This Row],[Profit]]/Table1[[#This Row],[Total_Sales]]</f>
        <v>0.21698705179282868</v>
      </c>
    </row>
    <row r="1101" spans="1:15" x14ac:dyDescent="0.25">
      <c r="A1101" s="1">
        <v>1100</v>
      </c>
      <c r="B1101" s="2">
        <v>45385</v>
      </c>
      <c r="C1101" s="1" t="s">
        <v>12</v>
      </c>
      <c r="D1101" s="1" t="s">
        <v>22</v>
      </c>
      <c r="E1101" s="1" t="s">
        <v>44</v>
      </c>
      <c r="F1101" s="1" t="s">
        <v>18</v>
      </c>
      <c r="G1101" s="1">
        <v>10</v>
      </c>
      <c r="H1101" s="1">
        <v>543</v>
      </c>
      <c r="I1101" s="1">
        <v>20</v>
      </c>
      <c r="J1101" s="4">
        <v>4344</v>
      </c>
      <c r="K1101" s="4">
        <v>3000.05</v>
      </c>
      <c r="L1101" s="4">
        <v>1343.95</v>
      </c>
      <c r="M1101" s="1" t="str">
        <f>TEXT(Table1[[#This Row],[Order_Date]], "MMM")</f>
        <v>Apr</v>
      </c>
      <c r="N1101" s="1">
        <f>YEAR(Table1[[#This Row],[Order_Date]])</f>
        <v>2024</v>
      </c>
      <c r="O1101" s="7">
        <f>Table1[[#This Row],[Profit]]/Table1[[#This Row],[Total_Sales]]</f>
        <v>0.30938075506445673</v>
      </c>
    </row>
    <row r="1102" spans="1:15" x14ac:dyDescent="0.25">
      <c r="A1102" s="1">
        <v>1101</v>
      </c>
      <c r="B1102" s="2">
        <v>44936</v>
      </c>
      <c r="C1102" s="1" t="s">
        <v>12</v>
      </c>
      <c r="D1102" s="1" t="s">
        <v>32</v>
      </c>
      <c r="E1102" s="1" t="s">
        <v>33</v>
      </c>
      <c r="F1102" s="1" t="s">
        <v>24</v>
      </c>
      <c r="G1102" s="1">
        <v>5</v>
      </c>
      <c r="H1102" s="1">
        <v>456</v>
      </c>
      <c r="I1102" s="1">
        <v>15</v>
      </c>
      <c r="J1102" s="4">
        <v>1938</v>
      </c>
      <c r="K1102" s="4">
        <v>1546.62</v>
      </c>
      <c r="L1102" s="4">
        <v>391.38</v>
      </c>
      <c r="M1102" s="1" t="str">
        <f>TEXT(Table1[[#This Row],[Order_Date]], "MMM")</f>
        <v>Jan</v>
      </c>
      <c r="N1102" s="1">
        <f>YEAR(Table1[[#This Row],[Order_Date]])</f>
        <v>2023</v>
      </c>
      <c r="O1102" s="7">
        <f>Table1[[#This Row],[Profit]]/Table1[[#This Row],[Total_Sales]]</f>
        <v>0.20195046439628483</v>
      </c>
    </row>
    <row r="1103" spans="1:15" x14ac:dyDescent="0.25">
      <c r="A1103" s="1">
        <v>1102</v>
      </c>
      <c r="B1103" s="2">
        <v>45550</v>
      </c>
      <c r="C1103" s="1" t="s">
        <v>19</v>
      </c>
      <c r="D1103" s="1" t="s">
        <v>26</v>
      </c>
      <c r="E1103" s="1" t="s">
        <v>27</v>
      </c>
      <c r="F1103" s="1" t="s">
        <v>18</v>
      </c>
      <c r="G1103" s="1">
        <v>10</v>
      </c>
      <c r="H1103" s="1">
        <v>394</v>
      </c>
      <c r="I1103" s="1">
        <v>0</v>
      </c>
      <c r="J1103" s="4">
        <v>3940</v>
      </c>
      <c r="K1103" s="4">
        <v>3012.86</v>
      </c>
      <c r="L1103" s="4">
        <v>927.14</v>
      </c>
      <c r="M1103" s="1" t="str">
        <f>TEXT(Table1[[#This Row],[Order_Date]], "MMM")</f>
        <v>Sep</v>
      </c>
      <c r="N1103" s="1">
        <f>YEAR(Table1[[#This Row],[Order_Date]])</f>
        <v>2024</v>
      </c>
      <c r="O1103" s="7">
        <f>Table1[[#This Row],[Profit]]/Table1[[#This Row],[Total_Sales]]</f>
        <v>0.23531472081218274</v>
      </c>
    </row>
    <row r="1104" spans="1:15" x14ac:dyDescent="0.25">
      <c r="A1104" s="1">
        <v>1103</v>
      </c>
      <c r="B1104" s="2">
        <v>45029</v>
      </c>
      <c r="C1104" s="1" t="s">
        <v>16</v>
      </c>
      <c r="D1104" s="1" t="s">
        <v>26</v>
      </c>
      <c r="E1104" s="1" t="s">
        <v>27</v>
      </c>
      <c r="F1104" s="1" t="s">
        <v>40</v>
      </c>
      <c r="G1104" s="1">
        <v>1</v>
      </c>
      <c r="H1104" s="1">
        <v>941</v>
      </c>
      <c r="I1104" s="1">
        <v>0</v>
      </c>
      <c r="J1104" s="4">
        <v>941</v>
      </c>
      <c r="K1104" s="4">
        <v>738.39</v>
      </c>
      <c r="L1104" s="4">
        <v>202.61</v>
      </c>
      <c r="M1104" s="1" t="str">
        <f>TEXT(Table1[[#This Row],[Order_Date]], "MMM")</f>
        <v>Apr</v>
      </c>
      <c r="N1104" s="1">
        <f>YEAR(Table1[[#This Row],[Order_Date]])</f>
        <v>2023</v>
      </c>
      <c r="O1104" s="7">
        <f>Table1[[#This Row],[Profit]]/Table1[[#This Row],[Total_Sales]]</f>
        <v>0.21531349628055263</v>
      </c>
    </row>
    <row r="1105" spans="1:15" x14ac:dyDescent="0.25">
      <c r="A1105" s="1">
        <v>1104</v>
      </c>
      <c r="B1105" s="2">
        <v>45561</v>
      </c>
      <c r="C1105" s="1" t="s">
        <v>25</v>
      </c>
      <c r="D1105" s="1" t="s">
        <v>26</v>
      </c>
      <c r="E1105" s="1" t="s">
        <v>37</v>
      </c>
      <c r="F1105" s="1" t="s">
        <v>40</v>
      </c>
      <c r="G1105" s="1">
        <v>10</v>
      </c>
      <c r="H1105" s="1">
        <v>372</v>
      </c>
      <c r="I1105" s="1">
        <v>0</v>
      </c>
      <c r="J1105" s="4">
        <v>3720</v>
      </c>
      <c r="K1105" s="4">
        <v>2719.93</v>
      </c>
      <c r="L1105" s="4">
        <v>1000.07</v>
      </c>
      <c r="M1105" s="1" t="str">
        <f>TEXT(Table1[[#This Row],[Order_Date]], "MMM")</f>
        <v>Sep</v>
      </c>
      <c r="N1105" s="1">
        <f>YEAR(Table1[[#This Row],[Order_Date]])</f>
        <v>2024</v>
      </c>
      <c r="O1105" s="7">
        <f>Table1[[#This Row],[Profit]]/Table1[[#This Row],[Total_Sales]]</f>
        <v>0.26883602150537633</v>
      </c>
    </row>
    <row r="1106" spans="1:15" x14ac:dyDescent="0.25">
      <c r="A1106" s="1">
        <v>1105</v>
      </c>
      <c r="B1106" s="2">
        <v>45496</v>
      </c>
      <c r="C1106" s="1" t="s">
        <v>16</v>
      </c>
      <c r="D1106" s="1" t="s">
        <v>20</v>
      </c>
      <c r="E1106" s="1" t="s">
        <v>28</v>
      </c>
      <c r="F1106" s="1" t="s">
        <v>40</v>
      </c>
      <c r="G1106" s="1">
        <v>10</v>
      </c>
      <c r="H1106" s="1">
        <v>438</v>
      </c>
      <c r="I1106" s="1">
        <v>20</v>
      </c>
      <c r="J1106" s="4">
        <v>3504</v>
      </c>
      <c r="K1106" s="4">
        <v>2699.86</v>
      </c>
      <c r="L1106" s="4">
        <v>804.14</v>
      </c>
      <c r="M1106" s="1" t="str">
        <f>TEXT(Table1[[#This Row],[Order_Date]], "MMM")</f>
        <v>Jul</v>
      </c>
      <c r="N1106" s="1">
        <f>YEAR(Table1[[#This Row],[Order_Date]])</f>
        <v>2024</v>
      </c>
      <c r="O1106" s="7">
        <f>Table1[[#This Row],[Profit]]/Table1[[#This Row],[Total_Sales]]</f>
        <v>0.2294920091324201</v>
      </c>
    </row>
    <row r="1107" spans="1:15" x14ac:dyDescent="0.25">
      <c r="A1107" s="1">
        <v>1106</v>
      </c>
      <c r="B1107" s="2">
        <v>45576</v>
      </c>
      <c r="C1107" s="1" t="s">
        <v>19</v>
      </c>
      <c r="D1107" s="1" t="s">
        <v>32</v>
      </c>
      <c r="E1107" s="1" t="s">
        <v>34</v>
      </c>
      <c r="F1107" s="1" t="s">
        <v>40</v>
      </c>
      <c r="G1107" s="1">
        <v>1</v>
      </c>
      <c r="H1107" s="1">
        <v>886</v>
      </c>
      <c r="I1107" s="1">
        <v>5</v>
      </c>
      <c r="J1107" s="4">
        <v>841.7</v>
      </c>
      <c r="K1107" s="4">
        <v>658</v>
      </c>
      <c r="L1107" s="4">
        <v>183.7</v>
      </c>
      <c r="M1107" s="1" t="str">
        <f>TEXT(Table1[[#This Row],[Order_Date]], "MMM")</f>
        <v>Oct</v>
      </c>
      <c r="N1107" s="1">
        <f>YEAR(Table1[[#This Row],[Order_Date]])</f>
        <v>2024</v>
      </c>
      <c r="O1107" s="7">
        <f>Table1[[#This Row],[Profit]]/Table1[[#This Row],[Total_Sales]]</f>
        <v>0.21824878222644645</v>
      </c>
    </row>
    <row r="1108" spans="1:15" x14ac:dyDescent="0.25">
      <c r="A1108" s="1">
        <v>1107</v>
      </c>
      <c r="B1108" s="2">
        <v>44973</v>
      </c>
      <c r="C1108" s="1" t="s">
        <v>19</v>
      </c>
      <c r="D1108" s="1" t="s">
        <v>32</v>
      </c>
      <c r="E1108" s="1" t="s">
        <v>34</v>
      </c>
      <c r="F1108" s="1" t="s">
        <v>35</v>
      </c>
      <c r="G1108" s="1">
        <v>10</v>
      </c>
      <c r="H1108" s="1">
        <v>65</v>
      </c>
      <c r="I1108" s="1">
        <v>5</v>
      </c>
      <c r="J1108" s="4">
        <v>617.5</v>
      </c>
      <c r="K1108" s="4">
        <v>402.87</v>
      </c>
      <c r="L1108" s="4">
        <v>214.63</v>
      </c>
      <c r="M1108" s="1" t="str">
        <f>TEXT(Table1[[#This Row],[Order_Date]], "MMM")</f>
        <v>Feb</v>
      </c>
      <c r="N1108" s="1">
        <f>YEAR(Table1[[#This Row],[Order_Date]])</f>
        <v>2023</v>
      </c>
      <c r="O1108" s="7">
        <f>Table1[[#This Row],[Profit]]/Table1[[#This Row],[Total_Sales]]</f>
        <v>0.34757894736842104</v>
      </c>
    </row>
    <row r="1109" spans="1:15" x14ac:dyDescent="0.25">
      <c r="A1109" s="1">
        <v>1108</v>
      </c>
      <c r="B1109" s="2">
        <v>45501</v>
      </c>
      <c r="C1109" s="1" t="s">
        <v>25</v>
      </c>
      <c r="D1109" s="1" t="s">
        <v>20</v>
      </c>
      <c r="E1109" s="1" t="s">
        <v>21</v>
      </c>
      <c r="F1109" s="1" t="s">
        <v>35</v>
      </c>
      <c r="G1109" s="1">
        <v>6</v>
      </c>
      <c r="H1109" s="1">
        <v>580</v>
      </c>
      <c r="I1109" s="1">
        <v>10</v>
      </c>
      <c r="J1109" s="4">
        <v>3132</v>
      </c>
      <c r="K1109" s="4">
        <v>2490.0300000000002</v>
      </c>
      <c r="L1109" s="4">
        <v>641.97</v>
      </c>
      <c r="M1109" s="1" t="str">
        <f>TEXT(Table1[[#This Row],[Order_Date]], "MMM")</f>
        <v>Jul</v>
      </c>
      <c r="N1109" s="1">
        <f>YEAR(Table1[[#This Row],[Order_Date]])</f>
        <v>2024</v>
      </c>
      <c r="O1109" s="7">
        <f>Table1[[#This Row],[Profit]]/Table1[[#This Row],[Total_Sales]]</f>
        <v>0.2049712643678161</v>
      </c>
    </row>
    <row r="1110" spans="1:15" x14ac:dyDescent="0.25">
      <c r="A1110" s="1">
        <v>1109</v>
      </c>
      <c r="B1110" s="2">
        <v>45136</v>
      </c>
      <c r="C1110" s="1" t="s">
        <v>12</v>
      </c>
      <c r="D1110" s="1" t="s">
        <v>22</v>
      </c>
      <c r="E1110" s="1" t="s">
        <v>44</v>
      </c>
      <c r="F1110" s="1" t="s">
        <v>35</v>
      </c>
      <c r="G1110" s="1">
        <v>5</v>
      </c>
      <c r="H1110" s="1">
        <v>392</v>
      </c>
      <c r="I1110" s="1">
        <v>5</v>
      </c>
      <c r="J1110" s="4">
        <v>1862</v>
      </c>
      <c r="K1110" s="4">
        <v>1002.34</v>
      </c>
      <c r="L1110" s="4">
        <v>859.66</v>
      </c>
      <c r="M1110" s="1" t="str">
        <f>TEXT(Table1[[#This Row],[Order_Date]], "MMM")</f>
        <v>Jul</v>
      </c>
      <c r="N1110" s="1">
        <f>YEAR(Table1[[#This Row],[Order_Date]])</f>
        <v>2023</v>
      </c>
      <c r="O1110" s="7">
        <f>Table1[[#This Row],[Profit]]/Table1[[#This Row],[Total_Sales]]</f>
        <v>0.46168635875402791</v>
      </c>
    </row>
    <row r="1111" spans="1:15" x14ac:dyDescent="0.25">
      <c r="A1111" s="1">
        <v>1110</v>
      </c>
      <c r="B1111" s="2">
        <v>44968</v>
      </c>
      <c r="C1111" s="1" t="s">
        <v>25</v>
      </c>
      <c r="D1111" s="1" t="s">
        <v>13</v>
      </c>
      <c r="E1111" s="1" t="s">
        <v>17</v>
      </c>
      <c r="F1111" s="1" t="s">
        <v>15</v>
      </c>
      <c r="G1111" s="1">
        <v>1</v>
      </c>
      <c r="H1111" s="1">
        <v>221</v>
      </c>
      <c r="I1111" s="1">
        <v>15</v>
      </c>
      <c r="J1111" s="4">
        <v>187.85</v>
      </c>
      <c r="K1111" s="4">
        <v>94.24</v>
      </c>
      <c r="L1111" s="4">
        <v>93.61</v>
      </c>
      <c r="M1111" s="1" t="str">
        <f>TEXT(Table1[[#This Row],[Order_Date]], "MMM")</f>
        <v>Feb</v>
      </c>
      <c r="N1111" s="1">
        <f>YEAR(Table1[[#This Row],[Order_Date]])</f>
        <v>2023</v>
      </c>
      <c r="O1111" s="7">
        <f>Table1[[#This Row],[Profit]]/Table1[[#This Row],[Total_Sales]]</f>
        <v>0.49832313015704022</v>
      </c>
    </row>
    <row r="1112" spans="1:15" x14ac:dyDescent="0.25">
      <c r="A1112" s="1">
        <v>1111</v>
      </c>
      <c r="B1112" s="2">
        <v>45299</v>
      </c>
      <c r="C1112" s="1" t="s">
        <v>25</v>
      </c>
      <c r="D1112" s="1" t="s">
        <v>22</v>
      </c>
      <c r="E1112" s="1" t="s">
        <v>29</v>
      </c>
      <c r="F1112" s="1" t="s">
        <v>15</v>
      </c>
      <c r="G1112" s="1">
        <v>9</v>
      </c>
      <c r="H1112" s="1">
        <v>503</v>
      </c>
      <c r="I1112" s="1">
        <v>20</v>
      </c>
      <c r="J1112" s="4">
        <v>3621.6</v>
      </c>
      <c r="K1112" s="4">
        <v>2891.63</v>
      </c>
      <c r="L1112" s="4">
        <v>729.97</v>
      </c>
      <c r="M1112" s="1" t="str">
        <f>TEXT(Table1[[#This Row],[Order_Date]], "MMM")</f>
        <v>Jan</v>
      </c>
      <c r="N1112" s="1">
        <f>YEAR(Table1[[#This Row],[Order_Date]])</f>
        <v>2024</v>
      </c>
      <c r="O1112" s="7">
        <f>Table1[[#This Row],[Profit]]/Table1[[#This Row],[Total_Sales]]</f>
        <v>0.20156008394079966</v>
      </c>
    </row>
    <row r="1113" spans="1:15" x14ac:dyDescent="0.25">
      <c r="A1113" s="1">
        <v>1112</v>
      </c>
      <c r="B1113" s="2">
        <v>45020</v>
      </c>
      <c r="C1113" s="1" t="s">
        <v>19</v>
      </c>
      <c r="D1113" s="1" t="s">
        <v>32</v>
      </c>
      <c r="E1113" s="1" t="s">
        <v>41</v>
      </c>
      <c r="F1113" s="1" t="s">
        <v>24</v>
      </c>
      <c r="G1113" s="1">
        <v>10</v>
      </c>
      <c r="H1113" s="1">
        <v>859</v>
      </c>
      <c r="I1113" s="1">
        <v>20</v>
      </c>
      <c r="J1113" s="4">
        <v>6872</v>
      </c>
      <c r="K1113" s="4">
        <v>4588.16</v>
      </c>
      <c r="L1113" s="4">
        <v>2283.84</v>
      </c>
      <c r="M1113" s="1" t="str">
        <f>TEXT(Table1[[#This Row],[Order_Date]], "MMM")</f>
        <v>Apr</v>
      </c>
      <c r="N1113" s="1">
        <f>YEAR(Table1[[#This Row],[Order_Date]])</f>
        <v>2023</v>
      </c>
      <c r="O1113" s="7">
        <f>Table1[[#This Row],[Profit]]/Table1[[#This Row],[Total_Sales]]</f>
        <v>0.33233993015133878</v>
      </c>
    </row>
    <row r="1114" spans="1:15" x14ac:dyDescent="0.25">
      <c r="A1114" s="1">
        <v>1113</v>
      </c>
      <c r="B1114" s="2">
        <v>45353</v>
      </c>
      <c r="C1114" s="1" t="s">
        <v>19</v>
      </c>
      <c r="D1114" s="1" t="s">
        <v>32</v>
      </c>
      <c r="E1114" s="1" t="s">
        <v>33</v>
      </c>
      <c r="F1114" s="1" t="s">
        <v>35</v>
      </c>
      <c r="G1114" s="1">
        <v>6</v>
      </c>
      <c r="H1114" s="1">
        <v>512</v>
      </c>
      <c r="I1114" s="1">
        <v>15</v>
      </c>
      <c r="J1114" s="4">
        <v>2611.1999999999998</v>
      </c>
      <c r="K1114" s="4">
        <v>1871.98</v>
      </c>
      <c r="L1114" s="4">
        <v>739.22</v>
      </c>
      <c r="M1114" s="1" t="str">
        <f>TEXT(Table1[[#This Row],[Order_Date]], "MMM")</f>
        <v>Mar</v>
      </c>
      <c r="N1114" s="1">
        <f>YEAR(Table1[[#This Row],[Order_Date]])</f>
        <v>2024</v>
      </c>
      <c r="O1114" s="7">
        <f>Table1[[#This Row],[Profit]]/Table1[[#This Row],[Total_Sales]]</f>
        <v>0.28309589460784318</v>
      </c>
    </row>
    <row r="1115" spans="1:15" x14ac:dyDescent="0.25">
      <c r="A1115" s="1">
        <v>1114</v>
      </c>
      <c r="B1115" s="2">
        <v>45103</v>
      </c>
      <c r="C1115" s="1" t="s">
        <v>25</v>
      </c>
      <c r="D1115" s="1" t="s">
        <v>20</v>
      </c>
      <c r="E1115" s="1" t="s">
        <v>30</v>
      </c>
      <c r="F1115" s="1" t="s">
        <v>15</v>
      </c>
      <c r="G1115" s="1">
        <v>4</v>
      </c>
      <c r="H1115" s="1">
        <v>160</v>
      </c>
      <c r="I1115" s="1">
        <v>20</v>
      </c>
      <c r="J1115" s="4">
        <v>512</v>
      </c>
      <c r="K1115" s="4">
        <v>275.22000000000003</v>
      </c>
      <c r="L1115" s="4">
        <v>236.78</v>
      </c>
      <c r="M1115" s="1" t="str">
        <f>TEXT(Table1[[#This Row],[Order_Date]], "MMM")</f>
        <v>Jun</v>
      </c>
      <c r="N1115" s="1">
        <f>YEAR(Table1[[#This Row],[Order_Date]])</f>
        <v>2023</v>
      </c>
      <c r="O1115" s="7">
        <f>Table1[[#This Row],[Profit]]/Table1[[#This Row],[Total_Sales]]</f>
        <v>0.4624609375</v>
      </c>
    </row>
    <row r="1116" spans="1:15" x14ac:dyDescent="0.25">
      <c r="A1116" s="1">
        <v>1115</v>
      </c>
      <c r="B1116" s="2">
        <v>45264</v>
      </c>
      <c r="C1116" s="1" t="s">
        <v>16</v>
      </c>
      <c r="D1116" s="1" t="s">
        <v>13</v>
      </c>
      <c r="E1116" s="1" t="s">
        <v>17</v>
      </c>
      <c r="F1116" s="1" t="s">
        <v>40</v>
      </c>
      <c r="G1116" s="1">
        <v>10</v>
      </c>
      <c r="H1116" s="1">
        <v>195</v>
      </c>
      <c r="I1116" s="1">
        <v>15</v>
      </c>
      <c r="J1116" s="4">
        <v>1657.5</v>
      </c>
      <c r="K1116" s="4">
        <v>1047.0999999999999</v>
      </c>
      <c r="L1116" s="4">
        <v>610.4</v>
      </c>
      <c r="M1116" s="1" t="str">
        <f>TEXT(Table1[[#This Row],[Order_Date]], "MMM")</f>
        <v>Dec</v>
      </c>
      <c r="N1116" s="1">
        <f>YEAR(Table1[[#This Row],[Order_Date]])</f>
        <v>2023</v>
      </c>
      <c r="O1116" s="7">
        <f>Table1[[#This Row],[Profit]]/Table1[[#This Row],[Total_Sales]]</f>
        <v>0.36826546003016591</v>
      </c>
    </row>
    <row r="1117" spans="1:15" x14ac:dyDescent="0.25">
      <c r="A1117" s="1">
        <v>1116</v>
      </c>
      <c r="B1117" s="2">
        <v>44996</v>
      </c>
      <c r="C1117" s="1" t="s">
        <v>12</v>
      </c>
      <c r="D1117" s="1" t="s">
        <v>20</v>
      </c>
      <c r="E1117" s="1" t="s">
        <v>43</v>
      </c>
      <c r="F1117" s="1" t="s">
        <v>18</v>
      </c>
      <c r="G1117" s="1">
        <v>1</v>
      </c>
      <c r="H1117" s="1">
        <v>842</v>
      </c>
      <c r="I1117" s="1">
        <v>10</v>
      </c>
      <c r="J1117" s="4">
        <v>757.8</v>
      </c>
      <c r="K1117" s="4">
        <v>501.51</v>
      </c>
      <c r="L1117" s="4">
        <v>256.29000000000002</v>
      </c>
      <c r="M1117" s="1" t="str">
        <f>TEXT(Table1[[#This Row],[Order_Date]], "MMM")</f>
        <v>Mar</v>
      </c>
      <c r="N1117" s="1">
        <f>YEAR(Table1[[#This Row],[Order_Date]])</f>
        <v>2023</v>
      </c>
      <c r="O1117" s="7">
        <f>Table1[[#This Row],[Profit]]/Table1[[#This Row],[Total_Sales]]</f>
        <v>0.3382026920031671</v>
      </c>
    </row>
    <row r="1118" spans="1:15" x14ac:dyDescent="0.25">
      <c r="A1118" s="1">
        <v>1117</v>
      </c>
      <c r="B1118" s="2">
        <v>45379</v>
      </c>
      <c r="C1118" s="1" t="s">
        <v>19</v>
      </c>
      <c r="D1118" s="1" t="s">
        <v>13</v>
      </c>
      <c r="E1118" s="1" t="s">
        <v>17</v>
      </c>
      <c r="F1118" s="1" t="s">
        <v>35</v>
      </c>
      <c r="G1118" s="1">
        <v>5</v>
      </c>
      <c r="H1118" s="1">
        <v>92</v>
      </c>
      <c r="I1118" s="1">
        <v>0</v>
      </c>
      <c r="J1118" s="4">
        <v>460</v>
      </c>
      <c r="K1118" s="4">
        <v>340.85</v>
      </c>
      <c r="L1118" s="4">
        <v>119.15</v>
      </c>
      <c r="M1118" s="1" t="str">
        <f>TEXT(Table1[[#This Row],[Order_Date]], "MMM")</f>
        <v>Mar</v>
      </c>
      <c r="N1118" s="1">
        <f>YEAR(Table1[[#This Row],[Order_Date]])</f>
        <v>2024</v>
      </c>
      <c r="O1118" s="7">
        <f>Table1[[#This Row],[Profit]]/Table1[[#This Row],[Total_Sales]]</f>
        <v>0.2590217391304348</v>
      </c>
    </row>
    <row r="1119" spans="1:15" x14ac:dyDescent="0.25">
      <c r="A1119" s="1">
        <v>1118</v>
      </c>
      <c r="B1119" s="2">
        <v>45341</v>
      </c>
      <c r="C1119" s="1" t="s">
        <v>16</v>
      </c>
      <c r="D1119" s="1" t="s">
        <v>22</v>
      </c>
      <c r="E1119" s="1" t="s">
        <v>44</v>
      </c>
      <c r="F1119" s="1" t="s">
        <v>40</v>
      </c>
      <c r="G1119" s="1">
        <v>1</v>
      </c>
      <c r="H1119" s="1">
        <v>936</v>
      </c>
      <c r="I1119" s="1">
        <v>20</v>
      </c>
      <c r="J1119" s="4">
        <v>748.8</v>
      </c>
      <c r="K1119" s="4">
        <v>532.62</v>
      </c>
      <c r="L1119" s="4">
        <v>216.18</v>
      </c>
      <c r="M1119" s="1" t="str">
        <f>TEXT(Table1[[#This Row],[Order_Date]], "MMM")</f>
        <v>Feb</v>
      </c>
      <c r="N1119" s="1">
        <f>YEAR(Table1[[#This Row],[Order_Date]])</f>
        <v>2024</v>
      </c>
      <c r="O1119" s="7">
        <f>Table1[[#This Row],[Profit]]/Table1[[#This Row],[Total_Sales]]</f>
        <v>0.28870192307692311</v>
      </c>
    </row>
    <row r="1120" spans="1:15" x14ac:dyDescent="0.25">
      <c r="A1120" s="1">
        <v>1119</v>
      </c>
      <c r="B1120" s="2">
        <v>45357</v>
      </c>
      <c r="C1120" s="1" t="s">
        <v>25</v>
      </c>
      <c r="D1120" s="1" t="s">
        <v>26</v>
      </c>
      <c r="E1120" s="1" t="s">
        <v>42</v>
      </c>
      <c r="F1120" s="1" t="s">
        <v>31</v>
      </c>
      <c r="G1120" s="1">
        <v>3</v>
      </c>
      <c r="H1120" s="1">
        <v>587</v>
      </c>
      <c r="I1120" s="1">
        <v>0</v>
      </c>
      <c r="J1120" s="4">
        <v>1761</v>
      </c>
      <c r="K1120" s="4">
        <v>1379.19</v>
      </c>
      <c r="L1120" s="4">
        <v>381.81</v>
      </c>
      <c r="M1120" s="1" t="str">
        <f>TEXT(Table1[[#This Row],[Order_Date]], "MMM")</f>
        <v>Mar</v>
      </c>
      <c r="N1120" s="1">
        <f>YEAR(Table1[[#This Row],[Order_Date]])</f>
        <v>2024</v>
      </c>
      <c r="O1120" s="7">
        <f>Table1[[#This Row],[Profit]]/Table1[[#This Row],[Total_Sales]]</f>
        <v>0.21681431005110732</v>
      </c>
    </row>
    <row r="1121" spans="1:15" x14ac:dyDescent="0.25">
      <c r="A1121" s="1">
        <v>1120</v>
      </c>
      <c r="B1121" s="2">
        <v>44935</v>
      </c>
      <c r="C1121" s="1" t="s">
        <v>25</v>
      </c>
      <c r="D1121" s="1" t="s">
        <v>22</v>
      </c>
      <c r="E1121" s="1" t="s">
        <v>23</v>
      </c>
      <c r="F1121" s="1" t="s">
        <v>40</v>
      </c>
      <c r="G1121" s="1">
        <v>3</v>
      </c>
      <c r="H1121" s="1">
        <v>819</v>
      </c>
      <c r="I1121" s="1">
        <v>20</v>
      </c>
      <c r="J1121" s="4">
        <v>1965.6</v>
      </c>
      <c r="K1121" s="4">
        <v>1492.98</v>
      </c>
      <c r="L1121" s="4">
        <v>472.62</v>
      </c>
      <c r="M1121" s="1" t="str">
        <f>TEXT(Table1[[#This Row],[Order_Date]], "MMM")</f>
        <v>Jan</v>
      </c>
      <c r="N1121" s="1">
        <f>YEAR(Table1[[#This Row],[Order_Date]])</f>
        <v>2023</v>
      </c>
      <c r="O1121" s="7">
        <f>Table1[[#This Row],[Profit]]/Table1[[#This Row],[Total_Sales]]</f>
        <v>0.24044566544566545</v>
      </c>
    </row>
    <row r="1122" spans="1:15" x14ac:dyDescent="0.25">
      <c r="A1122" s="1">
        <v>1121</v>
      </c>
      <c r="B1122" s="2">
        <v>45152</v>
      </c>
      <c r="C1122" s="1" t="s">
        <v>16</v>
      </c>
      <c r="D1122" s="1" t="s">
        <v>32</v>
      </c>
      <c r="E1122" s="1" t="s">
        <v>41</v>
      </c>
      <c r="F1122" s="1" t="s">
        <v>24</v>
      </c>
      <c r="G1122" s="1">
        <v>2</v>
      </c>
      <c r="H1122" s="1">
        <v>772</v>
      </c>
      <c r="I1122" s="1">
        <v>0</v>
      </c>
      <c r="J1122" s="4">
        <v>1544</v>
      </c>
      <c r="K1122" s="4">
        <v>1125.29</v>
      </c>
      <c r="L1122" s="4">
        <v>418.71</v>
      </c>
      <c r="M1122" s="1" t="str">
        <f>TEXT(Table1[[#This Row],[Order_Date]], "MMM")</f>
        <v>Aug</v>
      </c>
      <c r="N1122" s="1">
        <f>YEAR(Table1[[#This Row],[Order_Date]])</f>
        <v>2023</v>
      </c>
      <c r="O1122" s="7">
        <f>Table1[[#This Row],[Profit]]/Table1[[#This Row],[Total_Sales]]</f>
        <v>0.27118523316062176</v>
      </c>
    </row>
    <row r="1123" spans="1:15" x14ac:dyDescent="0.25">
      <c r="A1123" s="1">
        <v>1122</v>
      </c>
      <c r="B1123" s="2">
        <v>44988</v>
      </c>
      <c r="C1123" s="1" t="s">
        <v>25</v>
      </c>
      <c r="D1123" s="1" t="s">
        <v>20</v>
      </c>
      <c r="E1123" s="1" t="s">
        <v>28</v>
      </c>
      <c r="F1123" s="1" t="s">
        <v>15</v>
      </c>
      <c r="G1123" s="1">
        <v>1</v>
      </c>
      <c r="H1123" s="1">
        <v>759</v>
      </c>
      <c r="I1123" s="1">
        <v>15</v>
      </c>
      <c r="J1123" s="4">
        <v>645.15</v>
      </c>
      <c r="K1123" s="4">
        <v>375.35</v>
      </c>
      <c r="L1123" s="4">
        <v>269.8</v>
      </c>
      <c r="M1123" s="1" t="str">
        <f>TEXT(Table1[[#This Row],[Order_Date]], "MMM")</f>
        <v>Mar</v>
      </c>
      <c r="N1123" s="1">
        <f>YEAR(Table1[[#This Row],[Order_Date]])</f>
        <v>2023</v>
      </c>
      <c r="O1123" s="7">
        <f>Table1[[#This Row],[Profit]]/Table1[[#This Row],[Total_Sales]]</f>
        <v>0.41819731845307295</v>
      </c>
    </row>
    <row r="1124" spans="1:15" x14ac:dyDescent="0.25">
      <c r="A1124" s="1">
        <v>1123</v>
      </c>
      <c r="B1124" s="2">
        <v>45441</v>
      </c>
      <c r="C1124" s="1" t="s">
        <v>16</v>
      </c>
      <c r="D1124" s="1" t="s">
        <v>20</v>
      </c>
      <c r="E1124" s="1" t="s">
        <v>43</v>
      </c>
      <c r="F1124" s="1" t="s">
        <v>40</v>
      </c>
      <c r="G1124" s="1">
        <v>6</v>
      </c>
      <c r="H1124" s="1">
        <v>614</v>
      </c>
      <c r="I1124" s="1">
        <v>15</v>
      </c>
      <c r="J1124" s="4">
        <v>3131.4</v>
      </c>
      <c r="K1124" s="4">
        <v>1713.66</v>
      </c>
      <c r="L1124" s="4">
        <v>1417.74</v>
      </c>
      <c r="M1124" s="1" t="str">
        <f>TEXT(Table1[[#This Row],[Order_Date]], "MMM")</f>
        <v>May</v>
      </c>
      <c r="N1124" s="1">
        <f>YEAR(Table1[[#This Row],[Order_Date]])</f>
        <v>2024</v>
      </c>
      <c r="O1124" s="7">
        <f>Table1[[#This Row],[Profit]]/Table1[[#This Row],[Total_Sales]]</f>
        <v>0.45274956888292778</v>
      </c>
    </row>
    <row r="1125" spans="1:15" x14ac:dyDescent="0.25">
      <c r="A1125" s="1">
        <v>1124</v>
      </c>
      <c r="B1125" s="2">
        <v>45408</v>
      </c>
      <c r="C1125" s="1" t="s">
        <v>25</v>
      </c>
      <c r="D1125" s="1" t="s">
        <v>32</v>
      </c>
      <c r="E1125" s="1" t="s">
        <v>45</v>
      </c>
      <c r="F1125" s="1" t="s">
        <v>31</v>
      </c>
      <c r="G1125" s="1">
        <v>1</v>
      </c>
      <c r="H1125" s="1">
        <v>741</v>
      </c>
      <c r="I1125" s="1">
        <v>10</v>
      </c>
      <c r="J1125" s="4">
        <v>666.9</v>
      </c>
      <c r="K1125" s="4">
        <v>515.30999999999995</v>
      </c>
      <c r="L1125" s="4">
        <v>151.59</v>
      </c>
      <c r="M1125" s="1" t="str">
        <f>TEXT(Table1[[#This Row],[Order_Date]], "MMM")</f>
        <v>Apr</v>
      </c>
      <c r="N1125" s="1">
        <f>YEAR(Table1[[#This Row],[Order_Date]])</f>
        <v>2024</v>
      </c>
      <c r="O1125" s="7">
        <f>Table1[[#This Row],[Profit]]/Table1[[#This Row],[Total_Sales]]</f>
        <v>0.22730544309491679</v>
      </c>
    </row>
    <row r="1126" spans="1:15" x14ac:dyDescent="0.25">
      <c r="A1126" s="1">
        <v>1125</v>
      </c>
      <c r="B1126" s="2">
        <v>45347</v>
      </c>
      <c r="C1126" s="1" t="s">
        <v>12</v>
      </c>
      <c r="D1126" s="1" t="s">
        <v>26</v>
      </c>
      <c r="E1126" s="1" t="s">
        <v>46</v>
      </c>
      <c r="F1126" s="1" t="s">
        <v>18</v>
      </c>
      <c r="G1126" s="1">
        <v>3</v>
      </c>
      <c r="H1126" s="1">
        <v>63</v>
      </c>
      <c r="I1126" s="1">
        <v>10</v>
      </c>
      <c r="J1126" s="4">
        <v>170.1</v>
      </c>
      <c r="K1126" s="4">
        <v>89.86</v>
      </c>
      <c r="L1126" s="4">
        <v>80.239999999999995</v>
      </c>
      <c r="M1126" s="1" t="str">
        <f>TEXT(Table1[[#This Row],[Order_Date]], "MMM")</f>
        <v>Feb</v>
      </c>
      <c r="N1126" s="1">
        <f>YEAR(Table1[[#This Row],[Order_Date]])</f>
        <v>2024</v>
      </c>
      <c r="O1126" s="7">
        <f>Table1[[#This Row],[Profit]]/Table1[[#This Row],[Total_Sales]]</f>
        <v>0.47172251616696059</v>
      </c>
    </row>
    <row r="1127" spans="1:15" x14ac:dyDescent="0.25">
      <c r="A1127" s="1">
        <v>1126</v>
      </c>
      <c r="B1127" s="2">
        <v>45423</v>
      </c>
      <c r="C1127" s="1" t="s">
        <v>19</v>
      </c>
      <c r="D1127" s="1" t="s">
        <v>13</v>
      </c>
      <c r="E1127" s="1" t="s">
        <v>38</v>
      </c>
      <c r="F1127" s="1" t="s">
        <v>31</v>
      </c>
      <c r="G1127" s="1">
        <v>9</v>
      </c>
      <c r="H1127" s="1">
        <v>217</v>
      </c>
      <c r="I1127" s="1">
        <v>0</v>
      </c>
      <c r="J1127" s="4">
        <v>1953</v>
      </c>
      <c r="K1127" s="4">
        <v>1284.95</v>
      </c>
      <c r="L1127" s="4">
        <v>668.05</v>
      </c>
      <c r="M1127" s="1" t="str">
        <f>TEXT(Table1[[#This Row],[Order_Date]], "MMM")</f>
        <v>May</v>
      </c>
      <c r="N1127" s="1">
        <f>YEAR(Table1[[#This Row],[Order_Date]])</f>
        <v>2024</v>
      </c>
      <c r="O1127" s="7">
        <f>Table1[[#This Row],[Profit]]/Table1[[#This Row],[Total_Sales]]</f>
        <v>0.34206349206349201</v>
      </c>
    </row>
    <row r="1128" spans="1:15" x14ac:dyDescent="0.25">
      <c r="A1128" s="1">
        <v>1127</v>
      </c>
      <c r="B1128" s="2">
        <v>45538</v>
      </c>
      <c r="C1128" s="1" t="s">
        <v>16</v>
      </c>
      <c r="D1128" s="1" t="s">
        <v>20</v>
      </c>
      <c r="E1128" s="1" t="s">
        <v>28</v>
      </c>
      <c r="F1128" s="1" t="s">
        <v>18</v>
      </c>
      <c r="G1128" s="1">
        <v>2</v>
      </c>
      <c r="H1128" s="1">
        <v>482</v>
      </c>
      <c r="I1128" s="1">
        <v>0</v>
      </c>
      <c r="J1128" s="4">
        <v>964</v>
      </c>
      <c r="K1128" s="4">
        <v>622.77</v>
      </c>
      <c r="L1128" s="4">
        <v>341.23</v>
      </c>
      <c r="M1128" s="1" t="str">
        <f>TEXT(Table1[[#This Row],[Order_Date]], "MMM")</f>
        <v>Sep</v>
      </c>
      <c r="N1128" s="1">
        <f>YEAR(Table1[[#This Row],[Order_Date]])</f>
        <v>2024</v>
      </c>
      <c r="O1128" s="7">
        <f>Table1[[#This Row],[Profit]]/Table1[[#This Row],[Total_Sales]]</f>
        <v>0.35397302904564315</v>
      </c>
    </row>
    <row r="1129" spans="1:15" x14ac:dyDescent="0.25">
      <c r="A1129" s="1">
        <v>1128</v>
      </c>
      <c r="B1129" s="2">
        <v>45081</v>
      </c>
      <c r="C1129" s="1" t="s">
        <v>16</v>
      </c>
      <c r="D1129" s="1" t="s">
        <v>22</v>
      </c>
      <c r="E1129" s="1" t="s">
        <v>36</v>
      </c>
      <c r="F1129" s="1" t="s">
        <v>24</v>
      </c>
      <c r="G1129" s="1">
        <v>6</v>
      </c>
      <c r="H1129" s="1">
        <v>795</v>
      </c>
      <c r="I1129" s="1">
        <v>0</v>
      </c>
      <c r="J1129" s="4">
        <v>4770</v>
      </c>
      <c r="K1129" s="4">
        <v>3616.64</v>
      </c>
      <c r="L1129" s="4">
        <v>1153.3599999999999</v>
      </c>
      <c r="M1129" s="1" t="str">
        <f>TEXT(Table1[[#This Row],[Order_Date]], "MMM")</f>
        <v>Jun</v>
      </c>
      <c r="N1129" s="1">
        <f>YEAR(Table1[[#This Row],[Order_Date]])</f>
        <v>2023</v>
      </c>
      <c r="O1129" s="7">
        <f>Table1[[#This Row],[Profit]]/Table1[[#This Row],[Total_Sales]]</f>
        <v>0.24179454926624736</v>
      </c>
    </row>
    <row r="1130" spans="1:15" x14ac:dyDescent="0.25">
      <c r="A1130" s="1">
        <v>1129</v>
      </c>
      <c r="B1130" s="2">
        <v>45264</v>
      </c>
      <c r="C1130" s="1" t="s">
        <v>12</v>
      </c>
      <c r="D1130" s="1" t="s">
        <v>22</v>
      </c>
      <c r="E1130" s="1" t="s">
        <v>23</v>
      </c>
      <c r="F1130" s="1" t="s">
        <v>24</v>
      </c>
      <c r="G1130" s="1">
        <v>9</v>
      </c>
      <c r="H1130" s="1">
        <v>228</v>
      </c>
      <c r="I1130" s="1">
        <v>15</v>
      </c>
      <c r="J1130" s="4">
        <v>1744.2</v>
      </c>
      <c r="K1130" s="4">
        <v>912.58</v>
      </c>
      <c r="L1130" s="4">
        <v>831.62</v>
      </c>
      <c r="M1130" s="1" t="str">
        <f>TEXT(Table1[[#This Row],[Order_Date]], "MMM")</f>
        <v>Dec</v>
      </c>
      <c r="N1130" s="1">
        <f>YEAR(Table1[[#This Row],[Order_Date]])</f>
        <v>2023</v>
      </c>
      <c r="O1130" s="7">
        <f>Table1[[#This Row],[Profit]]/Table1[[#This Row],[Total_Sales]]</f>
        <v>0.476791652333448</v>
      </c>
    </row>
    <row r="1131" spans="1:15" x14ac:dyDescent="0.25">
      <c r="A1131" s="1">
        <v>1130</v>
      </c>
      <c r="B1131" s="2">
        <v>45592</v>
      </c>
      <c r="C1131" s="1" t="s">
        <v>19</v>
      </c>
      <c r="D1131" s="1" t="s">
        <v>13</v>
      </c>
      <c r="E1131" s="1" t="s">
        <v>39</v>
      </c>
      <c r="F1131" s="1" t="s">
        <v>40</v>
      </c>
      <c r="G1131" s="1">
        <v>4</v>
      </c>
      <c r="H1131" s="1">
        <v>975</v>
      </c>
      <c r="I1131" s="1">
        <v>0</v>
      </c>
      <c r="J1131" s="4">
        <v>3900</v>
      </c>
      <c r="K1131" s="4">
        <v>2325.92</v>
      </c>
      <c r="L1131" s="4">
        <v>1574.08</v>
      </c>
      <c r="M1131" s="1" t="str">
        <f>TEXT(Table1[[#This Row],[Order_Date]], "MMM")</f>
        <v>Oct</v>
      </c>
      <c r="N1131" s="1">
        <f>YEAR(Table1[[#This Row],[Order_Date]])</f>
        <v>2024</v>
      </c>
      <c r="O1131" s="7">
        <f>Table1[[#This Row],[Profit]]/Table1[[#This Row],[Total_Sales]]</f>
        <v>0.40361025641025638</v>
      </c>
    </row>
    <row r="1132" spans="1:15" x14ac:dyDescent="0.25">
      <c r="A1132" s="1">
        <v>1131</v>
      </c>
      <c r="B1132" s="2">
        <v>45185</v>
      </c>
      <c r="C1132" s="1" t="s">
        <v>19</v>
      </c>
      <c r="D1132" s="1" t="s">
        <v>22</v>
      </c>
      <c r="E1132" s="1" t="s">
        <v>44</v>
      </c>
      <c r="F1132" s="1" t="s">
        <v>40</v>
      </c>
      <c r="G1132" s="1">
        <v>8</v>
      </c>
      <c r="H1132" s="1">
        <v>265</v>
      </c>
      <c r="I1132" s="1">
        <v>0</v>
      </c>
      <c r="J1132" s="4">
        <v>2120</v>
      </c>
      <c r="K1132" s="4">
        <v>1196.01</v>
      </c>
      <c r="L1132" s="4">
        <v>923.99</v>
      </c>
      <c r="M1132" s="1" t="str">
        <f>TEXT(Table1[[#This Row],[Order_Date]], "MMM")</f>
        <v>Sep</v>
      </c>
      <c r="N1132" s="1">
        <f>YEAR(Table1[[#This Row],[Order_Date]])</f>
        <v>2023</v>
      </c>
      <c r="O1132" s="7">
        <f>Table1[[#This Row],[Profit]]/Table1[[#This Row],[Total_Sales]]</f>
        <v>0.43584433962264152</v>
      </c>
    </row>
    <row r="1133" spans="1:15" x14ac:dyDescent="0.25">
      <c r="A1133" s="1">
        <v>1132</v>
      </c>
      <c r="B1133" s="2">
        <v>45226</v>
      </c>
      <c r="C1133" s="1" t="s">
        <v>19</v>
      </c>
      <c r="D1133" s="1" t="s">
        <v>13</v>
      </c>
      <c r="E1133" s="1" t="s">
        <v>39</v>
      </c>
      <c r="F1133" s="1" t="s">
        <v>18</v>
      </c>
      <c r="G1133" s="1">
        <v>2</v>
      </c>
      <c r="H1133" s="1">
        <v>559</v>
      </c>
      <c r="I1133" s="1">
        <v>10</v>
      </c>
      <c r="J1133" s="4">
        <v>1006.2</v>
      </c>
      <c r="K1133" s="4">
        <v>619.19000000000005</v>
      </c>
      <c r="L1133" s="4">
        <v>387.01</v>
      </c>
      <c r="M1133" s="1" t="str">
        <f>TEXT(Table1[[#This Row],[Order_Date]], "MMM")</f>
        <v>Oct</v>
      </c>
      <c r="N1133" s="1">
        <f>YEAR(Table1[[#This Row],[Order_Date]])</f>
        <v>2023</v>
      </c>
      <c r="O1133" s="7">
        <f>Table1[[#This Row],[Profit]]/Table1[[#This Row],[Total_Sales]]</f>
        <v>0.38462532299741597</v>
      </c>
    </row>
    <row r="1134" spans="1:15" x14ac:dyDescent="0.25">
      <c r="A1134" s="1">
        <v>1133</v>
      </c>
      <c r="B1134" s="2">
        <v>45122</v>
      </c>
      <c r="C1134" s="1" t="s">
        <v>16</v>
      </c>
      <c r="D1134" s="1" t="s">
        <v>26</v>
      </c>
      <c r="E1134" s="1" t="s">
        <v>27</v>
      </c>
      <c r="F1134" s="1" t="s">
        <v>18</v>
      </c>
      <c r="G1134" s="1">
        <v>10</v>
      </c>
      <c r="H1134" s="1">
        <v>707</v>
      </c>
      <c r="I1134" s="1">
        <v>20</v>
      </c>
      <c r="J1134" s="4">
        <v>5656</v>
      </c>
      <c r="K1134" s="4">
        <v>3232.18</v>
      </c>
      <c r="L1134" s="4">
        <v>2423.8200000000002</v>
      </c>
      <c r="M1134" s="1" t="str">
        <f>TEXT(Table1[[#This Row],[Order_Date]], "MMM")</f>
        <v>Jul</v>
      </c>
      <c r="N1134" s="1">
        <f>YEAR(Table1[[#This Row],[Order_Date]])</f>
        <v>2023</v>
      </c>
      <c r="O1134" s="7">
        <f>Table1[[#This Row],[Profit]]/Table1[[#This Row],[Total_Sales]]</f>
        <v>0.42853960396039609</v>
      </c>
    </row>
    <row r="1135" spans="1:15" x14ac:dyDescent="0.25">
      <c r="A1135" s="1">
        <v>1134</v>
      </c>
      <c r="B1135" s="2">
        <v>44987</v>
      </c>
      <c r="C1135" s="1" t="s">
        <v>25</v>
      </c>
      <c r="D1135" s="1" t="s">
        <v>32</v>
      </c>
      <c r="E1135" s="1" t="s">
        <v>45</v>
      </c>
      <c r="F1135" s="1" t="s">
        <v>18</v>
      </c>
      <c r="G1135" s="1">
        <v>1</v>
      </c>
      <c r="H1135" s="1">
        <v>587</v>
      </c>
      <c r="I1135" s="1">
        <v>0</v>
      </c>
      <c r="J1135" s="4">
        <v>587</v>
      </c>
      <c r="K1135" s="4">
        <v>394.72</v>
      </c>
      <c r="L1135" s="4">
        <v>192.28</v>
      </c>
      <c r="M1135" s="1" t="str">
        <f>TEXT(Table1[[#This Row],[Order_Date]], "MMM")</f>
        <v>Mar</v>
      </c>
      <c r="N1135" s="1">
        <f>YEAR(Table1[[#This Row],[Order_Date]])</f>
        <v>2023</v>
      </c>
      <c r="O1135" s="7">
        <f>Table1[[#This Row],[Profit]]/Table1[[#This Row],[Total_Sales]]</f>
        <v>0.32756388415672916</v>
      </c>
    </row>
    <row r="1136" spans="1:15" x14ac:dyDescent="0.25">
      <c r="A1136" s="1">
        <v>1135</v>
      </c>
      <c r="B1136" s="2">
        <v>45334</v>
      </c>
      <c r="C1136" s="1" t="s">
        <v>19</v>
      </c>
      <c r="D1136" s="1" t="s">
        <v>22</v>
      </c>
      <c r="E1136" s="1" t="s">
        <v>36</v>
      </c>
      <c r="F1136" s="1" t="s">
        <v>24</v>
      </c>
      <c r="G1136" s="1">
        <v>3</v>
      </c>
      <c r="H1136" s="1">
        <v>310</v>
      </c>
      <c r="I1136" s="1">
        <v>10</v>
      </c>
      <c r="J1136" s="4">
        <v>837</v>
      </c>
      <c r="K1136" s="4">
        <v>661.9</v>
      </c>
      <c r="L1136" s="4">
        <v>175.1</v>
      </c>
      <c r="M1136" s="1" t="str">
        <f>TEXT(Table1[[#This Row],[Order_Date]], "MMM")</f>
        <v>Feb</v>
      </c>
      <c r="N1136" s="1">
        <f>YEAR(Table1[[#This Row],[Order_Date]])</f>
        <v>2024</v>
      </c>
      <c r="O1136" s="7">
        <f>Table1[[#This Row],[Profit]]/Table1[[#This Row],[Total_Sales]]</f>
        <v>0.20919952210274789</v>
      </c>
    </row>
    <row r="1137" spans="1:15" x14ac:dyDescent="0.25">
      <c r="A1137" s="1">
        <v>1136</v>
      </c>
      <c r="B1137" s="2">
        <v>45546</v>
      </c>
      <c r="C1137" s="1" t="s">
        <v>19</v>
      </c>
      <c r="D1137" s="1" t="s">
        <v>20</v>
      </c>
      <c r="E1137" s="1" t="s">
        <v>28</v>
      </c>
      <c r="F1137" s="1" t="s">
        <v>31</v>
      </c>
      <c r="G1137" s="1">
        <v>1</v>
      </c>
      <c r="H1137" s="1">
        <v>324</v>
      </c>
      <c r="I1137" s="1">
        <v>15</v>
      </c>
      <c r="J1137" s="4">
        <v>275.39999999999998</v>
      </c>
      <c r="K1137" s="4">
        <v>185.72</v>
      </c>
      <c r="L1137" s="4">
        <v>89.68</v>
      </c>
      <c r="M1137" s="1" t="str">
        <f>TEXT(Table1[[#This Row],[Order_Date]], "MMM")</f>
        <v>Sep</v>
      </c>
      <c r="N1137" s="1">
        <f>YEAR(Table1[[#This Row],[Order_Date]])</f>
        <v>2024</v>
      </c>
      <c r="O1137" s="7">
        <f>Table1[[#This Row],[Profit]]/Table1[[#This Row],[Total_Sales]]</f>
        <v>0.32563543936092959</v>
      </c>
    </row>
    <row r="1138" spans="1:15" x14ac:dyDescent="0.25">
      <c r="A1138" s="1">
        <v>1137</v>
      </c>
      <c r="B1138" s="2">
        <v>45400</v>
      </c>
      <c r="C1138" s="1" t="s">
        <v>19</v>
      </c>
      <c r="D1138" s="1" t="s">
        <v>26</v>
      </c>
      <c r="E1138" s="1" t="s">
        <v>42</v>
      </c>
      <c r="F1138" s="1" t="s">
        <v>24</v>
      </c>
      <c r="G1138" s="1">
        <v>9</v>
      </c>
      <c r="H1138" s="1">
        <v>504</v>
      </c>
      <c r="I1138" s="1">
        <v>0</v>
      </c>
      <c r="J1138" s="4">
        <v>4536</v>
      </c>
      <c r="K1138" s="4">
        <v>2786.2</v>
      </c>
      <c r="L1138" s="4">
        <v>1749.8</v>
      </c>
      <c r="M1138" s="1" t="str">
        <f>TEXT(Table1[[#This Row],[Order_Date]], "MMM")</f>
        <v>Apr</v>
      </c>
      <c r="N1138" s="1">
        <f>YEAR(Table1[[#This Row],[Order_Date]])</f>
        <v>2024</v>
      </c>
      <c r="O1138" s="7">
        <f>Table1[[#This Row],[Profit]]/Table1[[#This Row],[Total_Sales]]</f>
        <v>0.3857583774250441</v>
      </c>
    </row>
    <row r="1139" spans="1:15" x14ac:dyDescent="0.25">
      <c r="A1139" s="1">
        <v>1138</v>
      </c>
      <c r="B1139" s="2">
        <v>45155</v>
      </c>
      <c r="C1139" s="1" t="s">
        <v>16</v>
      </c>
      <c r="D1139" s="1" t="s">
        <v>26</v>
      </c>
      <c r="E1139" s="1" t="s">
        <v>46</v>
      </c>
      <c r="F1139" s="1" t="s">
        <v>31</v>
      </c>
      <c r="G1139" s="1">
        <v>3</v>
      </c>
      <c r="H1139" s="1">
        <v>368</v>
      </c>
      <c r="I1139" s="1">
        <v>5</v>
      </c>
      <c r="J1139" s="4">
        <v>1048.8</v>
      </c>
      <c r="K1139" s="4">
        <v>616.41</v>
      </c>
      <c r="L1139" s="4">
        <v>432.39</v>
      </c>
      <c r="M1139" s="1" t="str">
        <f>TEXT(Table1[[#This Row],[Order_Date]], "MMM")</f>
        <v>Aug</v>
      </c>
      <c r="N1139" s="1">
        <f>YEAR(Table1[[#This Row],[Order_Date]])</f>
        <v>2023</v>
      </c>
      <c r="O1139" s="7">
        <f>Table1[[#This Row],[Profit]]/Table1[[#This Row],[Total_Sales]]</f>
        <v>0.41227116704805494</v>
      </c>
    </row>
    <row r="1140" spans="1:15" x14ac:dyDescent="0.25">
      <c r="A1140" s="1">
        <v>1139</v>
      </c>
      <c r="B1140" s="2">
        <v>45327</v>
      </c>
      <c r="C1140" s="1" t="s">
        <v>12</v>
      </c>
      <c r="D1140" s="1" t="s">
        <v>22</v>
      </c>
      <c r="E1140" s="1" t="s">
        <v>36</v>
      </c>
      <c r="F1140" s="1" t="s">
        <v>40</v>
      </c>
      <c r="G1140" s="1">
        <v>7</v>
      </c>
      <c r="H1140" s="1">
        <v>308</v>
      </c>
      <c r="I1140" s="1">
        <v>5</v>
      </c>
      <c r="J1140" s="4">
        <v>2048.1999999999998</v>
      </c>
      <c r="K1140" s="4">
        <v>1099.6500000000001</v>
      </c>
      <c r="L1140" s="4">
        <v>948.55</v>
      </c>
      <c r="M1140" s="1" t="str">
        <f>TEXT(Table1[[#This Row],[Order_Date]], "MMM")</f>
        <v>Feb</v>
      </c>
      <c r="N1140" s="1">
        <f>YEAR(Table1[[#This Row],[Order_Date]])</f>
        <v>2024</v>
      </c>
      <c r="O1140" s="7">
        <f>Table1[[#This Row],[Profit]]/Table1[[#This Row],[Total_Sales]]</f>
        <v>0.46311395371545749</v>
      </c>
    </row>
    <row r="1141" spans="1:15" x14ac:dyDescent="0.25">
      <c r="A1141" s="1">
        <v>1140</v>
      </c>
      <c r="B1141" s="2">
        <v>45426</v>
      </c>
      <c r="C1141" s="1" t="s">
        <v>25</v>
      </c>
      <c r="D1141" s="1" t="s">
        <v>32</v>
      </c>
      <c r="E1141" s="1" t="s">
        <v>41</v>
      </c>
      <c r="F1141" s="1" t="s">
        <v>35</v>
      </c>
      <c r="G1141" s="1">
        <v>4</v>
      </c>
      <c r="H1141" s="1">
        <v>572</v>
      </c>
      <c r="I1141" s="1">
        <v>15</v>
      </c>
      <c r="J1141" s="4">
        <v>1944.8</v>
      </c>
      <c r="K1141" s="4">
        <v>1355.09</v>
      </c>
      <c r="L1141" s="4">
        <v>589.71</v>
      </c>
      <c r="M1141" s="1" t="str">
        <f>TEXT(Table1[[#This Row],[Order_Date]], "MMM")</f>
        <v>May</v>
      </c>
      <c r="N1141" s="1">
        <f>YEAR(Table1[[#This Row],[Order_Date]])</f>
        <v>2024</v>
      </c>
      <c r="O1141" s="7">
        <f>Table1[[#This Row],[Profit]]/Table1[[#This Row],[Total_Sales]]</f>
        <v>0.30322398190045252</v>
      </c>
    </row>
    <row r="1142" spans="1:15" x14ac:dyDescent="0.25">
      <c r="A1142" s="1">
        <v>1141</v>
      </c>
      <c r="B1142" s="2">
        <v>45050</v>
      </c>
      <c r="C1142" s="1" t="s">
        <v>19</v>
      </c>
      <c r="D1142" s="1" t="s">
        <v>13</v>
      </c>
      <c r="E1142" s="1" t="s">
        <v>39</v>
      </c>
      <c r="F1142" s="1" t="s">
        <v>40</v>
      </c>
      <c r="G1142" s="1">
        <v>2</v>
      </c>
      <c r="H1142" s="1">
        <v>821</v>
      </c>
      <c r="I1142" s="1">
        <v>0</v>
      </c>
      <c r="J1142" s="4">
        <v>1642</v>
      </c>
      <c r="K1142" s="4">
        <v>874.08</v>
      </c>
      <c r="L1142" s="4">
        <v>767.92</v>
      </c>
      <c r="M1142" s="1" t="str">
        <f>TEXT(Table1[[#This Row],[Order_Date]], "MMM")</f>
        <v>May</v>
      </c>
      <c r="N1142" s="1">
        <f>YEAR(Table1[[#This Row],[Order_Date]])</f>
        <v>2023</v>
      </c>
      <c r="O1142" s="7">
        <f>Table1[[#This Row],[Profit]]/Table1[[#This Row],[Total_Sales]]</f>
        <v>0.46767356881851396</v>
      </c>
    </row>
    <row r="1143" spans="1:15" x14ac:dyDescent="0.25">
      <c r="A1143" s="1">
        <v>1142</v>
      </c>
      <c r="B1143" s="2">
        <v>45462</v>
      </c>
      <c r="C1143" s="1" t="s">
        <v>25</v>
      </c>
      <c r="D1143" s="1" t="s">
        <v>32</v>
      </c>
      <c r="E1143" s="1" t="s">
        <v>33</v>
      </c>
      <c r="F1143" s="1" t="s">
        <v>35</v>
      </c>
      <c r="G1143" s="1">
        <v>2</v>
      </c>
      <c r="H1143" s="1">
        <v>502</v>
      </c>
      <c r="I1143" s="1">
        <v>5</v>
      </c>
      <c r="J1143" s="4">
        <v>953.8</v>
      </c>
      <c r="K1143" s="4">
        <v>693.8</v>
      </c>
      <c r="L1143" s="4">
        <v>260</v>
      </c>
      <c r="M1143" s="1" t="str">
        <f>TEXT(Table1[[#This Row],[Order_Date]], "MMM")</f>
        <v>Jun</v>
      </c>
      <c r="N1143" s="1">
        <f>YEAR(Table1[[#This Row],[Order_Date]])</f>
        <v>2024</v>
      </c>
      <c r="O1143" s="7">
        <f>Table1[[#This Row],[Profit]]/Table1[[#This Row],[Total_Sales]]</f>
        <v>0.27259383518557351</v>
      </c>
    </row>
    <row r="1144" spans="1:15" x14ac:dyDescent="0.25">
      <c r="A1144" s="1">
        <v>1143</v>
      </c>
      <c r="B1144" s="2">
        <v>45339</v>
      </c>
      <c r="C1144" s="1" t="s">
        <v>12</v>
      </c>
      <c r="D1144" s="1" t="s">
        <v>20</v>
      </c>
      <c r="E1144" s="1" t="s">
        <v>21</v>
      </c>
      <c r="F1144" s="1" t="s">
        <v>35</v>
      </c>
      <c r="G1144" s="1">
        <v>10</v>
      </c>
      <c r="H1144" s="1">
        <v>46</v>
      </c>
      <c r="I1144" s="1">
        <v>15</v>
      </c>
      <c r="J1144" s="4">
        <v>391</v>
      </c>
      <c r="K1144" s="4">
        <v>292.64</v>
      </c>
      <c r="L1144" s="4">
        <v>98.36</v>
      </c>
      <c r="M1144" s="1" t="str">
        <f>TEXT(Table1[[#This Row],[Order_Date]], "MMM")</f>
        <v>Feb</v>
      </c>
      <c r="N1144" s="1">
        <f>YEAR(Table1[[#This Row],[Order_Date]])</f>
        <v>2024</v>
      </c>
      <c r="O1144" s="7">
        <f>Table1[[#This Row],[Profit]]/Table1[[#This Row],[Total_Sales]]</f>
        <v>0.25156010230179027</v>
      </c>
    </row>
    <row r="1145" spans="1:15" x14ac:dyDescent="0.25">
      <c r="A1145" s="1">
        <v>1144</v>
      </c>
      <c r="B1145" s="2">
        <v>45496</v>
      </c>
      <c r="C1145" s="1" t="s">
        <v>25</v>
      </c>
      <c r="D1145" s="1" t="s">
        <v>13</v>
      </c>
      <c r="E1145" s="1" t="s">
        <v>39</v>
      </c>
      <c r="F1145" s="1" t="s">
        <v>31</v>
      </c>
      <c r="G1145" s="1">
        <v>8</v>
      </c>
      <c r="H1145" s="1">
        <v>885</v>
      </c>
      <c r="I1145" s="1">
        <v>10</v>
      </c>
      <c r="J1145" s="4">
        <v>6372</v>
      </c>
      <c r="K1145" s="4">
        <v>4530.9399999999996</v>
      </c>
      <c r="L1145" s="4">
        <v>1841.06</v>
      </c>
      <c r="M1145" s="1" t="str">
        <f>TEXT(Table1[[#This Row],[Order_Date]], "MMM")</f>
        <v>Jul</v>
      </c>
      <c r="N1145" s="1">
        <f>YEAR(Table1[[#This Row],[Order_Date]])</f>
        <v>2024</v>
      </c>
      <c r="O1145" s="7">
        <f>Table1[[#This Row],[Profit]]/Table1[[#This Row],[Total_Sales]]</f>
        <v>0.28892969240426869</v>
      </c>
    </row>
    <row r="1146" spans="1:15" x14ac:dyDescent="0.25">
      <c r="A1146" s="1">
        <v>1145</v>
      </c>
      <c r="B1146" s="2">
        <v>45140</v>
      </c>
      <c r="C1146" s="1" t="s">
        <v>19</v>
      </c>
      <c r="D1146" s="1" t="s">
        <v>22</v>
      </c>
      <c r="E1146" s="1" t="s">
        <v>36</v>
      </c>
      <c r="F1146" s="1" t="s">
        <v>24</v>
      </c>
      <c r="G1146" s="1">
        <v>10</v>
      </c>
      <c r="H1146" s="1">
        <v>889</v>
      </c>
      <c r="I1146" s="1">
        <v>0</v>
      </c>
      <c r="J1146" s="4">
        <v>8890</v>
      </c>
      <c r="K1146" s="4">
        <v>6584.5</v>
      </c>
      <c r="L1146" s="4">
        <v>2305.5</v>
      </c>
      <c r="M1146" s="1" t="str">
        <f>TEXT(Table1[[#This Row],[Order_Date]], "MMM")</f>
        <v>Aug</v>
      </c>
      <c r="N1146" s="1">
        <f>YEAR(Table1[[#This Row],[Order_Date]])</f>
        <v>2023</v>
      </c>
      <c r="O1146" s="7">
        <f>Table1[[#This Row],[Profit]]/Table1[[#This Row],[Total_Sales]]</f>
        <v>0.25933633295838021</v>
      </c>
    </row>
    <row r="1147" spans="1:15" x14ac:dyDescent="0.25">
      <c r="A1147" s="1">
        <v>1146</v>
      </c>
      <c r="B1147" s="2">
        <v>45651</v>
      </c>
      <c r="C1147" s="1" t="s">
        <v>25</v>
      </c>
      <c r="D1147" s="1" t="s">
        <v>13</v>
      </c>
      <c r="E1147" s="1" t="s">
        <v>38</v>
      </c>
      <c r="F1147" s="1" t="s">
        <v>35</v>
      </c>
      <c r="G1147" s="1">
        <v>9</v>
      </c>
      <c r="H1147" s="1">
        <v>986</v>
      </c>
      <c r="I1147" s="1">
        <v>15</v>
      </c>
      <c r="J1147" s="4">
        <v>7542.9</v>
      </c>
      <c r="K1147" s="4">
        <v>4568.6099999999997</v>
      </c>
      <c r="L1147" s="4">
        <v>2974.29</v>
      </c>
      <c r="M1147" s="1" t="str">
        <f>TEXT(Table1[[#This Row],[Order_Date]], "MMM")</f>
        <v>Dec</v>
      </c>
      <c r="N1147" s="1">
        <f>YEAR(Table1[[#This Row],[Order_Date]])</f>
        <v>2024</v>
      </c>
      <c r="O1147" s="7">
        <f>Table1[[#This Row],[Profit]]/Table1[[#This Row],[Total_Sales]]</f>
        <v>0.39431650956528658</v>
      </c>
    </row>
    <row r="1148" spans="1:15" x14ac:dyDescent="0.25">
      <c r="A1148" s="1">
        <v>1147</v>
      </c>
      <c r="B1148" s="2">
        <v>45391</v>
      </c>
      <c r="C1148" s="1" t="s">
        <v>19</v>
      </c>
      <c r="D1148" s="1" t="s">
        <v>26</v>
      </c>
      <c r="E1148" s="1" t="s">
        <v>27</v>
      </c>
      <c r="F1148" s="1" t="s">
        <v>31</v>
      </c>
      <c r="G1148" s="1">
        <v>3</v>
      </c>
      <c r="H1148" s="1">
        <v>306</v>
      </c>
      <c r="I1148" s="1">
        <v>5</v>
      </c>
      <c r="J1148" s="4">
        <v>872.1</v>
      </c>
      <c r="K1148" s="4">
        <v>573.59</v>
      </c>
      <c r="L1148" s="4">
        <v>298.51</v>
      </c>
      <c r="M1148" s="1" t="str">
        <f>TEXT(Table1[[#This Row],[Order_Date]], "MMM")</f>
        <v>Apr</v>
      </c>
      <c r="N1148" s="1">
        <f>YEAR(Table1[[#This Row],[Order_Date]])</f>
        <v>2024</v>
      </c>
      <c r="O1148" s="7">
        <f>Table1[[#This Row],[Profit]]/Table1[[#This Row],[Total_Sales]]</f>
        <v>0.34228872835683977</v>
      </c>
    </row>
    <row r="1149" spans="1:15" x14ac:dyDescent="0.25">
      <c r="A1149" s="1">
        <v>1148</v>
      </c>
      <c r="B1149" s="2">
        <v>45406</v>
      </c>
      <c r="C1149" s="1" t="s">
        <v>12</v>
      </c>
      <c r="D1149" s="1" t="s">
        <v>32</v>
      </c>
      <c r="E1149" s="1" t="s">
        <v>45</v>
      </c>
      <c r="F1149" s="1" t="s">
        <v>31</v>
      </c>
      <c r="G1149" s="1">
        <v>2</v>
      </c>
      <c r="H1149" s="1">
        <v>379</v>
      </c>
      <c r="I1149" s="1">
        <v>0</v>
      </c>
      <c r="J1149" s="4">
        <v>758</v>
      </c>
      <c r="K1149" s="4">
        <v>531.35</v>
      </c>
      <c r="L1149" s="4">
        <v>226.65</v>
      </c>
      <c r="M1149" s="1" t="str">
        <f>TEXT(Table1[[#This Row],[Order_Date]], "MMM")</f>
        <v>Apr</v>
      </c>
      <c r="N1149" s="1">
        <f>YEAR(Table1[[#This Row],[Order_Date]])</f>
        <v>2024</v>
      </c>
      <c r="O1149" s="7">
        <f>Table1[[#This Row],[Profit]]/Table1[[#This Row],[Total_Sales]]</f>
        <v>0.29901055408970978</v>
      </c>
    </row>
    <row r="1150" spans="1:15" x14ac:dyDescent="0.25">
      <c r="A1150" s="1">
        <v>1149</v>
      </c>
      <c r="B1150" s="2">
        <v>45313</v>
      </c>
      <c r="C1150" s="1" t="s">
        <v>16</v>
      </c>
      <c r="D1150" s="1" t="s">
        <v>26</v>
      </c>
      <c r="E1150" s="1" t="s">
        <v>42</v>
      </c>
      <c r="F1150" s="1" t="s">
        <v>31</v>
      </c>
      <c r="G1150" s="1">
        <v>1</v>
      </c>
      <c r="H1150" s="1">
        <v>739</v>
      </c>
      <c r="I1150" s="1">
        <v>20</v>
      </c>
      <c r="J1150" s="4">
        <v>591.20000000000005</v>
      </c>
      <c r="K1150" s="4">
        <v>356.56</v>
      </c>
      <c r="L1150" s="4">
        <v>234.64</v>
      </c>
      <c r="M1150" s="1" t="str">
        <f>TEXT(Table1[[#This Row],[Order_Date]], "MMM")</f>
        <v>Jan</v>
      </c>
      <c r="N1150" s="1">
        <f>YEAR(Table1[[#This Row],[Order_Date]])</f>
        <v>2024</v>
      </c>
      <c r="O1150" s="7">
        <f>Table1[[#This Row],[Profit]]/Table1[[#This Row],[Total_Sales]]</f>
        <v>0.39688768606224623</v>
      </c>
    </row>
    <row r="1151" spans="1:15" x14ac:dyDescent="0.25">
      <c r="A1151" s="1">
        <v>1150</v>
      </c>
      <c r="B1151" s="2">
        <v>45159</v>
      </c>
      <c r="C1151" s="1" t="s">
        <v>16</v>
      </c>
      <c r="D1151" s="1" t="s">
        <v>13</v>
      </c>
      <c r="E1151" s="1" t="s">
        <v>39</v>
      </c>
      <c r="F1151" s="1" t="s">
        <v>35</v>
      </c>
      <c r="G1151" s="1">
        <v>1</v>
      </c>
      <c r="H1151" s="1">
        <v>964</v>
      </c>
      <c r="I1151" s="1">
        <v>15</v>
      </c>
      <c r="J1151" s="4">
        <v>819.4</v>
      </c>
      <c r="K1151" s="4">
        <v>638.63</v>
      </c>
      <c r="L1151" s="4">
        <v>180.77</v>
      </c>
      <c r="M1151" s="1" t="str">
        <f>TEXT(Table1[[#This Row],[Order_Date]], "MMM")</f>
        <v>Aug</v>
      </c>
      <c r="N1151" s="1">
        <f>YEAR(Table1[[#This Row],[Order_Date]])</f>
        <v>2023</v>
      </c>
      <c r="O1151" s="7">
        <f>Table1[[#This Row],[Profit]]/Table1[[#This Row],[Total_Sales]]</f>
        <v>0.22061264339760803</v>
      </c>
    </row>
    <row r="1152" spans="1:15" x14ac:dyDescent="0.25">
      <c r="A1152" s="1">
        <v>1151</v>
      </c>
      <c r="B1152" s="2">
        <v>44970</v>
      </c>
      <c r="C1152" s="1" t="s">
        <v>12</v>
      </c>
      <c r="D1152" s="1" t="s">
        <v>26</v>
      </c>
      <c r="E1152" s="1" t="s">
        <v>46</v>
      </c>
      <c r="F1152" s="1" t="s">
        <v>15</v>
      </c>
      <c r="G1152" s="1">
        <v>1</v>
      </c>
      <c r="H1152" s="1">
        <v>340</v>
      </c>
      <c r="I1152" s="1">
        <v>20</v>
      </c>
      <c r="J1152" s="4">
        <v>272</v>
      </c>
      <c r="K1152" s="4">
        <v>157.72</v>
      </c>
      <c r="L1152" s="4">
        <v>114.28</v>
      </c>
      <c r="M1152" s="1" t="str">
        <f>TEXT(Table1[[#This Row],[Order_Date]], "MMM")</f>
        <v>Feb</v>
      </c>
      <c r="N1152" s="1">
        <f>YEAR(Table1[[#This Row],[Order_Date]])</f>
        <v>2023</v>
      </c>
      <c r="O1152" s="7">
        <f>Table1[[#This Row],[Profit]]/Table1[[#This Row],[Total_Sales]]</f>
        <v>0.42014705882352943</v>
      </c>
    </row>
    <row r="1153" spans="1:15" x14ac:dyDescent="0.25">
      <c r="A1153" s="1">
        <v>1152</v>
      </c>
      <c r="B1153" s="2">
        <v>45463</v>
      </c>
      <c r="C1153" s="1" t="s">
        <v>12</v>
      </c>
      <c r="D1153" s="1" t="s">
        <v>22</v>
      </c>
      <c r="E1153" s="1" t="s">
        <v>23</v>
      </c>
      <c r="F1153" s="1" t="s">
        <v>24</v>
      </c>
      <c r="G1153" s="1">
        <v>10</v>
      </c>
      <c r="H1153" s="1">
        <v>911</v>
      </c>
      <c r="I1153" s="1">
        <v>20</v>
      </c>
      <c r="J1153" s="4">
        <v>7288</v>
      </c>
      <c r="K1153" s="4">
        <v>5039.67</v>
      </c>
      <c r="L1153" s="4">
        <v>2248.33</v>
      </c>
      <c r="M1153" s="1" t="str">
        <f>TEXT(Table1[[#This Row],[Order_Date]], "MMM")</f>
        <v>Jun</v>
      </c>
      <c r="N1153" s="1">
        <f>YEAR(Table1[[#This Row],[Order_Date]])</f>
        <v>2024</v>
      </c>
      <c r="O1153" s="7">
        <f>Table1[[#This Row],[Profit]]/Table1[[#This Row],[Total_Sales]]</f>
        <v>0.30849753018660814</v>
      </c>
    </row>
    <row r="1154" spans="1:15" x14ac:dyDescent="0.25">
      <c r="A1154" s="1">
        <v>1153</v>
      </c>
      <c r="B1154" s="2">
        <v>45331</v>
      </c>
      <c r="C1154" s="1" t="s">
        <v>19</v>
      </c>
      <c r="D1154" s="1" t="s">
        <v>13</v>
      </c>
      <c r="E1154" s="1" t="s">
        <v>14</v>
      </c>
      <c r="F1154" s="1" t="s">
        <v>15</v>
      </c>
      <c r="G1154" s="1">
        <v>7</v>
      </c>
      <c r="H1154" s="1">
        <v>942</v>
      </c>
      <c r="I1154" s="1">
        <v>10</v>
      </c>
      <c r="J1154" s="4">
        <v>5934.6</v>
      </c>
      <c r="K1154" s="4">
        <v>3636.26</v>
      </c>
      <c r="L1154" s="4">
        <v>2298.34</v>
      </c>
      <c r="M1154" s="1" t="str">
        <f>TEXT(Table1[[#This Row],[Order_Date]], "MMM")</f>
        <v>Feb</v>
      </c>
      <c r="N1154" s="1">
        <f>YEAR(Table1[[#This Row],[Order_Date]])</f>
        <v>2024</v>
      </c>
      <c r="O1154" s="7">
        <f>Table1[[#This Row],[Profit]]/Table1[[#This Row],[Total_Sales]]</f>
        <v>0.38727799683213698</v>
      </c>
    </row>
    <row r="1155" spans="1:15" x14ac:dyDescent="0.25">
      <c r="A1155" s="1">
        <v>1154</v>
      </c>
      <c r="B1155" s="2">
        <v>45477</v>
      </c>
      <c r="C1155" s="1" t="s">
        <v>19</v>
      </c>
      <c r="D1155" s="1" t="s">
        <v>22</v>
      </c>
      <c r="E1155" s="1" t="s">
        <v>36</v>
      </c>
      <c r="F1155" s="1" t="s">
        <v>40</v>
      </c>
      <c r="G1155" s="1">
        <v>9</v>
      </c>
      <c r="H1155" s="1">
        <v>783</v>
      </c>
      <c r="I1155" s="1">
        <v>10</v>
      </c>
      <c r="J1155" s="4">
        <v>6342.3</v>
      </c>
      <c r="K1155" s="4">
        <v>4778.1899999999996</v>
      </c>
      <c r="L1155" s="4">
        <v>1564.11</v>
      </c>
      <c r="M1155" s="1" t="str">
        <f>TEXT(Table1[[#This Row],[Order_Date]], "MMM")</f>
        <v>Jul</v>
      </c>
      <c r="N1155" s="1">
        <f>YEAR(Table1[[#This Row],[Order_Date]])</f>
        <v>2024</v>
      </c>
      <c r="O1155" s="7">
        <f>Table1[[#This Row],[Profit]]/Table1[[#This Row],[Total_Sales]]</f>
        <v>0.2466155810983397</v>
      </c>
    </row>
    <row r="1156" spans="1:15" x14ac:dyDescent="0.25">
      <c r="A1156" s="1">
        <v>1155</v>
      </c>
      <c r="B1156" s="2">
        <v>45010</v>
      </c>
      <c r="C1156" s="1" t="s">
        <v>16</v>
      </c>
      <c r="D1156" s="1" t="s">
        <v>32</v>
      </c>
      <c r="E1156" s="1" t="s">
        <v>33</v>
      </c>
      <c r="F1156" s="1" t="s">
        <v>24</v>
      </c>
      <c r="G1156" s="1">
        <v>9</v>
      </c>
      <c r="H1156" s="1">
        <v>71</v>
      </c>
      <c r="I1156" s="1">
        <v>10</v>
      </c>
      <c r="J1156" s="4">
        <v>575.1</v>
      </c>
      <c r="K1156" s="4">
        <v>288.79000000000002</v>
      </c>
      <c r="L1156" s="4">
        <v>286.31</v>
      </c>
      <c r="M1156" s="1" t="str">
        <f>TEXT(Table1[[#This Row],[Order_Date]], "MMM")</f>
        <v>Mar</v>
      </c>
      <c r="N1156" s="1">
        <f>YEAR(Table1[[#This Row],[Order_Date]])</f>
        <v>2023</v>
      </c>
      <c r="O1156" s="7">
        <f>Table1[[#This Row],[Profit]]/Table1[[#This Row],[Total_Sales]]</f>
        <v>0.49784385324291425</v>
      </c>
    </row>
    <row r="1157" spans="1:15" x14ac:dyDescent="0.25">
      <c r="A1157" s="1">
        <v>1156</v>
      </c>
      <c r="B1157" s="2">
        <v>45183</v>
      </c>
      <c r="C1157" s="1" t="s">
        <v>19</v>
      </c>
      <c r="D1157" s="1" t="s">
        <v>13</v>
      </c>
      <c r="E1157" s="1" t="s">
        <v>17</v>
      </c>
      <c r="F1157" s="1" t="s">
        <v>24</v>
      </c>
      <c r="G1157" s="1">
        <v>4</v>
      </c>
      <c r="H1157" s="1">
        <v>132</v>
      </c>
      <c r="I1157" s="1">
        <v>10</v>
      </c>
      <c r="J1157" s="4">
        <v>475.2</v>
      </c>
      <c r="K1157" s="4">
        <v>340.93</v>
      </c>
      <c r="L1157" s="4">
        <v>134.27000000000001</v>
      </c>
      <c r="M1157" s="1" t="str">
        <f>TEXT(Table1[[#This Row],[Order_Date]], "MMM")</f>
        <v>Sep</v>
      </c>
      <c r="N1157" s="1">
        <f>YEAR(Table1[[#This Row],[Order_Date]])</f>
        <v>2023</v>
      </c>
      <c r="O1157" s="7">
        <f>Table1[[#This Row],[Profit]]/Table1[[#This Row],[Total_Sales]]</f>
        <v>0.28255471380471381</v>
      </c>
    </row>
    <row r="1158" spans="1:15" x14ac:dyDescent="0.25">
      <c r="A1158" s="1">
        <v>1157</v>
      </c>
      <c r="B1158" s="2">
        <v>45281</v>
      </c>
      <c r="C1158" s="1" t="s">
        <v>19</v>
      </c>
      <c r="D1158" s="1" t="s">
        <v>32</v>
      </c>
      <c r="E1158" s="1" t="s">
        <v>33</v>
      </c>
      <c r="F1158" s="1" t="s">
        <v>35</v>
      </c>
      <c r="G1158" s="1">
        <v>3</v>
      </c>
      <c r="H1158" s="1">
        <v>431</v>
      </c>
      <c r="I1158" s="1">
        <v>20</v>
      </c>
      <c r="J1158" s="4">
        <v>1034.4000000000001</v>
      </c>
      <c r="K1158" s="4">
        <v>675.13</v>
      </c>
      <c r="L1158" s="4">
        <v>359.27</v>
      </c>
      <c r="M1158" s="1" t="str">
        <f>TEXT(Table1[[#This Row],[Order_Date]], "MMM")</f>
        <v>Dec</v>
      </c>
      <c r="N1158" s="1">
        <f>YEAR(Table1[[#This Row],[Order_Date]])</f>
        <v>2023</v>
      </c>
      <c r="O1158" s="7">
        <f>Table1[[#This Row],[Profit]]/Table1[[#This Row],[Total_Sales]]</f>
        <v>0.34732211910286154</v>
      </c>
    </row>
    <row r="1159" spans="1:15" x14ac:dyDescent="0.25">
      <c r="A1159" s="1">
        <v>1158</v>
      </c>
      <c r="B1159" s="2">
        <v>45034</v>
      </c>
      <c r="C1159" s="1" t="s">
        <v>19</v>
      </c>
      <c r="D1159" s="1" t="s">
        <v>13</v>
      </c>
      <c r="E1159" s="1" t="s">
        <v>14</v>
      </c>
      <c r="F1159" s="1" t="s">
        <v>18</v>
      </c>
      <c r="G1159" s="1">
        <v>10</v>
      </c>
      <c r="H1159" s="1">
        <v>643</v>
      </c>
      <c r="I1159" s="1">
        <v>15</v>
      </c>
      <c r="J1159" s="4">
        <v>5465.5</v>
      </c>
      <c r="K1159" s="4">
        <v>3260.36</v>
      </c>
      <c r="L1159" s="4">
        <v>2205.14</v>
      </c>
      <c r="M1159" s="1" t="str">
        <f>TEXT(Table1[[#This Row],[Order_Date]], "MMM")</f>
        <v>Apr</v>
      </c>
      <c r="N1159" s="1">
        <f>YEAR(Table1[[#This Row],[Order_Date]])</f>
        <v>2023</v>
      </c>
      <c r="O1159" s="7">
        <f>Table1[[#This Row],[Profit]]/Table1[[#This Row],[Total_Sales]]</f>
        <v>0.4034653737078035</v>
      </c>
    </row>
    <row r="1160" spans="1:15" x14ac:dyDescent="0.25">
      <c r="A1160" s="1">
        <v>1159</v>
      </c>
      <c r="B1160" s="2">
        <v>45106</v>
      </c>
      <c r="C1160" s="1" t="s">
        <v>25</v>
      </c>
      <c r="D1160" s="1" t="s">
        <v>13</v>
      </c>
      <c r="E1160" s="1" t="s">
        <v>39</v>
      </c>
      <c r="F1160" s="1" t="s">
        <v>24</v>
      </c>
      <c r="G1160" s="1">
        <v>1</v>
      </c>
      <c r="H1160" s="1">
        <v>984</v>
      </c>
      <c r="I1160" s="1">
        <v>0</v>
      </c>
      <c r="J1160" s="4">
        <v>984</v>
      </c>
      <c r="K1160" s="4">
        <v>633.27</v>
      </c>
      <c r="L1160" s="4">
        <v>350.73</v>
      </c>
      <c r="M1160" s="1" t="str">
        <f>TEXT(Table1[[#This Row],[Order_Date]], "MMM")</f>
        <v>Jun</v>
      </c>
      <c r="N1160" s="1">
        <f>YEAR(Table1[[#This Row],[Order_Date]])</f>
        <v>2023</v>
      </c>
      <c r="O1160" s="7">
        <f>Table1[[#This Row],[Profit]]/Table1[[#This Row],[Total_Sales]]</f>
        <v>0.3564329268292683</v>
      </c>
    </row>
    <row r="1161" spans="1:15" x14ac:dyDescent="0.25">
      <c r="A1161" s="1">
        <v>1160</v>
      </c>
      <c r="B1161" s="2">
        <v>44941</v>
      </c>
      <c r="C1161" s="1" t="s">
        <v>12</v>
      </c>
      <c r="D1161" s="1" t="s">
        <v>13</v>
      </c>
      <c r="E1161" s="1" t="s">
        <v>38</v>
      </c>
      <c r="F1161" s="1" t="s">
        <v>31</v>
      </c>
      <c r="G1161" s="1">
        <v>5</v>
      </c>
      <c r="H1161" s="1">
        <v>827</v>
      </c>
      <c r="I1161" s="1">
        <v>5</v>
      </c>
      <c r="J1161" s="4">
        <v>3928.25</v>
      </c>
      <c r="K1161" s="4">
        <v>2128.35</v>
      </c>
      <c r="L1161" s="4">
        <v>1799.9</v>
      </c>
      <c r="M1161" s="1" t="str">
        <f>TEXT(Table1[[#This Row],[Order_Date]], "MMM")</f>
        <v>Jan</v>
      </c>
      <c r="N1161" s="1">
        <f>YEAR(Table1[[#This Row],[Order_Date]])</f>
        <v>2023</v>
      </c>
      <c r="O1161" s="7">
        <f>Table1[[#This Row],[Profit]]/Table1[[#This Row],[Total_Sales]]</f>
        <v>0.45819385222427289</v>
      </c>
    </row>
    <row r="1162" spans="1:15" x14ac:dyDescent="0.25">
      <c r="A1162" s="1">
        <v>1161</v>
      </c>
      <c r="B1162" s="2">
        <v>45128</v>
      </c>
      <c r="C1162" s="1" t="s">
        <v>19</v>
      </c>
      <c r="D1162" s="1" t="s">
        <v>22</v>
      </c>
      <c r="E1162" s="1" t="s">
        <v>29</v>
      </c>
      <c r="F1162" s="1" t="s">
        <v>31</v>
      </c>
      <c r="G1162" s="1">
        <v>4</v>
      </c>
      <c r="H1162" s="1">
        <v>175</v>
      </c>
      <c r="I1162" s="1">
        <v>10</v>
      </c>
      <c r="J1162" s="4">
        <v>630</v>
      </c>
      <c r="K1162" s="4">
        <v>492.49</v>
      </c>
      <c r="L1162" s="4">
        <v>137.51</v>
      </c>
      <c r="M1162" s="1" t="str">
        <f>TEXT(Table1[[#This Row],[Order_Date]], "MMM")</f>
        <v>Jul</v>
      </c>
      <c r="N1162" s="1">
        <f>YEAR(Table1[[#This Row],[Order_Date]])</f>
        <v>2023</v>
      </c>
      <c r="O1162" s="7">
        <f>Table1[[#This Row],[Profit]]/Table1[[#This Row],[Total_Sales]]</f>
        <v>0.21826984126984125</v>
      </c>
    </row>
    <row r="1163" spans="1:15" x14ac:dyDescent="0.25">
      <c r="A1163" s="1">
        <v>1162</v>
      </c>
      <c r="B1163" s="2">
        <v>45013</v>
      </c>
      <c r="C1163" s="1" t="s">
        <v>19</v>
      </c>
      <c r="D1163" s="1" t="s">
        <v>26</v>
      </c>
      <c r="E1163" s="1" t="s">
        <v>42</v>
      </c>
      <c r="F1163" s="1" t="s">
        <v>18</v>
      </c>
      <c r="G1163" s="1">
        <v>7</v>
      </c>
      <c r="H1163" s="1">
        <v>753</v>
      </c>
      <c r="I1163" s="1">
        <v>15</v>
      </c>
      <c r="J1163" s="4">
        <v>4480.3500000000004</v>
      </c>
      <c r="K1163" s="4">
        <v>2571.7199999999998</v>
      </c>
      <c r="L1163" s="4">
        <v>1908.63</v>
      </c>
      <c r="M1163" s="1" t="str">
        <f>TEXT(Table1[[#This Row],[Order_Date]], "MMM")</f>
        <v>Mar</v>
      </c>
      <c r="N1163" s="1">
        <f>YEAR(Table1[[#This Row],[Order_Date]])</f>
        <v>2023</v>
      </c>
      <c r="O1163" s="7">
        <f>Table1[[#This Row],[Profit]]/Table1[[#This Row],[Total_Sales]]</f>
        <v>0.42600020087716362</v>
      </c>
    </row>
    <row r="1164" spans="1:15" x14ac:dyDescent="0.25">
      <c r="A1164" s="1">
        <v>1163</v>
      </c>
      <c r="B1164" s="2">
        <v>45152</v>
      </c>
      <c r="C1164" s="1" t="s">
        <v>25</v>
      </c>
      <c r="D1164" s="1" t="s">
        <v>32</v>
      </c>
      <c r="E1164" s="1" t="s">
        <v>33</v>
      </c>
      <c r="F1164" s="1" t="s">
        <v>40</v>
      </c>
      <c r="G1164" s="1">
        <v>3</v>
      </c>
      <c r="H1164" s="1">
        <v>652</v>
      </c>
      <c r="I1164" s="1">
        <v>20</v>
      </c>
      <c r="J1164" s="4">
        <v>1564.8</v>
      </c>
      <c r="K1164" s="4">
        <v>1021.67</v>
      </c>
      <c r="L1164" s="4">
        <v>543.13</v>
      </c>
      <c r="M1164" s="1" t="str">
        <f>TEXT(Table1[[#This Row],[Order_Date]], "MMM")</f>
        <v>Aug</v>
      </c>
      <c r="N1164" s="1">
        <f>YEAR(Table1[[#This Row],[Order_Date]])</f>
        <v>2023</v>
      </c>
      <c r="O1164" s="7">
        <f>Table1[[#This Row],[Profit]]/Table1[[#This Row],[Total_Sales]]</f>
        <v>0.34709228016359917</v>
      </c>
    </row>
    <row r="1165" spans="1:15" x14ac:dyDescent="0.25">
      <c r="A1165" s="1">
        <v>1164</v>
      </c>
      <c r="B1165" s="2">
        <v>45651</v>
      </c>
      <c r="C1165" s="1" t="s">
        <v>19</v>
      </c>
      <c r="D1165" s="1" t="s">
        <v>20</v>
      </c>
      <c r="E1165" s="1" t="s">
        <v>30</v>
      </c>
      <c r="F1165" s="1" t="s">
        <v>31</v>
      </c>
      <c r="G1165" s="1">
        <v>5</v>
      </c>
      <c r="H1165" s="1">
        <v>342</v>
      </c>
      <c r="I1165" s="1">
        <v>5</v>
      </c>
      <c r="J1165" s="4">
        <v>1624.5</v>
      </c>
      <c r="K1165" s="4">
        <v>1168.56</v>
      </c>
      <c r="L1165" s="4">
        <v>455.94</v>
      </c>
      <c r="M1165" s="1" t="str">
        <f>TEXT(Table1[[#This Row],[Order_Date]], "MMM")</f>
        <v>Dec</v>
      </c>
      <c r="N1165" s="1">
        <f>YEAR(Table1[[#This Row],[Order_Date]])</f>
        <v>2024</v>
      </c>
      <c r="O1165" s="7">
        <f>Table1[[#This Row],[Profit]]/Table1[[#This Row],[Total_Sales]]</f>
        <v>0.28066481994459835</v>
      </c>
    </row>
    <row r="1166" spans="1:15" x14ac:dyDescent="0.25">
      <c r="A1166" s="1">
        <v>1165</v>
      </c>
      <c r="B1166" s="2">
        <v>45584</v>
      </c>
      <c r="C1166" s="1" t="s">
        <v>25</v>
      </c>
      <c r="D1166" s="1" t="s">
        <v>13</v>
      </c>
      <c r="E1166" s="1" t="s">
        <v>17</v>
      </c>
      <c r="F1166" s="1" t="s">
        <v>40</v>
      </c>
      <c r="G1166" s="1">
        <v>1</v>
      </c>
      <c r="H1166" s="1">
        <v>13</v>
      </c>
      <c r="I1166" s="1">
        <v>20</v>
      </c>
      <c r="J1166" s="4">
        <v>10.4</v>
      </c>
      <c r="K1166" s="4">
        <v>7.14</v>
      </c>
      <c r="L1166" s="4">
        <v>3.26</v>
      </c>
      <c r="M1166" s="1" t="str">
        <f>TEXT(Table1[[#This Row],[Order_Date]], "MMM")</f>
        <v>Oct</v>
      </c>
      <c r="N1166" s="1">
        <f>YEAR(Table1[[#This Row],[Order_Date]])</f>
        <v>2024</v>
      </c>
      <c r="O1166" s="7">
        <f>Table1[[#This Row],[Profit]]/Table1[[#This Row],[Total_Sales]]</f>
        <v>0.3134615384615384</v>
      </c>
    </row>
    <row r="1167" spans="1:15" x14ac:dyDescent="0.25">
      <c r="A1167" s="1">
        <v>1166</v>
      </c>
      <c r="B1167" s="2">
        <v>45124</v>
      </c>
      <c r="C1167" s="1" t="s">
        <v>12</v>
      </c>
      <c r="D1167" s="1" t="s">
        <v>13</v>
      </c>
      <c r="E1167" s="1" t="s">
        <v>14</v>
      </c>
      <c r="F1167" s="1" t="s">
        <v>31</v>
      </c>
      <c r="G1167" s="1">
        <v>1</v>
      </c>
      <c r="H1167" s="1">
        <v>343</v>
      </c>
      <c r="I1167" s="1">
        <v>15</v>
      </c>
      <c r="J1167" s="4">
        <v>291.55</v>
      </c>
      <c r="K1167" s="4">
        <v>204.32</v>
      </c>
      <c r="L1167" s="4">
        <v>87.23</v>
      </c>
      <c r="M1167" s="1" t="str">
        <f>TEXT(Table1[[#This Row],[Order_Date]], "MMM")</f>
        <v>Jul</v>
      </c>
      <c r="N1167" s="1">
        <f>YEAR(Table1[[#This Row],[Order_Date]])</f>
        <v>2023</v>
      </c>
      <c r="O1167" s="7">
        <f>Table1[[#This Row],[Profit]]/Table1[[#This Row],[Total_Sales]]</f>
        <v>0.29919396329960557</v>
      </c>
    </row>
    <row r="1168" spans="1:15" x14ac:dyDescent="0.25">
      <c r="A1168" s="1">
        <v>1167</v>
      </c>
      <c r="B1168" s="2">
        <v>45199</v>
      </c>
      <c r="C1168" s="1" t="s">
        <v>12</v>
      </c>
      <c r="D1168" s="1" t="s">
        <v>20</v>
      </c>
      <c r="E1168" s="1" t="s">
        <v>30</v>
      </c>
      <c r="F1168" s="1" t="s">
        <v>40</v>
      </c>
      <c r="G1168" s="1">
        <v>3</v>
      </c>
      <c r="H1168" s="1">
        <v>373</v>
      </c>
      <c r="I1168" s="1">
        <v>0</v>
      </c>
      <c r="J1168" s="4">
        <v>1119</v>
      </c>
      <c r="K1168" s="4">
        <v>848.42</v>
      </c>
      <c r="L1168" s="4">
        <v>270.58</v>
      </c>
      <c r="M1168" s="1" t="str">
        <f>TEXT(Table1[[#This Row],[Order_Date]], "MMM")</f>
        <v>Sep</v>
      </c>
      <c r="N1168" s="1">
        <f>YEAR(Table1[[#This Row],[Order_Date]])</f>
        <v>2023</v>
      </c>
      <c r="O1168" s="7">
        <f>Table1[[#This Row],[Profit]]/Table1[[#This Row],[Total_Sales]]</f>
        <v>0.24180518319928507</v>
      </c>
    </row>
    <row r="1169" spans="1:15" x14ac:dyDescent="0.25">
      <c r="A1169" s="1">
        <v>1168</v>
      </c>
      <c r="B1169" s="2">
        <v>44993</v>
      </c>
      <c r="C1169" s="1" t="s">
        <v>16</v>
      </c>
      <c r="D1169" s="1" t="s">
        <v>26</v>
      </c>
      <c r="E1169" s="1" t="s">
        <v>46</v>
      </c>
      <c r="F1169" s="1" t="s">
        <v>31</v>
      </c>
      <c r="G1169" s="1">
        <v>3</v>
      </c>
      <c r="H1169" s="1">
        <v>565</v>
      </c>
      <c r="I1169" s="1">
        <v>0</v>
      </c>
      <c r="J1169" s="4">
        <v>1695</v>
      </c>
      <c r="K1169" s="4">
        <v>1076.81</v>
      </c>
      <c r="L1169" s="4">
        <v>618.19000000000005</v>
      </c>
      <c r="M1169" s="1" t="str">
        <f>TEXT(Table1[[#This Row],[Order_Date]], "MMM")</f>
        <v>Mar</v>
      </c>
      <c r="N1169" s="1">
        <f>YEAR(Table1[[#This Row],[Order_Date]])</f>
        <v>2023</v>
      </c>
      <c r="O1169" s="7">
        <f>Table1[[#This Row],[Profit]]/Table1[[#This Row],[Total_Sales]]</f>
        <v>0.36471386430678471</v>
      </c>
    </row>
    <row r="1170" spans="1:15" x14ac:dyDescent="0.25">
      <c r="A1170" s="1">
        <v>1169</v>
      </c>
      <c r="B1170" s="2">
        <v>45328</v>
      </c>
      <c r="C1170" s="1" t="s">
        <v>25</v>
      </c>
      <c r="D1170" s="1" t="s">
        <v>26</v>
      </c>
      <c r="E1170" s="1" t="s">
        <v>42</v>
      </c>
      <c r="F1170" s="1" t="s">
        <v>18</v>
      </c>
      <c r="G1170" s="1">
        <v>8</v>
      </c>
      <c r="H1170" s="1">
        <v>482</v>
      </c>
      <c r="I1170" s="1">
        <v>5</v>
      </c>
      <c r="J1170" s="4">
        <v>3663.2</v>
      </c>
      <c r="K1170" s="4">
        <v>1952.08</v>
      </c>
      <c r="L1170" s="4">
        <v>1711.12</v>
      </c>
      <c r="M1170" s="1" t="str">
        <f>TEXT(Table1[[#This Row],[Order_Date]], "MMM")</f>
        <v>Feb</v>
      </c>
      <c r="N1170" s="1">
        <f>YEAR(Table1[[#This Row],[Order_Date]])</f>
        <v>2024</v>
      </c>
      <c r="O1170" s="7">
        <f>Table1[[#This Row],[Profit]]/Table1[[#This Row],[Total_Sales]]</f>
        <v>0.4671107228652544</v>
      </c>
    </row>
    <row r="1171" spans="1:15" x14ac:dyDescent="0.25">
      <c r="A1171" s="1">
        <v>1170</v>
      </c>
      <c r="B1171" s="2">
        <v>45402</v>
      </c>
      <c r="C1171" s="1" t="s">
        <v>16</v>
      </c>
      <c r="D1171" s="1" t="s">
        <v>26</v>
      </c>
      <c r="E1171" s="1" t="s">
        <v>27</v>
      </c>
      <c r="F1171" s="1" t="s">
        <v>35</v>
      </c>
      <c r="G1171" s="1">
        <v>8</v>
      </c>
      <c r="H1171" s="1">
        <v>473</v>
      </c>
      <c r="I1171" s="1">
        <v>10</v>
      </c>
      <c r="J1171" s="4">
        <v>3405.6</v>
      </c>
      <c r="K1171" s="4">
        <v>2320.7399999999998</v>
      </c>
      <c r="L1171" s="4">
        <v>1084.8599999999999</v>
      </c>
      <c r="M1171" s="1" t="str">
        <f>TEXT(Table1[[#This Row],[Order_Date]], "MMM")</f>
        <v>Apr</v>
      </c>
      <c r="N1171" s="1">
        <f>YEAR(Table1[[#This Row],[Order_Date]])</f>
        <v>2024</v>
      </c>
      <c r="O1171" s="7">
        <f>Table1[[#This Row],[Profit]]/Table1[[#This Row],[Total_Sales]]</f>
        <v>0.31855179704016912</v>
      </c>
    </row>
    <row r="1172" spans="1:15" x14ac:dyDescent="0.25">
      <c r="A1172" s="1">
        <v>1171</v>
      </c>
      <c r="B1172" s="2">
        <v>45064</v>
      </c>
      <c r="C1172" s="1" t="s">
        <v>12</v>
      </c>
      <c r="D1172" s="1" t="s">
        <v>22</v>
      </c>
      <c r="E1172" s="1" t="s">
        <v>29</v>
      </c>
      <c r="F1172" s="1" t="s">
        <v>35</v>
      </c>
      <c r="G1172" s="1">
        <v>3</v>
      </c>
      <c r="H1172" s="1">
        <v>449</v>
      </c>
      <c r="I1172" s="1">
        <v>10</v>
      </c>
      <c r="J1172" s="4">
        <v>1212.3</v>
      </c>
      <c r="K1172" s="4">
        <v>706.77</v>
      </c>
      <c r="L1172" s="4">
        <v>505.53</v>
      </c>
      <c r="M1172" s="1" t="str">
        <f>TEXT(Table1[[#This Row],[Order_Date]], "MMM")</f>
        <v>May</v>
      </c>
      <c r="N1172" s="1">
        <f>YEAR(Table1[[#This Row],[Order_Date]])</f>
        <v>2023</v>
      </c>
      <c r="O1172" s="7">
        <f>Table1[[#This Row],[Profit]]/Table1[[#This Row],[Total_Sales]]</f>
        <v>0.41700074239049739</v>
      </c>
    </row>
    <row r="1173" spans="1:15" x14ac:dyDescent="0.25">
      <c r="A1173" s="1">
        <v>1172</v>
      </c>
      <c r="B1173" s="2">
        <v>45224</v>
      </c>
      <c r="C1173" s="1" t="s">
        <v>12</v>
      </c>
      <c r="D1173" s="1" t="s">
        <v>20</v>
      </c>
      <c r="E1173" s="1" t="s">
        <v>21</v>
      </c>
      <c r="F1173" s="1" t="s">
        <v>18</v>
      </c>
      <c r="G1173" s="1">
        <v>10</v>
      </c>
      <c r="H1173" s="1">
        <v>688</v>
      </c>
      <c r="I1173" s="1">
        <v>10</v>
      </c>
      <c r="J1173" s="4">
        <v>6192</v>
      </c>
      <c r="K1173" s="4">
        <v>3870.31</v>
      </c>
      <c r="L1173" s="4">
        <v>2321.69</v>
      </c>
      <c r="M1173" s="1" t="str">
        <f>TEXT(Table1[[#This Row],[Order_Date]], "MMM")</f>
        <v>Oct</v>
      </c>
      <c r="N1173" s="1">
        <f>YEAR(Table1[[#This Row],[Order_Date]])</f>
        <v>2023</v>
      </c>
      <c r="O1173" s="7">
        <f>Table1[[#This Row],[Profit]]/Table1[[#This Row],[Total_Sales]]</f>
        <v>0.3749499354005168</v>
      </c>
    </row>
    <row r="1174" spans="1:15" x14ac:dyDescent="0.25">
      <c r="A1174" s="1">
        <v>1173</v>
      </c>
      <c r="B1174" s="2">
        <v>45389</v>
      </c>
      <c r="C1174" s="1" t="s">
        <v>25</v>
      </c>
      <c r="D1174" s="1" t="s">
        <v>22</v>
      </c>
      <c r="E1174" s="1" t="s">
        <v>23</v>
      </c>
      <c r="F1174" s="1" t="s">
        <v>31</v>
      </c>
      <c r="G1174" s="1">
        <v>1</v>
      </c>
      <c r="H1174" s="1">
        <v>588</v>
      </c>
      <c r="I1174" s="1">
        <v>15</v>
      </c>
      <c r="J1174" s="4">
        <v>499.8</v>
      </c>
      <c r="K1174" s="4">
        <v>308.92</v>
      </c>
      <c r="L1174" s="4">
        <v>190.88</v>
      </c>
      <c r="M1174" s="1" t="str">
        <f>TEXT(Table1[[#This Row],[Order_Date]], "MMM")</f>
        <v>Apr</v>
      </c>
      <c r="N1174" s="1">
        <f>YEAR(Table1[[#This Row],[Order_Date]])</f>
        <v>2024</v>
      </c>
      <c r="O1174" s="7">
        <f>Table1[[#This Row],[Profit]]/Table1[[#This Row],[Total_Sales]]</f>
        <v>0.38191276510604238</v>
      </c>
    </row>
    <row r="1175" spans="1:15" x14ac:dyDescent="0.25">
      <c r="A1175" s="1">
        <v>1174</v>
      </c>
      <c r="B1175" s="2">
        <v>45498</v>
      </c>
      <c r="C1175" s="1" t="s">
        <v>25</v>
      </c>
      <c r="D1175" s="1" t="s">
        <v>22</v>
      </c>
      <c r="E1175" s="1" t="s">
        <v>23</v>
      </c>
      <c r="F1175" s="1" t="s">
        <v>35</v>
      </c>
      <c r="G1175" s="1">
        <v>3</v>
      </c>
      <c r="H1175" s="1">
        <v>285</v>
      </c>
      <c r="I1175" s="1">
        <v>5</v>
      </c>
      <c r="J1175" s="4">
        <v>812.25</v>
      </c>
      <c r="K1175" s="4">
        <v>614.91999999999996</v>
      </c>
      <c r="L1175" s="4">
        <v>197.33</v>
      </c>
      <c r="M1175" s="1" t="str">
        <f>TEXT(Table1[[#This Row],[Order_Date]], "MMM")</f>
        <v>Jul</v>
      </c>
      <c r="N1175" s="1">
        <f>YEAR(Table1[[#This Row],[Order_Date]])</f>
        <v>2024</v>
      </c>
      <c r="O1175" s="7">
        <f>Table1[[#This Row],[Profit]]/Table1[[#This Row],[Total_Sales]]</f>
        <v>0.24294244382887042</v>
      </c>
    </row>
    <row r="1176" spans="1:15" x14ac:dyDescent="0.25">
      <c r="A1176" s="1">
        <v>1175</v>
      </c>
      <c r="B1176" s="2">
        <v>45510</v>
      </c>
      <c r="C1176" s="1" t="s">
        <v>25</v>
      </c>
      <c r="D1176" s="1" t="s">
        <v>22</v>
      </c>
      <c r="E1176" s="1" t="s">
        <v>44</v>
      </c>
      <c r="F1176" s="1" t="s">
        <v>24</v>
      </c>
      <c r="G1176" s="1">
        <v>5</v>
      </c>
      <c r="H1176" s="1">
        <v>415</v>
      </c>
      <c r="I1176" s="1">
        <v>10</v>
      </c>
      <c r="J1176" s="4">
        <v>1867.5</v>
      </c>
      <c r="K1176" s="4">
        <v>1049.75</v>
      </c>
      <c r="L1176" s="4">
        <v>817.75</v>
      </c>
      <c r="M1176" s="1" t="str">
        <f>TEXT(Table1[[#This Row],[Order_Date]], "MMM")</f>
        <v>Aug</v>
      </c>
      <c r="N1176" s="1">
        <f>YEAR(Table1[[#This Row],[Order_Date]])</f>
        <v>2024</v>
      </c>
      <c r="O1176" s="7">
        <f>Table1[[#This Row],[Profit]]/Table1[[#This Row],[Total_Sales]]</f>
        <v>0.43788487282463184</v>
      </c>
    </row>
    <row r="1177" spans="1:15" x14ac:dyDescent="0.25">
      <c r="A1177" s="1">
        <v>1176</v>
      </c>
      <c r="B1177" s="2">
        <v>45394</v>
      </c>
      <c r="C1177" s="1" t="s">
        <v>25</v>
      </c>
      <c r="D1177" s="1" t="s">
        <v>20</v>
      </c>
      <c r="E1177" s="1" t="s">
        <v>43</v>
      </c>
      <c r="F1177" s="1" t="s">
        <v>15</v>
      </c>
      <c r="G1177" s="1">
        <v>3</v>
      </c>
      <c r="H1177" s="1">
        <v>988</v>
      </c>
      <c r="I1177" s="1">
        <v>15</v>
      </c>
      <c r="J1177" s="4">
        <v>2519.4</v>
      </c>
      <c r="K1177" s="4">
        <v>1745.07</v>
      </c>
      <c r="L1177" s="4">
        <v>774.33</v>
      </c>
      <c r="M1177" s="1" t="str">
        <f>TEXT(Table1[[#This Row],[Order_Date]], "MMM")</f>
        <v>Apr</v>
      </c>
      <c r="N1177" s="1">
        <f>YEAR(Table1[[#This Row],[Order_Date]])</f>
        <v>2024</v>
      </c>
      <c r="O1177" s="7">
        <f>Table1[[#This Row],[Profit]]/Table1[[#This Row],[Total_Sales]]</f>
        <v>0.30734698737794713</v>
      </c>
    </row>
    <row r="1178" spans="1:15" x14ac:dyDescent="0.25">
      <c r="A1178" s="1">
        <v>1177</v>
      </c>
      <c r="B1178" s="2">
        <v>44994</v>
      </c>
      <c r="C1178" s="1" t="s">
        <v>19</v>
      </c>
      <c r="D1178" s="1" t="s">
        <v>26</v>
      </c>
      <c r="E1178" s="1" t="s">
        <v>46</v>
      </c>
      <c r="F1178" s="1" t="s">
        <v>35</v>
      </c>
      <c r="G1178" s="1">
        <v>10</v>
      </c>
      <c r="H1178" s="1">
        <v>452</v>
      </c>
      <c r="I1178" s="1">
        <v>20</v>
      </c>
      <c r="J1178" s="4">
        <v>3616</v>
      </c>
      <c r="K1178" s="4">
        <v>1831.75</v>
      </c>
      <c r="L1178" s="4">
        <v>1784.25</v>
      </c>
      <c r="M1178" s="1" t="str">
        <f>TEXT(Table1[[#This Row],[Order_Date]], "MMM")</f>
        <v>Mar</v>
      </c>
      <c r="N1178" s="1">
        <f>YEAR(Table1[[#This Row],[Order_Date]])</f>
        <v>2023</v>
      </c>
      <c r="O1178" s="7">
        <f>Table1[[#This Row],[Profit]]/Table1[[#This Row],[Total_Sales]]</f>
        <v>0.49343196902654868</v>
      </c>
    </row>
    <row r="1179" spans="1:15" x14ac:dyDescent="0.25">
      <c r="A1179" s="1">
        <v>1178</v>
      </c>
      <c r="B1179" s="2">
        <v>45193</v>
      </c>
      <c r="C1179" s="1" t="s">
        <v>12</v>
      </c>
      <c r="D1179" s="1" t="s">
        <v>26</v>
      </c>
      <c r="E1179" s="1" t="s">
        <v>37</v>
      </c>
      <c r="F1179" s="1" t="s">
        <v>31</v>
      </c>
      <c r="G1179" s="1">
        <v>8</v>
      </c>
      <c r="H1179" s="1">
        <v>370</v>
      </c>
      <c r="I1179" s="1">
        <v>20</v>
      </c>
      <c r="J1179" s="4">
        <v>2368</v>
      </c>
      <c r="K1179" s="4">
        <v>1486.73</v>
      </c>
      <c r="L1179" s="4">
        <v>881.27</v>
      </c>
      <c r="M1179" s="1" t="str">
        <f>TEXT(Table1[[#This Row],[Order_Date]], "MMM")</f>
        <v>Sep</v>
      </c>
      <c r="N1179" s="1">
        <f>YEAR(Table1[[#This Row],[Order_Date]])</f>
        <v>2023</v>
      </c>
      <c r="O1179" s="7">
        <f>Table1[[#This Row],[Profit]]/Table1[[#This Row],[Total_Sales]]</f>
        <v>0.37215793918918916</v>
      </c>
    </row>
    <row r="1180" spans="1:15" x14ac:dyDescent="0.25">
      <c r="A1180" s="1">
        <v>1179</v>
      </c>
      <c r="B1180" s="2">
        <v>45396</v>
      </c>
      <c r="C1180" s="1" t="s">
        <v>25</v>
      </c>
      <c r="D1180" s="1" t="s">
        <v>20</v>
      </c>
      <c r="E1180" s="1" t="s">
        <v>30</v>
      </c>
      <c r="F1180" s="1" t="s">
        <v>24</v>
      </c>
      <c r="G1180" s="1">
        <v>10</v>
      </c>
      <c r="H1180" s="1">
        <v>748</v>
      </c>
      <c r="I1180" s="1">
        <v>10</v>
      </c>
      <c r="J1180" s="4">
        <v>6732</v>
      </c>
      <c r="K1180" s="4">
        <v>4596.05</v>
      </c>
      <c r="L1180" s="4">
        <v>2135.9499999999998</v>
      </c>
      <c r="M1180" s="1" t="str">
        <f>TEXT(Table1[[#This Row],[Order_Date]], "MMM")</f>
        <v>Apr</v>
      </c>
      <c r="N1180" s="1">
        <f>YEAR(Table1[[#This Row],[Order_Date]])</f>
        <v>2024</v>
      </c>
      <c r="O1180" s="7">
        <f>Table1[[#This Row],[Profit]]/Table1[[#This Row],[Total_Sales]]</f>
        <v>0.31728312537136066</v>
      </c>
    </row>
    <row r="1181" spans="1:15" x14ac:dyDescent="0.25">
      <c r="A1181" s="1">
        <v>1180</v>
      </c>
      <c r="B1181" s="2">
        <v>45502</v>
      </c>
      <c r="C1181" s="1" t="s">
        <v>19</v>
      </c>
      <c r="D1181" s="1" t="s">
        <v>26</v>
      </c>
      <c r="E1181" s="1" t="s">
        <v>37</v>
      </c>
      <c r="F1181" s="1" t="s">
        <v>24</v>
      </c>
      <c r="G1181" s="1">
        <v>1</v>
      </c>
      <c r="H1181" s="1">
        <v>438</v>
      </c>
      <c r="I1181" s="1">
        <v>0</v>
      </c>
      <c r="J1181" s="4">
        <v>438</v>
      </c>
      <c r="K1181" s="4">
        <v>255.61</v>
      </c>
      <c r="L1181" s="4">
        <v>182.39</v>
      </c>
      <c r="M1181" s="1" t="str">
        <f>TEXT(Table1[[#This Row],[Order_Date]], "MMM")</f>
        <v>Jul</v>
      </c>
      <c r="N1181" s="1">
        <f>YEAR(Table1[[#This Row],[Order_Date]])</f>
        <v>2024</v>
      </c>
      <c r="O1181" s="7">
        <f>Table1[[#This Row],[Profit]]/Table1[[#This Row],[Total_Sales]]</f>
        <v>0.41641552511415519</v>
      </c>
    </row>
    <row r="1182" spans="1:15" x14ac:dyDescent="0.25">
      <c r="A1182" s="1">
        <v>1181</v>
      </c>
      <c r="B1182" s="2">
        <v>45001</v>
      </c>
      <c r="C1182" s="1" t="s">
        <v>16</v>
      </c>
      <c r="D1182" s="1" t="s">
        <v>13</v>
      </c>
      <c r="E1182" s="1" t="s">
        <v>38</v>
      </c>
      <c r="F1182" s="1" t="s">
        <v>40</v>
      </c>
      <c r="G1182" s="1">
        <v>9</v>
      </c>
      <c r="H1182" s="1">
        <v>880</v>
      </c>
      <c r="I1182" s="1">
        <v>10</v>
      </c>
      <c r="J1182" s="4">
        <v>7128</v>
      </c>
      <c r="K1182" s="4">
        <v>3992.12</v>
      </c>
      <c r="L1182" s="4">
        <v>3135.88</v>
      </c>
      <c r="M1182" s="1" t="str">
        <f>TEXT(Table1[[#This Row],[Order_Date]], "MMM")</f>
        <v>Mar</v>
      </c>
      <c r="N1182" s="1">
        <f>YEAR(Table1[[#This Row],[Order_Date]])</f>
        <v>2023</v>
      </c>
      <c r="O1182" s="7">
        <f>Table1[[#This Row],[Profit]]/Table1[[#This Row],[Total_Sales]]</f>
        <v>0.43993827160493831</v>
      </c>
    </row>
    <row r="1183" spans="1:15" x14ac:dyDescent="0.25">
      <c r="A1183" s="1">
        <v>1182</v>
      </c>
      <c r="B1183" s="2">
        <v>45011</v>
      </c>
      <c r="C1183" s="1" t="s">
        <v>16</v>
      </c>
      <c r="D1183" s="1" t="s">
        <v>20</v>
      </c>
      <c r="E1183" s="1" t="s">
        <v>28</v>
      </c>
      <c r="F1183" s="1" t="s">
        <v>35</v>
      </c>
      <c r="G1183" s="1">
        <v>9</v>
      </c>
      <c r="H1183" s="1">
        <v>983</v>
      </c>
      <c r="I1183" s="1">
        <v>5</v>
      </c>
      <c r="J1183" s="4">
        <v>8404.65</v>
      </c>
      <c r="K1183" s="4">
        <v>6544.16</v>
      </c>
      <c r="L1183" s="4">
        <v>1860.49</v>
      </c>
      <c r="M1183" s="1" t="str">
        <f>TEXT(Table1[[#This Row],[Order_Date]], "MMM")</f>
        <v>Mar</v>
      </c>
      <c r="N1183" s="1">
        <f>YEAR(Table1[[#This Row],[Order_Date]])</f>
        <v>2023</v>
      </c>
      <c r="O1183" s="7">
        <f>Table1[[#This Row],[Profit]]/Table1[[#This Row],[Total_Sales]]</f>
        <v>0.22136436377481514</v>
      </c>
    </row>
    <row r="1184" spans="1:15" x14ac:dyDescent="0.25">
      <c r="A1184" s="1">
        <v>1183</v>
      </c>
      <c r="B1184" s="2">
        <v>45275</v>
      </c>
      <c r="C1184" s="1" t="s">
        <v>16</v>
      </c>
      <c r="D1184" s="1" t="s">
        <v>32</v>
      </c>
      <c r="E1184" s="1" t="s">
        <v>33</v>
      </c>
      <c r="F1184" s="1" t="s">
        <v>40</v>
      </c>
      <c r="G1184" s="1">
        <v>5</v>
      </c>
      <c r="H1184" s="1">
        <v>635</v>
      </c>
      <c r="I1184" s="1">
        <v>20</v>
      </c>
      <c r="J1184" s="4">
        <v>2540</v>
      </c>
      <c r="K1184" s="4">
        <v>1596.89</v>
      </c>
      <c r="L1184" s="4">
        <v>943.11</v>
      </c>
      <c r="M1184" s="1" t="str">
        <f>TEXT(Table1[[#This Row],[Order_Date]], "MMM")</f>
        <v>Dec</v>
      </c>
      <c r="N1184" s="1">
        <f>YEAR(Table1[[#This Row],[Order_Date]])</f>
        <v>2023</v>
      </c>
      <c r="O1184" s="7">
        <f>Table1[[#This Row],[Profit]]/Table1[[#This Row],[Total_Sales]]</f>
        <v>0.37130314960629923</v>
      </c>
    </row>
    <row r="1185" spans="1:15" x14ac:dyDescent="0.25">
      <c r="A1185" s="1">
        <v>1184</v>
      </c>
      <c r="B1185" s="2">
        <v>45405</v>
      </c>
      <c r="C1185" s="1" t="s">
        <v>19</v>
      </c>
      <c r="D1185" s="1" t="s">
        <v>13</v>
      </c>
      <c r="E1185" s="1" t="s">
        <v>38</v>
      </c>
      <c r="F1185" s="1" t="s">
        <v>15</v>
      </c>
      <c r="G1185" s="1">
        <v>9</v>
      </c>
      <c r="H1185" s="1">
        <v>159</v>
      </c>
      <c r="I1185" s="1">
        <v>0</v>
      </c>
      <c r="J1185" s="4">
        <v>1431</v>
      </c>
      <c r="K1185" s="4">
        <v>1065.19</v>
      </c>
      <c r="L1185" s="4">
        <v>365.81</v>
      </c>
      <c r="M1185" s="1" t="str">
        <f>TEXT(Table1[[#This Row],[Order_Date]], "MMM")</f>
        <v>Apr</v>
      </c>
      <c r="N1185" s="1">
        <f>YEAR(Table1[[#This Row],[Order_Date]])</f>
        <v>2024</v>
      </c>
      <c r="O1185" s="7">
        <f>Table1[[#This Row],[Profit]]/Table1[[#This Row],[Total_Sales]]</f>
        <v>0.25563242487770788</v>
      </c>
    </row>
    <row r="1186" spans="1:15" x14ac:dyDescent="0.25">
      <c r="A1186" s="1">
        <v>1185</v>
      </c>
      <c r="B1186" s="2">
        <v>45276</v>
      </c>
      <c r="C1186" s="1" t="s">
        <v>16</v>
      </c>
      <c r="D1186" s="1" t="s">
        <v>13</v>
      </c>
      <c r="E1186" s="1" t="s">
        <v>14</v>
      </c>
      <c r="F1186" s="1" t="s">
        <v>31</v>
      </c>
      <c r="G1186" s="1">
        <v>9</v>
      </c>
      <c r="H1186" s="1">
        <v>665</v>
      </c>
      <c r="I1186" s="1">
        <v>5</v>
      </c>
      <c r="J1186" s="4">
        <v>5685.75</v>
      </c>
      <c r="K1186" s="4">
        <v>3073.9</v>
      </c>
      <c r="L1186" s="4">
        <v>2611.85</v>
      </c>
      <c r="M1186" s="1" t="str">
        <f>TEXT(Table1[[#This Row],[Order_Date]], "MMM")</f>
        <v>Dec</v>
      </c>
      <c r="N1186" s="1">
        <f>YEAR(Table1[[#This Row],[Order_Date]])</f>
        <v>2023</v>
      </c>
      <c r="O1186" s="7">
        <f>Table1[[#This Row],[Profit]]/Table1[[#This Row],[Total_Sales]]</f>
        <v>0.45936771753946265</v>
      </c>
    </row>
    <row r="1187" spans="1:15" x14ac:dyDescent="0.25">
      <c r="A1187" s="1">
        <v>1186</v>
      </c>
      <c r="B1187" s="2">
        <v>45217</v>
      </c>
      <c r="C1187" s="1" t="s">
        <v>25</v>
      </c>
      <c r="D1187" s="1" t="s">
        <v>26</v>
      </c>
      <c r="E1187" s="1" t="s">
        <v>37</v>
      </c>
      <c r="F1187" s="1" t="s">
        <v>35</v>
      </c>
      <c r="G1187" s="1">
        <v>4</v>
      </c>
      <c r="H1187" s="1">
        <v>142</v>
      </c>
      <c r="I1187" s="1">
        <v>15</v>
      </c>
      <c r="J1187" s="4">
        <v>482.8</v>
      </c>
      <c r="K1187" s="4">
        <v>269.55</v>
      </c>
      <c r="L1187" s="4">
        <v>213.25</v>
      </c>
      <c r="M1187" s="1" t="str">
        <f>TEXT(Table1[[#This Row],[Order_Date]], "MMM")</f>
        <v>Oct</v>
      </c>
      <c r="N1187" s="1">
        <f>YEAR(Table1[[#This Row],[Order_Date]])</f>
        <v>2023</v>
      </c>
      <c r="O1187" s="7">
        <f>Table1[[#This Row],[Profit]]/Table1[[#This Row],[Total_Sales]]</f>
        <v>0.44169428334714167</v>
      </c>
    </row>
    <row r="1188" spans="1:15" x14ac:dyDescent="0.25">
      <c r="A1188" s="1">
        <v>1187</v>
      </c>
      <c r="B1188" s="2">
        <v>45165</v>
      </c>
      <c r="C1188" s="1" t="s">
        <v>25</v>
      </c>
      <c r="D1188" s="1" t="s">
        <v>32</v>
      </c>
      <c r="E1188" s="1" t="s">
        <v>45</v>
      </c>
      <c r="F1188" s="1" t="s">
        <v>40</v>
      </c>
      <c r="G1188" s="1">
        <v>6</v>
      </c>
      <c r="H1188" s="1">
        <v>252</v>
      </c>
      <c r="I1188" s="1">
        <v>15</v>
      </c>
      <c r="J1188" s="4">
        <v>1285.2</v>
      </c>
      <c r="K1188" s="4">
        <v>902.62</v>
      </c>
      <c r="L1188" s="4">
        <v>382.58</v>
      </c>
      <c r="M1188" s="1" t="str">
        <f>TEXT(Table1[[#This Row],[Order_Date]], "MMM")</f>
        <v>Aug</v>
      </c>
      <c r="N1188" s="1">
        <f>YEAR(Table1[[#This Row],[Order_Date]])</f>
        <v>2023</v>
      </c>
      <c r="O1188" s="7">
        <f>Table1[[#This Row],[Profit]]/Table1[[#This Row],[Total_Sales]]</f>
        <v>0.29768129474011823</v>
      </c>
    </row>
    <row r="1189" spans="1:15" x14ac:dyDescent="0.25">
      <c r="A1189" s="1">
        <v>1188</v>
      </c>
      <c r="B1189" s="2">
        <v>45331</v>
      </c>
      <c r="C1189" s="1" t="s">
        <v>25</v>
      </c>
      <c r="D1189" s="1" t="s">
        <v>32</v>
      </c>
      <c r="E1189" s="1" t="s">
        <v>41</v>
      </c>
      <c r="F1189" s="1" t="s">
        <v>31</v>
      </c>
      <c r="G1189" s="1">
        <v>6</v>
      </c>
      <c r="H1189" s="1">
        <v>726</v>
      </c>
      <c r="I1189" s="1">
        <v>0</v>
      </c>
      <c r="J1189" s="4">
        <v>4356</v>
      </c>
      <c r="K1189" s="4">
        <v>3171.07</v>
      </c>
      <c r="L1189" s="4">
        <v>1184.93</v>
      </c>
      <c r="M1189" s="1" t="str">
        <f>TEXT(Table1[[#This Row],[Order_Date]], "MMM")</f>
        <v>Feb</v>
      </c>
      <c r="N1189" s="1">
        <f>YEAR(Table1[[#This Row],[Order_Date]])</f>
        <v>2024</v>
      </c>
      <c r="O1189" s="7">
        <f>Table1[[#This Row],[Profit]]/Table1[[#This Row],[Total_Sales]]</f>
        <v>0.27202249770431591</v>
      </c>
    </row>
    <row r="1190" spans="1:15" x14ac:dyDescent="0.25">
      <c r="A1190" s="1">
        <v>1189</v>
      </c>
      <c r="B1190" s="2">
        <v>45579</v>
      </c>
      <c r="C1190" s="1" t="s">
        <v>25</v>
      </c>
      <c r="D1190" s="1" t="s">
        <v>32</v>
      </c>
      <c r="E1190" s="1" t="s">
        <v>41</v>
      </c>
      <c r="F1190" s="1" t="s">
        <v>18</v>
      </c>
      <c r="G1190" s="1">
        <v>10</v>
      </c>
      <c r="H1190" s="1">
        <v>808</v>
      </c>
      <c r="I1190" s="1">
        <v>0</v>
      </c>
      <c r="J1190" s="4">
        <v>8080</v>
      </c>
      <c r="K1190" s="4">
        <v>6230.01</v>
      </c>
      <c r="L1190" s="4">
        <v>1849.99</v>
      </c>
      <c r="M1190" s="1" t="str">
        <f>TEXT(Table1[[#This Row],[Order_Date]], "MMM")</f>
        <v>Oct</v>
      </c>
      <c r="N1190" s="1">
        <f>YEAR(Table1[[#This Row],[Order_Date]])</f>
        <v>2024</v>
      </c>
      <c r="O1190" s="7">
        <f>Table1[[#This Row],[Profit]]/Table1[[#This Row],[Total_Sales]]</f>
        <v>0.22895915841584158</v>
      </c>
    </row>
    <row r="1191" spans="1:15" x14ac:dyDescent="0.25">
      <c r="A1191" s="1">
        <v>1190</v>
      </c>
      <c r="B1191" s="2">
        <v>45433</v>
      </c>
      <c r="C1191" s="1" t="s">
        <v>19</v>
      </c>
      <c r="D1191" s="1" t="s">
        <v>26</v>
      </c>
      <c r="E1191" s="1" t="s">
        <v>37</v>
      </c>
      <c r="F1191" s="1" t="s">
        <v>24</v>
      </c>
      <c r="G1191" s="1">
        <v>1</v>
      </c>
      <c r="H1191" s="1">
        <v>637</v>
      </c>
      <c r="I1191" s="1">
        <v>10</v>
      </c>
      <c r="J1191" s="4">
        <v>573.29999999999995</v>
      </c>
      <c r="K1191" s="4">
        <v>387.89</v>
      </c>
      <c r="L1191" s="4">
        <v>185.41</v>
      </c>
      <c r="M1191" s="1" t="str">
        <f>TEXT(Table1[[#This Row],[Order_Date]], "MMM")</f>
        <v>May</v>
      </c>
      <c r="N1191" s="1">
        <f>YEAR(Table1[[#This Row],[Order_Date]])</f>
        <v>2024</v>
      </c>
      <c r="O1191" s="7">
        <f>Table1[[#This Row],[Profit]]/Table1[[#This Row],[Total_Sales]]</f>
        <v>0.32340833769405197</v>
      </c>
    </row>
    <row r="1192" spans="1:15" x14ac:dyDescent="0.25">
      <c r="A1192" s="1">
        <v>1191</v>
      </c>
      <c r="B1192" s="2">
        <v>45084</v>
      </c>
      <c r="C1192" s="1" t="s">
        <v>19</v>
      </c>
      <c r="D1192" s="1" t="s">
        <v>20</v>
      </c>
      <c r="E1192" s="1" t="s">
        <v>30</v>
      </c>
      <c r="F1192" s="1" t="s">
        <v>24</v>
      </c>
      <c r="G1192" s="1">
        <v>10</v>
      </c>
      <c r="H1192" s="1">
        <v>403</v>
      </c>
      <c r="I1192" s="1">
        <v>10</v>
      </c>
      <c r="J1192" s="4">
        <v>3627</v>
      </c>
      <c r="K1192" s="4">
        <v>2428</v>
      </c>
      <c r="L1192" s="4">
        <v>1199</v>
      </c>
      <c r="M1192" s="1" t="str">
        <f>TEXT(Table1[[#This Row],[Order_Date]], "MMM")</f>
        <v>Jun</v>
      </c>
      <c r="N1192" s="1">
        <f>YEAR(Table1[[#This Row],[Order_Date]])</f>
        <v>2023</v>
      </c>
      <c r="O1192" s="7">
        <f>Table1[[#This Row],[Profit]]/Table1[[#This Row],[Total_Sales]]</f>
        <v>0.33057623380204026</v>
      </c>
    </row>
    <row r="1193" spans="1:15" x14ac:dyDescent="0.25">
      <c r="A1193" s="1">
        <v>1192</v>
      </c>
      <c r="B1193" s="2">
        <v>45494</v>
      </c>
      <c r="C1193" s="1" t="s">
        <v>12</v>
      </c>
      <c r="D1193" s="1" t="s">
        <v>20</v>
      </c>
      <c r="E1193" s="1" t="s">
        <v>28</v>
      </c>
      <c r="F1193" s="1" t="s">
        <v>31</v>
      </c>
      <c r="G1193" s="1">
        <v>5</v>
      </c>
      <c r="H1193" s="1">
        <v>848</v>
      </c>
      <c r="I1193" s="1">
        <v>15</v>
      </c>
      <c r="J1193" s="4">
        <v>3604</v>
      </c>
      <c r="K1193" s="4">
        <v>2864.08</v>
      </c>
      <c r="L1193" s="4">
        <v>739.92</v>
      </c>
      <c r="M1193" s="1" t="str">
        <f>TEXT(Table1[[#This Row],[Order_Date]], "MMM")</f>
        <v>Jul</v>
      </c>
      <c r="N1193" s="1">
        <f>YEAR(Table1[[#This Row],[Order_Date]])</f>
        <v>2024</v>
      </c>
      <c r="O1193" s="7">
        <f>Table1[[#This Row],[Profit]]/Table1[[#This Row],[Total_Sales]]</f>
        <v>0.20530521642619312</v>
      </c>
    </row>
    <row r="1194" spans="1:15" x14ac:dyDescent="0.25">
      <c r="A1194" s="1">
        <v>1193</v>
      </c>
      <c r="B1194" s="2">
        <v>45144</v>
      </c>
      <c r="C1194" s="1" t="s">
        <v>19</v>
      </c>
      <c r="D1194" s="1" t="s">
        <v>13</v>
      </c>
      <c r="E1194" s="1" t="s">
        <v>14</v>
      </c>
      <c r="F1194" s="1" t="s">
        <v>18</v>
      </c>
      <c r="G1194" s="1">
        <v>10</v>
      </c>
      <c r="H1194" s="1">
        <v>254</v>
      </c>
      <c r="I1194" s="1">
        <v>5</v>
      </c>
      <c r="J1194" s="4">
        <v>2413</v>
      </c>
      <c r="K1194" s="4">
        <v>1910.22</v>
      </c>
      <c r="L1194" s="4">
        <v>502.78</v>
      </c>
      <c r="M1194" s="1" t="str">
        <f>TEXT(Table1[[#This Row],[Order_Date]], "MMM")</f>
        <v>Aug</v>
      </c>
      <c r="N1194" s="1">
        <f>YEAR(Table1[[#This Row],[Order_Date]])</f>
        <v>2023</v>
      </c>
      <c r="O1194" s="7">
        <f>Table1[[#This Row],[Profit]]/Table1[[#This Row],[Total_Sales]]</f>
        <v>0.2083630335681724</v>
      </c>
    </row>
    <row r="1195" spans="1:15" x14ac:dyDescent="0.25">
      <c r="A1195" s="1">
        <v>1194</v>
      </c>
      <c r="B1195" s="2">
        <v>45565</v>
      </c>
      <c r="C1195" s="1" t="s">
        <v>19</v>
      </c>
      <c r="D1195" s="1" t="s">
        <v>32</v>
      </c>
      <c r="E1195" s="1" t="s">
        <v>45</v>
      </c>
      <c r="F1195" s="1" t="s">
        <v>18</v>
      </c>
      <c r="G1195" s="1">
        <v>4</v>
      </c>
      <c r="H1195" s="1">
        <v>367</v>
      </c>
      <c r="I1195" s="1">
        <v>20</v>
      </c>
      <c r="J1195" s="4">
        <v>1174.4000000000001</v>
      </c>
      <c r="K1195" s="4">
        <v>789.4</v>
      </c>
      <c r="L1195" s="4">
        <v>385</v>
      </c>
      <c r="M1195" s="1" t="str">
        <f>TEXT(Table1[[#This Row],[Order_Date]], "MMM")</f>
        <v>Sep</v>
      </c>
      <c r="N1195" s="1">
        <f>YEAR(Table1[[#This Row],[Order_Date]])</f>
        <v>2024</v>
      </c>
      <c r="O1195" s="7">
        <f>Table1[[#This Row],[Profit]]/Table1[[#This Row],[Total_Sales]]</f>
        <v>0.3278269754768392</v>
      </c>
    </row>
    <row r="1196" spans="1:15" x14ac:dyDescent="0.25">
      <c r="A1196" s="1">
        <v>1195</v>
      </c>
      <c r="B1196" s="2">
        <v>45229</v>
      </c>
      <c r="C1196" s="1" t="s">
        <v>19</v>
      </c>
      <c r="D1196" s="1" t="s">
        <v>22</v>
      </c>
      <c r="E1196" s="1" t="s">
        <v>44</v>
      </c>
      <c r="F1196" s="1" t="s">
        <v>35</v>
      </c>
      <c r="G1196" s="1">
        <v>5</v>
      </c>
      <c r="H1196" s="1">
        <v>358</v>
      </c>
      <c r="I1196" s="1">
        <v>15</v>
      </c>
      <c r="J1196" s="4">
        <v>1521.5</v>
      </c>
      <c r="K1196" s="4">
        <v>905.49</v>
      </c>
      <c r="L1196" s="4">
        <v>616.01</v>
      </c>
      <c r="M1196" s="1" t="str">
        <f>TEXT(Table1[[#This Row],[Order_Date]], "MMM")</f>
        <v>Oct</v>
      </c>
      <c r="N1196" s="1">
        <f>YEAR(Table1[[#This Row],[Order_Date]])</f>
        <v>2023</v>
      </c>
      <c r="O1196" s="7">
        <f>Table1[[#This Row],[Profit]]/Table1[[#This Row],[Total_Sales]]</f>
        <v>0.40487019388761092</v>
      </c>
    </row>
    <row r="1197" spans="1:15" x14ac:dyDescent="0.25">
      <c r="A1197" s="1">
        <v>1196</v>
      </c>
      <c r="B1197" s="2">
        <v>45620</v>
      </c>
      <c r="C1197" s="1" t="s">
        <v>25</v>
      </c>
      <c r="D1197" s="1" t="s">
        <v>22</v>
      </c>
      <c r="E1197" s="1" t="s">
        <v>29</v>
      </c>
      <c r="F1197" s="1" t="s">
        <v>15</v>
      </c>
      <c r="G1197" s="1">
        <v>4</v>
      </c>
      <c r="H1197" s="1">
        <v>543</v>
      </c>
      <c r="I1197" s="1">
        <v>10</v>
      </c>
      <c r="J1197" s="4">
        <v>1954.8</v>
      </c>
      <c r="K1197" s="4">
        <v>1388.15</v>
      </c>
      <c r="L1197" s="4">
        <v>566.65</v>
      </c>
      <c r="M1197" s="1" t="str">
        <f>TEXT(Table1[[#This Row],[Order_Date]], "MMM")</f>
        <v>Nov</v>
      </c>
      <c r="N1197" s="1">
        <f>YEAR(Table1[[#This Row],[Order_Date]])</f>
        <v>2024</v>
      </c>
      <c r="O1197" s="7">
        <f>Table1[[#This Row],[Profit]]/Table1[[#This Row],[Total_Sales]]</f>
        <v>0.28987620216901983</v>
      </c>
    </row>
    <row r="1198" spans="1:15" x14ac:dyDescent="0.25">
      <c r="A1198" s="1">
        <v>1197</v>
      </c>
      <c r="B1198" s="2">
        <v>45516</v>
      </c>
      <c r="C1198" s="1" t="s">
        <v>16</v>
      </c>
      <c r="D1198" s="1" t="s">
        <v>32</v>
      </c>
      <c r="E1198" s="1" t="s">
        <v>41</v>
      </c>
      <c r="F1198" s="1" t="s">
        <v>35</v>
      </c>
      <c r="G1198" s="1">
        <v>2</v>
      </c>
      <c r="H1198" s="1">
        <v>261</v>
      </c>
      <c r="I1198" s="1">
        <v>5</v>
      </c>
      <c r="J1198" s="4">
        <v>495.9</v>
      </c>
      <c r="K1198" s="4">
        <v>282.64</v>
      </c>
      <c r="L1198" s="4">
        <v>213.26</v>
      </c>
      <c r="M1198" s="1" t="str">
        <f>TEXT(Table1[[#This Row],[Order_Date]], "MMM")</f>
        <v>Aug</v>
      </c>
      <c r="N1198" s="1">
        <f>YEAR(Table1[[#This Row],[Order_Date]])</f>
        <v>2024</v>
      </c>
      <c r="O1198" s="7">
        <f>Table1[[#This Row],[Profit]]/Table1[[#This Row],[Total_Sales]]</f>
        <v>0.43004638031861264</v>
      </c>
    </row>
    <row r="1199" spans="1:15" x14ac:dyDescent="0.25">
      <c r="A1199" s="1">
        <v>1198</v>
      </c>
      <c r="B1199" s="2">
        <v>45519</v>
      </c>
      <c r="C1199" s="1" t="s">
        <v>16</v>
      </c>
      <c r="D1199" s="1" t="s">
        <v>32</v>
      </c>
      <c r="E1199" s="1" t="s">
        <v>34</v>
      </c>
      <c r="F1199" s="1" t="s">
        <v>40</v>
      </c>
      <c r="G1199" s="1">
        <v>1</v>
      </c>
      <c r="H1199" s="1">
        <v>542</v>
      </c>
      <c r="I1199" s="1">
        <v>20</v>
      </c>
      <c r="J1199" s="4">
        <v>433.6</v>
      </c>
      <c r="K1199" s="4">
        <v>317.3</v>
      </c>
      <c r="L1199" s="4">
        <v>116.3</v>
      </c>
      <c r="M1199" s="1" t="str">
        <f>TEXT(Table1[[#This Row],[Order_Date]], "MMM")</f>
        <v>Aug</v>
      </c>
      <c r="N1199" s="1">
        <f>YEAR(Table1[[#This Row],[Order_Date]])</f>
        <v>2024</v>
      </c>
      <c r="O1199" s="7">
        <f>Table1[[#This Row],[Profit]]/Table1[[#This Row],[Total_Sales]]</f>
        <v>0.26821955719557194</v>
      </c>
    </row>
    <row r="1200" spans="1:15" x14ac:dyDescent="0.25">
      <c r="A1200" s="1">
        <v>1199</v>
      </c>
      <c r="B1200" s="2">
        <v>45094</v>
      </c>
      <c r="C1200" s="1" t="s">
        <v>19</v>
      </c>
      <c r="D1200" s="1" t="s">
        <v>20</v>
      </c>
      <c r="E1200" s="1" t="s">
        <v>30</v>
      </c>
      <c r="F1200" s="1" t="s">
        <v>18</v>
      </c>
      <c r="G1200" s="1">
        <v>2</v>
      </c>
      <c r="H1200" s="1">
        <v>38</v>
      </c>
      <c r="I1200" s="1">
        <v>0</v>
      </c>
      <c r="J1200" s="4">
        <v>76</v>
      </c>
      <c r="K1200" s="4">
        <v>50.71</v>
      </c>
      <c r="L1200" s="4">
        <v>25.29</v>
      </c>
      <c r="M1200" s="1" t="str">
        <f>TEXT(Table1[[#This Row],[Order_Date]], "MMM")</f>
        <v>Jun</v>
      </c>
      <c r="N1200" s="1">
        <f>YEAR(Table1[[#This Row],[Order_Date]])</f>
        <v>2023</v>
      </c>
      <c r="O1200" s="7">
        <f>Table1[[#This Row],[Profit]]/Table1[[#This Row],[Total_Sales]]</f>
        <v>0.33276315789473682</v>
      </c>
    </row>
    <row r="1201" spans="1:15" x14ac:dyDescent="0.25">
      <c r="A1201" s="1">
        <v>1200</v>
      </c>
      <c r="B1201" s="2">
        <v>45396</v>
      </c>
      <c r="C1201" s="1" t="s">
        <v>19</v>
      </c>
      <c r="D1201" s="1" t="s">
        <v>22</v>
      </c>
      <c r="E1201" s="1" t="s">
        <v>23</v>
      </c>
      <c r="F1201" s="1" t="s">
        <v>15</v>
      </c>
      <c r="G1201" s="1">
        <v>8</v>
      </c>
      <c r="H1201" s="1">
        <v>580</v>
      </c>
      <c r="I1201" s="1">
        <v>15</v>
      </c>
      <c r="J1201" s="4">
        <v>3944</v>
      </c>
      <c r="K1201" s="4">
        <v>2524.9299999999998</v>
      </c>
      <c r="L1201" s="4">
        <v>1419.07</v>
      </c>
      <c r="M1201" s="1" t="str">
        <f>TEXT(Table1[[#This Row],[Order_Date]], "MMM")</f>
        <v>Apr</v>
      </c>
      <c r="N1201" s="1">
        <f>YEAR(Table1[[#This Row],[Order_Date]])</f>
        <v>2024</v>
      </c>
      <c r="O1201" s="7">
        <f>Table1[[#This Row],[Profit]]/Table1[[#This Row],[Total_Sales]]</f>
        <v>0.35980476673427991</v>
      </c>
    </row>
    <row r="1202" spans="1:15" x14ac:dyDescent="0.25">
      <c r="A1202" s="1">
        <v>1201</v>
      </c>
      <c r="B1202" s="2">
        <v>45560</v>
      </c>
      <c r="C1202" s="1" t="s">
        <v>25</v>
      </c>
      <c r="D1202" s="1" t="s">
        <v>26</v>
      </c>
      <c r="E1202" s="1" t="s">
        <v>42</v>
      </c>
      <c r="F1202" s="1" t="s">
        <v>18</v>
      </c>
      <c r="G1202" s="1">
        <v>4</v>
      </c>
      <c r="H1202" s="1">
        <v>358</v>
      </c>
      <c r="I1202" s="1">
        <v>20</v>
      </c>
      <c r="J1202" s="4">
        <v>1145.5999999999999</v>
      </c>
      <c r="K1202" s="4">
        <v>864.08</v>
      </c>
      <c r="L1202" s="4">
        <v>281.52</v>
      </c>
      <c r="M1202" s="1" t="str">
        <f>TEXT(Table1[[#This Row],[Order_Date]], "MMM")</f>
        <v>Sep</v>
      </c>
      <c r="N1202" s="1">
        <f>YEAR(Table1[[#This Row],[Order_Date]])</f>
        <v>2024</v>
      </c>
      <c r="O1202" s="7">
        <f>Table1[[#This Row],[Profit]]/Table1[[#This Row],[Total_Sales]]</f>
        <v>0.24574022346368715</v>
      </c>
    </row>
    <row r="1203" spans="1:15" x14ac:dyDescent="0.25">
      <c r="A1203" s="1">
        <v>1202</v>
      </c>
      <c r="B1203" s="2">
        <v>45081</v>
      </c>
      <c r="C1203" s="1" t="s">
        <v>12</v>
      </c>
      <c r="D1203" s="1" t="s">
        <v>22</v>
      </c>
      <c r="E1203" s="1" t="s">
        <v>36</v>
      </c>
      <c r="F1203" s="1" t="s">
        <v>31</v>
      </c>
      <c r="G1203" s="1">
        <v>6</v>
      </c>
      <c r="H1203" s="1">
        <v>655</v>
      </c>
      <c r="I1203" s="1">
        <v>5</v>
      </c>
      <c r="J1203" s="4">
        <v>3733.5</v>
      </c>
      <c r="K1203" s="4">
        <v>2654.83</v>
      </c>
      <c r="L1203" s="4">
        <v>1078.67</v>
      </c>
      <c r="M1203" s="1" t="str">
        <f>TEXT(Table1[[#This Row],[Order_Date]], "MMM")</f>
        <v>Jun</v>
      </c>
      <c r="N1203" s="1">
        <f>YEAR(Table1[[#This Row],[Order_Date]])</f>
        <v>2023</v>
      </c>
      <c r="O1203" s="7">
        <f>Table1[[#This Row],[Profit]]/Table1[[#This Row],[Total_Sales]]</f>
        <v>0.28891656622472212</v>
      </c>
    </row>
    <row r="1204" spans="1:15" x14ac:dyDescent="0.25">
      <c r="A1204" s="1">
        <v>1203</v>
      </c>
      <c r="B1204" s="2">
        <v>45387</v>
      </c>
      <c r="C1204" s="1" t="s">
        <v>16</v>
      </c>
      <c r="D1204" s="1" t="s">
        <v>13</v>
      </c>
      <c r="E1204" s="1" t="s">
        <v>39</v>
      </c>
      <c r="F1204" s="1" t="s">
        <v>31</v>
      </c>
      <c r="G1204" s="1">
        <v>1</v>
      </c>
      <c r="H1204" s="1">
        <v>497</v>
      </c>
      <c r="I1204" s="1">
        <v>5</v>
      </c>
      <c r="J1204" s="4">
        <v>472.15</v>
      </c>
      <c r="K1204" s="4">
        <v>372.21</v>
      </c>
      <c r="L1204" s="4">
        <v>99.94</v>
      </c>
      <c r="M1204" s="1" t="str">
        <f>TEXT(Table1[[#This Row],[Order_Date]], "MMM")</f>
        <v>Apr</v>
      </c>
      <c r="N1204" s="1">
        <f>YEAR(Table1[[#This Row],[Order_Date]])</f>
        <v>2024</v>
      </c>
      <c r="O1204" s="7">
        <f>Table1[[#This Row],[Profit]]/Table1[[#This Row],[Total_Sales]]</f>
        <v>0.21167002012072436</v>
      </c>
    </row>
    <row r="1205" spans="1:15" x14ac:dyDescent="0.25">
      <c r="A1205" s="1">
        <v>1204</v>
      </c>
      <c r="B1205" s="2">
        <v>45195</v>
      </c>
      <c r="C1205" s="1" t="s">
        <v>16</v>
      </c>
      <c r="D1205" s="1" t="s">
        <v>13</v>
      </c>
      <c r="E1205" s="1" t="s">
        <v>39</v>
      </c>
      <c r="F1205" s="1" t="s">
        <v>35</v>
      </c>
      <c r="G1205" s="1">
        <v>4</v>
      </c>
      <c r="H1205" s="1">
        <v>358</v>
      </c>
      <c r="I1205" s="1">
        <v>20</v>
      </c>
      <c r="J1205" s="4">
        <v>1145.5999999999999</v>
      </c>
      <c r="K1205" s="4">
        <v>877</v>
      </c>
      <c r="L1205" s="4">
        <v>268.60000000000002</v>
      </c>
      <c r="M1205" s="1" t="str">
        <f>TEXT(Table1[[#This Row],[Order_Date]], "MMM")</f>
        <v>Sep</v>
      </c>
      <c r="N1205" s="1">
        <f>YEAR(Table1[[#This Row],[Order_Date]])</f>
        <v>2023</v>
      </c>
      <c r="O1205" s="7">
        <f>Table1[[#This Row],[Profit]]/Table1[[#This Row],[Total_Sales]]</f>
        <v>0.23446229050279332</v>
      </c>
    </row>
    <row r="1206" spans="1:15" x14ac:dyDescent="0.25">
      <c r="A1206" s="1">
        <v>1205</v>
      </c>
      <c r="B1206" s="2">
        <v>45424</v>
      </c>
      <c r="C1206" s="1" t="s">
        <v>25</v>
      </c>
      <c r="D1206" s="1" t="s">
        <v>22</v>
      </c>
      <c r="E1206" s="1" t="s">
        <v>36</v>
      </c>
      <c r="F1206" s="1" t="s">
        <v>40</v>
      </c>
      <c r="G1206" s="1">
        <v>6</v>
      </c>
      <c r="H1206" s="1">
        <v>944</v>
      </c>
      <c r="I1206" s="1">
        <v>10</v>
      </c>
      <c r="J1206" s="4">
        <v>5097.6000000000004</v>
      </c>
      <c r="K1206" s="4">
        <v>3270.33</v>
      </c>
      <c r="L1206" s="4">
        <v>1827.27</v>
      </c>
      <c r="M1206" s="1" t="str">
        <f>TEXT(Table1[[#This Row],[Order_Date]], "MMM")</f>
        <v>May</v>
      </c>
      <c r="N1206" s="1">
        <f>YEAR(Table1[[#This Row],[Order_Date]])</f>
        <v>2024</v>
      </c>
      <c r="O1206" s="7">
        <f>Table1[[#This Row],[Profit]]/Table1[[#This Row],[Total_Sales]]</f>
        <v>0.35845692090395476</v>
      </c>
    </row>
    <row r="1207" spans="1:15" x14ac:dyDescent="0.25">
      <c r="A1207" s="1">
        <v>1206</v>
      </c>
      <c r="B1207" s="2">
        <v>45192</v>
      </c>
      <c r="C1207" s="1" t="s">
        <v>19</v>
      </c>
      <c r="D1207" s="1" t="s">
        <v>22</v>
      </c>
      <c r="E1207" s="1" t="s">
        <v>29</v>
      </c>
      <c r="F1207" s="1" t="s">
        <v>35</v>
      </c>
      <c r="G1207" s="1">
        <v>3</v>
      </c>
      <c r="H1207" s="1">
        <v>49</v>
      </c>
      <c r="I1207" s="1">
        <v>10</v>
      </c>
      <c r="J1207" s="4">
        <v>132.30000000000001</v>
      </c>
      <c r="K1207" s="4">
        <v>96.3</v>
      </c>
      <c r="L1207" s="4">
        <v>36</v>
      </c>
      <c r="M1207" s="1" t="str">
        <f>TEXT(Table1[[#This Row],[Order_Date]], "MMM")</f>
        <v>Sep</v>
      </c>
      <c r="N1207" s="1">
        <f>YEAR(Table1[[#This Row],[Order_Date]])</f>
        <v>2023</v>
      </c>
      <c r="O1207" s="7">
        <f>Table1[[#This Row],[Profit]]/Table1[[#This Row],[Total_Sales]]</f>
        <v>0.27210884353741494</v>
      </c>
    </row>
    <row r="1208" spans="1:15" x14ac:dyDescent="0.25">
      <c r="A1208" s="1">
        <v>1207</v>
      </c>
      <c r="B1208" s="2">
        <v>45207</v>
      </c>
      <c r="C1208" s="1" t="s">
        <v>12</v>
      </c>
      <c r="D1208" s="1" t="s">
        <v>22</v>
      </c>
      <c r="E1208" s="1" t="s">
        <v>29</v>
      </c>
      <c r="F1208" s="1" t="s">
        <v>15</v>
      </c>
      <c r="G1208" s="1">
        <v>9</v>
      </c>
      <c r="H1208" s="1">
        <v>595</v>
      </c>
      <c r="I1208" s="1">
        <v>0</v>
      </c>
      <c r="J1208" s="4">
        <v>5355</v>
      </c>
      <c r="K1208" s="4">
        <v>3628.72</v>
      </c>
      <c r="L1208" s="4">
        <v>1726.28</v>
      </c>
      <c r="M1208" s="1" t="str">
        <f>TEXT(Table1[[#This Row],[Order_Date]], "MMM")</f>
        <v>Oct</v>
      </c>
      <c r="N1208" s="1">
        <f>YEAR(Table1[[#This Row],[Order_Date]])</f>
        <v>2023</v>
      </c>
      <c r="O1208" s="7">
        <f>Table1[[#This Row],[Profit]]/Table1[[#This Row],[Total_Sales]]</f>
        <v>0.32236788048552756</v>
      </c>
    </row>
    <row r="1209" spans="1:15" x14ac:dyDescent="0.25">
      <c r="A1209" s="1">
        <v>1208</v>
      </c>
      <c r="B1209" s="2">
        <v>45258</v>
      </c>
      <c r="C1209" s="1" t="s">
        <v>16</v>
      </c>
      <c r="D1209" s="1" t="s">
        <v>22</v>
      </c>
      <c r="E1209" s="1" t="s">
        <v>44</v>
      </c>
      <c r="F1209" s="1" t="s">
        <v>15</v>
      </c>
      <c r="G1209" s="1">
        <v>10</v>
      </c>
      <c r="H1209" s="1">
        <v>938</v>
      </c>
      <c r="I1209" s="1">
        <v>15</v>
      </c>
      <c r="J1209" s="4">
        <v>7973</v>
      </c>
      <c r="K1209" s="4">
        <v>4263.97</v>
      </c>
      <c r="L1209" s="4">
        <v>3709.03</v>
      </c>
      <c r="M1209" s="1" t="str">
        <f>TEXT(Table1[[#This Row],[Order_Date]], "MMM")</f>
        <v>Nov</v>
      </c>
      <c r="N1209" s="1">
        <f>YEAR(Table1[[#This Row],[Order_Date]])</f>
        <v>2023</v>
      </c>
      <c r="O1209" s="7">
        <f>Table1[[#This Row],[Profit]]/Table1[[#This Row],[Total_Sales]]</f>
        <v>0.46519879593628499</v>
      </c>
    </row>
    <row r="1210" spans="1:15" x14ac:dyDescent="0.25">
      <c r="A1210" s="1">
        <v>1209</v>
      </c>
      <c r="B1210" s="2">
        <v>45024</v>
      </c>
      <c r="C1210" s="1" t="s">
        <v>19</v>
      </c>
      <c r="D1210" s="1" t="s">
        <v>22</v>
      </c>
      <c r="E1210" s="1" t="s">
        <v>36</v>
      </c>
      <c r="F1210" s="1" t="s">
        <v>15</v>
      </c>
      <c r="G1210" s="1">
        <v>10</v>
      </c>
      <c r="H1210" s="1">
        <v>17</v>
      </c>
      <c r="I1210" s="1">
        <v>15</v>
      </c>
      <c r="J1210" s="4">
        <v>144.5</v>
      </c>
      <c r="K1210" s="4">
        <v>114.7</v>
      </c>
      <c r="L1210" s="4">
        <v>29.8</v>
      </c>
      <c r="M1210" s="1" t="str">
        <f>TEXT(Table1[[#This Row],[Order_Date]], "MMM")</f>
        <v>Apr</v>
      </c>
      <c r="N1210" s="1">
        <f>YEAR(Table1[[#This Row],[Order_Date]])</f>
        <v>2023</v>
      </c>
      <c r="O1210" s="7">
        <f>Table1[[#This Row],[Profit]]/Table1[[#This Row],[Total_Sales]]</f>
        <v>0.20622837370242214</v>
      </c>
    </row>
    <row r="1211" spans="1:15" x14ac:dyDescent="0.25">
      <c r="A1211" s="1">
        <v>1210</v>
      </c>
      <c r="B1211" s="2">
        <v>45364</v>
      </c>
      <c r="C1211" s="1" t="s">
        <v>16</v>
      </c>
      <c r="D1211" s="1" t="s">
        <v>26</v>
      </c>
      <c r="E1211" s="1" t="s">
        <v>27</v>
      </c>
      <c r="F1211" s="1" t="s">
        <v>31</v>
      </c>
      <c r="G1211" s="1">
        <v>7</v>
      </c>
      <c r="H1211" s="1">
        <v>656</v>
      </c>
      <c r="I1211" s="1">
        <v>5</v>
      </c>
      <c r="J1211" s="4">
        <v>4362.3999999999996</v>
      </c>
      <c r="K1211" s="4">
        <v>3250.04</v>
      </c>
      <c r="L1211" s="4">
        <v>1112.3599999999999</v>
      </c>
      <c r="M1211" s="1" t="str">
        <f>TEXT(Table1[[#This Row],[Order_Date]], "MMM")</f>
        <v>Mar</v>
      </c>
      <c r="N1211" s="1">
        <f>YEAR(Table1[[#This Row],[Order_Date]])</f>
        <v>2024</v>
      </c>
      <c r="O1211" s="7">
        <f>Table1[[#This Row],[Profit]]/Table1[[#This Row],[Total_Sales]]</f>
        <v>0.25498807995598755</v>
      </c>
    </row>
    <row r="1212" spans="1:15" x14ac:dyDescent="0.25">
      <c r="A1212" s="1">
        <v>1211</v>
      </c>
      <c r="B1212" s="2">
        <v>45550</v>
      </c>
      <c r="C1212" s="1" t="s">
        <v>16</v>
      </c>
      <c r="D1212" s="1" t="s">
        <v>13</v>
      </c>
      <c r="E1212" s="1" t="s">
        <v>14</v>
      </c>
      <c r="F1212" s="1" t="s">
        <v>18</v>
      </c>
      <c r="G1212" s="1">
        <v>1</v>
      </c>
      <c r="H1212" s="1">
        <v>794</v>
      </c>
      <c r="I1212" s="1">
        <v>20</v>
      </c>
      <c r="J1212" s="4">
        <v>635.20000000000005</v>
      </c>
      <c r="K1212" s="4">
        <v>475.89</v>
      </c>
      <c r="L1212" s="4">
        <v>159.31</v>
      </c>
      <c r="M1212" s="1" t="str">
        <f>TEXT(Table1[[#This Row],[Order_Date]], "MMM")</f>
        <v>Sep</v>
      </c>
      <c r="N1212" s="1">
        <f>YEAR(Table1[[#This Row],[Order_Date]])</f>
        <v>2024</v>
      </c>
      <c r="O1212" s="7">
        <f>Table1[[#This Row],[Profit]]/Table1[[#This Row],[Total_Sales]]</f>
        <v>0.25080289672544082</v>
      </c>
    </row>
    <row r="1213" spans="1:15" x14ac:dyDescent="0.25">
      <c r="A1213" s="1">
        <v>1212</v>
      </c>
      <c r="B1213" s="2">
        <v>45563</v>
      </c>
      <c r="C1213" s="1" t="s">
        <v>19</v>
      </c>
      <c r="D1213" s="1" t="s">
        <v>32</v>
      </c>
      <c r="E1213" s="1" t="s">
        <v>41</v>
      </c>
      <c r="F1213" s="1" t="s">
        <v>40</v>
      </c>
      <c r="G1213" s="1">
        <v>4</v>
      </c>
      <c r="H1213" s="1">
        <v>891</v>
      </c>
      <c r="I1213" s="1">
        <v>10</v>
      </c>
      <c r="J1213" s="4">
        <v>3207.6</v>
      </c>
      <c r="K1213" s="4">
        <v>1850.25</v>
      </c>
      <c r="L1213" s="4">
        <v>1357.35</v>
      </c>
      <c r="M1213" s="1" t="str">
        <f>TEXT(Table1[[#This Row],[Order_Date]], "MMM")</f>
        <v>Sep</v>
      </c>
      <c r="N1213" s="1">
        <f>YEAR(Table1[[#This Row],[Order_Date]])</f>
        <v>2024</v>
      </c>
      <c r="O1213" s="7">
        <f>Table1[[#This Row],[Profit]]/Table1[[#This Row],[Total_Sales]]</f>
        <v>0.42316685372240925</v>
      </c>
    </row>
    <row r="1214" spans="1:15" x14ac:dyDescent="0.25">
      <c r="A1214" s="1">
        <v>1213</v>
      </c>
      <c r="B1214" s="2">
        <v>45130</v>
      </c>
      <c r="C1214" s="1" t="s">
        <v>12</v>
      </c>
      <c r="D1214" s="1" t="s">
        <v>22</v>
      </c>
      <c r="E1214" s="1" t="s">
        <v>44</v>
      </c>
      <c r="F1214" s="1" t="s">
        <v>35</v>
      </c>
      <c r="G1214" s="1">
        <v>3</v>
      </c>
      <c r="H1214" s="1">
        <v>633</v>
      </c>
      <c r="I1214" s="1">
        <v>0</v>
      </c>
      <c r="J1214" s="4">
        <v>1899</v>
      </c>
      <c r="K1214" s="4">
        <v>1250.2</v>
      </c>
      <c r="L1214" s="4">
        <v>648.79999999999995</v>
      </c>
      <c r="M1214" s="1" t="str">
        <f>TEXT(Table1[[#This Row],[Order_Date]], "MMM")</f>
        <v>Jul</v>
      </c>
      <c r="N1214" s="1">
        <f>YEAR(Table1[[#This Row],[Order_Date]])</f>
        <v>2023</v>
      </c>
      <c r="O1214" s="7">
        <f>Table1[[#This Row],[Profit]]/Table1[[#This Row],[Total_Sales]]</f>
        <v>0.3416535018430753</v>
      </c>
    </row>
    <row r="1215" spans="1:15" x14ac:dyDescent="0.25">
      <c r="A1215" s="1">
        <v>1214</v>
      </c>
      <c r="B1215" s="2">
        <v>45331</v>
      </c>
      <c r="C1215" s="1" t="s">
        <v>19</v>
      </c>
      <c r="D1215" s="1" t="s">
        <v>32</v>
      </c>
      <c r="E1215" s="1" t="s">
        <v>45</v>
      </c>
      <c r="F1215" s="1" t="s">
        <v>31</v>
      </c>
      <c r="G1215" s="1">
        <v>8</v>
      </c>
      <c r="H1215" s="1">
        <v>321</v>
      </c>
      <c r="I1215" s="1">
        <v>5</v>
      </c>
      <c r="J1215" s="4">
        <v>2439.6</v>
      </c>
      <c r="K1215" s="4">
        <v>1551.38</v>
      </c>
      <c r="L1215" s="4">
        <v>888.22</v>
      </c>
      <c r="M1215" s="1" t="str">
        <f>TEXT(Table1[[#This Row],[Order_Date]], "MMM")</f>
        <v>Feb</v>
      </c>
      <c r="N1215" s="1">
        <f>YEAR(Table1[[#This Row],[Order_Date]])</f>
        <v>2024</v>
      </c>
      <c r="O1215" s="7">
        <f>Table1[[#This Row],[Profit]]/Table1[[#This Row],[Total_Sales]]</f>
        <v>0.36408427611083788</v>
      </c>
    </row>
    <row r="1216" spans="1:15" x14ac:dyDescent="0.25">
      <c r="A1216" s="1">
        <v>1215</v>
      </c>
      <c r="B1216" s="2">
        <v>45271</v>
      </c>
      <c r="C1216" s="1" t="s">
        <v>19</v>
      </c>
      <c r="D1216" s="1" t="s">
        <v>22</v>
      </c>
      <c r="E1216" s="1" t="s">
        <v>29</v>
      </c>
      <c r="F1216" s="1" t="s">
        <v>31</v>
      </c>
      <c r="G1216" s="1">
        <v>9</v>
      </c>
      <c r="H1216" s="1">
        <v>367</v>
      </c>
      <c r="I1216" s="1">
        <v>20</v>
      </c>
      <c r="J1216" s="4">
        <v>2642.4</v>
      </c>
      <c r="K1216" s="4">
        <v>1753.25</v>
      </c>
      <c r="L1216" s="4">
        <v>889.15</v>
      </c>
      <c r="M1216" s="1" t="str">
        <f>TEXT(Table1[[#This Row],[Order_Date]], "MMM")</f>
        <v>Dec</v>
      </c>
      <c r="N1216" s="1">
        <f>YEAR(Table1[[#This Row],[Order_Date]])</f>
        <v>2023</v>
      </c>
      <c r="O1216" s="7">
        <f>Table1[[#This Row],[Profit]]/Table1[[#This Row],[Total_Sales]]</f>
        <v>0.33649333938843473</v>
      </c>
    </row>
    <row r="1217" spans="1:15" x14ac:dyDescent="0.25">
      <c r="A1217" s="1">
        <v>1216</v>
      </c>
      <c r="B1217" s="2">
        <v>45172</v>
      </c>
      <c r="C1217" s="1" t="s">
        <v>12</v>
      </c>
      <c r="D1217" s="1" t="s">
        <v>32</v>
      </c>
      <c r="E1217" s="1" t="s">
        <v>33</v>
      </c>
      <c r="F1217" s="1" t="s">
        <v>24</v>
      </c>
      <c r="G1217" s="1">
        <v>3</v>
      </c>
      <c r="H1217" s="1">
        <v>730</v>
      </c>
      <c r="I1217" s="1">
        <v>0</v>
      </c>
      <c r="J1217" s="4">
        <v>2190</v>
      </c>
      <c r="K1217" s="4">
        <v>1231.4100000000001</v>
      </c>
      <c r="L1217" s="4">
        <v>958.59</v>
      </c>
      <c r="M1217" s="1" t="str">
        <f>TEXT(Table1[[#This Row],[Order_Date]], "MMM")</f>
        <v>Sep</v>
      </c>
      <c r="N1217" s="1">
        <f>YEAR(Table1[[#This Row],[Order_Date]])</f>
        <v>2023</v>
      </c>
      <c r="O1217" s="7">
        <f>Table1[[#This Row],[Profit]]/Table1[[#This Row],[Total_Sales]]</f>
        <v>0.43771232876712329</v>
      </c>
    </row>
    <row r="1218" spans="1:15" x14ac:dyDescent="0.25">
      <c r="A1218" s="1">
        <v>1217</v>
      </c>
      <c r="B1218" s="2">
        <v>45443</v>
      </c>
      <c r="C1218" s="1" t="s">
        <v>25</v>
      </c>
      <c r="D1218" s="1" t="s">
        <v>13</v>
      </c>
      <c r="E1218" s="1" t="s">
        <v>38</v>
      </c>
      <c r="F1218" s="1" t="s">
        <v>24</v>
      </c>
      <c r="G1218" s="1">
        <v>4</v>
      </c>
      <c r="H1218" s="1">
        <v>728</v>
      </c>
      <c r="I1218" s="1">
        <v>20</v>
      </c>
      <c r="J1218" s="4">
        <v>2329.6</v>
      </c>
      <c r="K1218" s="4">
        <v>1833.51</v>
      </c>
      <c r="L1218" s="4">
        <v>496.09</v>
      </c>
      <c r="M1218" s="1" t="str">
        <f>TEXT(Table1[[#This Row],[Order_Date]], "MMM")</f>
        <v>May</v>
      </c>
      <c r="N1218" s="1">
        <f>YEAR(Table1[[#This Row],[Order_Date]])</f>
        <v>2024</v>
      </c>
      <c r="O1218" s="7">
        <f>Table1[[#This Row],[Profit]]/Table1[[#This Row],[Total_Sales]]</f>
        <v>0.21295072115384614</v>
      </c>
    </row>
    <row r="1219" spans="1:15" x14ac:dyDescent="0.25">
      <c r="A1219" s="1">
        <v>1218</v>
      </c>
      <c r="B1219" s="2">
        <v>45226</v>
      </c>
      <c r="C1219" s="1" t="s">
        <v>19</v>
      </c>
      <c r="D1219" s="1" t="s">
        <v>13</v>
      </c>
      <c r="E1219" s="1" t="s">
        <v>14</v>
      </c>
      <c r="F1219" s="1" t="s">
        <v>40</v>
      </c>
      <c r="G1219" s="1">
        <v>2</v>
      </c>
      <c r="H1219" s="1">
        <v>744</v>
      </c>
      <c r="I1219" s="1">
        <v>20</v>
      </c>
      <c r="J1219" s="4">
        <v>1190.4000000000001</v>
      </c>
      <c r="K1219" s="4">
        <v>929.41</v>
      </c>
      <c r="L1219" s="4">
        <v>260.99</v>
      </c>
      <c r="M1219" s="1" t="str">
        <f>TEXT(Table1[[#This Row],[Order_Date]], "MMM")</f>
        <v>Oct</v>
      </c>
      <c r="N1219" s="1">
        <f>YEAR(Table1[[#This Row],[Order_Date]])</f>
        <v>2023</v>
      </c>
      <c r="O1219" s="7">
        <f>Table1[[#This Row],[Profit]]/Table1[[#This Row],[Total_Sales]]</f>
        <v>0.2192456317204301</v>
      </c>
    </row>
    <row r="1220" spans="1:15" x14ac:dyDescent="0.25">
      <c r="A1220" s="1">
        <v>1219</v>
      </c>
      <c r="B1220" s="2">
        <v>45407</v>
      </c>
      <c r="C1220" s="1" t="s">
        <v>19</v>
      </c>
      <c r="D1220" s="1" t="s">
        <v>20</v>
      </c>
      <c r="E1220" s="1" t="s">
        <v>30</v>
      </c>
      <c r="F1220" s="1" t="s">
        <v>18</v>
      </c>
      <c r="G1220" s="1">
        <v>10</v>
      </c>
      <c r="H1220" s="1">
        <v>500</v>
      </c>
      <c r="I1220" s="1">
        <v>5</v>
      </c>
      <c r="J1220" s="4">
        <v>4750</v>
      </c>
      <c r="K1220" s="4">
        <v>2388.46</v>
      </c>
      <c r="L1220" s="4">
        <v>2361.54</v>
      </c>
      <c r="M1220" s="1" t="str">
        <f>TEXT(Table1[[#This Row],[Order_Date]], "MMM")</f>
        <v>Apr</v>
      </c>
      <c r="N1220" s="1">
        <f>YEAR(Table1[[#This Row],[Order_Date]])</f>
        <v>2024</v>
      </c>
      <c r="O1220" s="7">
        <f>Table1[[#This Row],[Profit]]/Table1[[#This Row],[Total_Sales]]</f>
        <v>0.49716631578947368</v>
      </c>
    </row>
    <row r="1221" spans="1:15" x14ac:dyDescent="0.25">
      <c r="A1221" s="1">
        <v>1220</v>
      </c>
      <c r="B1221" s="2">
        <v>44932</v>
      </c>
      <c r="C1221" s="1" t="s">
        <v>12</v>
      </c>
      <c r="D1221" s="1" t="s">
        <v>13</v>
      </c>
      <c r="E1221" s="1" t="s">
        <v>38</v>
      </c>
      <c r="F1221" s="1" t="s">
        <v>31</v>
      </c>
      <c r="G1221" s="1">
        <v>2</v>
      </c>
      <c r="H1221" s="1">
        <v>351</v>
      </c>
      <c r="I1221" s="1">
        <v>0</v>
      </c>
      <c r="J1221" s="4">
        <v>702</v>
      </c>
      <c r="K1221" s="4">
        <v>425.14</v>
      </c>
      <c r="L1221" s="4">
        <v>276.86</v>
      </c>
      <c r="M1221" s="1" t="str">
        <f>TEXT(Table1[[#This Row],[Order_Date]], "MMM")</f>
        <v>Jan</v>
      </c>
      <c r="N1221" s="1">
        <f>YEAR(Table1[[#This Row],[Order_Date]])</f>
        <v>2023</v>
      </c>
      <c r="O1221" s="7">
        <f>Table1[[#This Row],[Profit]]/Table1[[#This Row],[Total_Sales]]</f>
        <v>0.39438746438746441</v>
      </c>
    </row>
    <row r="1222" spans="1:15" x14ac:dyDescent="0.25">
      <c r="A1222" s="1">
        <v>1221</v>
      </c>
      <c r="B1222" s="2">
        <v>45332</v>
      </c>
      <c r="C1222" s="1" t="s">
        <v>12</v>
      </c>
      <c r="D1222" s="1" t="s">
        <v>13</v>
      </c>
      <c r="E1222" s="1" t="s">
        <v>17</v>
      </c>
      <c r="F1222" s="1" t="s">
        <v>24</v>
      </c>
      <c r="G1222" s="1">
        <v>2</v>
      </c>
      <c r="H1222" s="1">
        <v>401</v>
      </c>
      <c r="I1222" s="1">
        <v>10</v>
      </c>
      <c r="J1222" s="4">
        <v>721.8</v>
      </c>
      <c r="K1222" s="4">
        <v>418.51</v>
      </c>
      <c r="L1222" s="4">
        <v>303.29000000000002</v>
      </c>
      <c r="M1222" s="1" t="str">
        <f>TEXT(Table1[[#This Row],[Order_Date]], "MMM")</f>
        <v>Feb</v>
      </c>
      <c r="N1222" s="1">
        <f>YEAR(Table1[[#This Row],[Order_Date]])</f>
        <v>2024</v>
      </c>
      <c r="O1222" s="7">
        <f>Table1[[#This Row],[Profit]]/Table1[[#This Row],[Total_Sales]]</f>
        <v>0.42018564699362709</v>
      </c>
    </row>
    <row r="1223" spans="1:15" x14ac:dyDescent="0.25">
      <c r="A1223" s="1">
        <v>1222</v>
      </c>
      <c r="B1223" s="2">
        <v>45264</v>
      </c>
      <c r="C1223" s="1" t="s">
        <v>19</v>
      </c>
      <c r="D1223" s="1" t="s">
        <v>13</v>
      </c>
      <c r="E1223" s="1" t="s">
        <v>38</v>
      </c>
      <c r="F1223" s="1" t="s">
        <v>24</v>
      </c>
      <c r="G1223" s="1">
        <v>10</v>
      </c>
      <c r="H1223" s="1">
        <v>690</v>
      </c>
      <c r="I1223" s="1">
        <v>15</v>
      </c>
      <c r="J1223" s="4">
        <v>5865</v>
      </c>
      <c r="K1223" s="4">
        <v>3174.34</v>
      </c>
      <c r="L1223" s="4">
        <v>2690.66</v>
      </c>
      <c r="M1223" s="1" t="str">
        <f>TEXT(Table1[[#This Row],[Order_Date]], "MMM")</f>
        <v>Dec</v>
      </c>
      <c r="N1223" s="1">
        <f>YEAR(Table1[[#This Row],[Order_Date]])</f>
        <v>2023</v>
      </c>
      <c r="O1223" s="7">
        <f>Table1[[#This Row],[Profit]]/Table1[[#This Row],[Total_Sales]]</f>
        <v>0.4587655583972719</v>
      </c>
    </row>
    <row r="1224" spans="1:15" x14ac:dyDescent="0.25">
      <c r="A1224" s="1">
        <v>1223</v>
      </c>
      <c r="B1224" s="2">
        <v>45415</v>
      </c>
      <c r="C1224" s="1" t="s">
        <v>12</v>
      </c>
      <c r="D1224" s="1" t="s">
        <v>22</v>
      </c>
      <c r="E1224" s="1" t="s">
        <v>23</v>
      </c>
      <c r="F1224" s="1" t="s">
        <v>40</v>
      </c>
      <c r="G1224" s="1">
        <v>5</v>
      </c>
      <c r="H1224" s="1">
        <v>508</v>
      </c>
      <c r="I1224" s="1">
        <v>20</v>
      </c>
      <c r="J1224" s="4">
        <v>2032</v>
      </c>
      <c r="K1224" s="4">
        <v>1037.79</v>
      </c>
      <c r="L1224" s="4">
        <v>994.21</v>
      </c>
      <c r="M1224" s="1" t="str">
        <f>TEXT(Table1[[#This Row],[Order_Date]], "MMM")</f>
        <v>May</v>
      </c>
      <c r="N1224" s="1">
        <f>YEAR(Table1[[#This Row],[Order_Date]])</f>
        <v>2024</v>
      </c>
      <c r="O1224" s="7">
        <f>Table1[[#This Row],[Profit]]/Table1[[#This Row],[Total_Sales]]</f>
        <v>0.48927657480314962</v>
      </c>
    </row>
    <row r="1225" spans="1:15" x14ac:dyDescent="0.25">
      <c r="A1225" s="1">
        <v>1224</v>
      </c>
      <c r="B1225" s="2">
        <v>45523</v>
      </c>
      <c r="C1225" s="1" t="s">
        <v>25</v>
      </c>
      <c r="D1225" s="1" t="s">
        <v>26</v>
      </c>
      <c r="E1225" s="1" t="s">
        <v>37</v>
      </c>
      <c r="F1225" s="1" t="s">
        <v>18</v>
      </c>
      <c r="G1225" s="1">
        <v>3</v>
      </c>
      <c r="H1225" s="1">
        <v>449</v>
      </c>
      <c r="I1225" s="1">
        <v>5</v>
      </c>
      <c r="J1225" s="4">
        <v>1279.6500000000001</v>
      </c>
      <c r="K1225" s="4">
        <v>1006.95</v>
      </c>
      <c r="L1225" s="4">
        <v>272.7</v>
      </c>
      <c r="M1225" s="1" t="str">
        <f>TEXT(Table1[[#This Row],[Order_Date]], "MMM")</f>
        <v>Aug</v>
      </c>
      <c r="N1225" s="1">
        <f>YEAR(Table1[[#This Row],[Order_Date]])</f>
        <v>2024</v>
      </c>
      <c r="O1225" s="7">
        <f>Table1[[#This Row],[Profit]]/Table1[[#This Row],[Total_Sales]]</f>
        <v>0.21310514593834248</v>
      </c>
    </row>
    <row r="1226" spans="1:15" x14ac:dyDescent="0.25">
      <c r="A1226" s="1">
        <v>1225</v>
      </c>
      <c r="B1226" s="2">
        <v>44946</v>
      </c>
      <c r="C1226" s="1" t="s">
        <v>16</v>
      </c>
      <c r="D1226" s="1" t="s">
        <v>13</v>
      </c>
      <c r="E1226" s="1" t="s">
        <v>17</v>
      </c>
      <c r="F1226" s="1" t="s">
        <v>31</v>
      </c>
      <c r="G1226" s="1">
        <v>1</v>
      </c>
      <c r="H1226" s="1">
        <v>80</v>
      </c>
      <c r="I1226" s="1">
        <v>15</v>
      </c>
      <c r="J1226" s="4">
        <v>68</v>
      </c>
      <c r="K1226" s="4">
        <v>47.38</v>
      </c>
      <c r="L1226" s="4">
        <v>20.62</v>
      </c>
      <c r="M1226" s="1" t="str">
        <f>TEXT(Table1[[#This Row],[Order_Date]], "MMM")</f>
        <v>Jan</v>
      </c>
      <c r="N1226" s="1">
        <f>YEAR(Table1[[#This Row],[Order_Date]])</f>
        <v>2023</v>
      </c>
      <c r="O1226" s="7">
        <f>Table1[[#This Row],[Profit]]/Table1[[#This Row],[Total_Sales]]</f>
        <v>0.30323529411764705</v>
      </c>
    </row>
    <row r="1227" spans="1:15" x14ac:dyDescent="0.25">
      <c r="A1227" s="1">
        <v>1226</v>
      </c>
      <c r="B1227" s="2">
        <v>45613</v>
      </c>
      <c r="C1227" s="1" t="s">
        <v>25</v>
      </c>
      <c r="D1227" s="1" t="s">
        <v>32</v>
      </c>
      <c r="E1227" s="1" t="s">
        <v>45</v>
      </c>
      <c r="F1227" s="1" t="s">
        <v>31</v>
      </c>
      <c r="G1227" s="1">
        <v>1</v>
      </c>
      <c r="H1227" s="1">
        <v>35</v>
      </c>
      <c r="I1227" s="1">
        <v>5</v>
      </c>
      <c r="J1227" s="4">
        <v>33.25</v>
      </c>
      <c r="K1227" s="4">
        <v>19.149999999999999</v>
      </c>
      <c r="L1227" s="4">
        <v>14.1</v>
      </c>
      <c r="M1227" s="1" t="str">
        <f>TEXT(Table1[[#This Row],[Order_Date]], "MMM")</f>
        <v>Nov</v>
      </c>
      <c r="N1227" s="1">
        <f>YEAR(Table1[[#This Row],[Order_Date]])</f>
        <v>2024</v>
      </c>
      <c r="O1227" s="7">
        <f>Table1[[#This Row],[Profit]]/Table1[[#This Row],[Total_Sales]]</f>
        <v>0.42406015037593986</v>
      </c>
    </row>
    <row r="1228" spans="1:15" x14ac:dyDescent="0.25">
      <c r="A1228" s="1">
        <v>1227</v>
      </c>
      <c r="B1228" s="2">
        <v>45117</v>
      </c>
      <c r="C1228" s="1" t="s">
        <v>16</v>
      </c>
      <c r="D1228" s="1" t="s">
        <v>20</v>
      </c>
      <c r="E1228" s="1" t="s">
        <v>43</v>
      </c>
      <c r="F1228" s="1" t="s">
        <v>31</v>
      </c>
      <c r="G1228" s="1">
        <v>10</v>
      </c>
      <c r="H1228" s="1">
        <v>662</v>
      </c>
      <c r="I1228" s="1">
        <v>20</v>
      </c>
      <c r="J1228" s="4">
        <v>5296</v>
      </c>
      <c r="K1228" s="4">
        <v>2790.92</v>
      </c>
      <c r="L1228" s="4">
        <v>2505.08</v>
      </c>
      <c r="M1228" s="1" t="str">
        <f>TEXT(Table1[[#This Row],[Order_Date]], "MMM")</f>
        <v>Jul</v>
      </c>
      <c r="N1228" s="1">
        <f>YEAR(Table1[[#This Row],[Order_Date]])</f>
        <v>2023</v>
      </c>
      <c r="O1228" s="7">
        <f>Table1[[#This Row],[Profit]]/Table1[[#This Row],[Total_Sales]]</f>
        <v>0.47301359516616315</v>
      </c>
    </row>
    <row r="1229" spans="1:15" x14ac:dyDescent="0.25">
      <c r="A1229" s="1">
        <v>1228</v>
      </c>
      <c r="B1229" s="2">
        <v>45643</v>
      </c>
      <c r="C1229" s="1" t="s">
        <v>16</v>
      </c>
      <c r="D1229" s="1" t="s">
        <v>20</v>
      </c>
      <c r="E1229" s="1" t="s">
        <v>28</v>
      </c>
      <c r="F1229" s="1" t="s">
        <v>35</v>
      </c>
      <c r="G1229" s="1">
        <v>6</v>
      </c>
      <c r="H1229" s="1">
        <v>601</v>
      </c>
      <c r="I1229" s="1">
        <v>0</v>
      </c>
      <c r="J1229" s="4">
        <v>3606</v>
      </c>
      <c r="K1229" s="4">
        <v>1857.26</v>
      </c>
      <c r="L1229" s="4">
        <v>1748.74</v>
      </c>
      <c r="M1229" s="1" t="str">
        <f>TEXT(Table1[[#This Row],[Order_Date]], "MMM")</f>
        <v>Dec</v>
      </c>
      <c r="N1229" s="1">
        <f>YEAR(Table1[[#This Row],[Order_Date]])</f>
        <v>2024</v>
      </c>
      <c r="O1229" s="7">
        <f>Table1[[#This Row],[Profit]]/Table1[[#This Row],[Total_Sales]]</f>
        <v>0.48495285635052693</v>
      </c>
    </row>
    <row r="1230" spans="1:15" x14ac:dyDescent="0.25">
      <c r="A1230" s="1">
        <v>1229</v>
      </c>
      <c r="B1230" s="2">
        <v>45264</v>
      </c>
      <c r="C1230" s="1" t="s">
        <v>25</v>
      </c>
      <c r="D1230" s="1" t="s">
        <v>13</v>
      </c>
      <c r="E1230" s="1" t="s">
        <v>39</v>
      </c>
      <c r="F1230" s="1" t="s">
        <v>24</v>
      </c>
      <c r="G1230" s="1">
        <v>9</v>
      </c>
      <c r="H1230" s="1">
        <v>271</v>
      </c>
      <c r="I1230" s="1">
        <v>10</v>
      </c>
      <c r="J1230" s="4">
        <v>2195.1</v>
      </c>
      <c r="K1230" s="4">
        <v>1647.75</v>
      </c>
      <c r="L1230" s="4">
        <v>547.35</v>
      </c>
      <c r="M1230" s="1" t="str">
        <f>TEXT(Table1[[#This Row],[Order_Date]], "MMM")</f>
        <v>Dec</v>
      </c>
      <c r="N1230" s="1">
        <f>YEAR(Table1[[#This Row],[Order_Date]])</f>
        <v>2023</v>
      </c>
      <c r="O1230" s="7">
        <f>Table1[[#This Row],[Profit]]/Table1[[#This Row],[Total_Sales]]</f>
        <v>0.24935082684160176</v>
      </c>
    </row>
    <row r="1231" spans="1:15" x14ac:dyDescent="0.25">
      <c r="A1231" s="1">
        <v>1230</v>
      </c>
      <c r="B1231" s="2">
        <v>45378</v>
      </c>
      <c r="C1231" s="1" t="s">
        <v>12</v>
      </c>
      <c r="D1231" s="1" t="s">
        <v>32</v>
      </c>
      <c r="E1231" s="1" t="s">
        <v>41</v>
      </c>
      <c r="F1231" s="1" t="s">
        <v>15</v>
      </c>
      <c r="G1231" s="1">
        <v>9</v>
      </c>
      <c r="H1231" s="1">
        <v>444</v>
      </c>
      <c r="I1231" s="1">
        <v>0</v>
      </c>
      <c r="J1231" s="4">
        <v>3996</v>
      </c>
      <c r="K1231" s="4">
        <v>2089.35</v>
      </c>
      <c r="L1231" s="4">
        <v>1906.65</v>
      </c>
      <c r="M1231" s="1" t="str">
        <f>TEXT(Table1[[#This Row],[Order_Date]], "MMM")</f>
        <v>Mar</v>
      </c>
      <c r="N1231" s="1">
        <f>YEAR(Table1[[#This Row],[Order_Date]])</f>
        <v>2024</v>
      </c>
      <c r="O1231" s="7">
        <f>Table1[[#This Row],[Profit]]/Table1[[#This Row],[Total_Sales]]</f>
        <v>0.47713963963963968</v>
      </c>
    </row>
    <row r="1232" spans="1:15" x14ac:dyDescent="0.25">
      <c r="A1232" s="1">
        <v>1231</v>
      </c>
      <c r="B1232" s="2">
        <v>45654</v>
      </c>
      <c r="C1232" s="1" t="s">
        <v>16</v>
      </c>
      <c r="D1232" s="1" t="s">
        <v>26</v>
      </c>
      <c r="E1232" s="1" t="s">
        <v>42</v>
      </c>
      <c r="F1232" s="1" t="s">
        <v>35</v>
      </c>
      <c r="G1232" s="1">
        <v>8</v>
      </c>
      <c r="H1232" s="1">
        <v>186</v>
      </c>
      <c r="I1232" s="1">
        <v>10</v>
      </c>
      <c r="J1232" s="4">
        <v>1339.2</v>
      </c>
      <c r="K1232" s="4">
        <v>1022.99</v>
      </c>
      <c r="L1232" s="4">
        <v>316.20999999999998</v>
      </c>
      <c r="M1232" s="1" t="str">
        <f>TEXT(Table1[[#This Row],[Order_Date]], "MMM")</f>
        <v>Dec</v>
      </c>
      <c r="N1232" s="1">
        <f>YEAR(Table1[[#This Row],[Order_Date]])</f>
        <v>2024</v>
      </c>
      <c r="O1232" s="7">
        <f>Table1[[#This Row],[Profit]]/Table1[[#This Row],[Total_Sales]]</f>
        <v>0.236118578255675</v>
      </c>
    </row>
    <row r="1233" spans="1:15" x14ac:dyDescent="0.25">
      <c r="A1233" s="1">
        <v>1232</v>
      </c>
      <c r="B1233" s="2">
        <v>44963</v>
      </c>
      <c r="C1233" s="1" t="s">
        <v>12</v>
      </c>
      <c r="D1233" s="1" t="s">
        <v>26</v>
      </c>
      <c r="E1233" s="1" t="s">
        <v>46</v>
      </c>
      <c r="F1233" s="1" t="s">
        <v>35</v>
      </c>
      <c r="G1233" s="1">
        <v>6</v>
      </c>
      <c r="H1233" s="1">
        <v>481</v>
      </c>
      <c r="I1233" s="1">
        <v>20</v>
      </c>
      <c r="J1233" s="4">
        <v>2308.8000000000002</v>
      </c>
      <c r="K1233" s="4">
        <v>1748.33</v>
      </c>
      <c r="L1233" s="4">
        <v>560.47</v>
      </c>
      <c r="M1233" s="1" t="str">
        <f>TEXT(Table1[[#This Row],[Order_Date]], "MMM")</f>
        <v>Feb</v>
      </c>
      <c r="N1233" s="1">
        <f>YEAR(Table1[[#This Row],[Order_Date]])</f>
        <v>2023</v>
      </c>
      <c r="O1233" s="7">
        <f>Table1[[#This Row],[Profit]]/Table1[[#This Row],[Total_Sales]]</f>
        <v>0.24275381150381151</v>
      </c>
    </row>
    <row r="1234" spans="1:15" x14ac:dyDescent="0.25">
      <c r="A1234" s="1">
        <v>1233</v>
      </c>
      <c r="B1234" s="2">
        <v>45646</v>
      </c>
      <c r="C1234" s="1" t="s">
        <v>25</v>
      </c>
      <c r="D1234" s="1" t="s">
        <v>26</v>
      </c>
      <c r="E1234" s="1" t="s">
        <v>42</v>
      </c>
      <c r="F1234" s="1" t="s">
        <v>40</v>
      </c>
      <c r="G1234" s="1">
        <v>10</v>
      </c>
      <c r="H1234" s="1">
        <v>182</v>
      </c>
      <c r="I1234" s="1">
        <v>10</v>
      </c>
      <c r="J1234" s="4">
        <v>1638</v>
      </c>
      <c r="K1234" s="4">
        <v>924.17</v>
      </c>
      <c r="L1234" s="4">
        <v>713.83</v>
      </c>
      <c r="M1234" s="1" t="str">
        <f>TEXT(Table1[[#This Row],[Order_Date]], "MMM")</f>
        <v>Dec</v>
      </c>
      <c r="N1234" s="1">
        <f>YEAR(Table1[[#This Row],[Order_Date]])</f>
        <v>2024</v>
      </c>
      <c r="O1234" s="7">
        <f>Table1[[#This Row],[Profit]]/Table1[[#This Row],[Total_Sales]]</f>
        <v>0.43579365079365084</v>
      </c>
    </row>
    <row r="1235" spans="1:15" x14ac:dyDescent="0.25">
      <c r="A1235" s="1">
        <v>1234</v>
      </c>
      <c r="B1235" s="2">
        <v>45562</v>
      </c>
      <c r="C1235" s="1" t="s">
        <v>16</v>
      </c>
      <c r="D1235" s="1" t="s">
        <v>22</v>
      </c>
      <c r="E1235" s="1" t="s">
        <v>36</v>
      </c>
      <c r="F1235" s="1" t="s">
        <v>15</v>
      </c>
      <c r="G1235" s="1">
        <v>1</v>
      </c>
      <c r="H1235" s="1">
        <v>241</v>
      </c>
      <c r="I1235" s="1">
        <v>5</v>
      </c>
      <c r="J1235" s="4">
        <v>228.95</v>
      </c>
      <c r="K1235" s="4">
        <v>145.91</v>
      </c>
      <c r="L1235" s="4">
        <v>83.04</v>
      </c>
      <c r="M1235" s="1" t="str">
        <f>TEXT(Table1[[#This Row],[Order_Date]], "MMM")</f>
        <v>Sep</v>
      </c>
      <c r="N1235" s="1">
        <f>YEAR(Table1[[#This Row],[Order_Date]])</f>
        <v>2024</v>
      </c>
      <c r="O1235" s="7">
        <f>Table1[[#This Row],[Profit]]/Table1[[#This Row],[Total_Sales]]</f>
        <v>0.36269927931862855</v>
      </c>
    </row>
    <row r="1236" spans="1:15" x14ac:dyDescent="0.25">
      <c r="A1236" s="1">
        <v>1235</v>
      </c>
      <c r="B1236" s="2">
        <v>45460</v>
      </c>
      <c r="C1236" s="1" t="s">
        <v>25</v>
      </c>
      <c r="D1236" s="1" t="s">
        <v>26</v>
      </c>
      <c r="E1236" s="1" t="s">
        <v>27</v>
      </c>
      <c r="F1236" s="1" t="s">
        <v>24</v>
      </c>
      <c r="G1236" s="1">
        <v>7</v>
      </c>
      <c r="H1236" s="1">
        <v>299</v>
      </c>
      <c r="I1236" s="1">
        <v>5</v>
      </c>
      <c r="J1236" s="4">
        <v>1988.35</v>
      </c>
      <c r="K1236" s="4">
        <v>1536.87</v>
      </c>
      <c r="L1236" s="4">
        <v>451.48</v>
      </c>
      <c r="M1236" s="1" t="str">
        <f>TEXT(Table1[[#This Row],[Order_Date]], "MMM")</f>
        <v>Jun</v>
      </c>
      <c r="N1236" s="1">
        <f>YEAR(Table1[[#This Row],[Order_Date]])</f>
        <v>2024</v>
      </c>
      <c r="O1236" s="7">
        <f>Table1[[#This Row],[Profit]]/Table1[[#This Row],[Total_Sales]]</f>
        <v>0.2270626398772852</v>
      </c>
    </row>
    <row r="1237" spans="1:15" x14ac:dyDescent="0.25">
      <c r="A1237" s="1">
        <v>1236</v>
      </c>
      <c r="B1237" s="2">
        <v>45465</v>
      </c>
      <c r="C1237" s="1" t="s">
        <v>12</v>
      </c>
      <c r="D1237" s="1" t="s">
        <v>13</v>
      </c>
      <c r="E1237" s="1" t="s">
        <v>14</v>
      </c>
      <c r="F1237" s="1" t="s">
        <v>35</v>
      </c>
      <c r="G1237" s="1">
        <v>3</v>
      </c>
      <c r="H1237" s="1">
        <v>307</v>
      </c>
      <c r="I1237" s="1">
        <v>10</v>
      </c>
      <c r="J1237" s="4">
        <v>828.9</v>
      </c>
      <c r="K1237" s="4">
        <v>570.45000000000005</v>
      </c>
      <c r="L1237" s="4">
        <v>258.45</v>
      </c>
      <c r="M1237" s="1" t="str">
        <f>TEXT(Table1[[#This Row],[Order_Date]], "MMM")</f>
        <v>Jun</v>
      </c>
      <c r="N1237" s="1">
        <f>YEAR(Table1[[#This Row],[Order_Date]])</f>
        <v>2024</v>
      </c>
      <c r="O1237" s="7">
        <f>Table1[[#This Row],[Profit]]/Table1[[#This Row],[Total_Sales]]</f>
        <v>0.31179876945349255</v>
      </c>
    </row>
    <row r="1238" spans="1:15" x14ac:dyDescent="0.25">
      <c r="A1238" s="1">
        <v>1237</v>
      </c>
      <c r="B1238" s="2">
        <v>45090</v>
      </c>
      <c r="C1238" s="1" t="s">
        <v>25</v>
      </c>
      <c r="D1238" s="1" t="s">
        <v>32</v>
      </c>
      <c r="E1238" s="1" t="s">
        <v>45</v>
      </c>
      <c r="F1238" s="1" t="s">
        <v>18</v>
      </c>
      <c r="G1238" s="1">
        <v>4</v>
      </c>
      <c r="H1238" s="1">
        <v>621</v>
      </c>
      <c r="I1238" s="1">
        <v>15</v>
      </c>
      <c r="J1238" s="4">
        <v>2111.4</v>
      </c>
      <c r="K1238" s="4">
        <v>1527.13</v>
      </c>
      <c r="L1238" s="4">
        <v>584.27</v>
      </c>
      <c r="M1238" s="1" t="str">
        <f>TEXT(Table1[[#This Row],[Order_Date]], "MMM")</f>
        <v>Jun</v>
      </c>
      <c r="N1238" s="1">
        <f>YEAR(Table1[[#This Row],[Order_Date]])</f>
        <v>2023</v>
      </c>
      <c r="O1238" s="7">
        <f>Table1[[#This Row],[Profit]]/Table1[[#This Row],[Total_Sales]]</f>
        <v>0.27672160651700289</v>
      </c>
    </row>
    <row r="1239" spans="1:15" x14ac:dyDescent="0.25">
      <c r="A1239" s="1">
        <v>1238</v>
      </c>
      <c r="B1239" s="2">
        <v>45486</v>
      </c>
      <c r="C1239" s="1" t="s">
        <v>12</v>
      </c>
      <c r="D1239" s="1" t="s">
        <v>22</v>
      </c>
      <c r="E1239" s="1" t="s">
        <v>23</v>
      </c>
      <c r="F1239" s="1" t="s">
        <v>40</v>
      </c>
      <c r="G1239" s="1">
        <v>4</v>
      </c>
      <c r="H1239" s="1">
        <v>594</v>
      </c>
      <c r="I1239" s="1">
        <v>5</v>
      </c>
      <c r="J1239" s="4">
        <v>2257.1999999999998</v>
      </c>
      <c r="K1239" s="4">
        <v>1472.03</v>
      </c>
      <c r="L1239" s="4">
        <v>785.17</v>
      </c>
      <c r="M1239" s="1" t="str">
        <f>TEXT(Table1[[#This Row],[Order_Date]], "MMM")</f>
        <v>Jul</v>
      </c>
      <c r="N1239" s="1">
        <f>YEAR(Table1[[#This Row],[Order_Date]])</f>
        <v>2024</v>
      </c>
      <c r="O1239" s="7">
        <f>Table1[[#This Row],[Profit]]/Table1[[#This Row],[Total_Sales]]</f>
        <v>0.3478513202197413</v>
      </c>
    </row>
    <row r="1240" spans="1:15" x14ac:dyDescent="0.25">
      <c r="A1240" s="1">
        <v>1239</v>
      </c>
      <c r="B1240" s="2">
        <v>45267</v>
      </c>
      <c r="C1240" s="1" t="s">
        <v>25</v>
      </c>
      <c r="D1240" s="1" t="s">
        <v>22</v>
      </c>
      <c r="E1240" s="1" t="s">
        <v>23</v>
      </c>
      <c r="F1240" s="1" t="s">
        <v>40</v>
      </c>
      <c r="G1240" s="1">
        <v>5</v>
      </c>
      <c r="H1240" s="1">
        <v>683</v>
      </c>
      <c r="I1240" s="1">
        <v>20</v>
      </c>
      <c r="J1240" s="4">
        <v>2732</v>
      </c>
      <c r="K1240" s="4">
        <v>1933.28</v>
      </c>
      <c r="L1240" s="4">
        <v>798.72</v>
      </c>
      <c r="M1240" s="1" t="str">
        <f>TEXT(Table1[[#This Row],[Order_Date]], "MMM")</f>
        <v>Dec</v>
      </c>
      <c r="N1240" s="1">
        <f>YEAR(Table1[[#This Row],[Order_Date]])</f>
        <v>2023</v>
      </c>
      <c r="O1240" s="7">
        <f>Table1[[#This Row],[Profit]]/Table1[[#This Row],[Total_Sales]]</f>
        <v>0.29235724743777453</v>
      </c>
    </row>
    <row r="1241" spans="1:15" x14ac:dyDescent="0.25">
      <c r="A1241" s="1">
        <v>1240</v>
      </c>
      <c r="B1241" s="2">
        <v>45258</v>
      </c>
      <c r="C1241" s="1" t="s">
        <v>12</v>
      </c>
      <c r="D1241" s="1" t="s">
        <v>26</v>
      </c>
      <c r="E1241" s="1" t="s">
        <v>46</v>
      </c>
      <c r="F1241" s="1" t="s">
        <v>18</v>
      </c>
      <c r="G1241" s="1">
        <v>3</v>
      </c>
      <c r="H1241" s="1">
        <v>626</v>
      </c>
      <c r="I1241" s="1">
        <v>15</v>
      </c>
      <c r="J1241" s="4">
        <v>1596.3</v>
      </c>
      <c r="K1241" s="4">
        <v>1105.28</v>
      </c>
      <c r="L1241" s="4">
        <v>491.02</v>
      </c>
      <c r="M1241" s="1" t="str">
        <f>TEXT(Table1[[#This Row],[Order_Date]], "MMM")</f>
        <v>Nov</v>
      </c>
      <c r="N1241" s="1">
        <f>YEAR(Table1[[#This Row],[Order_Date]])</f>
        <v>2023</v>
      </c>
      <c r="O1241" s="7">
        <f>Table1[[#This Row],[Profit]]/Table1[[#This Row],[Total_Sales]]</f>
        <v>0.30759882227651442</v>
      </c>
    </row>
    <row r="1242" spans="1:15" x14ac:dyDescent="0.25">
      <c r="A1242" s="1">
        <v>1241</v>
      </c>
      <c r="B1242" s="2">
        <v>45358</v>
      </c>
      <c r="C1242" s="1" t="s">
        <v>16</v>
      </c>
      <c r="D1242" s="1" t="s">
        <v>32</v>
      </c>
      <c r="E1242" s="1" t="s">
        <v>34</v>
      </c>
      <c r="F1242" s="1" t="s">
        <v>24</v>
      </c>
      <c r="G1242" s="1">
        <v>1</v>
      </c>
      <c r="H1242" s="1">
        <v>736</v>
      </c>
      <c r="I1242" s="1">
        <v>5</v>
      </c>
      <c r="J1242" s="4">
        <v>699.2</v>
      </c>
      <c r="K1242" s="4">
        <v>475.57</v>
      </c>
      <c r="L1242" s="4">
        <v>223.63</v>
      </c>
      <c r="M1242" s="1" t="str">
        <f>TEXT(Table1[[#This Row],[Order_Date]], "MMM")</f>
        <v>Mar</v>
      </c>
      <c r="N1242" s="1">
        <f>YEAR(Table1[[#This Row],[Order_Date]])</f>
        <v>2024</v>
      </c>
      <c r="O1242" s="7">
        <f>Table1[[#This Row],[Profit]]/Table1[[#This Row],[Total_Sales]]</f>
        <v>0.3198369565217391</v>
      </c>
    </row>
    <row r="1243" spans="1:15" x14ac:dyDescent="0.25">
      <c r="A1243" s="1">
        <v>1242</v>
      </c>
      <c r="B1243" s="2">
        <v>45025</v>
      </c>
      <c r="C1243" s="1" t="s">
        <v>19</v>
      </c>
      <c r="D1243" s="1" t="s">
        <v>26</v>
      </c>
      <c r="E1243" s="1" t="s">
        <v>46</v>
      </c>
      <c r="F1243" s="1" t="s">
        <v>31</v>
      </c>
      <c r="G1243" s="1">
        <v>1</v>
      </c>
      <c r="H1243" s="1">
        <v>941</v>
      </c>
      <c r="I1243" s="1">
        <v>20</v>
      </c>
      <c r="J1243" s="4">
        <v>752.8</v>
      </c>
      <c r="K1243" s="4">
        <v>442.39</v>
      </c>
      <c r="L1243" s="4">
        <v>310.41000000000003</v>
      </c>
      <c r="M1243" s="1" t="str">
        <f>TEXT(Table1[[#This Row],[Order_Date]], "MMM")</f>
        <v>Apr</v>
      </c>
      <c r="N1243" s="1">
        <f>YEAR(Table1[[#This Row],[Order_Date]])</f>
        <v>2023</v>
      </c>
      <c r="O1243" s="7">
        <f>Table1[[#This Row],[Profit]]/Table1[[#This Row],[Total_Sales]]</f>
        <v>0.4123405951115835</v>
      </c>
    </row>
    <row r="1244" spans="1:15" x14ac:dyDescent="0.25">
      <c r="A1244" s="1">
        <v>1243</v>
      </c>
      <c r="B1244" s="2">
        <v>45085</v>
      </c>
      <c r="C1244" s="1" t="s">
        <v>25</v>
      </c>
      <c r="D1244" s="1" t="s">
        <v>32</v>
      </c>
      <c r="E1244" s="1" t="s">
        <v>34</v>
      </c>
      <c r="F1244" s="1" t="s">
        <v>24</v>
      </c>
      <c r="G1244" s="1">
        <v>5</v>
      </c>
      <c r="H1244" s="1">
        <v>874</v>
      </c>
      <c r="I1244" s="1">
        <v>15</v>
      </c>
      <c r="J1244" s="4">
        <v>3714.5</v>
      </c>
      <c r="K1244" s="4">
        <v>2970.64</v>
      </c>
      <c r="L1244" s="4">
        <v>743.86</v>
      </c>
      <c r="M1244" s="1" t="str">
        <f>TEXT(Table1[[#This Row],[Order_Date]], "MMM")</f>
        <v>Jun</v>
      </c>
      <c r="N1244" s="1">
        <f>YEAR(Table1[[#This Row],[Order_Date]])</f>
        <v>2023</v>
      </c>
      <c r="O1244" s="7">
        <f>Table1[[#This Row],[Profit]]/Table1[[#This Row],[Total_Sales]]</f>
        <v>0.20025844662807915</v>
      </c>
    </row>
    <row r="1245" spans="1:15" x14ac:dyDescent="0.25">
      <c r="A1245" s="1">
        <v>1244</v>
      </c>
      <c r="B1245" s="2">
        <v>45606</v>
      </c>
      <c r="C1245" s="1" t="s">
        <v>19</v>
      </c>
      <c r="D1245" s="1" t="s">
        <v>26</v>
      </c>
      <c r="E1245" s="1" t="s">
        <v>46</v>
      </c>
      <c r="F1245" s="1" t="s">
        <v>18</v>
      </c>
      <c r="G1245" s="1">
        <v>7</v>
      </c>
      <c r="H1245" s="1">
        <v>401</v>
      </c>
      <c r="I1245" s="1">
        <v>15</v>
      </c>
      <c r="J1245" s="4">
        <v>2385.9499999999998</v>
      </c>
      <c r="K1245" s="4">
        <v>1330.68</v>
      </c>
      <c r="L1245" s="4">
        <v>1055.27</v>
      </c>
      <c r="M1245" s="1" t="str">
        <f>TEXT(Table1[[#This Row],[Order_Date]], "MMM")</f>
        <v>Nov</v>
      </c>
      <c r="N1245" s="1">
        <f>YEAR(Table1[[#This Row],[Order_Date]])</f>
        <v>2024</v>
      </c>
      <c r="O1245" s="7">
        <f>Table1[[#This Row],[Profit]]/Table1[[#This Row],[Total_Sales]]</f>
        <v>0.4422850436932878</v>
      </c>
    </row>
    <row r="1246" spans="1:15" x14ac:dyDescent="0.25">
      <c r="A1246" s="1">
        <v>1245</v>
      </c>
      <c r="B1246" s="2">
        <v>45226</v>
      </c>
      <c r="C1246" s="1" t="s">
        <v>12</v>
      </c>
      <c r="D1246" s="1" t="s">
        <v>20</v>
      </c>
      <c r="E1246" s="1" t="s">
        <v>28</v>
      </c>
      <c r="F1246" s="1" t="s">
        <v>24</v>
      </c>
      <c r="G1246" s="1">
        <v>6</v>
      </c>
      <c r="H1246" s="1">
        <v>629</v>
      </c>
      <c r="I1246" s="1">
        <v>0</v>
      </c>
      <c r="J1246" s="4">
        <v>3774</v>
      </c>
      <c r="K1246" s="4">
        <v>2248.8200000000002</v>
      </c>
      <c r="L1246" s="4">
        <v>1525.18</v>
      </c>
      <c r="M1246" s="1" t="str">
        <f>TEXT(Table1[[#This Row],[Order_Date]], "MMM")</f>
        <v>Oct</v>
      </c>
      <c r="N1246" s="1">
        <f>YEAR(Table1[[#This Row],[Order_Date]])</f>
        <v>2023</v>
      </c>
      <c r="O1246" s="7">
        <f>Table1[[#This Row],[Profit]]/Table1[[#This Row],[Total_Sales]]</f>
        <v>0.40412824589295177</v>
      </c>
    </row>
    <row r="1247" spans="1:15" x14ac:dyDescent="0.25">
      <c r="A1247" s="1">
        <v>1246</v>
      </c>
      <c r="B1247" s="2">
        <v>45114</v>
      </c>
      <c r="C1247" s="1" t="s">
        <v>12</v>
      </c>
      <c r="D1247" s="1" t="s">
        <v>22</v>
      </c>
      <c r="E1247" s="1" t="s">
        <v>29</v>
      </c>
      <c r="F1247" s="1" t="s">
        <v>18</v>
      </c>
      <c r="G1247" s="1">
        <v>2</v>
      </c>
      <c r="H1247" s="1">
        <v>943</v>
      </c>
      <c r="I1247" s="1">
        <v>20</v>
      </c>
      <c r="J1247" s="4">
        <v>1508.8</v>
      </c>
      <c r="K1247" s="4">
        <v>778</v>
      </c>
      <c r="L1247" s="4">
        <v>730.8</v>
      </c>
      <c r="M1247" s="1" t="str">
        <f>TEXT(Table1[[#This Row],[Order_Date]], "MMM")</f>
        <v>Jul</v>
      </c>
      <c r="N1247" s="1">
        <f>YEAR(Table1[[#This Row],[Order_Date]])</f>
        <v>2023</v>
      </c>
      <c r="O1247" s="7">
        <f>Table1[[#This Row],[Profit]]/Table1[[#This Row],[Total_Sales]]</f>
        <v>0.48435843054082711</v>
      </c>
    </row>
    <row r="1248" spans="1:15" x14ac:dyDescent="0.25">
      <c r="A1248" s="1">
        <v>1247</v>
      </c>
      <c r="B1248" s="2">
        <v>45606</v>
      </c>
      <c r="C1248" s="1" t="s">
        <v>25</v>
      </c>
      <c r="D1248" s="1" t="s">
        <v>26</v>
      </c>
      <c r="E1248" s="1" t="s">
        <v>37</v>
      </c>
      <c r="F1248" s="1" t="s">
        <v>24</v>
      </c>
      <c r="G1248" s="1">
        <v>9</v>
      </c>
      <c r="H1248" s="1">
        <v>688</v>
      </c>
      <c r="I1248" s="1">
        <v>10</v>
      </c>
      <c r="J1248" s="4">
        <v>5572.8</v>
      </c>
      <c r="K1248" s="4">
        <v>2916.83</v>
      </c>
      <c r="L1248" s="4">
        <v>2655.97</v>
      </c>
      <c r="M1248" s="1" t="str">
        <f>TEXT(Table1[[#This Row],[Order_Date]], "MMM")</f>
        <v>Nov</v>
      </c>
      <c r="N1248" s="1">
        <f>YEAR(Table1[[#This Row],[Order_Date]])</f>
        <v>2024</v>
      </c>
      <c r="O1248" s="7">
        <f>Table1[[#This Row],[Profit]]/Table1[[#This Row],[Total_Sales]]</f>
        <v>0.47659524834912426</v>
      </c>
    </row>
    <row r="1249" spans="1:15" x14ac:dyDescent="0.25">
      <c r="A1249" s="1">
        <v>1248</v>
      </c>
      <c r="B1249" s="2">
        <v>45208</v>
      </c>
      <c r="C1249" s="1" t="s">
        <v>12</v>
      </c>
      <c r="D1249" s="1" t="s">
        <v>32</v>
      </c>
      <c r="E1249" s="1" t="s">
        <v>45</v>
      </c>
      <c r="F1249" s="1" t="s">
        <v>40</v>
      </c>
      <c r="G1249" s="1">
        <v>6</v>
      </c>
      <c r="H1249" s="1">
        <v>212</v>
      </c>
      <c r="I1249" s="1">
        <v>0</v>
      </c>
      <c r="J1249" s="4">
        <v>1272</v>
      </c>
      <c r="K1249" s="4">
        <v>831.12</v>
      </c>
      <c r="L1249" s="4">
        <v>440.88</v>
      </c>
      <c r="M1249" s="1" t="str">
        <f>TEXT(Table1[[#This Row],[Order_Date]], "MMM")</f>
        <v>Oct</v>
      </c>
      <c r="N1249" s="1">
        <f>YEAR(Table1[[#This Row],[Order_Date]])</f>
        <v>2023</v>
      </c>
      <c r="O1249" s="7">
        <f>Table1[[#This Row],[Profit]]/Table1[[#This Row],[Total_Sales]]</f>
        <v>0.34660377358490568</v>
      </c>
    </row>
    <row r="1250" spans="1:15" x14ac:dyDescent="0.25">
      <c r="A1250" s="1">
        <v>1249</v>
      </c>
      <c r="B1250" s="2">
        <v>45217</v>
      </c>
      <c r="C1250" s="1" t="s">
        <v>25</v>
      </c>
      <c r="D1250" s="1" t="s">
        <v>26</v>
      </c>
      <c r="E1250" s="1" t="s">
        <v>42</v>
      </c>
      <c r="F1250" s="1" t="s">
        <v>24</v>
      </c>
      <c r="G1250" s="1">
        <v>4</v>
      </c>
      <c r="H1250" s="1">
        <v>926</v>
      </c>
      <c r="I1250" s="1">
        <v>5</v>
      </c>
      <c r="J1250" s="4">
        <v>3518.8</v>
      </c>
      <c r="K1250" s="4">
        <v>2122.56</v>
      </c>
      <c r="L1250" s="4">
        <v>1396.24</v>
      </c>
      <c r="M1250" s="1" t="str">
        <f>TEXT(Table1[[#This Row],[Order_Date]], "MMM")</f>
        <v>Oct</v>
      </c>
      <c r="N1250" s="1">
        <f>YEAR(Table1[[#This Row],[Order_Date]])</f>
        <v>2023</v>
      </c>
      <c r="O1250" s="7">
        <f>Table1[[#This Row],[Profit]]/Table1[[#This Row],[Total_Sales]]</f>
        <v>0.39679436171422072</v>
      </c>
    </row>
    <row r="1251" spans="1:15" x14ac:dyDescent="0.25">
      <c r="A1251" s="1">
        <v>1250</v>
      </c>
      <c r="B1251" s="2">
        <v>45570</v>
      </c>
      <c r="C1251" s="1" t="s">
        <v>16</v>
      </c>
      <c r="D1251" s="1" t="s">
        <v>13</v>
      </c>
      <c r="E1251" s="1" t="s">
        <v>17</v>
      </c>
      <c r="F1251" s="1" t="s">
        <v>40</v>
      </c>
      <c r="G1251" s="1">
        <v>4</v>
      </c>
      <c r="H1251" s="1">
        <v>944</v>
      </c>
      <c r="I1251" s="1">
        <v>15</v>
      </c>
      <c r="J1251" s="4">
        <v>3209.6</v>
      </c>
      <c r="K1251" s="4">
        <v>2124.96</v>
      </c>
      <c r="L1251" s="4">
        <v>1084.6400000000001</v>
      </c>
      <c r="M1251" s="1" t="str">
        <f>TEXT(Table1[[#This Row],[Order_Date]], "MMM")</f>
        <v>Oct</v>
      </c>
      <c r="N1251" s="1">
        <f>YEAR(Table1[[#This Row],[Order_Date]])</f>
        <v>2024</v>
      </c>
      <c r="O1251" s="7">
        <f>Table1[[#This Row],[Profit]]/Table1[[#This Row],[Total_Sales]]</f>
        <v>0.3379361914257229</v>
      </c>
    </row>
    <row r="1252" spans="1:15" x14ac:dyDescent="0.25">
      <c r="A1252" s="1">
        <v>1251</v>
      </c>
      <c r="B1252" s="2">
        <v>45656</v>
      </c>
      <c r="C1252" s="1" t="s">
        <v>12</v>
      </c>
      <c r="D1252" s="1" t="s">
        <v>22</v>
      </c>
      <c r="E1252" s="1" t="s">
        <v>29</v>
      </c>
      <c r="F1252" s="1" t="s">
        <v>31</v>
      </c>
      <c r="G1252" s="1">
        <v>10</v>
      </c>
      <c r="H1252" s="1">
        <v>257</v>
      </c>
      <c r="I1252" s="1">
        <v>5</v>
      </c>
      <c r="J1252" s="4">
        <v>2441.5</v>
      </c>
      <c r="K1252" s="4">
        <v>1232.8</v>
      </c>
      <c r="L1252" s="4">
        <v>1208.7</v>
      </c>
      <c r="M1252" s="1" t="str">
        <f>TEXT(Table1[[#This Row],[Order_Date]], "MMM")</f>
        <v>Dec</v>
      </c>
      <c r="N1252" s="1">
        <f>YEAR(Table1[[#This Row],[Order_Date]])</f>
        <v>2024</v>
      </c>
      <c r="O1252" s="7">
        <f>Table1[[#This Row],[Profit]]/Table1[[#This Row],[Total_Sales]]</f>
        <v>0.49506450952283432</v>
      </c>
    </row>
    <row r="1253" spans="1:15" x14ac:dyDescent="0.25">
      <c r="A1253" s="1">
        <v>1252</v>
      </c>
      <c r="B1253" s="2">
        <v>45165</v>
      </c>
      <c r="C1253" s="1" t="s">
        <v>19</v>
      </c>
      <c r="D1253" s="1" t="s">
        <v>26</v>
      </c>
      <c r="E1253" s="1" t="s">
        <v>27</v>
      </c>
      <c r="F1253" s="1" t="s">
        <v>40</v>
      </c>
      <c r="G1253" s="1">
        <v>2</v>
      </c>
      <c r="H1253" s="1">
        <v>451</v>
      </c>
      <c r="I1253" s="1">
        <v>10</v>
      </c>
      <c r="J1253" s="4">
        <v>811.8</v>
      </c>
      <c r="K1253" s="4">
        <v>418.27</v>
      </c>
      <c r="L1253" s="4">
        <v>393.53</v>
      </c>
      <c r="M1253" s="1" t="str">
        <f>TEXT(Table1[[#This Row],[Order_Date]], "MMM")</f>
        <v>Aug</v>
      </c>
      <c r="N1253" s="1">
        <f>YEAR(Table1[[#This Row],[Order_Date]])</f>
        <v>2023</v>
      </c>
      <c r="O1253" s="7">
        <f>Table1[[#This Row],[Profit]]/Table1[[#This Row],[Total_Sales]]</f>
        <v>0.48476225671347623</v>
      </c>
    </row>
    <row r="1254" spans="1:15" x14ac:dyDescent="0.25">
      <c r="A1254" s="1">
        <v>1253</v>
      </c>
      <c r="B1254" s="2">
        <v>44929</v>
      </c>
      <c r="C1254" s="1" t="s">
        <v>16</v>
      </c>
      <c r="D1254" s="1" t="s">
        <v>22</v>
      </c>
      <c r="E1254" s="1" t="s">
        <v>36</v>
      </c>
      <c r="F1254" s="1" t="s">
        <v>18</v>
      </c>
      <c r="G1254" s="1">
        <v>5</v>
      </c>
      <c r="H1254" s="1">
        <v>528</v>
      </c>
      <c r="I1254" s="1">
        <v>20</v>
      </c>
      <c r="J1254" s="4">
        <v>2112</v>
      </c>
      <c r="K1254" s="4">
        <v>1547.69</v>
      </c>
      <c r="L1254" s="4">
        <v>564.30999999999995</v>
      </c>
      <c r="M1254" s="1" t="str">
        <f>TEXT(Table1[[#This Row],[Order_Date]], "MMM")</f>
        <v>Jan</v>
      </c>
      <c r="N1254" s="1">
        <f>YEAR(Table1[[#This Row],[Order_Date]])</f>
        <v>2023</v>
      </c>
      <c r="O1254" s="7">
        <f>Table1[[#This Row],[Profit]]/Table1[[#This Row],[Total_Sales]]</f>
        <v>0.26719223484848481</v>
      </c>
    </row>
    <row r="1255" spans="1:15" x14ac:dyDescent="0.25">
      <c r="A1255" s="1">
        <v>1254</v>
      </c>
      <c r="B1255" s="2">
        <v>45338</v>
      </c>
      <c r="C1255" s="1" t="s">
        <v>12</v>
      </c>
      <c r="D1255" s="1" t="s">
        <v>22</v>
      </c>
      <c r="E1255" s="1" t="s">
        <v>36</v>
      </c>
      <c r="F1255" s="1" t="s">
        <v>40</v>
      </c>
      <c r="G1255" s="1">
        <v>7</v>
      </c>
      <c r="H1255" s="1">
        <v>148</v>
      </c>
      <c r="I1255" s="1">
        <v>5</v>
      </c>
      <c r="J1255" s="4">
        <v>984.2</v>
      </c>
      <c r="K1255" s="4">
        <v>680.43</v>
      </c>
      <c r="L1255" s="4">
        <v>303.77</v>
      </c>
      <c r="M1255" s="1" t="str">
        <f>TEXT(Table1[[#This Row],[Order_Date]], "MMM")</f>
        <v>Feb</v>
      </c>
      <c r="N1255" s="1">
        <f>YEAR(Table1[[#This Row],[Order_Date]])</f>
        <v>2024</v>
      </c>
      <c r="O1255" s="7">
        <f>Table1[[#This Row],[Profit]]/Table1[[#This Row],[Total_Sales]]</f>
        <v>0.30864661654135334</v>
      </c>
    </row>
    <row r="1256" spans="1:15" x14ac:dyDescent="0.25">
      <c r="A1256" s="1">
        <v>1255</v>
      </c>
      <c r="B1256" s="2">
        <v>45573</v>
      </c>
      <c r="C1256" s="1" t="s">
        <v>19</v>
      </c>
      <c r="D1256" s="1" t="s">
        <v>13</v>
      </c>
      <c r="E1256" s="1" t="s">
        <v>14</v>
      </c>
      <c r="F1256" s="1" t="s">
        <v>24</v>
      </c>
      <c r="G1256" s="1">
        <v>1</v>
      </c>
      <c r="H1256" s="1">
        <v>525</v>
      </c>
      <c r="I1256" s="1">
        <v>20</v>
      </c>
      <c r="J1256" s="4">
        <v>420</v>
      </c>
      <c r="K1256" s="4">
        <v>291.27</v>
      </c>
      <c r="L1256" s="4">
        <v>128.72999999999999</v>
      </c>
      <c r="M1256" s="1" t="str">
        <f>TEXT(Table1[[#This Row],[Order_Date]], "MMM")</f>
        <v>Oct</v>
      </c>
      <c r="N1256" s="1">
        <f>YEAR(Table1[[#This Row],[Order_Date]])</f>
        <v>2024</v>
      </c>
      <c r="O1256" s="7">
        <f>Table1[[#This Row],[Profit]]/Table1[[#This Row],[Total_Sales]]</f>
        <v>0.30649999999999999</v>
      </c>
    </row>
    <row r="1257" spans="1:15" x14ac:dyDescent="0.25">
      <c r="A1257" s="1">
        <v>1256</v>
      </c>
      <c r="B1257" s="2">
        <v>44955</v>
      </c>
      <c r="C1257" s="1" t="s">
        <v>25</v>
      </c>
      <c r="D1257" s="1" t="s">
        <v>13</v>
      </c>
      <c r="E1257" s="1" t="s">
        <v>38</v>
      </c>
      <c r="F1257" s="1" t="s">
        <v>15</v>
      </c>
      <c r="G1257" s="1">
        <v>9</v>
      </c>
      <c r="H1257" s="1">
        <v>953</v>
      </c>
      <c r="I1257" s="1">
        <v>0</v>
      </c>
      <c r="J1257" s="4">
        <v>8577</v>
      </c>
      <c r="K1257" s="4">
        <v>6764.76</v>
      </c>
      <c r="L1257" s="4">
        <v>1812.24</v>
      </c>
      <c r="M1257" s="1" t="str">
        <f>TEXT(Table1[[#This Row],[Order_Date]], "MMM")</f>
        <v>Jan</v>
      </c>
      <c r="N1257" s="1">
        <f>YEAR(Table1[[#This Row],[Order_Date]])</f>
        <v>2023</v>
      </c>
      <c r="O1257" s="7">
        <f>Table1[[#This Row],[Profit]]/Table1[[#This Row],[Total_Sales]]</f>
        <v>0.21129066107030431</v>
      </c>
    </row>
    <row r="1258" spans="1:15" x14ac:dyDescent="0.25">
      <c r="A1258" s="1">
        <v>1257</v>
      </c>
      <c r="B1258" s="2">
        <v>45229</v>
      </c>
      <c r="C1258" s="1" t="s">
        <v>25</v>
      </c>
      <c r="D1258" s="1" t="s">
        <v>26</v>
      </c>
      <c r="E1258" s="1" t="s">
        <v>37</v>
      </c>
      <c r="F1258" s="1" t="s">
        <v>31</v>
      </c>
      <c r="G1258" s="1">
        <v>3</v>
      </c>
      <c r="H1258" s="1">
        <v>945</v>
      </c>
      <c r="I1258" s="1">
        <v>20</v>
      </c>
      <c r="J1258" s="4">
        <v>2268</v>
      </c>
      <c r="K1258" s="4">
        <v>1503.69</v>
      </c>
      <c r="L1258" s="4">
        <v>764.31</v>
      </c>
      <c r="M1258" s="1" t="str">
        <f>TEXT(Table1[[#This Row],[Order_Date]], "MMM")</f>
        <v>Oct</v>
      </c>
      <c r="N1258" s="1">
        <f>YEAR(Table1[[#This Row],[Order_Date]])</f>
        <v>2023</v>
      </c>
      <c r="O1258" s="7">
        <f>Table1[[#This Row],[Profit]]/Table1[[#This Row],[Total_Sales]]</f>
        <v>0.33699735449735446</v>
      </c>
    </row>
    <row r="1259" spans="1:15" x14ac:dyDescent="0.25">
      <c r="A1259" s="1">
        <v>1258</v>
      </c>
      <c r="B1259" s="2">
        <v>45395</v>
      </c>
      <c r="C1259" s="1" t="s">
        <v>12</v>
      </c>
      <c r="D1259" s="1" t="s">
        <v>22</v>
      </c>
      <c r="E1259" s="1" t="s">
        <v>23</v>
      </c>
      <c r="F1259" s="1" t="s">
        <v>31</v>
      </c>
      <c r="G1259" s="1">
        <v>4</v>
      </c>
      <c r="H1259" s="1">
        <v>301</v>
      </c>
      <c r="I1259" s="1">
        <v>0</v>
      </c>
      <c r="J1259" s="4">
        <v>1204</v>
      </c>
      <c r="K1259" s="4">
        <v>833.86</v>
      </c>
      <c r="L1259" s="4">
        <v>370.14</v>
      </c>
      <c r="M1259" s="1" t="str">
        <f>TEXT(Table1[[#This Row],[Order_Date]], "MMM")</f>
        <v>Apr</v>
      </c>
      <c r="N1259" s="1">
        <f>YEAR(Table1[[#This Row],[Order_Date]])</f>
        <v>2024</v>
      </c>
      <c r="O1259" s="7">
        <f>Table1[[#This Row],[Profit]]/Table1[[#This Row],[Total_Sales]]</f>
        <v>0.3074252491694352</v>
      </c>
    </row>
    <row r="1260" spans="1:15" x14ac:dyDescent="0.25">
      <c r="A1260" s="1">
        <v>1259</v>
      </c>
      <c r="B1260" s="2">
        <v>45042</v>
      </c>
      <c r="C1260" s="1" t="s">
        <v>16</v>
      </c>
      <c r="D1260" s="1" t="s">
        <v>26</v>
      </c>
      <c r="E1260" s="1" t="s">
        <v>27</v>
      </c>
      <c r="F1260" s="1" t="s">
        <v>15</v>
      </c>
      <c r="G1260" s="1">
        <v>9</v>
      </c>
      <c r="H1260" s="1">
        <v>870</v>
      </c>
      <c r="I1260" s="1">
        <v>15</v>
      </c>
      <c r="J1260" s="4">
        <v>6655.5</v>
      </c>
      <c r="K1260" s="4">
        <v>4142.32</v>
      </c>
      <c r="L1260" s="4">
        <v>2513.1799999999998</v>
      </c>
      <c r="M1260" s="1" t="str">
        <f>TEXT(Table1[[#This Row],[Order_Date]], "MMM")</f>
        <v>Apr</v>
      </c>
      <c r="N1260" s="1">
        <f>YEAR(Table1[[#This Row],[Order_Date]])</f>
        <v>2023</v>
      </c>
      <c r="O1260" s="7">
        <f>Table1[[#This Row],[Profit]]/Table1[[#This Row],[Total_Sales]]</f>
        <v>0.37760949590564191</v>
      </c>
    </row>
    <row r="1261" spans="1:15" x14ac:dyDescent="0.25">
      <c r="A1261" s="1">
        <v>1260</v>
      </c>
      <c r="B1261" s="2">
        <v>45570</v>
      </c>
      <c r="C1261" s="1" t="s">
        <v>25</v>
      </c>
      <c r="D1261" s="1" t="s">
        <v>22</v>
      </c>
      <c r="E1261" s="1" t="s">
        <v>29</v>
      </c>
      <c r="F1261" s="1" t="s">
        <v>40</v>
      </c>
      <c r="G1261" s="1">
        <v>1</v>
      </c>
      <c r="H1261" s="1">
        <v>91</v>
      </c>
      <c r="I1261" s="1">
        <v>20</v>
      </c>
      <c r="J1261" s="4">
        <v>72.8</v>
      </c>
      <c r="K1261" s="4">
        <v>45.05</v>
      </c>
      <c r="L1261" s="4">
        <v>27.75</v>
      </c>
      <c r="M1261" s="1" t="str">
        <f>TEXT(Table1[[#This Row],[Order_Date]], "MMM")</f>
        <v>Oct</v>
      </c>
      <c r="N1261" s="1">
        <f>YEAR(Table1[[#This Row],[Order_Date]])</f>
        <v>2024</v>
      </c>
      <c r="O1261" s="7">
        <f>Table1[[#This Row],[Profit]]/Table1[[#This Row],[Total_Sales]]</f>
        <v>0.38118131868131871</v>
      </c>
    </row>
    <row r="1262" spans="1:15" x14ac:dyDescent="0.25">
      <c r="A1262" s="1">
        <v>1261</v>
      </c>
      <c r="B1262" s="2">
        <v>45070</v>
      </c>
      <c r="C1262" s="1" t="s">
        <v>19</v>
      </c>
      <c r="D1262" s="1" t="s">
        <v>32</v>
      </c>
      <c r="E1262" s="1" t="s">
        <v>45</v>
      </c>
      <c r="F1262" s="1" t="s">
        <v>18</v>
      </c>
      <c r="G1262" s="1">
        <v>6</v>
      </c>
      <c r="H1262" s="1">
        <v>715</v>
      </c>
      <c r="I1262" s="1">
        <v>20</v>
      </c>
      <c r="J1262" s="4">
        <v>3432</v>
      </c>
      <c r="K1262" s="4">
        <v>1942.4</v>
      </c>
      <c r="L1262" s="4">
        <v>1489.6</v>
      </c>
      <c r="M1262" s="1" t="str">
        <f>TEXT(Table1[[#This Row],[Order_Date]], "MMM")</f>
        <v>May</v>
      </c>
      <c r="N1262" s="1">
        <f>YEAR(Table1[[#This Row],[Order_Date]])</f>
        <v>2023</v>
      </c>
      <c r="O1262" s="7">
        <f>Table1[[#This Row],[Profit]]/Table1[[#This Row],[Total_Sales]]</f>
        <v>0.43403263403263398</v>
      </c>
    </row>
    <row r="1263" spans="1:15" x14ac:dyDescent="0.25">
      <c r="A1263" s="1">
        <v>1262</v>
      </c>
      <c r="B1263" s="2">
        <v>45237</v>
      </c>
      <c r="C1263" s="1" t="s">
        <v>12</v>
      </c>
      <c r="D1263" s="1" t="s">
        <v>26</v>
      </c>
      <c r="E1263" s="1" t="s">
        <v>37</v>
      </c>
      <c r="F1263" s="1" t="s">
        <v>15</v>
      </c>
      <c r="G1263" s="1">
        <v>10</v>
      </c>
      <c r="H1263" s="1">
        <v>950</v>
      </c>
      <c r="I1263" s="1">
        <v>0</v>
      </c>
      <c r="J1263" s="4">
        <v>9500</v>
      </c>
      <c r="K1263" s="4">
        <v>5668.04</v>
      </c>
      <c r="L1263" s="4">
        <v>3831.96</v>
      </c>
      <c r="M1263" s="1" t="str">
        <f>TEXT(Table1[[#This Row],[Order_Date]], "MMM")</f>
        <v>Nov</v>
      </c>
      <c r="N1263" s="1">
        <f>YEAR(Table1[[#This Row],[Order_Date]])</f>
        <v>2023</v>
      </c>
      <c r="O1263" s="7">
        <f>Table1[[#This Row],[Profit]]/Table1[[#This Row],[Total_Sales]]</f>
        <v>0.40336421052631577</v>
      </c>
    </row>
    <row r="1264" spans="1:15" x14ac:dyDescent="0.25">
      <c r="A1264" s="1">
        <v>1263</v>
      </c>
      <c r="B1264" s="2">
        <v>45025</v>
      </c>
      <c r="C1264" s="1" t="s">
        <v>19</v>
      </c>
      <c r="D1264" s="1" t="s">
        <v>32</v>
      </c>
      <c r="E1264" s="1" t="s">
        <v>33</v>
      </c>
      <c r="F1264" s="1" t="s">
        <v>18</v>
      </c>
      <c r="G1264" s="1">
        <v>8</v>
      </c>
      <c r="H1264" s="1">
        <v>844</v>
      </c>
      <c r="I1264" s="1">
        <v>5</v>
      </c>
      <c r="J1264" s="4">
        <v>6414.4</v>
      </c>
      <c r="K1264" s="4">
        <v>4074.21</v>
      </c>
      <c r="L1264" s="4">
        <v>2340.19</v>
      </c>
      <c r="M1264" s="1" t="str">
        <f>TEXT(Table1[[#This Row],[Order_Date]], "MMM")</f>
        <v>Apr</v>
      </c>
      <c r="N1264" s="1">
        <f>YEAR(Table1[[#This Row],[Order_Date]])</f>
        <v>2023</v>
      </c>
      <c r="O1264" s="7">
        <f>Table1[[#This Row],[Profit]]/Table1[[#This Row],[Total_Sales]]</f>
        <v>0.36483381142429538</v>
      </c>
    </row>
    <row r="1265" spans="1:15" x14ac:dyDescent="0.25">
      <c r="A1265" s="1">
        <v>1264</v>
      </c>
      <c r="B1265" s="2">
        <v>45407</v>
      </c>
      <c r="C1265" s="1" t="s">
        <v>16</v>
      </c>
      <c r="D1265" s="1" t="s">
        <v>22</v>
      </c>
      <c r="E1265" s="1" t="s">
        <v>29</v>
      </c>
      <c r="F1265" s="1" t="s">
        <v>15</v>
      </c>
      <c r="G1265" s="1">
        <v>9</v>
      </c>
      <c r="H1265" s="1">
        <v>321</v>
      </c>
      <c r="I1265" s="1">
        <v>5</v>
      </c>
      <c r="J1265" s="4">
        <v>2744.55</v>
      </c>
      <c r="K1265" s="4">
        <v>1703.14</v>
      </c>
      <c r="L1265" s="4">
        <v>1041.4100000000001</v>
      </c>
      <c r="M1265" s="1" t="str">
        <f>TEXT(Table1[[#This Row],[Order_Date]], "MMM")</f>
        <v>Apr</v>
      </c>
      <c r="N1265" s="1">
        <f>YEAR(Table1[[#This Row],[Order_Date]])</f>
        <v>2024</v>
      </c>
      <c r="O1265" s="7">
        <f>Table1[[#This Row],[Profit]]/Table1[[#This Row],[Total_Sales]]</f>
        <v>0.37944653950556556</v>
      </c>
    </row>
    <row r="1266" spans="1:15" x14ac:dyDescent="0.25">
      <c r="A1266" s="1">
        <v>1265</v>
      </c>
      <c r="B1266" s="2">
        <v>45119</v>
      </c>
      <c r="C1266" s="1" t="s">
        <v>12</v>
      </c>
      <c r="D1266" s="1" t="s">
        <v>13</v>
      </c>
      <c r="E1266" s="1" t="s">
        <v>14</v>
      </c>
      <c r="F1266" s="1" t="s">
        <v>24</v>
      </c>
      <c r="G1266" s="1">
        <v>10</v>
      </c>
      <c r="H1266" s="1">
        <v>149</v>
      </c>
      <c r="I1266" s="1">
        <v>20</v>
      </c>
      <c r="J1266" s="4">
        <v>1192</v>
      </c>
      <c r="K1266" s="4">
        <v>742.78</v>
      </c>
      <c r="L1266" s="4">
        <v>449.22</v>
      </c>
      <c r="M1266" s="1" t="str">
        <f>TEXT(Table1[[#This Row],[Order_Date]], "MMM")</f>
        <v>Jul</v>
      </c>
      <c r="N1266" s="1">
        <f>YEAR(Table1[[#This Row],[Order_Date]])</f>
        <v>2023</v>
      </c>
      <c r="O1266" s="7">
        <f>Table1[[#This Row],[Profit]]/Table1[[#This Row],[Total_Sales]]</f>
        <v>0.37686241610738258</v>
      </c>
    </row>
    <row r="1267" spans="1:15" x14ac:dyDescent="0.25">
      <c r="A1267" s="1">
        <v>1266</v>
      </c>
      <c r="B1267" s="2">
        <v>45280</v>
      </c>
      <c r="C1267" s="1" t="s">
        <v>16</v>
      </c>
      <c r="D1267" s="1" t="s">
        <v>22</v>
      </c>
      <c r="E1267" s="1" t="s">
        <v>44</v>
      </c>
      <c r="F1267" s="1" t="s">
        <v>18</v>
      </c>
      <c r="G1267" s="1">
        <v>6</v>
      </c>
      <c r="H1267" s="1">
        <v>941</v>
      </c>
      <c r="I1267" s="1">
        <v>20</v>
      </c>
      <c r="J1267" s="4">
        <v>4516.8</v>
      </c>
      <c r="K1267" s="4">
        <v>3586.96</v>
      </c>
      <c r="L1267" s="4">
        <v>929.84</v>
      </c>
      <c r="M1267" s="1" t="str">
        <f>TEXT(Table1[[#This Row],[Order_Date]], "MMM")</f>
        <v>Dec</v>
      </c>
      <c r="N1267" s="1">
        <f>YEAR(Table1[[#This Row],[Order_Date]])</f>
        <v>2023</v>
      </c>
      <c r="O1267" s="7">
        <f>Table1[[#This Row],[Profit]]/Table1[[#This Row],[Total_Sales]]</f>
        <v>0.20586255756287636</v>
      </c>
    </row>
    <row r="1268" spans="1:15" x14ac:dyDescent="0.25">
      <c r="A1268" s="1">
        <v>1267</v>
      </c>
      <c r="B1268" s="2">
        <v>45243</v>
      </c>
      <c r="C1268" s="1" t="s">
        <v>19</v>
      </c>
      <c r="D1268" s="1" t="s">
        <v>22</v>
      </c>
      <c r="E1268" s="1" t="s">
        <v>44</v>
      </c>
      <c r="F1268" s="1" t="s">
        <v>15</v>
      </c>
      <c r="G1268" s="1">
        <v>1</v>
      </c>
      <c r="H1268" s="1">
        <v>858</v>
      </c>
      <c r="I1268" s="1">
        <v>5</v>
      </c>
      <c r="J1268" s="4">
        <v>815.1</v>
      </c>
      <c r="K1268" s="4">
        <v>523.73</v>
      </c>
      <c r="L1268" s="4">
        <v>291.37</v>
      </c>
      <c r="M1268" s="1" t="str">
        <f>TEXT(Table1[[#This Row],[Order_Date]], "MMM")</f>
        <v>Nov</v>
      </c>
      <c r="N1268" s="1">
        <f>YEAR(Table1[[#This Row],[Order_Date]])</f>
        <v>2023</v>
      </c>
      <c r="O1268" s="7">
        <f>Table1[[#This Row],[Profit]]/Table1[[#This Row],[Total_Sales]]</f>
        <v>0.35746534167586796</v>
      </c>
    </row>
    <row r="1269" spans="1:15" x14ac:dyDescent="0.25">
      <c r="A1269" s="1">
        <v>1268</v>
      </c>
      <c r="B1269" s="2">
        <v>45074</v>
      </c>
      <c r="C1269" s="1" t="s">
        <v>25</v>
      </c>
      <c r="D1269" s="1" t="s">
        <v>13</v>
      </c>
      <c r="E1269" s="1" t="s">
        <v>14</v>
      </c>
      <c r="F1269" s="1" t="s">
        <v>18</v>
      </c>
      <c r="G1269" s="1">
        <v>8</v>
      </c>
      <c r="H1269" s="1">
        <v>947</v>
      </c>
      <c r="I1269" s="1">
        <v>15</v>
      </c>
      <c r="J1269" s="4">
        <v>6439.6</v>
      </c>
      <c r="K1269" s="4">
        <v>5082.5</v>
      </c>
      <c r="L1269" s="4">
        <v>1357.1</v>
      </c>
      <c r="M1269" s="1" t="str">
        <f>TEXT(Table1[[#This Row],[Order_Date]], "MMM")</f>
        <v>May</v>
      </c>
      <c r="N1269" s="1">
        <f>YEAR(Table1[[#This Row],[Order_Date]])</f>
        <v>2023</v>
      </c>
      <c r="O1269" s="7">
        <f>Table1[[#This Row],[Profit]]/Table1[[#This Row],[Total_Sales]]</f>
        <v>0.21074290328591835</v>
      </c>
    </row>
    <row r="1270" spans="1:15" x14ac:dyDescent="0.25">
      <c r="A1270" s="1">
        <v>1269</v>
      </c>
      <c r="B1270" s="2">
        <v>45283</v>
      </c>
      <c r="C1270" s="1" t="s">
        <v>16</v>
      </c>
      <c r="D1270" s="1" t="s">
        <v>26</v>
      </c>
      <c r="E1270" s="1" t="s">
        <v>27</v>
      </c>
      <c r="F1270" s="1" t="s">
        <v>40</v>
      </c>
      <c r="G1270" s="1">
        <v>5</v>
      </c>
      <c r="H1270" s="1">
        <v>801</v>
      </c>
      <c r="I1270" s="1">
        <v>20</v>
      </c>
      <c r="J1270" s="4">
        <v>3204</v>
      </c>
      <c r="K1270" s="4">
        <v>2056.54</v>
      </c>
      <c r="L1270" s="4">
        <v>1147.46</v>
      </c>
      <c r="M1270" s="1" t="str">
        <f>TEXT(Table1[[#This Row],[Order_Date]], "MMM")</f>
        <v>Dec</v>
      </c>
      <c r="N1270" s="1">
        <f>YEAR(Table1[[#This Row],[Order_Date]])</f>
        <v>2023</v>
      </c>
      <c r="O1270" s="7">
        <f>Table1[[#This Row],[Profit]]/Table1[[#This Row],[Total_Sales]]</f>
        <v>0.3581335830212235</v>
      </c>
    </row>
    <row r="1271" spans="1:15" x14ac:dyDescent="0.25">
      <c r="A1271" s="1">
        <v>1270</v>
      </c>
      <c r="B1271" s="2">
        <v>44944</v>
      </c>
      <c r="C1271" s="1" t="s">
        <v>12</v>
      </c>
      <c r="D1271" s="1" t="s">
        <v>32</v>
      </c>
      <c r="E1271" s="1" t="s">
        <v>34</v>
      </c>
      <c r="F1271" s="1" t="s">
        <v>15</v>
      </c>
      <c r="G1271" s="1">
        <v>5</v>
      </c>
      <c r="H1271" s="1">
        <v>217</v>
      </c>
      <c r="I1271" s="1">
        <v>5</v>
      </c>
      <c r="J1271" s="4">
        <v>1030.75</v>
      </c>
      <c r="K1271" s="4">
        <v>594.24</v>
      </c>
      <c r="L1271" s="4">
        <v>436.51</v>
      </c>
      <c r="M1271" s="1" t="str">
        <f>TEXT(Table1[[#This Row],[Order_Date]], "MMM")</f>
        <v>Jan</v>
      </c>
      <c r="N1271" s="1">
        <f>YEAR(Table1[[#This Row],[Order_Date]])</f>
        <v>2023</v>
      </c>
      <c r="O1271" s="7">
        <f>Table1[[#This Row],[Profit]]/Table1[[#This Row],[Total_Sales]]</f>
        <v>0.42348775163715741</v>
      </c>
    </row>
    <row r="1272" spans="1:15" x14ac:dyDescent="0.25">
      <c r="A1272" s="1">
        <v>1271</v>
      </c>
      <c r="B1272" s="2">
        <v>45322</v>
      </c>
      <c r="C1272" s="1" t="s">
        <v>12</v>
      </c>
      <c r="D1272" s="1" t="s">
        <v>20</v>
      </c>
      <c r="E1272" s="1" t="s">
        <v>30</v>
      </c>
      <c r="F1272" s="1" t="s">
        <v>35</v>
      </c>
      <c r="G1272" s="1">
        <v>2</v>
      </c>
      <c r="H1272" s="1">
        <v>801</v>
      </c>
      <c r="I1272" s="1">
        <v>10</v>
      </c>
      <c r="J1272" s="4">
        <v>1441.8</v>
      </c>
      <c r="K1272" s="4">
        <v>1122.46</v>
      </c>
      <c r="L1272" s="4">
        <v>319.33999999999997</v>
      </c>
      <c r="M1272" s="1" t="str">
        <f>TEXT(Table1[[#This Row],[Order_Date]], "MMM")</f>
        <v>Jan</v>
      </c>
      <c r="N1272" s="1">
        <f>YEAR(Table1[[#This Row],[Order_Date]])</f>
        <v>2024</v>
      </c>
      <c r="O1272" s="7">
        <f>Table1[[#This Row],[Profit]]/Table1[[#This Row],[Total_Sales]]</f>
        <v>0.22148703010126231</v>
      </c>
    </row>
    <row r="1273" spans="1:15" x14ac:dyDescent="0.25">
      <c r="A1273" s="1">
        <v>1272</v>
      </c>
      <c r="B1273" s="2">
        <v>45332</v>
      </c>
      <c r="C1273" s="1" t="s">
        <v>12</v>
      </c>
      <c r="D1273" s="1" t="s">
        <v>26</v>
      </c>
      <c r="E1273" s="1" t="s">
        <v>27</v>
      </c>
      <c r="F1273" s="1" t="s">
        <v>31</v>
      </c>
      <c r="G1273" s="1">
        <v>1</v>
      </c>
      <c r="H1273" s="1">
        <v>544</v>
      </c>
      <c r="I1273" s="1">
        <v>10</v>
      </c>
      <c r="J1273" s="4">
        <v>489.6</v>
      </c>
      <c r="K1273" s="4">
        <v>381.7</v>
      </c>
      <c r="L1273" s="4">
        <v>107.9</v>
      </c>
      <c r="M1273" s="1" t="str">
        <f>TEXT(Table1[[#This Row],[Order_Date]], "MMM")</f>
        <v>Feb</v>
      </c>
      <c r="N1273" s="1">
        <f>YEAR(Table1[[#This Row],[Order_Date]])</f>
        <v>2024</v>
      </c>
      <c r="O1273" s="7">
        <f>Table1[[#This Row],[Profit]]/Table1[[#This Row],[Total_Sales]]</f>
        <v>0.22038398692810457</v>
      </c>
    </row>
    <row r="1274" spans="1:15" x14ac:dyDescent="0.25">
      <c r="A1274" s="1">
        <v>1273</v>
      </c>
      <c r="B1274" s="2">
        <v>45524</v>
      </c>
      <c r="C1274" s="1" t="s">
        <v>16</v>
      </c>
      <c r="D1274" s="1" t="s">
        <v>13</v>
      </c>
      <c r="E1274" s="1" t="s">
        <v>17</v>
      </c>
      <c r="F1274" s="1" t="s">
        <v>15</v>
      </c>
      <c r="G1274" s="1">
        <v>2</v>
      </c>
      <c r="H1274" s="1">
        <v>75</v>
      </c>
      <c r="I1274" s="1">
        <v>15</v>
      </c>
      <c r="J1274" s="4">
        <v>127.5</v>
      </c>
      <c r="K1274" s="4">
        <v>81.040000000000006</v>
      </c>
      <c r="L1274" s="4">
        <v>46.46</v>
      </c>
      <c r="M1274" s="1" t="str">
        <f>TEXT(Table1[[#This Row],[Order_Date]], "MMM")</f>
        <v>Aug</v>
      </c>
      <c r="N1274" s="1">
        <f>YEAR(Table1[[#This Row],[Order_Date]])</f>
        <v>2024</v>
      </c>
      <c r="O1274" s="7">
        <f>Table1[[#This Row],[Profit]]/Table1[[#This Row],[Total_Sales]]</f>
        <v>0.36439215686274512</v>
      </c>
    </row>
    <row r="1275" spans="1:15" x14ac:dyDescent="0.25">
      <c r="A1275" s="1">
        <v>1274</v>
      </c>
      <c r="B1275" s="2">
        <v>45266</v>
      </c>
      <c r="C1275" s="1" t="s">
        <v>19</v>
      </c>
      <c r="D1275" s="1" t="s">
        <v>26</v>
      </c>
      <c r="E1275" s="1" t="s">
        <v>27</v>
      </c>
      <c r="F1275" s="1" t="s">
        <v>18</v>
      </c>
      <c r="G1275" s="1">
        <v>7</v>
      </c>
      <c r="H1275" s="1">
        <v>682</v>
      </c>
      <c r="I1275" s="1">
        <v>10</v>
      </c>
      <c r="J1275" s="4">
        <v>4296.6000000000004</v>
      </c>
      <c r="K1275" s="4">
        <v>3203.53</v>
      </c>
      <c r="L1275" s="4">
        <v>1093.07</v>
      </c>
      <c r="M1275" s="1" t="str">
        <f>TEXT(Table1[[#This Row],[Order_Date]], "MMM")</f>
        <v>Dec</v>
      </c>
      <c r="N1275" s="1">
        <f>YEAR(Table1[[#This Row],[Order_Date]])</f>
        <v>2023</v>
      </c>
      <c r="O1275" s="7">
        <f>Table1[[#This Row],[Profit]]/Table1[[#This Row],[Total_Sales]]</f>
        <v>0.25440348182283662</v>
      </c>
    </row>
    <row r="1276" spans="1:15" x14ac:dyDescent="0.25">
      <c r="A1276" s="1">
        <v>1275</v>
      </c>
      <c r="B1276" s="2">
        <v>45404</v>
      </c>
      <c r="C1276" s="1" t="s">
        <v>19</v>
      </c>
      <c r="D1276" s="1" t="s">
        <v>22</v>
      </c>
      <c r="E1276" s="1" t="s">
        <v>29</v>
      </c>
      <c r="F1276" s="1" t="s">
        <v>40</v>
      </c>
      <c r="G1276" s="1">
        <v>8</v>
      </c>
      <c r="H1276" s="1">
        <v>418</v>
      </c>
      <c r="I1276" s="1">
        <v>20</v>
      </c>
      <c r="J1276" s="4">
        <v>2675.2</v>
      </c>
      <c r="K1276" s="4">
        <v>1378.2</v>
      </c>
      <c r="L1276" s="4">
        <v>1297</v>
      </c>
      <c r="M1276" s="1" t="str">
        <f>TEXT(Table1[[#This Row],[Order_Date]], "MMM")</f>
        <v>Apr</v>
      </c>
      <c r="N1276" s="1">
        <f>YEAR(Table1[[#This Row],[Order_Date]])</f>
        <v>2024</v>
      </c>
      <c r="O1276" s="7">
        <f>Table1[[#This Row],[Profit]]/Table1[[#This Row],[Total_Sales]]</f>
        <v>0.48482356459330145</v>
      </c>
    </row>
    <row r="1277" spans="1:15" x14ac:dyDescent="0.25">
      <c r="A1277" s="1">
        <v>1276</v>
      </c>
      <c r="B1277" s="2">
        <v>45475</v>
      </c>
      <c r="C1277" s="1" t="s">
        <v>25</v>
      </c>
      <c r="D1277" s="1" t="s">
        <v>26</v>
      </c>
      <c r="E1277" s="1" t="s">
        <v>27</v>
      </c>
      <c r="F1277" s="1" t="s">
        <v>15</v>
      </c>
      <c r="G1277" s="1">
        <v>3</v>
      </c>
      <c r="H1277" s="1">
        <v>337</v>
      </c>
      <c r="I1277" s="1">
        <v>10</v>
      </c>
      <c r="J1277" s="4">
        <v>909.9</v>
      </c>
      <c r="K1277" s="4">
        <v>588.27</v>
      </c>
      <c r="L1277" s="4">
        <v>321.63</v>
      </c>
      <c r="M1277" s="1" t="str">
        <f>TEXT(Table1[[#This Row],[Order_Date]], "MMM")</f>
        <v>Jul</v>
      </c>
      <c r="N1277" s="1">
        <f>YEAR(Table1[[#This Row],[Order_Date]])</f>
        <v>2024</v>
      </c>
      <c r="O1277" s="7">
        <f>Table1[[#This Row],[Profit]]/Table1[[#This Row],[Total_Sales]]</f>
        <v>0.35347840422024401</v>
      </c>
    </row>
    <row r="1278" spans="1:15" x14ac:dyDescent="0.25">
      <c r="A1278" s="1">
        <v>1277</v>
      </c>
      <c r="B1278" s="2">
        <v>45288</v>
      </c>
      <c r="C1278" s="1" t="s">
        <v>12</v>
      </c>
      <c r="D1278" s="1" t="s">
        <v>13</v>
      </c>
      <c r="E1278" s="1" t="s">
        <v>14</v>
      </c>
      <c r="F1278" s="1" t="s">
        <v>35</v>
      </c>
      <c r="G1278" s="1">
        <v>1</v>
      </c>
      <c r="H1278" s="1">
        <v>996</v>
      </c>
      <c r="I1278" s="1">
        <v>15</v>
      </c>
      <c r="J1278" s="4">
        <v>846.6</v>
      </c>
      <c r="K1278" s="4">
        <v>616.20000000000005</v>
      </c>
      <c r="L1278" s="4">
        <v>230.4</v>
      </c>
      <c r="M1278" s="1" t="str">
        <f>TEXT(Table1[[#This Row],[Order_Date]], "MMM")</f>
        <v>Dec</v>
      </c>
      <c r="N1278" s="1">
        <f>YEAR(Table1[[#This Row],[Order_Date]])</f>
        <v>2023</v>
      </c>
      <c r="O1278" s="7">
        <f>Table1[[#This Row],[Profit]]/Table1[[#This Row],[Total_Sales]]</f>
        <v>0.27214741318214031</v>
      </c>
    </row>
    <row r="1279" spans="1:15" x14ac:dyDescent="0.25">
      <c r="A1279" s="1">
        <v>1278</v>
      </c>
      <c r="B1279" s="2">
        <v>45557</v>
      </c>
      <c r="C1279" s="1" t="s">
        <v>12</v>
      </c>
      <c r="D1279" s="1" t="s">
        <v>26</v>
      </c>
      <c r="E1279" s="1" t="s">
        <v>42</v>
      </c>
      <c r="F1279" s="1" t="s">
        <v>24</v>
      </c>
      <c r="G1279" s="1">
        <v>3</v>
      </c>
      <c r="H1279" s="1">
        <v>755</v>
      </c>
      <c r="I1279" s="1">
        <v>0</v>
      </c>
      <c r="J1279" s="4">
        <v>2265</v>
      </c>
      <c r="K1279" s="4">
        <v>1628.64</v>
      </c>
      <c r="L1279" s="4">
        <v>636.36</v>
      </c>
      <c r="M1279" s="1" t="str">
        <f>TEXT(Table1[[#This Row],[Order_Date]], "MMM")</f>
        <v>Sep</v>
      </c>
      <c r="N1279" s="1">
        <f>YEAR(Table1[[#This Row],[Order_Date]])</f>
        <v>2024</v>
      </c>
      <c r="O1279" s="7">
        <f>Table1[[#This Row],[Profit]]/Table1[[#This Row],[Total_Sales]]</f>
        <v>0.28095364238410597</v>
      </c>
    </row>
    <row r="1280" spans="1:15" x14ac:dyDescent="0.25">
      <c r="A1280" s="1">
        <v>1279</v>
      </c>
      <c r="B1280" s="2">
        <v>45344</v>
      </c>
      <c r="C1280" s="1" t="s">
        <v>19</v>
      </c>
      <c r="D1280" s="1" t="s">
        <v>26</v>
      </c>
      <c r="E1280" s="1" t="s">
        <v>46</v>
      </c>
      <c r="F1280" s="1" t="s">
        <v>18</v>
      </c>
      <c r="G1280" s="1">
        <v>2</v>
      </c>
      <c r="H1280" s="1">
        <v>967</v>
      </c>
      <c r="I1280" s="1">
        <v>15</v>
      </c>
      <c r="J1280" s="4">
        <v>1643.9</v>
      </c>
      <c r="K1280" s="4">
        <v>833.59</v>
      </c>
      <c r="L1280" s="4">
        <v>810.31</v>
      </c>
      <c r="M1280" s="1" t="str">
        <f>TEXT(Table1[[#This Row],[Order_Date]], "MMM")</f>
        <v>Feb</v>
      </c>
      <c r="N1280" s="1">
        <f>YEAR(Table1[[#This Row],[Order_Date]])</f>
        <v>2024</v>
      </c>
      <c r="O1280" s="7">
        <f>Table1[[#This Row],[Profit]]/Table1[[#This Row],[Total_Sales]]</f>
        <v>0.49291927732830459</v>
      </c>
    </row>
    <row r="1281" spans="1:15" x14ac:dyDescent="0.25">
      <c r="A1281" s="1">
        <v>1280</v>
      </c>
      <c r="B1281" s="2">
        <v>44955</v>
      </c>
      <c r="C1281" s="1" t="s">
        <v>16</v>
      </c>
      <c r="D1281" s="1" t="s">
        <v>20</v>
      </c>
      <c r="E1281" s="1" t="s">
        <v>21</v>
      </c>
      <c r="F1281" s="1" t="s">
        <v>24</v>
      </c>
      <c r="G1281" s="1">
        <v>1</v>
      </c>
      <c r="H1281" s="1">
        <v>164</v>
      </c>
      <c r="I1281" s="1">
        <v>15</v>
      </c>
      <c r="J1281" s="4">
        <v>139.4</v>
      </c>
      <c r="K1281" s="4">
        <v>99.18</v>
      </c>
      <c r="L1281" s="4">
        <v>40.22</v>
      </c>
      <c r="M1281" s="1" t="str">
        <f>TEXT(Table1[[#This Row],[Order_Date]], "MMM")</f>
        <v>Jan</v>
      </c>
      <c r="N1281" s="1">
        <f>YEAR(Table1[[#This Row],[Order_Date]])</f>
        <v>2023</v>
      </c>
      <c r="O1281" s="7">
        <f>Table1[[#This Row],[Profit]]/Table1[[#This Row],[Total_Sales]]</f>
        <v>0.2885222381635581</v>
      </c>
    </row>
    <row r="1282" spans="1:15" x14ac:dyDescent="0.25">
      <c r="A1282" s="1">
        <v>1281</v>
      </c>
      <c r="B1282" s="2">
        <v>45290</v>
      </c>
      <c r="C1282" s="1" t="s">
        <v>12</v>
      </c>
      <c r="D1282" s="1" t="s">
        <v>20</v>
      </c>
      <c r="E1282" s="1" t="s">
        <v>43</v>
      </c>
      <c r="F1282" s="1" t="s">
        <v>24</v>
      </c>
      <c r="G1282" s="1">
        <v>1</v>
      </c>
      <c r="H1282" s="1">
        <v>886</v>
      </c>
      <c r="I1282" s="1">
        <v>5</v>
      </c>
      <c r="J1282" s="4">
        <v>841.7</v>
      </c>
      <c r="K1282" s="4">
        <v>621.15</v>
      </c>
      <c r="L1282" s="4">
        <v>220.55</v>
      </c>
      <c r="M1282" s="1" t="str">
        <f>TEXT(Table1[[#This Row],[Order_Date]], "MMM")</f>
        <v>Dec</v>
      </c>
      <c r="N1282" s="1">
        <f>YEAR(Table1[[#This Row],[Order_Date]])</f>
        <v>2023</v>
      </c>
      <c r="O1282" s="7">
        <f>Table1[[#This Row],[Profit]]/Table1[[#This Row],[Total_Sales]]</f>
        <v>0.26202922656528455</v>
      </c>
    </row>
    <row r="1283" spans="1:15" x14ac:dyDescent="0.25">
      <c r="A1283" s="1">
        <v>1282</v>
      </c>
      <c r="B1283" s="2">
        <v>45096</v>
      </c>
      <c r="C1283" s="1" t="s">
        <v>25</v>
      </c>
      <c r="D1283" s="1" t="s">
        <v>26</v>
      </c>
      <c r="E1283" s="1" t="s">
        <v>27</v>
      </c>
      <c r="F1283" s="1" t="s">
        <v>31</v>
      </c>
      <c r="G1283" s="1">
        <v>7</v>
      </c>
      <c r="H1283" s="1">
        <v>441</v>
      </c>
      <c r="I1283" s="1">
        <v>10</v>
      </c>
      <c r="J1283" s="4">
        <v>2778.3</v>
      </c>
      <c r="K1283" s="4">
        <v>2140.11</v>
      </c>
      <c r="L1283" s="4">
        <v>638.19000000000005</v>
      </c>
      <c r="M1283" s="1" t="str">
        <f>TEXT(Table1[[#This Row],[Order_Date]], "MMM")</f>
        <v>Jun</v>
      </c>
      <c r="N1283" s="1">
        <f>YEAR(Table1[[#This Row],[Order_Date]])</f>
        <v>2023</v>
      </c>
      <c r="O1283" s="7">
        <f>Table1[[#This Row],[Profit]]/Table1[[#This Row],[Total_Sales]]</f>
        <v>0.22970521541950115</v>
      </c>
    </row>
    <row r="1284" spans="1:15" x14ac:dyDescent="0.25">
      <c r="A1284" s="1">
        <v>1283</v>
      </c>
      <c r="B1284" s="2">
        <v>45615</v>
      </c>
      <c r="C1284" s="1" t="s">
        <v>12</v>
      </c>
      <c r="D1284" s="1" t="s">
        <v>20</v>
      </c>
      <c r="E1284" s="1" t="s">
        <v>43</v>
      </c>
      <c r="F1284" s="1" t="s">
        <v>15</v>
      </c>
      <c r="G1284" s="1">
        <v>5</v>
      </c>
      <c r="H1284" s="1">
        <v>511</v>
      </c>
      <c r="I1284" s="1">
        <v>10</v>
      </c>
      <c r="J1284" s="4">
        <v>2299.5</v>
      </c>
      <c r="K1284" s="4">
        <v>1667.08</v>
      </c>
      <c r="L1284" s="4">
        <v>632.41999999999996</v>
      </c>
      <c r="M1284" s="1" t="str">
        <f>TEXT(Table1[[#This Row],[Order_Date]], "MMM")</f>
        <v>Nov</v>
      </c>
      <c r="N1284" s="1">
        <f>YEAR(Table1[[#This Row],[Order_Date]])</f>
        <v>2024</v>
      </c>
      <c r="O1284" s="7">
        <f>Table1[[#This Row],[Profit]]/Table1[[#This Row],[Total_Sales]]</f>
        <v>0.27502500543596431</v>
      </c>
    </row>
    <row r="1285" spans="1:15" x14ac:dyDescent="0.25">
      <c r="A1285" s="1">
        <v>1284</v>
      </c>
      <c r="B1285" s="2">
        <v>45410</v>
      </c>
      <c r="C1285" s="1" t="s">
        <v>16</v>
      </c>
      <c r="D1285" s="1" t="s">
        <v>22</v>
      </c>
      <c r="E1285" s="1" t="s">
        <v>29</v>
      </c>
      <c r="F1285" s="1" t="s">
        <v>15</v>
      </c>
      <c r="G1285" s="1">
        <v>3</v>
      </c>
      <c r="H1285" s="1">
        <v>81</v>
      </c>
      <c r="I1285" s="1">
        <v>15</v>
      </c>
      <c r="J1285" s="4">
        <v>206.55</v>
      </c>
      <c r="K1285" s="4">
        <v>146.26</v>
      </c>
      <c r="L1285" s="4">
        <v>60.29</v>
      </c>
      <c r="M1285" s="1" t="str">
        <f>TEXT(Table1[[#This Row],[Order_Date]], "MMM")</f>
        <v>Apr</v>
      </c>
      <c r="N1285" s="1">
        <f>YEAR(Table1[[#This Row],[Order_Date]])</f>
        <v>2024</v>
      </c>
      <c r="O1285" s="7">
        <f>Table1[[#This Row],[Profit]]/Table1[[#This Row],[Total_Sales]]</f>
        <v>0.29189058339385132</v>
      </c>
    </row>
    <row r="1286" spans="1:15" x14ac:dyDescent="0.25">
      <c r="A1286" s="1">
        <v>1285</v>
      </c>
      <c r="B1286" s="2">
        <v>45228</v>
      </c>
      <c r="C1286" s="1" t="s">
        <v>19</v>
      </c>
      <c r="D1286" s="1" t="s">
        <v>26</v>
      </c>
      <c r="E1286" s="1" t="s">
        <v>27</v>
      </c>
      <c r="F1286" s="1" t="s">
        <v>15</v>
      </c>
      <c r="G1286" s="1">
        <v>8</v>
      </c>
      <c r="H1286" s="1">
        <v>82</v>
      </c>
      <c r="I1286" s="1">
        <v>20</v>
      </c>
      <c r="J1286" s="4">
        <v>524.79999999999995</v>
      </c>
      <c r="K1286" s="4">
        <v>373.03</v>
      </c>
      <c r="L1286" s="4">
        <v>151.77000000000001</v>
      </c>
      <c r="M1286" s="1" t="str">
        <f>TEXT(Table1[[#This Row],[Order_Date]], "MMM")</f>
        <v>Oct</v>
      </c>
      <c r="N1286" s="1">
        <f>YEAR(Table1[[#This Row],[Order_Date]])</f>
        <v>2023</v>
      </c>
      <c r="O1286" s="7">
        <f>Table1[[#This Row],[Profit]]/Table1[[#This Row],[Total_Sales]]</f>
        <v>0.28919588414634151</v>
      </c>
    </row>
    <row r="1287" spans="1:15" x14ac:dyDescent="0.25">
      <c r="A1287" s="1">
        <v>1286</v>
      </c>
      <c r="B1287" s="2">
        <v>45128</v>
      </c>
      <c r="C1287" s="1" t="s">
        <v>25</v>
      </c>
      <c r="D1287" s="1" t="s">
        <v>13</v>
      </c>
      <c r="E1287" s="1" t="s">
        <v>38</v>
      </c>
      <c r="F1287" s="1" t="s">
        <v>35</v>
      </c>
      <c r="G1287" s="1">
        <v>9</v>
      </c>
      <c r="H1287" s="1">
        <v>592</v>
      </c>
      <c r="I1287" s="1">
        <v>10</v>
      </c>
      <c r="J1287" s="4">
        <v>4795.2</v>
      </c>
      <c r="K1287" s="4">
        <v>2759.72</v>
      </c>
      <c r="L1287" s="4">
        <v>2035.48</v>
      </c>
      <c r="M1287" s="1" t="str">
        <f>TEXT(Table1[[#This Row],[Order_Date]], "MMM")</f>
        <v>Jul</v>
      </c>
      <c r="N1287" s="1">
        <f>YEAR(Table1[[#This Row],[Order_Date]])</f>
        <v>2023</v>
      </c>
      <c r="O1287" s="7">
        <f>Table1[[#This Row],[Profit]]/Table1[[#This Row],[Total_Sales]]</f>
        <v>0.42448281614948286</v>
      </c>
    </row>
    <row r="1288" spans="1:15" x14ac:dyDescent="0.25">
      <c r="A1288" s="1">
        <v>1287</v>
      </c>
      <c r="B1288" s="2">
        <v>45535</v>
      </c>
      <c r="C1288" s="1" t="s">
        <v>12</v>
      </c>
      <c r="D1288" s="1" t="s">
        <v>13</v>
      </c>
      <c r="E1288" s="1" t="s">
        <v>14</v>
      </c>
      <c r="F1288" s="1" t="s">
        <v>31</v>
      </c>
      <c r="G1288" s="1">
        <v>9</v>
      </c>
      <c r="H1288" s="1">
        <v>826</v>
      </c>
      <c r="I1288" s="1">
        <v>15</v>
      </c>
      <c r="J1288" s="4">
        <v>6318.9</v>
      </c>
      <c r="K1288" s="4">
        <v>3831.54</v>
      </c>
      <c r="L1288" s="4">
        <v>2487.36</v>
      </c>
      <c r="M1288" s="1" t="str">
        <f>TEXT(Table1[[#This Row],[Order_Date]], "MMM")</f>
        <v>Aug</v>
      </c>
      <c r="N1288" s="1">
        <f>YEAR(Table1[[#This Row],[Order_Date]])</f>
        <v>2024</v>
      </c>
      <c r="O1288" s="7">
        <f>Table1[[#This Row],[Profit]]/Table1[[#This Row],[Total_Sales]]</f>
        <v>0.39363813321938951</v>
      </c>
    </row>
    <row r="1289" spans="1:15" x14ac:dyDescent="0.25">
      <c r="A1289" s="1">
        <v>1288</v>
      </c>
      <c r="B1289" s="2">
        <v>45293</v>
      </c>
      <c r="C1289" s="1" t="s">
        <v>16</v>
      </c>
      <c r="D1289" s="1" t="s">
        <v>20</v>
      </c>
      <c r="E1289" s="1" t="s">
        <v>30</v>
      </c>
      <c r="F1289" s="1" t="s">
        <v>31</v>
      </c>
      <c r="G1289" s="1">
        <v>6</v>
      </c>
      <c r="H1289" s="1">
        <v>347</v>
      </c>
      <c r="I1289" s="1">
        <v>10</v>
      </c>
      <c r="J1289" s="4">
        <v>1873.8</v>
      </c>
      <c r="K1289" s="4">
        <v>1248.99</v>
      </c>
      <c r="L1289" s="4">
        <v>624.80999999999995</v>
      </c>
      <c r="M1289" s="1" t="str">
        <f>TEXT(Table1[[#This Row],[Order_Date]], "MMM")</f>
        <v>Jan</v>
      </c>
      <c r="N1289" s="1">
        <f>YEAR(Table1[[#This Row],[Order_Date]])</f>
        <v>2024</v>
      </c>
      <c r="O1289" s="7">
        <f>Table1[[#This Row],[Profit]]/Table1[[#This Row],[Total_Sales]]</f>
        <v>0.33344540505923786</v>
      </c>
    </row>
    <row r="1290" spans="1:15" x14ac:dyDescent="0.25">
      <c r="A1290" s="1">
        <v>1289</v>
      </c>
      <c r="B1290" s="2">
        <v>45178</v>
      </c>
      <c r="C1290" s="1" t="s">
        <v>25</v>
      </c>
      <c r="D1290" s="1" t="s">
        <v>26</v>
      </c>
      <c r="E1290" s="1" t="s">
        <v>46</v>
      </c>
      <c r="F1290" s="1" t="s">
        <v>31</v>
      </c>
      <c r="G1290" s="1">
        <v>9</v>
      </c>
      <c r="H1290" s="1">
        <v>543</v>
      </c>
      <c r="I1290" s="1">
        <v>15</v>
      </c>
      <c r="J1290" s="4">
        <v>4153.95</v>
      </c>
      <c r="K1290" s="4">
        <v>2620.0700000000002</v>
      </c>
      <c r="L1290" s="4">
        <v>1533.88</v>
      </c>
      <c r="M1290" s="1" t="str">
        <f>TEXT(Table1[[#This Row],[Order_Date]], "MMM")</f>
        <v>Sep</v>
      </c>
      <c r="N1290" s="1">
        <f>YEAR(Table1[[#This Row],[Order_Date]])</f>
        <v>2023</v>
      </c>
      <c r="O1290" s="7">
        <f>Table1[[#This Row],[Profit]]/Table1[[#This Row],[Total_Sales]]</f>
        <v>0.36925817595300864</v>
      </c>
    </row>
    <row r="1291" spans="1:15" x14ac:dyDescent="0.25">
      <c r="A1291" s="1">
        <v>1290</v>
      </c>
      <c r="B1291" s="2">
        <v>45516</v>
      </c>
      <c r="C1291" s="1" t="s">
        <v>12</v>
      </c>
      <c r="D1291" s="1" t="s">
        <v>26</v>
      </c>
      <c r="E1291" s="1" t="s">
        <v>42</v>
      </c>
      <c r="F1291" s="1" t="s">
        <v>18</v>
      </c>
      <c r="G1291" s="1">
        <v>1</v>
      </c>
      <c r="H1291" s="1">
        <v>997</v>
      </c>
      <c r="I1291" s="1">
        <v>10</v>
      </c>
      <c r="J1291" s="4">
        <v>897.3</v>
      </c>
      <c r="K1291" s="4">
        <v>601.54</v>
      </c>
      <c r="L1291" s="4">
        <v>295.76</v>
      </c>
      <c r="M1291" s="1" t="str">
        <f>TEXT(Table1[[#This Row],[Order_Date]], "MMM")</f>
        <v>Aug</v>
      </c>
      <c r="N1291" s="1">
        <f>YEAR(Table1[[#This Row],[Order_Date]])</f>
        <v>2024</v>
      </c>
      <c r="O1291" s="7">
        <f>Table1[[#This Row],[Profit]]/Table1[[#This Row],[Total_Sales]]</f>
        <v>0.32961105538838736</v>
      </c>
    </row>
    <row r="1292" spans="1:15" x14ac:dyDescent="0.25">
      <c r="A1292" s="1">
        <v>1291</v>
      </c>
      <c r="B1292" s="2">
        <v>45469</v>
      </c>
      <c r="C1292" s="1" t="s">
        <v>12</v>
      </c>
      <c r="D1292" s="1" t="s">
        <v>13</v>
      </c>
      <c r="E1292" s="1" t="s">
        <v>39</v>
      </c>
      <c r="F1292" s="1" t="s">
        <v>24</v>
      </c>
      <c r="G1292" s="1">
        <v>6</v>
      </c>
      <c r="H1292" s="1">
        <v>176</v>
      </c>
      <c r="I1292" s="1">
        <v>0</v>
      </c>
      <c r="J1292" s="4">
        <v>1056</v>
      </c>
      <c r="K1292" s="4">
        <v>759.9</v>
      </c>
      <c r="L1292" s="4">
        <v>296.10000000000002</v>
      </c>
      <c r="M1292" s="1" t="str">
        <f>TEXT(Table1[[#This Row],[Order_Date]], "MMM")</f>
        <v>Jun</v>
      </c>
      <c r="N1292" s="1">
        <f>YEAR(Table1[[#This Row],[Order_Date]])</f>
        <v>2024</v>
      </c>
      <c r="O1292" s="7">
        <f>Table1[[#This Row],[Profit]]/Table1[[#This Row],[Total_Sales]]</f>
        <v>0.28039772727272727</v>
      </c>
    </row>
    <row r="1293" spans="1:15" x14ac:dyDescent="0.25">
      <c r="A1293" s="1">
        <v>1292</v>
      </c>
      <c r="B1293" s="2">
        <v>45533</v>
      </c>
      <c r="C1293" s="1" t="s">
        <v>25</v>
      </c>
      <c r="D1293" s="1" t="s">
        <v>26</v>
      </c>
      <c r="E1293" s="1" t="s">
        <v>42</v>
      </c>
      <c r="F1293" s="1" t="s">
        <v>24</v>
      </c>
      <c r="G1293" s="1">
        <v>5</v>
      </c>
      <c r="H1293" s="1">
        <v>114</v>
      </c>
      <c r="I1293" s="1">
        <v>5</v>
      </c>
      <c r="J1293" s="4">
        <v>541.5</v>
      </c>
      <c r="K1293" s="4">
        <v>282.54000000000002</v>
      </c>
      <c r="L1293" s="4">
        <v>258.95999999999998</v>
      </c>
      <c r="M1293" s="1" t="str">
        <f>TEXT(Table1[[#This Row],[Order_Date]], "MMM")</f>
        <v>Aug</v>
      </c>
      <c r="N1293" s="1">
        <f>YEAR(Table1[[#This Row],[Order_Date]])</f>
        <v>2024</v>
      </c>
      <c r="O1293" s="7">
        <f>Table1[[#This Row],[Profit]]/Table1[[#This Row],[Total_Sales]]</f>
        <v>0.47822714681440437</v>
      </c>
    </row>
    <row r="1294" spans="1:15" x14ac:dyDescent="0.25">
      <c r="A1294" s="1">
        <v>1293</v>
      </c>
      <c r="B1294" s="2">
        <v>45125</v>
      </c>
      <c r="C1294" s="1" t="s">
        <v>16</v>
      </c>
      <c r="D1294" s="1" t="s">
        <v>32</v>
      </c>
      <c r="E1294" s="1" t="s">
        <v>45</v>
      </c>
      <c r="F1294" s="1" t="s">
        <v>15</v>
      </c>
      <c r="G1294" s="1">
        <v>1</v>
      </c>
      <c r="H1294" s="1">
        <v>277</v>
      </c>
      <c r="I1294" s="1">
        <v>10</v>
      </c>
      <c r="J1294" s="4">
        <v>249.3</v>
      </c>
      <c r="K1294" s="4">
        <v>161</v>
      </c>
      <c r="L1294" s="4">
        <v>88.3</v>
      </c>
      <c r="M1294" s="1" t="str">
        <f>TEXT(Table1[[#This Row],[Order_Date]], "MMM")</f>
        <v>Jul</v>
      </c>
      <c r="N1294" s="1">
        <f>YEAR(Table1[[#This Row],[Order_Date]])</f>
        <v>2023</v>
      </c>
      <c r="O1294" s="7">
        <f>Table1[[#This Row],[Profit]]/Table1[[#This Row],[Total_Sales]]</f>
        <v>0.35419173686321698</v>
      </c>
    </row>
    <row r="1295" spans="1:15" x14ac:dyDescent="0.25">
      <c r="A1295" s="1">
        <v>1294</v>
      </c>
      <c r="B1295" s="2">
        <v>45409</v>
      </c>
      <c r="C1295" s="1" t="s">
        <v>16</v>
      </c>
      <c r="D1295" s="1" t="s">
        <v>32</v>
      </c>
      <c r="E1295" s="1" t="s">
        <v>34</v>
      </c>
      <c r="F1295" s="1" t="s">
        <v>40</v>
      </c>
      <c r="G1295" s="1">
        <v>4</v>
      </c>
      <c r="H1295" s="1">
        <v>651</v>
      </c>
      <c r="I1295" s="1">
        <v>5</v>
      </c>
      <c r="J1295" s="4">
        <v>2473.8000000000002</v>
      </c>
      <c r="K1295" s="4">
        <v>1488.01</v>
      </c>
      <c r="L1295" s="4">
        <v>985.79</v>
      </c>
      <c r="M1295" s="1" t="str">
        <f>TEXT(Table1[[#This Row],[Order_Date]], "MMM")</f>
        <v>Apr</v>
      </c>
      <c r="N1295" s="1">
        <f>YEAR(Table1[[#This Row],[Order_Date]])</f>
        <v>2024</v>
      </c>
      <c r="O1295" s="7">
        <f>Table1[[#This Row],[Profit]]/Table1[[#This Row],[Total_Sales]]</f>
        <v>0.39849219823752924</v>
      </c>
    </row>
    <row r="1296" spans="1:15" x14ac:dyDescent="0.25">
      <c r="A1296" s="1">
        <v>1295</v>
      </c>
      <c r="B1296" s="2">
        <v>45551</v>
      </c>
      <c r="C1296" s="1" t="s">
        <v>19</v>
      </c>
      <c r="D1296" s="1" t="s">
        <v>32</v>
      </c>
      <c r="E1296" s="1" t="s">
        <v>41</v>
      </c>
      <c r="F1296" s="1" t="s">
        <v>31</v>
      </c>
      <c r="G1296" s="1">
        <v>7</v>
      </c>
      <c r="H1296" s="1">
        <v>84</v>
      </c>
      <c r="I1296" s="1">
        <v>10</v>
      </c>
      <c r="J1296" s="4">
        <v>529.20000000000005</v>
      </c>
      <c r="K1296" s="4">
        <v>357.28</v>
      </c>
      <c r="L1296" s="4">
        <v>171.92</v>
      </c>
      <c r="M1296" s="1" t="str">
        <f>TEXT(Table1[[#This Row],[Order_Date]], "MMM")</f>
        <v>Sep</v>
      </c>
      <c r="N1296" s="1">
        <f>YEAR(Table1[[#This Row],[Order_Date]])</f>
        <v>2024</v>
      </c>
      <c r="O1296" s="7">
        <f>Table1[[#This Row],[Profit]]/Table1[[#This Row],[Total_Sales]]</f>
        <v>0.32486772486772481</v>
      </c>
    </row>
    <row r="1297" spans="1:15" x14ac:dyDescent="0.25">
      <c r="A1297" s="1">
        <v>1296</v>
      </c>
      <c r="B1297" s="2">
        <v>45100</v>
      </c>
      <c r="C1297" s="1" t="s">
        <v>12</v>
      </c>
      <c r="D1297" s="1" t="s">
        <v>26</v>
      </c>
      <c r="E1297" s="1" t="s">
        <v>42</v>
      </c>
      <c r="F1297" s="1" t="s">
        <v>31</v>
      </c>
      <c r="G1297" s="1">
        <v>1</v>
      </c>
      <c r="H1297" s="1">
        <v>853</v>
      </c>
      <c r="I1297" s="1">
        <v>10</v>
      </c>
      <c r="J1297" s="4">
        <v>767.7</v>
      </c>
      <c r="K1297" s="4">
        <v>535.97</v>
      </c>
      <c r="L1297" s="4">
        <v>231.73</v>
      </c>
      <c r="M1297" s="1" t="str">
        <f>TEXT(Table1[[#This Row],[Order_Date]], "MMM")</f>
        <v>Jun</v>
      </c>
      <c r="N1297" s="1">
        <f>YEAR(Table1[[#This Row],[Order_Date]])</f>
        <v>2023</v>
      </c>
      <c r="O1297" s="7">
        <f>Table1[[#This Row],[Profit]]/Table1[[#This Row],[Total_Sales]]</f>
        <v>0.30184968086492114</v>
      </c>
    </row>
    <row r="1298" spans="1:15" x14ac:dyDescent="0.25">
      <c r="A1298" s="1">
        <v>1297</v>
      </c>
      <c r="B1298" s="2">
        <v>45101</v>
      </c>
      <c r="C1298" s="1" t="s">
        <v>19</v>
      </c>
      <c r="D1298" s="1" t="s">
        <v>26</v>
      </c>
      <c r="E1298" s="1" t="s">
        <v>42</v>
      </c>
      <c r="F1298" s="1" t="s">
        <v>15</v>
      </c>
      <c r="G1298" s="1">
        <v>6</v>
      </c>
      <c r="H1298" s="1">
        <v>325</v>
      </c>
      <c r="I1298" s="1">
        <v>10</v>
      </c>
      <c r="J1298" s="4">
        <v>1755</v>
      </c>
      <c r="K1298" s="4">
        <v>1045.24</v>
      </c>
      <c r="L1298" s="4">
        <v>709.76</v>
      </c>
      <c r="M1298" s="1" t="str">
        <f>TEXT(Table1[[#This Row],[Order_Date]], "MMM")</f>
        <v>Jun</v>
      </c>
      <c r="N1298" s="1">
        <f>YEAR(Table1[[#This Row],[Order_Date]])</f>
        <v>2023</v>
      </c>
      <c r="O1298" s="7">
        <f>Table1[[#This Row],[Profit]]/Table1[[#This Row],[Total_Sales]]</f>
        <v>0.4044216524216524</v>
      </c>
    </row>
    <row r="1299" spans="1:15" x14ac:dyDescent="0.25">
      <c r="A1299" s="1">
        <v>1298</v>
      </c>
      <c r="B1299" s="2">
        <v>45181</v>
      </c>
      <c r="C1299" s="1" t="s">
        <v>16</v>
      </c>
      <c r="D1299" s="1" t="s">
        <v>13</v>
      </c>
      <c r="E1299" s="1" t="s">
        <v>38</v>
      </c>
      <c r="F1299" s="1" t="s">
        <v>31</v>
      </c>
      <c r="G1299" s="1">
        <v>5</v>
      </c>
      <c r="H1299" s="1">
        <v>825</v>
      </c>
      <c r="I1299" s="1">
        <v>15</v>
      </c>
      <c r="J1299" s="4">
        <v>3506.25</v>
      </c>
      <c r="K1299" s="4">
        <v>2165.06</v>
      </c>
      <c r="L1299" s="4">
        <v>1341.19</v>
      </c>
      <c r="M1299" s="1" t="str">
        <f>TEXT(Table1[[#This Row],[Order_Date]], "MMM")</f>
        <v>Sep</v>
      </c>
      <c r="N1299" s="1">
        <f>YEAR(Table1[[#This Row],[Order_Date]])</f>
        <v>2023</v>
      </c>
      <c r="O1299" s="7">
        <f>Table1[[#This Row],[Profit]]/Table1[[#This Row],[Total_Sales]]</f>
        <v>0.38251408199643494</v>
      </c>
    </row>
    <row r="1300" spans="1:15" x14ac:dyDescent="0.25">
      <c r="A1300" s="1">
        <v>1299</v>
      </c>
      <c r="B1300" s="2">
        <v>45050</v>
      </c>
      <c r="C1300" s="1" t="s">
        <v>19</v>
      </c>
      <c r="D1300" s="1" t="s">
        <v>13</v>
      </c>
      <c r="E1300" s="1" t="s">
        <v>38</v>
      </c>
      <c r="F1300" s="1" t="s">
        <v>18</v>
      </c>
      <c r="G1300" s="1">
        <v>9</v>
      </c>
      <c r="H1300" s="1">
        <v>889</v>
      </c>
      <c r="I1300" s="1">
        <v>5</v>
      </c>
      <c r="J1300" s="4">
        <v>7600.95</v>
      </c>
      <c r="K1300" s="4">
        <v>4670.6400000000003</v>
      </c>
      <c r="L1300" s="4">
        <v>2930.31</v>
      </c>
      <c r="M1300" s="1" t="str">
        <f>TEXT(Table1[[#This Row],[Order_Date]], "MMM")</f>
        <v>May</v>
      </c>
      <c r="N1300" s="1">
        <f>YEAR(Table1[[#This Row],[Order_Date]])</f>
        <v>2023</v>
      </c>
      <c r="O1300" s="7">
        <f>Table1[[#This Row],[Profit]]/Table1[[#This Row],[Total_Sales]]</f>
        <v>0.38551891539873306</v>
      </c>
    </row>
    <row r="1301" spans="1:15" x14ac:dyDescent="0.25">
      <c r="A1301" s="1">
        <v>1300</v>
      </c>
      <c r="B1301" s="2">
        <v>45327</v>
      </c>
      <c r="C1301" s="1" t="s">
        <v>16</v>
      </c>
      <c r="D1301" s="1" t="s">
        <v>32</v>
      </c>
      <c r="E1301" s="1" t="s">
        <v>34</v>
      </c>
      <c r="F1301" s="1" t="s">
        <v>24</v>
      </c>
      <c r="G1301" s="1">
        <v>6</v>
      </c>
      <c r="H1301" s="1">
        <v>577</v>
      </c>
      <c r="I1301" s="1">
        <v>10</v>
      </c>
      <c r="J1301" s="4">
        <v>3115.8</v>
      </c>
      <c r="K1301" s="4">
        <v>1943.17</v>
      </c>
      <c r="L1301" s="4">
        <v>1172.6300000000001</v>
      </c>
      <c r="M1301" s="1" t="str">
        <f>TEXT(Table1[[#This Row],[Order_Date]], "MMM")</f>
        <v>Feb</v>
      </c>
      <c r="N1301" s="1">
        <f>YEAR(Table1[[#This Row],[Order_Date]])</f>
        <v>2024</v>
      </c>
      <c r="O1301" s="7">
        <f>Table1[[#This Row],[Profit]]/Table1[[#This Row],[Total_Sales]]</f>
        <v>0.376349573143334</v>
      </c>
    </row>
    <row r="1302" spans="1:15" x14ac:dyDescent="0.25">
      <c r="A1302" s="1">
        <v>1301</v>
      </c>
      <c r="B1302" s="2">
        <v>45066</v>
      </c>
      <c r="C1302" s="1" t="s">
        <v>25</v>
      </c>
      <c r="D1302" s="1" t="s">
        <v>26</v>
      </c>
      <c r="E1302" s="1" t="s">
        <v>46</v>
      </c>
      <c r="F1302" s="1" t="s">
        <v>31</v>
      </c>
      <c r="G1302" s="1">
        <v>10</v>
      </c>
      <c r="H1302" s="1">
        <v>346</v>
      </c>
      <c r="I1302" s="1">
        <v>20</v>
      </c>
      <c r="J1302" s="4">
        <v>2768</v>
      </c>
      <c r="K1302" s="4">
        <v>1995.37</v>
      </c>
      <c r="L1302" s="4">
        <v>772.63</v>
      </c>
      <c r="M1302" s="1" t="str">
        <f>TEXT(Table1[[#This Row],[Order_Date]], "MMM")</f>
        <v>May</v>
      </c>
      <c r="N1302" s="1">
        <f>YEAR(Table1[[#This Row],[Order_Date]])</f>
        <v>2023</v>
      </c>
      <c r="O1302" s="7">
        <f>Table1[[#This Row],[Profit]]/Table1[[#This Row],[Total_Sales]]</f>
        <v>0.27912933526011563</v>
      </c>
    </row>
    <row r="1303" spans="1:15" x14ac:dyDescent="0.25">
      <c r="A1303" s="1">
        <v>1302</v>
      </c>
      <c r="B1303" s="2">
        <v>45227</v>
      </c>
      <c r="C1303" s="1" t="s">
        <v>16</v>
      </c>
      <c r="D1303" s="1" t="s">
        <v>26</v>
      </c>
      <c r="E1303" s="1" t="s">
        <v>46</v>
      </c>
      <c r="F1303" s="1" t="s">
        <v>15</v>
      </c>
      <c r="G1303" s="1">
        <v>3</v>
      </c>
      <c r="H1303" s="1">
        <v>728</v>
      </c>
      <c r="I1303" s="1">
        <v>20</v>
      </c>
      <c r="J1303" s="4">
        <v>1747.2</v>
      </c>
      <c r="K1303" s="4">
        <v>969.69</v>
      </c>
      <c r="L1303" s="4">
        <v>777.51</v>
      </c>
      <c r="M1303" s="1" t="str">
        <f>TEXT(Table1[[#This Row],[Order_Date]], "MMM")</f>
        <v>Oct</v>
      </c>
      <c r="N1303" s="1">
        <f>YEAR(Table1[[#This Row],[Order_Date]])</f>
        <v>2023</v>
      </c>
      <c r="O1303" s="7">
        <f>Table1[[#This Row],[Profit]]/Table1[[#This Row],[Total_Sales]]</f>
        <v>0.44500343406593407</v>
      </c>
    </row>
    <row r="1304" spans="1:15" x14ac:dyDescent="0.25">
      <c r="A1304" s="1">
        <v>1303</v>
      </c>
      <c r="B1304" s="2">
        <v>45313</v>
      </c>
      <c r="C1304" s="1" t="s">
        <v>12</v>
      </c>
      <c r="D1304" s="1" t="s">
        <v>20</v>
      </c>
      <c r="E1304" s="1" t="s">
        <v>43</v>
      </c>
      <c r="F1304" s="1" t="s">
        <v>15</v>
      </c>
      <c r="G1304" s="1">
        <v>6</v>
      </c>
      <c r="H1304" s="1">
        <v>592</v>
      </c>
      <c r="I1304" s="1">
        <v>15</v>
      </c>
      <c r="J1304" s="4">
        <v>3019.2</v>
      </c>
      <c r="K1304" s="4">
        <v>2020.55</v>
      </c>
      <c r="L1304" s="4">
        <v>998.65</v>
      </c>
      <c r="M1304" s="1" t="str">
        <f>TEXT(Table1[[#This Row],[Order_Date]], "MMM")</f>
        <v>Jan</v>
      </c>
      <c r="N1304" s="1">
        <f>YEAR(Table1[[#This Row],[Order_Date]])</f>
        <v>2024</v>
      </c>
      <c r="O1304" s="7">
        <f>Table1[[#This Row],[Profit]]/Table1[[#This Row],[Total_Sales]]</f>
        <v>0.33076642819289881</v>
      </c>
    </row>
    <row r="1305" spans="1:15" x14ac:dyDescent="0.25">
      <c r="A1305" s="1">
        <v>1304</v>
      </c>
      <c r="B1305" s="2">
        <v>44930</v>
      </c>
      <c r="C1305" s="1" t="s">
        <v>25</v>
      </c>
      <c r="D1305" s="1" t="s">
        <v>13</v>
      </c>
      <c r="E1305" s="1" t="s">
        <v>14</v>
      </c>
      <c r="F1305" s="1" t="s">
        <v>35</v>
      </c>
      <c r="G1305" s="1">
        <v>8</v>
      </c>
      <c r="H1305" s="1">
        <v>166</v>
      </c>
      <c r="I1305" s="1">
        <v>15</v>
      </c>
      <c r="J1305" s="4">
        <v>1128.8</v>
      </c>
      <c r="K1305" s="4">
        <v>825.84</v>
      </c>
      <c r="L1305" s="4">
        <v>302.95999999999998</v>
      </c>
      <c r="M1305" s="1" t="str">
        <f>TEXT(Table1[[#This Row],[Order_Date]], "MMM")</f>
        <v>Jan</v>
      </c>
      <c r="N1305" s="1">
        <f>YEAR(Table1[[#This Row],[Order_Date]])</f>
        <v>2023</v>
      </c>
      <c r="O1305" s="7">
        <f>Table1[[#This Row],[Profit]]/Table1[[#This Row],[Total_Sales]]</f>
        <v>0.26839121190644932</v>
      </c>
    </row>
    <row r="1306" spans="1:15" x14ac:dyDescent="0.25">
      <c r="A1306" s="1">
        <v>1305</v>
      </c>
      <c r="B1306" s="2">
        <v>45211</v>
      </c>
      <c r="C1306" s="1" t="s">
        <v>12</v>
      </c>
      <c r="D1306" s="1" t="s">
        <v>20</v>
      </c>
      <c r="E1306" s="1" t="s">
        <v>43</v>
      </c>
      <c r="F1306" s="1" t="s">
        <v>24</v>
      </c>
      <c r="G1306" s="1">
        <v>3</v>
      </c>
      <c r="H1306" s="1">
        <v>500</v>
      </c>
      <c r="I1306" s="1">
        <v>5</v>
      </c>
      <c r="J1306" s="4">
        <v>1425</v>
      </c>
      <c r="K1306" s="4">
        <v>797.66</v>
      </c>
      <c r="L1306" s="4">
        <v>627.34</v>
      </c>
      <c r="M1306" s="1" t="str">
        <f>TEXT(Table1[[#This Row],[Order_Date]], "MMM")</f>
        <v>Oct</v>
      </c>
      <c r="N1306" s="1">
        <f>YEAR(Table1[[#This Row],[Order_Date]])</f>
        <v>2023</v>
      </c>
      <c r="O1306" s="7">
        <f>Table1[[#This Row],[Profit]]/Table1[[#This Row],[Total_Sales]]</f>
        <v>0.4402385964912281</v>
      </c>
    </row>
    <row r="1307" spans="1:15" x14ac:dyDescent="0.25">
      <c r="A1307" s="1">
        <v>1306</v>
      </c>
      <c r="B1307" s="2">
        <v>45093</v>
      </c>
      <c r="C1307" s="1" t="s">
        <v>16</v>
      </c>
      <c r="D1307" s="1" t="s">
        <v>26</v>
      </c>
      <c r="E1307" s="1" t="s">
        <v>42</v>
      </c>
      <c r="F1307" s="1" t="s">
        <v>40</v>
      </c>
      <c r="G1307" s="1">
        <v>2</v>
      </c>
      <c r="H1307" s="1">
        <v>17</v>
      </c>
      <c r="I1307" s="1">
        <v>10</v>
      </c>
      <c r="J1307" s="4">
        <v>30.6</v>
      </c>
      <c r="K1307" s="4">
        <v>21.96</v>
      </c>
      <c r="L1307" s="4">
        <v>8.64</v>
      </c>
      <c r="M1307" s="1" t="str">
        <f>TEXT(Table1[[#This Row],[Order_Date]], "MMM")</f>
        <v>Jun</v>
      </c>
      <c r="N1307" s="1">
        <f>YEAR(Table1[[#This Row],[Order_Date]])</f>
        <v>2023</v>
      </c>
      <c r="O1307" s="7">
        <f>Table1[[#This Row],[Profit]]/Table1[[#This Row],[Total_Sales]]</f>
        <v>0.28235294117647058</v>
      </c>
    </row>
    <row r="1308" spans="1:15" x14ac:dyDescent="0.25">
      <c r="A1308" s="1">
        <v>1307</v>
      </c>
      <c r="B1308" s="2">
        <v>45470</v>
      </c>
      <c r="C1308" s="1" t="s">
        <v>25</v>
      </c>
      <c r="D1308" s="1" t="s">
        <v>20</v>
      </c>
      <c r="E1308" s="1" t="s">
        <v>28</v>
      </c>
      <c r="F1308" s="1" t="s">
        <v>18</v>
      </c>
      <c r="G1308" s="1">
        <v>8</v>
      </c>
      <c r="H1308" s="1">
        <v>560</v>
      </c>
      <c r="I1308" s="1">
        <v>5</v>
      </c>
      <c r="J1308" s="4">
        <v>4256</v>
      </c>
      <c r="K1308" s="4">
        <v>3168.78</v>
      </c>
      <c r="L1308" s="4">
        <v>1087.22</v>
      </c>
      <c r="M1308" s="1" t="str">
        <f>TEXT(Table1[[#This Row],[Order_Date]], "MMM")</f>
        <v>Jun</v>
      </c>
      <c r="N1308" s="1">
        <f>YEAR(Table1[[#This Row],[Order_Date]])</f>
        <v>2024</v>
      </c>
      <c r="O1308" s="7">
        <f>Table1[[#This Row],[Profit]]/Table1[[#This Row],[Total_Sales]]</f>
        <v>0.25545582706766917</v>
      </c>
    </row>
    <row r="1309" spans="1:15" x14ac:dyDescent="0.25">
      <c r="A1309" s="1">
        <v>1308</v>
      </c>
      <c r="B1309" s="2">
        <v>45623</v>
      </c>
      <c r="C1309" s="1" t="s">
        <v>12</v>
      </c>
      <c r="D1309" s="1" t="s">
        <v>13</v>
      </c>
      <c r="E1309" s="1" t="s">
        <v>17</v>
      </c>
      <c r="F1309" s="1" t="s">
        <v>35</v>
      </c>
      <c r="G1309" s="1">
        <v>9</v>
      </c>
      <c r="H1309" s="1">
        <v>414</v>
      </c>
      <c r="I1309" s="1">
        <v>15</v>
      </c>
      <c r="J1309" s="4">
        <v>3167.1</v>
      </c>
      <c r="K1309" s="4">
        <v>2445.63</v>
      </c>
      <c r="L1309" s="4">
        <v>721.47</v>
      </c>
      <c r="M1309" s="1" t="str">
        <f>TEXT(Table1[[#This Row],[Order_Date]], "MMM")</f>
        <v>Nov</v>
      </c>
      <c r="N1309" s="1">
        <f>YEAR(Table1[[#This Row],[Order_Date]])</f>
        <v>2024</v>
      </c>
      <c r="O1309" s="7">
        <f>Table1[[#This Row],[Profit]]/Table1[[#This Row],[Total_Sales]]</f>
        <v>0.22780145874775032</v>
      </c>
    </row>
    <row r="1310" spans="1:15" x14ac:dyDescent="0.25">
      <c r="A1310" s="1">
        <v>1309</v>
      </c>
      <c r="B1310" s="2">
        <v>45029</v>
      </c>
      <c r="C1310" s="1" t="s">
        <v>12</v>
      </c>
      <c r="D1310" s="1" t="s">
        <v>22</v>
      </c>
      <c r="E1310" s="1" t="s">
        <v>29</v>
      </c>
      <c r="F1310" s="1" t="s">
        <v>24</v>
      </c>
      <c r="G1310" s="1">
        <v>10</v>
      </c>
      <c r="H1310" s="1">
        <v>312</v>
      </c>
      <c r="I1310" s="1">
        <v>0</v>
      </c>
      <c r="J1310" s="4">
        <v>3120</v>
      </c>
      <c r="K1310" s="4">
        <v>1805.97</v>
      </c>
      <c r="L1310" s="4">
        <v>1314.03</v>
      </c>
      <c r="M1310" s="1" t="str">
        <f>TEXT(Table1[[#This Row],[Order_Date]], "MMM")</f>
        <v>Apr</v>
      </c>
      <c r="N1310" s="1">
        <f>YEAR(Table1[[#This Row],[Order_Date]])</f>
        <v>2023</v>
      </c>
      <c r="O1310" s="7">
        <f>Table1[[#This Row],[Profit]]/Table1[[#This Row],[Total_Sales]]</f>
        <v>0.42116346153846151</v>
      </c>
    </row>
    <row r="1311" spans="1:15" x14ac:dyDescent="0.25">
      <c r="A1311" s="1">
        <v>1310</v>
      </c>
      <c r="B1311" s="2">
        <v>45338</v>
      </c>
      <c r="C1311" s="1" t="s">
        <v>19</v>
      </c>
      <c r="D1311" s="1" t="s">
        <v>26</v>
      </c>
      <c r="E1311" s="1" t="s">
        <v>42</v>
      </c>
      <c r="F1311" s="1" t="s">
        <v>15</v>
      </c>
      <c r="G1311" s="1">
        <v>8</v>
      </c>
      <c r="H1311" s="1">
        <v>78</v>
      </c>
      <c r="I1311" s="1">
        <v>5</v>
      </c>
      <c r="J1311" s="4">
        <v>592.79999999999995</v>
      </c>
      <c r="K1311" s="4">
        <v>474.12</v>
      </c>
      <c r="L1311" s="4">
        <v>118.68</v>
      </c>
      <c r="M1311" s="1" t="str">
        <f>TEXT(Table1[[#This Row],[Order_Date]], "MMM")</f>
        <v>Feb</v>
      </c>
      <c r="N1311" s="1">
        <f>YEAR(Table1[[#This Row],[Order_Date]])</f>
        <v>2024</v>
      </c>
      <c r="O1311" s="7">
        <f>Table1[[#This Row],[Profit]]/Table1[[#This Row],[Total_Sales]]</f>
        <v>0.20020242914979761</v>
      </c>
    </row>
    <row r="1312" spans="1:15" x14ac:dyDescent="0.25">
      <c r="A1312" s="1">
        <v>1311</v>
      </c>
      <c r="B1312" s="2">
        <v>45638</v>
      </c>
      <c r="C1312" s="1" t="s">
        <v>16</v>
      </c>
      <c r="D1312" s="1" t="s">
        <v>20</v>
      </c>
      <c r="E1312" s="1" t="s">
        <v>30</v>
      </c>
      <c r="F1312" s="1" t="s">
        <v>31</v>
      </c>
      <c r="G1312" s="1">
        <v>1</v>
      </c>
      <c r="H1312" s="1">
        <v>354</v>
      </c>
      <c r="I1312" s="1">
        <v>15</v>
      </c>
      <c r="J1312" s="4">
        <v>300.89999999999998</v>
      </c>
      <c r="K1312" s="4">
        <v>223.96</v>
      </c>
      <c r="L1312" s="4">
        <v>76.94</v>
      </c>
      <c r="M1312" s="1" t="str">
        <f>TEXT(Table1[[#This Row],[Order_Date]], "MMM")</f>
        <v>Dec</v>
      </c>
      <c r="N1312" s="1">
        <f>YEAR(Table1[[#This Row],[Order_Date]])</f>
        <v>2024</v>
      </c>
      <c r="O1312" s="7">
        <f>Table1[[#This Row],[Profit]]/Table1[[#This Row],[Total_Sales]]</f>
        <v>0.25569956796277832</v>
      </c>
    </row>
    <row r="1313" spans="1:15" x14ac:dyDescent="0.25">
      <c r="A1313" s="1">
        <v>1312</v>
      </c>
      <c r="B1313" s="2">
        <v>45048</v>
      </c>
      <c r="C1313" s="1" t="s">
        <v>19</v>
      </c>
      <c r="D1313" s="1" t="s">
        <v>13</v>
      </c>
      <c r="E1313" s="1" t="s">
        <v>39</v>
      </c>
      <c r="F1313" s="1" t="s">
        <v>35</v>
      </c>
      <c r="G1313" s="1">
        <v>3</v>
      </c>
      <c r="H1313" s="1">
        <v>615</v>
      </c>
      <c r="I1313" s="1">
        <v>20</v>
      </c>
      <c r="J1313" s="4">
        <v>1476</v>
      </c>
      <c r="K1313" s="4">
        <v>1114.1300000000001</v>
      </c>
      <c r="L1313" s="4">
        <v>361.87</v>
      </c>
      <c r="M1313" s="1" t="str">
        <f>TEXT(Table1[[#This Row],[Order_Date]], "MMM")</f>
        <v>May</v>
      </c>
      <c r="N1313" s="1">
        <f>YEAR(Table1[[#This Row],[Order_Date]])</f>
        <v>2023</v>
      </c>
      <c r="O1313" s="7">
        <f>Table1[[#This Row],[Profit]]/Table1[[#This Row],[Total_Sales]]</f>
        <v>0.24516937669376693</v>
      </c>
    </row>
    <row r="1314" spans="1:15" x14ac:dyDescent="0.25">
      <c r="A1314" s="1">
        <v>1313</v>
      </c>
      <c r="B1314" s="2">
        <v>45222</v>
      </c>
      <c r="C1314" s="1" t="s">
        <v>19</v>
      </c>
      <c r="D1314" s="1" t="s">
        <v>26</v>
      </c>
      <c r="E1314" s="1" t="s">
        <v>42</v>
      </c>
      <c r="F1314" s="1" t="s">
        <v>35</v>
      </c>
      <c r="G1314" s="1">
        <v>4</v>
      </c>
      <c r="H1314" s="1">
        <v>802</v>
      </c>
      <c r="I1314" s="1">
        <v>0</v>
      </c>
      <c r="J1314" s="4">
        <v>3208</v>
      </c>
      <c r="K1314" s="4">
        <v>1802.83</v>
      </c>
      <c r="L1314" s="4">
        <v>1405.17</v>
      </c>
      <c r="M1314" s="1" t="str">
        <f>TEXT(Table1[[#This Row],[Order_Date]], "MMM")</f>
        <v>Oct</v>
      </c>
      <c r="N1314" s="1">
        <f>YEAR(Table1[[#This Row],[Order_Date]])</f>
        <v>2023</v>
      </c>
      <c r="O1314" s="7">
        <f>Table1[[#This Row],[Profit]]/Table1[[#This Row],[Total_Sales]]</f>
        <v>0.43802057356608481</v>
      </c>
    </row>
    <row r="1315" spans="1:15" x14ac:dyDescent="0.25">
      <c r="A1315" s="1">
        <v>1314</v>
      </c>
      <c r="B1315" s="2">
        <v>45632</v>
      </c>
      <c r="C1315" s="1" t="s">
        <v>19</v>
      </c>
      <c r="D1315" s="1" t="s">
        <v>32</v>
      </c>
      <c r="E1315" s="1" t="s">
        <v>33</v>
      </c>
      <c r="F1315" s="1" t="s">
        <v>18</v>
      </c>
      <c r="G1315" s="1">
        <v>8</v>
      </c>
      <c r="H1315" s="1">
        <v>590</v>
      </c>
      <c r="I1315" s="1">
        <v>5</v>
      </c>
      <c r="J1315" s="4">
        <v>4484</v>
      </c>
      <c r="K1315" s="4">
        <v>3289.3</v>
      </c>
      <c r="L1315" s="4">
        <v>1194.7</v>
      </c>
      <c r="M1315" s="1" t="str">
        <f>TEXT(Table1[[#This Row],[Order_Date]], "MMM")</f>
        <v>Dec</v>
      </c>
      <c r="N1315" s="1">
        <f>YEAR(Table1[[#This Row],[Order_Date]])</f>
        <v>2024</v>
      </c>
      <c r="O1315" s="7">
        <f>Table1[[#This Row],[Profit]]/Table1[[#This Row],[Total_Sales]]</f>
        <v>0.26643621766280107</v>
      </c>
    </row>
    <row r="1316" spans="1:15" x14ac:dyDescent="0.25">
      <c r="A1316" s="1">
        <v>1315</v>
      </c>
      <c r="B1316" s="2">
        <v>45245</v>
      </c>
      <c r="C1316" s="1" t="s">
        <v>25</v>
      </c>
      <c r="D1316" s="1" t="s">
        <v>20</v>
      </c>
      <c r="E1316" s="1" t="s">
        <v>21</v>
      </c>
      <c r="F1316" s="1" t="s">
        <v>31</v>
      </c>
      <c r="G1316" s="1">
        <v>6</v>
      </c>
      <c r="H1316" s="1">
        <v>345</v>
      </c>
      <c r="I1316" s="1">
        <v>5</v>
      </c>
      <c r="J1316" s="4">
        <v>1966.5</v>
      </c>
      <c r="K1316" s="4">
        <v>1139.52</v>
      </c>
      <c r="L1316" s="4">
        <v>826.98</v>
      </c>
      <c r="M1316" s="1" t="str">
        <f>TEXT(Table1[[#This Row],[Order_Date]], "MMM")</f>
        <v>Nov</v>
      </c>
      <c r="N1316" s="1">
        <f>YEAR(Table1[[#This Row],[Order_Date]])</f>
        <v>2023</v>
      </c>
      <c r="O1316" s="7">
        <f>Table1[[#This Row],[Profit]]/Table1[[#This Row],[Total_Sales]]</f>
        <v>0.42053394355453855</v>
      </c>
    </row>
    <row r="1317" spans="1:15" x14ac:dyDescent="0.25">
      <c r="A1317" s="1">
        <v>1316</v>
      </c>
      <c r="B1317" s="2">
        <v>45200</v>
      </c>
      <c r="C1317" s="1" t="s">
        <v>16</v>
      </c>
      <c r="D1317" s="1" t="s">
        <v>26</v>
      </c>
      <c r="E1317" s="1" t="s">
        <v>42</v>
      </c>
      <c r="F1317" s="1" t="s">
        <v>18</v>
      </c>
      <c r="G1317" s="1">
        <v>9</v>
      </c>
      <c r="H1317" s="1">
        <v>417</v>
      </c>
      <c r="I1317" s="1">
        <v>20</v>
      </c>
      <c r="J1317" s="4">
        <v>3002.4</v>
      </c>
      <c r="K1317" s="4">
        <v>2276.17</v>
      </c>
      <c r="L1317" s="4">
        <v>726.23</v>
      </c>
      <c r="M1317" s="1" t="str">
        <f>TEXT(Table1[[#This Row],[Order_Date]], "MMM")</f>
        <v>Oct</v>
      </c>
      <c r="N1317" s="1">
        <f>YEAR(Table1[[#This Row],[Order_Date]])</f>
        <v>2023</v>
      </c>
      <c r="O1317" s="7">
        <f>Table1[[#This Row],[Profit]]/Table1[[#This Row],[Total_Sales]]</f>
        <v>0.24188316013855582</v>
      </c>
    </row>
    <row r="1318" spans="1:15" x14ac:dyDescent="0.25">
      <c r="A1318" s="1">
        <v>1317</v>
      </c>
      <c r="B1318" s="2">
        <v>45075</v>
      </c>
      <c r="C1318" s="1" t="s">
        <v>19</v>
      </c>
      <c r="D1318" s="1" t="s">
        <v>26</v>
      </c>
      <c r="E1318" s="1" t="s">
        <v>37</v>
      </c>
      <c r="F1318" s="1" t="s">
        <v>31</v>
      </c>
      <c r="G1318" s="1">
        <v>8</v>
      </c>
      <c r="H1318" s="1">
        <v>572</v>
      </c>
      <c r="I1318" s="1">
        <v>10</v>
      </c>
      <c r="J1318" s="4">
        <v>4118.3999999999996</v>
      </c>
      <c r="K1318" s="4">
        <v>2932.08</v>
      </c>
      <c r="L1318" s="4">
        <v>1186.32</v>
      </c>
      <c r="M1318" s="1" t="str">
        <f>TEXT(Table1[[#This Row],[Order_Date]], "MMM")</f>
        <v>May</v>
      </c>
      <c r="N1318" s="1">
        <f>YEAR(Table1[[#This Row],[Order_Date]])</f>
        <v>2023</v>
      </c>
      <c r="O1318" s="7">
        <f>Table1[[#This Row],[Profit]]/Table1[[#This Row],[Total_Sales]]</f>
        <v>0.28805361305361304</v>
      </c>
    </row>
    <row r="1319" spans="1:15" x14ac:dyDescent="0.25">
      <c r="A1319" s="1">
        <v>1318</v>
      </c>
      <c r="B1319" s="2">
        <v>45083</v>
      </c>
      <c r="C1319" s="1" t="s">
        <v>12</v>
      </c>
      <c r="D1319" s="1" t="s">
        <v>26</v>
      </c>
      <c r="E1319" s="1" t="s">
        <v>42</v>
      </c>
      <c r="F1319" s="1" t="s">
        <v>18</v>
      </c>
      <c r="G1319" s="1">
        <v>4</v>
      </c>
      <c r="H1319" s="1">
        <v>810</v>
      </c>
      <c r="I1319" s="1">
        <v>15</v>
      </c>
      <c r="J1319" s="4">
        <v>2754</v>
      </c>
      <c r="K1319" s="4">
        <v>1740.89</v>
      </c>
      <c r="L1319" s="4">
        <v>1013.11</v>
      </c>
      <c r="M1319" s="1" t="str">
        <f>TEXT(Table1[[#This Row],[Order_Date]], "MMM")</f>
        <v>Jun</v>
      </c>
      <c r="N1319" s="1">
        <f>YEAR(Table1[[#This Row],[Order_Date]])</f>
        <v>2023</v>
      </c>
      <c r="O1319" s="7">
        <f>Table1[[#This Row],[Profit]]/Table1[[#This Row],[Total_Sales]]</f>
        <v>0.36786855482933917</v>
      </c>
    </row>
    <row r="1320" spans="1:15" x14ac:dyDescent="0.25">
      <c r="A1320" s="1">
        <v>1319</v>
      </c>
      <c r="B1320" s="2">
        <v>44982</v>
      </c>
      <c r="C1320" s="1" t="s">
        <v>16</v>
      </c>
      <c r="D1320" s="1" t="s">
        <v>20</v>
      </c>
      <c r="E1320" s="1" t="s">
        <v>43</v>
      </c>
      <c r="F1320" s="1" t="s">
        <v>35</v>
      </c>
      <c r="G1320" s="1">
        <v>4</v>
      </c>
      <c r="H1320" s="1">
        <v>234</v>
      </c>
      <c r="I1320" s="1">
        <v>15</v>
      </c>
      <c r="J1320" s="4">
        <v>795.6</v>
      </c>
      <c r="K1320" s="4">
        <v>584.30999999999995</v>
      </c>
      <c r="L1320" s="4">
        <v>211.29</v>
      </c>
      <c r="M1320" s="1" t="str">
        <f>TEXT(Table1[[#This Row],[Order_Date]], "MMM")</f>
        <v>Feb</v>
      </c>
      <c r="N1320" s="1">
        <f>YEAR(Table1[[#This Row],[Order_Date]])</f>
        <v>2023</v>
      </c>
      <c r="O1320" s="7">
        <f>Table1[[#This Row],[Profit]]/Table1[[#This Row],[Total_Sales]]</f>
        <v>0.26557315233785822</v>
      </c>
    </row>
    <row r="1321" spans="1:15" x14ac:dyDescent="0.25">
      <c r="A1321" s="1">
        <v>1320</v>
      </c>
      <c r="B1321" s="2">
        <v>45194</v>
      </c>
      <c r="C1321" s="1" t="s">
        <v>16</v>
      </c>
      <c r="D1321" s="1" t="s">
        <v>32</v>
      </c>
      <c r="E1321" s="1" t="s">
        <v>45</v>
      </c>
      <c r="F1321" s="1" t="s">
        <v>35</v>
      </c>
      <c r="G1321" s="1">
        <v>4</v>
      </c>
      <c r="H1321" s="1">
        <v>256</v>
      </c>
      <c r="I1321" s="1">
        <v>15</v>
      </c>
      <c r="J1321" s="4">
        <v>870.4</v>
      </c>
      <c r="K1321" s="4">
        <v>637.69000000000005</v>
      </c>
      <c r="L1321" s="4">
        <v>232.71</v>
      </c>
      <c r="M1321" s="1" t="str">
        <f>TEXT(Table1[[#This Row],[Order_Date]], "MMM")</f>
        <v>Sep</v>
      </c>
      <c r="N1321" s="1">
        <f>YEAR(Table1[[#This Row],[Order_Date]])</f>
        <v>2023</v>
      </c>
      <c r="O1321" s="7">
        <f>Table1[[#This Row],[Profit]]/Table1[[#This Row],[Total_Sales]]</f>
        <v>0.26735983455882356</v>
      </c>
    </row>
    <row r="1322" spans="1:15" x14ac:dyDescent="0.25">
      <c r="A1322" s="1">
        <v>1321</v>
      </c>
      <c r="B1322" s="2">
        <v>45640</v>
      </c>
      <c r="C1322" s="1" t="s">
        <v>12</v>
      </c>
      <c r="D1322" s="1" t="s">
        <v>22</v>
      </c>
      <c r="E1322" s="1" t="s">
        <v>29</v>
      </c>
      <c r="F1322" s="1" t="s">
        <v>18</v>
      </c>
      <c r="G1322" s="1">
        <v>3</v>
      </c>
      <c r="H1322" s="1">
        <v>148</v>
      </c>
      <c r="I1322" s="1">
        <v>0</v>
      </c>
      <c r="J1322" s="4">
        <v>444</v>
      </c>
      <c r="K1322" s="4">
        <v>295.75</v>
      </c>
      <c r="L1322" s="4">
        <v>148.25</v>
      </c>
      <c r="M1322" s="1" t="str">
        <f>TEXT(Table1[[#This Row],[Order_Date]], "MMM")</f>
        <v>Dec</v>
      </c>
      <c r="N1322" s="1">
        <f>YEAR(Table1[[#This Row],[Order_Date]])</f>
        <v>2024</v>
      </c>
      <c r="O1322" s="7">
        <f>Table1[[#This Row],[Profit]]/Table1[[#This Row],[Total_Sales]]</f>
        <v>0.3338963963963964</v>
      </c>
    </row>
    <row r="1323" spans="1:15" x14ac:dyDescent="0.25">
      <c r="A1323" s="1">
        <v>1322</v>
      </c>
      <c r="B1323" s="2">
        <v>45617</v>
      </c>
      <c r="C1323" s="1" t="s">
        <v>16</v>
      </c>
      <c r="D1323" s="1" t="s">
        <v>26</v>
      </c>
      <c r="E1323" s="1" t="s">
        <v>46</v>
      </c>
      <c r="F1323" s="1" t="s">
        <v>40</v>
      </c>
      <c r="G1323" s="1">
        <v>1</v>
      </c>
      <c r="H1323" s="1">
        <v>583</v>
      </c>
      <c r="I1323" s="1">
        <v>10</v>
      </c>
      <c r="J1323" s="4">
        <v>524.70000000000005</v>
      </c>
      <c r="K1323" s="4">
        <v>404.98</v>
      </c>
      <c r="L1323" s="4">
        <v>119.72</v>
      </c>
      <c r="M1323" s="1" t="str">
        <f>TEXT(Table1[[#This Row],[Order_Date]], "MMM")</f>
        <v>Nov</v>
      </c>
      <c r="N1323" s="1">
        <f>YEAR(Table1[[#This Row],[Order_Date]])</f>
        <v>2024</v>
      </c>
      <c r="O1323" s="7">
        <f>Table1[[#This Row],[Profit]]/Table1[[#This Row],[Total_Sales]]</f>
        <v>0.22816847722508099</v>
      </c>
    </row>
    <row r="1324" spans="1:15" x14ac:dyDescent="0.25">
      <c r="A1324" s="1">
        <v>1323</v>
      </c>
      <c r="B1324" s="2">
        <v>45032</v>
      </c>
      <c r="C1324" s="1" t="s">
        <v>25</v>
      </c>
      <c r="D1324" s="1" t="s">
        <v>20</v>
      </c>
      <c r="E1324" s="1" t="s">
        <v>21</v>
      </c>
      <c r="F1324" s="1" t="s">
        <v>15</v>
      </c>
      <c r="G1324" s="1">
        <v>6</v>
      </c>
      <c r="H1324" s="1">
        <v>375</v>
      </c>
      <c r="I1324" s="1">
        <v>5</v>
      </c>
      <c r="J1324" s="4">
        <v>2137.5</v>
      </c>
      <c r="K1324" s="4">
        <v>1401.92</v>
      </c>
      <c r="L1324" s="4">
        <v>735.58</v>
      </c>
      <c r="M1324" s="1" t="str">
        <f>TEXT(Table1[[#This Row],[Order_Date]], "MMM")</f>
        <v>Apr</v>
      </c>
      <c r="N1324" s="1">
        <f>YEAR(Table1[[#This Row],[Order_Date]])</f>
        <v>2023</v>
      </c>
      <c r="O1324" s="7">
        <f>Table1[[#This Row],[Profit]]/Table1[[#This Row],[Total_Sales]]</f>
        <v>0.34413099415204679</v>
      </c>
    </row>
    <row r="1325" spans="1:15" x14ac:dyDescent="0.25">
      <c r="A1325" s="1">
        <v>1324</v>
      </c>
      <c r="B1325" s="2">
        <v>45363</v>
      </c>
      <c r="C1325" s="1" t="s">
        <v>12</v>
      </c>
      <c r="D1325" s="1" t="s">
        <v>32</v>
      </c>
      <c r="E1325" s="1" t="s">
        <v>34</v>
      </c>
      <c r="F1325" s="1" t="s">
        <v>18</v>
      </c>
      <c r="G1325" s="1">
        <v>7</v>
      </c>
      <c r="H1325" s="1">
        <v>231</v>
      </c>
      <c r="I1325" s="1">
        <v>10</v>
      </c>
      <c r="J1325" s="4">
        <v>1455.3</v>
      </c>
      <c r="K1325" s="4">
        <v>941.25</v>
      </c>
      <c r="L1325" s="4">
        <v>514.04999999999995</v>
      </c>
      <c r="M1325" s="1" t="str">
        <f>TEXT(Table1[[#This Row],[Order_Date]], "MMM")</f>
        <v>Mar</v>
      </c>
      <c r="N1325" s="1">
        <f>YEAR(Table1[[#This Row],[Order_Date]])</f>
        <v>2024</v>
      </c>
      <c r="O1325" s="7">
        <f>Table1[[#This Row],[Profit]]/Table1[[#This Row],[Total_Sales]]</f>
        <v>0.35322613894042465</v>
      </c>
    </row>
    <row r="1326" spans="1:15" x14ac:dyDescent="0.25">
      <c r="A1326" s="1">
        <v>1325</v>
      </c>
      <c r="B1326" s="2">
        <v>45639</v>
      </c>
      <c r="C1326" s="1" t="s">
        <v>25</v>
      </c>
      <c r="D1326" s="1" t="s">
        <v>22</v>
      </c>
      <c r="E1326" s="1" t="s">
        <v>44</v>
      </c>
      <c r="F1326" s="1" t="s">
        <v>24</v>
      </c>
      <c r="G1326" s="1">
        <v>6</v>
      </c>
      <c r="H1326" s="1">
        <v>191</v>
      </c>
      <c r="I1326" s="1">
        <v>10</v>
      </c>
      <c r="J1326" s="4">
        <v>1031.4000000000001</v>
      </c>
      <c r="K1326" s="4">
        <v>778.93</v>
      </c>
      <c r="L1326" s="4">
        <v>252.47</v>
      </c>
      <c r="M1326" s="1" t="str">
        <f>TEXT(Table1[[#This Row],[Order_Date]], "MMM")</f>
        <v>Dec</v>
      </c>
      <c r="N1326" s="1">
        <f>YEAR(Table1[[#This Row],[Order_Date]])</f>
        <v>2024</v>
      </c>
      <c r="O1326" s="7">
        <f>Table1[[#This Row],[Profit]]/Table1[[#This Row],[Total_Sales]]</f>
        <v>0.24478378902462669</v>
      </c>
    </row>
    <row r="1327" spans="1:15" x14ac:dyDescent="0.25">
      <c r="A1327" s="1">
        <v>1326</v>
      </c>
      <c r="B1327" s="2">
        <v>45089</v>
      </c>
      <c r="C1327" s="1" t="s">
        <v>25</v>
      </c>
      <c r="D1327" s="1" t="s">
        <v>32</v>
      </c>
      <c r="E1327" s="1" t="s">
        <v>33</v>
      </c>
      <c r="F1327" s="1" t="s">
        <v>15</v>
      </c>
      <c r="G1327" s="1">
        <v>2</v>
      </c>
      <c r="H1327" s="1">
        <v>987</v>
      </c>
      <c r="I1327" s="1">
        <v>10</v>
      </c>
      <c r="J1327" s="4">
        <v>1776.6</v>
      </c>
      <c r="K1327" s="4">
        <v>1245.99</v>
      </c>
      <c r="L1327" s="4">
        <v>530.61</v>
      </c>
      <c r="M1327" s="1" t="str">
        <f>TEXT(Table1[[#This Row],[Order_Date]], "MMM")</f>
        <v>Jun</v>
      </c>
      <c r="N1327" s="1">
        <f>YEAR(Table1[[#This Row],[Order_Date]])</f>
        <v>2023</v>
      </c>
      <c r="O1327" s="7">
        <f>Table1[[#This Row],[Profit]]/Table1[[#This Row],[Total_Sales]]</f>
        <v>0.29866599121918275</v>
      </c>
    </row>
    <row r="1328" spans="1:15" x14ac:dyDescent="0.25">
      <c r="A1328" s="1">
        <v>1327</v>
      </c>
      <c r="B1328" s="2">
        <v>45550</v>
      </c>
      <c r="C1328" s="1" t="s">
        <v>16</v>
      </c>
      <c r="D1328" s="1" t="s">
        <v>32</v>
      </c>
      <c r="E1328" s="1" t="s">
        <v>33</v>
      </c>
      <c r="F1328" s="1" t="s">
        <v>18</v>
      </c>
      <c r="G1328" s="1">
        <v>4</v>
      </c>
      <c r="H1328" s="1">
        <v>577</v>
      </c>
      <c r="I1328" s="1">
        <v>20</v>
      </c>
      <c r="J1328" s="4">
        <v>1846.4</v>
      </c>
      <c r="K1328" s="4">
        <v>1387.98</v>
      </c>
      <c r="L1328" s="4">
        <v>458.42</v>
      </c>
      <c r="M1328" s="1" t="str">
        <f>TEXT(Table1[[#This Row],[Order_Date]], "MMM")</f>
        <v>Sep</v>
      </c>
      <c r="N1328" s="1">
        <f>YEAR(Table1[[#This Row],[Order_Date]])</f>
        <v>2024</v>
      </c>
      <c r="O1328" s="7">
        <f>Table1[[#This Row],[Profit]]/Table1[[#This Row],[Total_Sales]]</f>
        <v>0.24827772963604852</v>
      </c>
    </row>
    <row r="1329" spans="1:15" x14ac:dyDescent="0.25">
      <c r="A1329" s="1">
        <v>1328</v>
      </c>
      <c r="B1329" s="2">
        <v>45055</v>
      </c>
      <c r="C1329" s="1" t="s">
        <v>25</v>
      </c>
      <c r="D1329" s="1" t="s">
        <v>13</v>
      </c>
      <c r="E1329" s="1" t="s">
        <v>17</v>
      </c>
      <c r="F1329" s="1" t="s">
        <v>40</v>
      </c>
      <c r="G1329" s="1">
        <v>2</v>
      </c>
      <c r="H1329" s="1">
        <v>817</v>
      </c>
      <c r="I1329" s="1">
        <v>0</v>
      </c>
      <c r="J1329" s="4">
        <v>1634</v>
      </c>
      <c r="K1329" s="4">
        <v>873.62</v>
      </c>
      <c r="L1329" s="4">
        <v>760.38</v>
      </c>
      <c r="M1329" s="1" t="str">
        <f>TEXT(Table1[[#This Row],[Order_Date]], "MMM")</f>
        <v>May</v>
      </c>
      <c r="N1329" s="1">
        <f>YEAR(Table1[[#This Row],[Order_Date]])</f>
        <v>2023</v>
      </c>
      <c r="O1329" s="7">
        <f>Table1[[#This Row],[Profit]]/Table1[[#This Row],[Total_Sales]]</f>
        <v>0.46534883720930231</v>
      </c>
    </row>
    <row r="1330" spans="1:15" x14ac:dyDescent="0.25">
      <c r="A1330" s="1">
        <v>1329</v>
      </c>
      <c r="B1330" s="2">
        <v>45389</v>
      </c>
      <c r="C1330" s="1" t="s">
        <v>25</v>
      </c>
      <c r="D1330" s="1" t="s">
        <v>20</v>
      </c>
      <c r="E1330" s="1" t="s">
        <v>21</v>
      </c>
      <c r="F1330" s="1" t="s">
        <v>31</v>
      </c>
      <c r="G1330" s="1">
        <v>2</v>
      </c>
      <c r="H1330" s="1">
        <v>539</v>
      </c>
      <c r="I1330" s="1">
        <v>20</v>
      </c>
      <c r="J1330" s="4">
        <v>862.4</v>
      </c>
      <c r="K1330" s="4">
        <v>665.97</v>
      </c>
      <c r="L1330" s="4">
        <v>196.43</v>
      </c>
      <c r="M1330" s="1" t="str">
        <f>TEXT(Table1[[#This Row],[Order_Date]], "MMM")</f>
        <v>Apr</v>
      </c>
      <c r="N1330" s="1">
        <f>YEAR(Table1[[#This Row],[Order_Date]])</f>
        <v>2024</v>
      </c>
      <c r="O1330" s="7">
        <f>Table1[[#This Row],[Profit]]/Table1[[#This Row],[Total_Sales]]</f>
        <v>0.22777133580705011</v>
      </c>
    </row>
    <row r="1331" spans="1:15" x14ac:dyDescent="0.25">
      <c r="A1331" s="1">
        <v>1330</v>
      </c>
      <c r="B1331" s="2">
        <v>45220</v>
      </c>
      <c r="C1331" s="1" t="s">
        <v>12</v>
      </c>
      <c r="D1331" s="1" t="s">
        <v>13</v>
      </c>
      <c r="E1331" s="1" t="s">
        <v>17</v>
      </c>
      <c r="F1331" s="1" t="s">
        <v>24</v>
      </c>
      <c r="G1331" s="1">
        <v>4</v>
      </c>
      <c r="H1331" s="1">
        <v>410</v>
      </c>
      <c r="I1331" s="1">
        <v>10</v>
      </c>
      <c r="J1331" s="4">
        <v>1476</v>
      </c>
      <c r="K1331" s="4">
        <v>775.18</v>
      </c>
      <c r="L1331" s="4">
        <v>700.82</v>
      </c>
      <c r="M1331" s="1" t="str">
        <f>TEXT(Table1[[#This Row],[Order_Date]], "MMM")</f>
        <v>Oct</v>
      </c>
      <c r="N1331" s="1">
        <f>YEAR(Table1[[#This Row],[Order_Date]])</f>
        <v>2023</v>
      </c>
      <c r="O1331" s="7">
        <f>Table1[[#This Row],[Profit]]/Table1[[#This Row],[Total_Sales]]</f>
        <v>0.47481029810298109</v>
      </c>
    </row>
    <row r="1332" spans="1:15" x14ac:dyDescent="0.25">
      <c r="A1332" s="1">
        <v>1331</v>
      </c>
      <c r="B1332" s="2">
        <v>45202</v>
      </c>
      <c r="C1332" s="1" t="s">
        <v>19</v>
      </c>
      <c r="D1332" s="1" t="s">
        <v>13</v>
      </c>
      <c r="E1332" s="1" t="s">
        <v>39</v>
      </c>
      <c r="F1332" s="1" t="s">
        <v>15</v>
      </c>
      <c r="G1332" s="1">
        <v>7</v>
      </c>
      <c r="H1332" s="1">
        <v>795</v>
      </c>
      <c r="I1332" s="1">
        <v>20</v>
      </c>
      <c r="J1332" s="4">
        <v>4452</v>
      </c>
      <c r="K1332" s="4">
        <v>2712.26</v>
      </c>
      <c r="L1332" s="4">
        <v>1739.74</v>
      </c>
      <c r="M1332" s="1" t="str">
        <f>TEXT(Table1[[#This Row],[Order_Date]], "MMM")</f>
        <v>Oct</v>
      </c>
      <c r="N1332" s="1">
        <f>YEAR(Table1[[#This Row],[Order_Date]])</f>
        <v>2023</v>
      </c>
      <c r="O1332" s="7">
        <f>Table1[[#This Row],[Profit]]/Table1[[#This Row],[Total_Sales]]</f>
        <v>0.39077717879604673</v>
      </c>
    </row>
    <row r="1333" spans="1:15" x14ac:dyDescent="0.25">
      <c r="A1333" s="1">
        <v>1332</v>
      </c>
      <c r="B1333" s="2">
        <v>45029</v>
      </c>
      <c r="C1333" s="1" t="s">
        <v>12</v>
      </c>
      <c r="D1333" s="1" t="s">
        <v>32</v>
      </c>
      <c r="E1333" s="1" t="s">
        <v>41</v>
      </c>
      <c r="F1333" s="1" t="s">
        <v>35</v>
      </c>
      <c r="G1333" s="1">
        <v>7</v>
      </c>
      <c r="H1333" s="1">
        <v>682</v>
      </c>
      <c r="I1333" s="1">
        <v>10</v>
      </c>
      <c r="J1333" s="4">
        <v>4296.6000000000004</v>
      </c>
      <c r="K1333" s="4">
        <v>2380.36</v>
      </c>
      <c r="L1333" s="4">
        <v>1916.24</v>
      </c>
      <c r="M1333" s="1" t="str">
        <f>TEXT(Table1[[#This Row],[Order_Date]], "MMM")</f>
        <v>Apr</v>
      </c>
      <c r="N1333" s="1">
        <f>YEAR(Table1[[#This Row],[Order_Date]])</f>
        <v>2023</v>
      </c>
      <c r="O1333" s="7">
        <f>Table1[[#This Row],[Profit]]/Table1[[#This Row],[Total_Sales]]</f>
        <v>0.44598985244146533</v>
      </c>
    </row>
    <row r="1334" spans="1:15" x14ac:dyDescent="0.25">
      <c r="A1334" s="1">
        <v>1333</v>
      </c>
      <c r="B1334" s="2">
        <v>45231</v>
      </c>
      <c r="C1334" s="1" t="s">
        <v>12</v>
      </c>
      <c r="D1334" s="1" t="s">
        <v>20</v>
      </c>
      <c r="E1334" s="1" t="s">
        <v>28</v>
      </c>
      <c r="F1334" s="1" t="s">
        <v>40</v>
      </c>
      <c r="G1334" s="1">
        <v>9</v>
      </c>
      <c r="H1334" s="1">
        <v>370</v>
      </c>
      <c r="I1334" s="1">
        <v>0</v>
      </c>
      <c r="J1334" s="4">
        <v>3330</v>
      </c>
      <c r="K1334" s="4">
        <v>1968.68</v>
      </c>
      <c r="L1334" s="4">
        <v>1361.32</v>
      </c>
      <c r="M1334" s="1" t="str">
        <f>TEXT(Table1[[#This Row],[Order_Date]], "MMM")</f>
        <v>Nov</v>
      </c>
      <c r="N1334" s="1">
        <f>YEAR(Table1[[#This Row],[Order_Date]])</f>
        <v>2023</v>
      </c>
      <c r="O1334" s="7">
        <f>Table1[[#This Row],[Profit]]/Table1[[#This Row],[Total_Sales]]</f>
        <v>0.4088048048048048</v>
      </c>
    </row>
    <row r="1335" spans="1:15" x14ac:dyDescent="0.25">
      <c r="A1335" s="1">
        <v>1334</v>
      </c>
      <c r="B1335" s="2">
        <v>45369</v>
      </c>
      <c r="C1335" s="1" t="s">
        <v>12</v>
      </c>
      <c r="D1335" s="1" t="s">
        <v>32</v>
      </c>
      <c r="E1335" s="1" t="s">
        <v>34</v>
      </c>
      <c r="F1335" s="1" t="s">
        <v>24</v>
      </c>
      <c r="G1335" s="1">
        <v>9</v>
      </c>
      <c r="H1335" s="1">
        <v>423</v>
      </c>
      <c r="I1335" s="1">
        <v>20</v>
      </c>
      <c r="J1335" s="4">
        <v>3045.6</v>
      </c>
      <c r="K1335" s="4">
        <v>2406.79</v>
      </c>
      <c r="L1335" s="4">
        <v>638.80999999999995</v>
      </c>
      <c r="M1335" s="1" t="str">
        <f>TEXT(Table1[[#This Row],[Order_Date]], "MMM")</f>
        <v>Mar</v>
      </c>
      <c r="N1335" s="1">
        <f>YEAR(Table1[[#This Row],[Order_Date]])</f>
        <v>2024</v>
      </c>
      <c r="O1335" s="7">
        <f>Table1[[#This Row],[Profit]]/Table1[[#This Row],[Total_Sales]]</f>
        <v>0.20974848962437614</v>
      </c>
    </row>
    <row r="1336" spans="1:15" x14ac:dyDescent="0.25">
      <c r="A1336" s="1">
        <v>1335</v>
      </c>
      <c r="B1336" s="2">
        <v>45519</v>
      </c>
      <c r="C1336" s="1" t="s">
        <v>16</v>
      </c>
      <c r="D1336" s="1" t="s">
        <v>26</v>
      </c>
      <c r="E1336" s="1" t="s">
        <v>42</v>
      </c>
      <c r="F1336" s="1" t="s">
        <v>24</v>
      </c>
      <c r="G1336" s="1">
        <v>9</v>
      </c>
      <c r="H1336" s="1">
        <v>380</v>
      </c>
      <c r="I1336" s="1">
        <v>5</v>
      </c>
      <c r="J1336" s="4">
        <v>3249</v>
      </c>
      <c r="K1336" s="4">
        <v>1780.48</v>
      </c>
      <c r="L1336" s="4">
        <v>1468.52</v>
      </c>
      <c r="M1336" s="1" t="str">
        <f>TEXT(Table1[[#This Row],[Order_Date]], "MMM")</f>
        <v>Aug</v>
      </c>
      <c r="N1336" s="1">
        <f>YEAR(Table1[[#This Row],[Order_Date]])</f>
        <v>2024</v>
      </c>
      <c r="O1336" s="7">
        <f>Table1[[#This Row],[Profit]]/Table1[[#This Row],[Total_Sales]]</f>
        <v>0.4519913819636811</v>
      </c>
    </row>
    <row r="1337" spans="1:15" x14ac:dyDescent="0.25">
      <c r="A1337" s="1">
        <v>1336</v>
      </c>
      <c r="B1337" s="2">
        <v>45393</v>
      </c>
      <c r="C1337" s="1" t="s">
        <v>12</v>
      </c>
      <c r="D1337" s="1" t="s">
        <v>26</v>
      </c>
      <c r="E1337" s="1" t="s">
        <v>27</v>
      </c>
      <c r="F1337" s="1" t="s">
        <v>40</v>
      </c>
      <c r="G1337" s="1">
        <v>1</v>
      </c>
      <c r="H1337" s="1">
        <v>514</v>
      </c>
      <c r="I1337" s="1">
        <v>0</v>
      </c>
      <c r="J1337" s="4">
        <v>514</v>
      </c>
      <c r="K1337" s="4">
        <v>335.35</v>
      </c>
      <c r="L1337" s="4">
        <v>178.65</v>
      </c>
      <c r="M1337" s="1" t="str">
        <f>TEXT(Table1[[#This Row],[Order_Date]], "MMM")</f>
        <v>Apr</v>
      </c>
      <c r="N1337" s="1">
        <f>YEAR(Table1[[#This Row],[Order_Date]])</f>
        <v>2024</v>
      </c>
      <c r="O1337" s="7">
        <f>Table1[[#This Row],[Profit]]/Table1[[#This Row],[Total_Sales]]</f>
        <v>0.34756809338521399</v>
      </c>
    </row>
    <row r="1338" spans="1:15" x14ac:dyDescent="0.25">
      <c r="A1338" s="1">
        <v>1337</v>
      </c>
      <c r="B1338" s="2">
        <v>45105</v>
      </c>
      <c r="C1338" s="1" t="s">
        <v>12</v>
      </c>
      <c r="D1338" s="1" t="s">
        <v>13</v>
      </c>
      <c r="E1338" s="1" t="s">
        <v>14</v>
      </c>
      <c r="F1338" s="1" t="s">
        <v>15</v>
      </c>
      <c r="G1338" s="1">
        <v>10</v>
      </c>
      <c r="H1338" s="1">
        <v>49</v>
      </c>
      <c r="I1338" s="1">
        <v>0</v>
      </c>
      <c r="J1338" s="4">
        <v>490</v>
      </c>
      <c r="K1338" s="4">
        <v>252.54</v>
      </c>
      <c r="L1338" s="4">
        <v>237.46</v>
      </c>
      <c r="M1338" s="1" t="str">
        <f>TEXT(Table1[[#This Row],[Order_Date]], "MMM")</f>
        <v>Jun</v>
      </c>
      <c r="N1338" s="1">
        <f>YEAR(Table1[[#This Row],[Order_Date]])</f>
        <v>2023</v>
      </c>
      <c r="O1338" s="7">
        <f>Table1[[#This Row],[Profit]]/Table1[[#This Row],[Total_Sales]]</f>
        <v>0.48461224489795918</v>
      </c>
    </row>
    <row r="1339" spans="1:15" x14ac:dyDescent="0.25">
      <c r="A1339" s="1">
        <v>1338</v>
      </c>
      <c r="B1339" s="2">
        <v>45561</v>
      </c>
      <c r="C1339" s="1" t="s">
        <v>16</v>
      </c>
      <c r="D1339" s="1" t="s">
        <v>13</v>
      </c>
      <c r="E1339" s="1" t="s">
        <v>39</v>
      </c>
      <c r="F1339" s="1" t="s">
        <v>35</v>
      </c>
      <c r="G1339" s="1">
        <v>8</v>
      </c>
      <c r="H1339" s="1">
        <v>985</v>
      </c>
      <c r="I1339" s="1">
        <v>15</v>
      </c>
      <c r="J1339" s="4">
        <v>6698</v>
      </c>
      <c r="K1339" s="4">
        <v>3711.36</v>
      </c>
      <c r="L1339" s="4">
        <v>2986.64</v>
      </c>
      <c r="M1339" s="1" t="str">
        <f>TEXT(Table1[[#This Row],[Order_Date]], "MMM")</f>
        <v>Sep</v>
      </c>
      <c r="N1339" s="1">
        <f>YEAR(Table1[[#This Row],[Order_Date]])</f>
        <v>2024</v>
      </c>
      <c r="O1339" s="7">
        <f>Table1[[#This Row],[Profit]]/Table1[[#This Row],[Total_Sales]]</f>
        <v>0.44590026873693639</v>
      </c>
    </row>
    <row r="1340" spans="1:15" x14ac:dyDescent="0.25">
      <c r="A1340" s="1">
        <v>1339</v>
      </c>
      <c r="B1340" s="2">
        <v>45011</v>
      </c>
      <c r="C1340" s="1" t="s">
        <v>19</v>
      </c>
      <c r="D1340" s="1" t="s">
        <v>22</v>
      </c>
      <c r="E1340" s="1" t="s">
        <v>23</v>
      </c>
      <c r="F1340" s="1" t="s">
        <v>31</v>
      </c>
      <c r="G1340" s="1">
        <v>10</v>
      </c>
      <c r="H1340" s="1">
        <v>954</v>
      </c>
      <c r="I1340" s="1">
        <v>10</v>
      </c>
      <c r="J1340" s="4">
        <v>8586</v>
      </c>
      <c r="K1340" s="4">
        <v>6601.25</v>
      </c>
      <c r="L1340" s="4">
        <v>1984.75</v>
      </c>
      <c r="M1340" s="1" t="str">
        <f>TEXT(Table1[[#This Row],[Order_Date]], "MMM")</f>
        <v>Mar</v>
      </c>
      <c r="N1340" s="1">
        <f>YEAR(Table1[[#This Row],[Order_Date]])</f>
        <v>2023</v>
      </c>
      <c r="O1340" s="7">
        <f>Table1[[#This Row],[Profit]]/Table1[[#This Row],[Total_Sales]]</f>
        <v>0.23116119263918006</v>
      </c>
    </row>
    <row r="1341" spans="1:15" x14ac:dyDescent="0.25">
      <c r="A1341" s="1">
        <v>1340</v>
      </c>
      <c r="B1341" s="2">
        <v>45139</v>
      </c>
      <c r="C1341" s="1" t="s">
        <v>25</v>
      </c>
      <c r="D1341" s="1" t="s">
        <v>22</v>
      </c>
      <c r="E1341" s="1" t="s">
        <v>44</v>
      </c>
      <c r="F1341" s="1" t="s">
        <v>15</v>
      </c>
      <c r="G1341" s="1">
        <v>8</v>
      </c>
      <c r="H1341" s="1">
        <v>490</v>
      </c>
      <c r="I1341" s="1">
        <v>0</v>
      </c>
      <c r="J1341" s="4">
        <v>3920</v>
      </c>
      <c r="K1341" s="4">
        <v>2038.11</v>
      </c>
      <c r="L1341" s="4">
        <v>1881.89</v>
      </c>
      <c r="M1341" s="1" t="str">
        <f>TEXT(Table1[[#This Row],[Order_Date]], "MMM")</f>
        <v>Aug</v>
      </c>
      <c r="N1341" s="1">
        <f>YEAR(Table1[[#This Row],[Order_Date]])</f>
        <v>2023</v>
      </c>
      <c r="O1341" s="7">
        <f>Table1[[#This Row],[Profit]]/Table1[[#This Row],[Total_Sales]]</f>
        <v>0.48007397959183679</v>
      </c>
    </row>
    <row r="1342" spans="1:15" x14ac:dyDescent="0.25">
      <c r="A1342" s="1">
        <v>1341</v>
      </c>
      <c r="B1342" s="2">
        <v>45290</v>
      </c>
      <c r="C1342" s="1" t="s">
        <v>19</v>
      </c>
      <c r="D1342" s="1" t="s">
        <v>22</v>
      </c>
      <c r="E1342" s="1" t="s">
        <v>29</v>
      </c>
      <c r="F1342" s="1" t="s">
        <v>18</v>
      </c>
      <c r="G1342" s="1">
        <v>2</v>
      </c>
      <c r="H1342" s="1">
        <v>858</v>
      </c>
      <c r="I1342" s="1">
        <v>5</v>
      </c>
      <c r="J1342" s="4">
        <v>1630.2</v>
      </c>
      <c r="K1342" s="4">
        <v>1182.6199999999999</v>
      </c>
      <c r="L1342" s="4">
        <v>447.58</v>
      </c>
      <c r="M1342" s="1" t="str">
        <f>TEXT(Table1[[#This Row],[Order_Date]], "MMM")</f>
        <v>Dec</v>
      </c>
      <c r="N1342" s="1">
        <f>YEAR(Table1[[#This Row],[Order_Date]])</f>
        <v>2023</v>
      </c>
      <c r="O1342" s="7">
        <f>Table1[[#This Row],[Profit]]/Table1[[#This Row],[Total_Sales]]</f>
        <v>0.27455526929211138</v>
      </c>
    </row>
    <row r="1343" spans="1:15" x14ac:dyDescent="0.25">
      <c r="A1343" s="1">
        <v>1342</v>
      </c>
      <c r="B1343" s="2">
        <v>45196</v>
      </c>
      <c r="C1343" s="1" t="s">
        <v>16</v>
      </c>
      <c r="D1343" s="1" t="s">
        <v>26</v>
      </c>
      <c r="E1343" s="1" t="s">
        <v>27</v>
      </c>
      <c r="F1343" s="1" t="s">
        <v>31</v>
      </c>
      <c r="G1343" s="1">
        <v>4</v>
      </c>
      <c r="H1343" s="1">
        <v>100</v>
      </c>
      <c r="I1343" s="1">
        <v>10</v>
      </c>
      <c r="J1343" s="4">
        <v>360</v>
      </c>
      <c r="K1343" s="4">
        <v>224.83</v>
      </c>
      <c r="L1343" s="4">
        <v>135.16999999999999</v>
      </c>
      <c r="M1343" s="1" t="str">
        <f>TEXT(Table1[[#This Row],[Order_Date]], "MMM")</f>
        <v>Sep</v>
      </c>
      <c r="N1343" s="1">
        <f>YEAR(Table1[[#This Row],[Order_Date]])</f>
        <v>2023</v>
      </c>
      <c r="O1343" s="7">
        <f>Table1[[#This Row],[Profit]]/Table1[[#This Row],[Total_Sales]]</f>
        <v>0.37547222222222221</v>
      </c>
    </row>
    <row r="1344" spans="1:15" x14ac:dyDescent="0.25">
      <c r="A1344" s="1">
        <v>1343</v>
      </c>
      <c r="B1344" s="2">
        <v>45131</v>
      </c>
      <c r="C1344" s="1" t="s">
        <v>16</v>
      </c>
      <c r="D1344" s="1" t="s">
        <v>26</v>
      </c>
      <c r="E1344" s="1" t="s">
        <v>46</v>
      </c>
      <c r="F1344" s="1" t="s">
        <v>18</v>
      </c>
      <c r="G1344" s="1">
        <v>1</v>
      </c>
      <c r="H1344" s="1">
        <v>153</v>
      </c>
      <c r="I1344" s="1">
        <v>0</v>
      </c>
      <c r="J1344" s="4">
        <v>153</v>
      </c>
      <c r="K1344" s="4">
        <v>82.55</v>
      </c>
      <c r="L1344" s="4">
        <v>70.45</v>
      </c>
      <c r="M1344" s="1" t="str">
        <f>TEXT(Table1[[#This Row],[Order_Date]], "MMM")</f>
        <v>Jul</v>
      </c>
      <c r="N1344" s="1">
        <f>YEAR(Table1[[#This Row],[Order_Date]])</f>
        <v>2023</v>
      </c>
      <c r="O1344" s="7">
        <f>Table1[[#This Row],[Profit]]/Table1[[#This Row],[Total_Sales]]</f>
        <v>0.46045751633986931</v>
      </c>
    </row>
    <row r="1345" spans="1:15" x14ac:dyDescent="0.25">
      <c r="A1345" s="1">
        <v>1344</v>
      </c>
      <c r="B1345" s="2">
        <v>45023</v>
      </c>
      <c r="C1345" s="1" t="s">
        <v>12</v>
      </c>
      <c r="D1345" s="1" t="s">
        <v>26</v>
      </c>
      <c r="E1345" s="1" t="s">
        <v>42</v>
      </c>
      <c r="F1345" s="1" t="s">
        <v>18</v>
      </c>
      <c r="G1345" s="1">
        <v>3</v>
      </c>
      <c r="H1345" s="1">
        <v>81</v>
      </c>
      <c r="I1345" s="1">
        <v>15</v>
      </c>
      <c r="J1345" s="4">
        <v>206.55</v>
      </c>
      <c r="K1345" s="4">
        <v>139.29</v>
      </c>
      <c r="L1345" s="4">
        <v>67.260000000000005</v>
      </c>
      <c r="M1345" s="1" t="str">
        <f>TEXT(Table1[[#This Row],[Order_Date]], "MMM")</f>
        <v>Apr</v>
      </c>
      <c r="N1345" s="1">
        <f>YEAR(Table1[[#This Row],[Order_Date]])</f>
        <v>2023</v>
      </c>
      <c r="O1345" s="7">
        <f>Table1[[#This Row],[Profit]]/Table1[[#This Row],[Total_Sales]]</f>
        <v>0.32563543936092959</v>
      </c>
    </row>
    <row r="1346" spans="1:15" x14ac:dyDescent="0.25">
      <c r="A1346" s="1">
        <v>1345</v>
      </c>
      <c r="B1346" s="2">
        <v>45603</v>
      </c>
      <c r="C1346" s="1" t="s">
        <v>12</v>
      </c>
      <c r="D1346" s="1" t="s">
        <v>22</v>
      </c>
      <c r="E1346" s="1" t="s">
        <v>36</v>
      </c>
      <c r="F1346" s="1" t="s">
        <v>35</v>
      </c>
      <c r="G1346" s="1">
        <v>4</v>
      </c>
      <c r="H1346" s="1">
        <v>521</v>
      </c>
      <c r="I1346" s="1">
        <v>20</v>
      </c>
      <c r="J1346" s="4">
        <v>1667.2</v>
      </c>
      <c r="K1346" s="4">
        <v>1144.78</v>
      </c>
      <c r="L1346" s="4">
        <v>522.41999999999996</v>
      </c>
      <c r="M1346" s="1" t="str">
        <f>TEXT(Table1[[#This Row],[Order_Date]], "MMM")</f>
        <v>Nov</v>
      </c>
      <c r="N1346" s="1">
        <f>YEAR(Table1[[#This Row],[Order_Date]])</f>
        <v>2024</v>
      </c>
      <c r="O1346" s="7">
        <f>Table1[[#This Row],[Profit]]/Table1[[#This Row],[Total_Sales]]</f>
        <v>0.31335172744721684</v>
      </c>
    </row>
    <row r="1347" spans="1:15" x14ac:dyDescent="0.25">
      <c r="A1347" s="1">
        <v>1346</v>
      </c>
      <c r="B1347" s="2">
        <v>45444</v>
      </c>
      <c r="C1347" s="1" t="s">
        <v>12</v>
      </c>
      <c r="D1347" s="1" t="s">
        <v>26</v>
      </c>
      <c r="E1347" s="1" t="s">
        <v>46</v>
      </c>
      <c r="F1347" s="1" t="s">
        <v>31</v>
      </c>
      <c r="G1347" s="1">
        <v>5</v>
      </c>
      <c r="H1347" s="1">
        <v>809</v>
      </c>
      <c r="I1347" s="1">
        <v>5</v>
      </c>
      <c r="J1347" s="4">
        <v>3842.75</v>
      </c>
      <c r="K1347" s="4">
        <v>2005.23</v>
      </c>
      <c r="L1347" s="4">
        <v>1837.52</v>
      </c>
      <c r="M1347" s="1" t="str">
        <f>TEXT(Table1[[#This Row],[Order_Date]], "MMM")</f>
        <v>Jun</v>
      </c>
      <c r="N1347" s="1">
        <f>YEAR(Table1[[#This Row],[Order_Date]])</f>
        <v>2024</v>
      </c>
      <c r="O1347" s="7">
        <f>Table1[[#This Row],[Profit]]/Table1[[#This Row],[Total_Sales]]</f>
        <v>0.47817838787326783</v>
      </c>
    </row>
    <row r="1348" spans="1:15" x14ac:dyDescent="0.25">
      <c r="A1348" s="1">
        <v>1347</v>
      </c>
      <c r="B1348" s="2">
        <v>45016</v>
      </c>
      <c r="C1348" s="1" t="s">
        <v>19</v>
      </c>
      <c r="D1348" s="1" t="s">
        <v>20</v>
      </c>
      <c r="E1348" s="1" t="s">
        <v>43</v>
      </c>
      <c r="F1348" s="1" t="s">
        <v>24</v>
      </c>
      <c r="G1348" s="1">
        <v>7</v>
      </c>
      <c r="H1348" s="1">
        <v>565</v>
      </c>
      <c r="I1348" s="1">
        <v>20</v>
      </c>
      <c r="J1348" s="4">
        <v>3164</v>
      </c>
      <c r="K1348" s="4">
        <v>2391.65</v>
      </c>
      <c r="L1348" s="4">
        <v>772.35</v>
      </c>
      <c r="M1348" s="1" t="str">
        <f>TEXT(Table1[[#This Row],[Order_Date]], "MMM")</f>
        <v>Mar</v>
      </c>
      <c r="N1348" s="1">
        <f>YEAR(Table1[[#This Row],[Order_Date]])</f>
        <v>2023</v>
      </c>
      <c r="O1348" s="7">
        <f>Table1[[#This Row],[Profit]]/Table1[[#This Row],[Total_Sales]]</f>
        <v>0.24410556257901392</v>
      </c>
    </row>
    <row r="1349" spans="1:15" x14ac:dyDescent="0.25">
      <c r="A1349" s="1">
        <v>1348</v>
      </c>
      <c r="B1349" s="2">
        <v>45027</v>
      </c>
      <c r="C1349" s="1" t="s">
        <v>12</v>
      </c>
      <c r="D1349" s="1" t="s">
        <v>32</v>
      </c>
      <c r="E1349" s="1" t="s">
        <v>33</v>
      </c>
      <c r="F1349" s="1" t="s">
        <v>40</v>
      </c>
      <c r="G1349" s="1">
        <v>6</v>
      </c>
      <c r="H1349" s="1">
        <v>860</v>
      </c>
      <c r="I1349" s="1">
        <v>0</v>
      </c>
      <c r="J1349" s="4">
        <v>5160</v>
      </c>
      <c r="K1349" s="4">
        <v>2880.01</v>
      </c>
      <c r="L1349" s="4">
        <v>2279.9899999999998</v>
      </c>
      <c r="M1349" s="1" t="str">
        <f>TEXT(Table1[[#This Row],[Order_Date]], "MMM")</f>
        <v>Apr</v>
      </c>
      <c r="N1349" s="1">
        <f>YEAR(Table1[[#This Row],[Order_Date]])</f>
        <v>2023</v>
      </c>
      <c r="O1349" s="7">
        <f>Table1[[#This Row],[Profit]]/Table1[[#This Row],[Total_Sales]]</f>
        <v>0.44185852713178292</v>
      </c>
    </row>
    <row r="1350" spans="1:15" x14ac:dyDescent="0.25">
      <c r="A1350" s="1">
        <v>1349</v>
      </c>
      <c r="B1350" s="2">
        <v>45327</v>
      </c>
      <c r="C1350" s="1" t="s">
        <v>12</v>
      </c>
      <c r="D1350" s="1" t="s">
        <v>26</v>
      </c>
      <c r="E1350" s="1" t="s">
        <v>27</v>
      </c>
      <c r="F1350" s="1" t="s">
        <v>15</v>
      </c>
      <c r="G1350" s="1">
        <v>1</v>
      </c>
      <c r="H1350" s="1">
        <v>220</v>
      </c>
      <c r="I1350" s="1">
        <v>15</v>
      </c>
      <c r="J1350" s="4">
        <v>187</v>
      </c>
      <c r="K1350" s="4">
        <v>119.03</v>
      </c>
      <c r="L1350" s="4">
        <v>67.97</v>
      </c>
      <c r="M1350" s="1" t="str">
        <f>TEXT(Table1[[#This Row],[Order_Date]], "MMM")</f>
        <v>Feb</v>
      </c>
      <c r="N1350" s="1">
        <f>YEAR(Table1[[#This Row],[Order_Date]])</f>
        <v>2024</v>
      </c>
      <c r="O1350" s="7">
        <f>Table1[[#This Row],[Profit]]/Table1[[#This Row],[Total_Sales]]</f>
        <v>0.36347593582887699</v>
      </c>
    </row>
    <row r="1351" spans="1:15" x14ac:dyDescent="0.25">
      <c r="A1351" s="1">
        <v>1350</v>
      </c>
      <c r="B1351" s="2">
        <v>45241</v>
      </c>
      <c r="C1351" s="1" t="s">
        <v>25</v>
      </c>
      <c r="D1351" s="1" t="s">
        <v>22</v>
      </c>
      <c r="E1351" s="1" t="s">
        <v>36</v>
      </c>
      <c r="F1351" s="1" t="s">
        <v>35</v>
      </c>
      <c r="G1351" s="1">
        <v>6</v>
      </c>
      <c r="H1351" s="1">
        <v>104</v>
      </c>
      <c r="I1351" s="1">
        <v>15</v>
      </c>
      <c r="J1351" s="4">
        <v>530.4</v>
      </c>
      <c r="K1351" s="4">
        <v>282.66000000000003</v>
      </c>
      <c r="L1351" s="4">
        <v>247.74</v>
      </c>
      <c r="M1351" s="1" t="str">
        <f>TEXT(Table1[[#This Row],[Order_Date]], "MMM")</f>
        <v>Nov</v>
      </c>
      <c r="N1351" s="1">
        <f>YEAR(Table1[[#This Row],[Order_Date]])</f>
        <v>2023</v>
      </c>
      <c r="O1351" s="7">
        <f>Table1[[#This Row],[Profit]]/Table1[[#This Row],[Total_Sales]]</f>
        <v>0.46708144796380097</v>
      </c>
    </row>
    <row r="1352" spans="1:15" x14ac:dyDescent="0.25">
      <c r="A1352" s="1">
        <v>1351</v>
      </c>
      <c r="B1352" s="2">
        <v>45110</v>
      </c>
      <c r="C1352" s="1" t="s">
        <v>25</v>
      </c>
      <c r="D1352" s="1" t="s">
        <v>32</v>
      </c>
      <c r="E1352" s="1" t="s">
        <v>34</v>
      </c>
      <c r="F1352" s="1" t="s">
        <v>15</v>
      </c>
      <c r="G1352" s="1">
        <v>8</v>
      </c>
      <c r="H1352" s="1">
        <v>514</v>
      </c>
      <c r="I1352" s="1">
        <v>5</v>
      </c>
      <c r="J1352" s="4">
        <v>3906.4</v>
      </c>
      <c r="K1352" s="4">
        <v>2434.31</v>
      </c>
      <c r="L1352" s="4">
        <v>1472.09</v>
      </c>
      <c r="M1352" s="1" t="str">
        <f>TEXT(Table1[[#This Row],[Order_Date]], "MMM")</f>
        <v>Jul</v>
      </c>
      <c r="N1352" s="1">
        <f>YEAR(Table1[[#This Row],[Order_Date]])</f>
        <v>2023</v>
      </c>
      <c r="O1352" s="7">
        <f>Table1[[#This Row],[Profit]]/Table1[[#This Row],[Total_Sales]]</f>
        <v>0.376840569322138</v>
      </c>
    </row>
    <row r="1353" spans="1:15" x14ac:dyDescent="0.25">
      <c r="A1353" s="1">
        <v>1352</v>
      </c>
      <c r="B1353" s="2">
        <v>45174</v>
      </c>
      <c r="C1353" s="1" t="s">
        <v>19</v>
      </c>
      <c r="D1353" s="1" t="s">
        <v>26</v>
      </c>
      <c r="E1353" s="1" t="s">
        <v>46</v>
      </c>
      <c r="F1353" s="1" t="s">
        <v>40</v>
      </c>
      <c r="G1353" s="1">
        <v>3</v>
      </c>
      <c r="H1353" s="1">
        <v>675</v>
      </c>
      <c r="I1353" s="1">
        <v>5</v>
      </c>
      <c r="J1353" s="4">
        <v>1923.75</v>
      </c>
      <c r="K1353" s="4">
        <v>1422.09</v>
      </c>
      <c r="L1353" s="4">
        <v>501.66</v>
      </c>
      <c r="M1353" s="1" t="str">
        <f>TEXT(Table1[[#This Row],[Order_Date]], "MMM")</f>
        <v>Sep</v>
      </c>
      <c r="N1353" s="1">
        <f>YEAR(Table1[[#This Row],[Order_Date]])</f>
        <v>2023</v>
      </c>
      <c r="O1353" s="7">
        <f>Table1[[#This Row],[Profit]]/Table1[[#This Row],[Total_Sales]]</f>
        <v>0.26077192982456143</v>
      </c>
    </row>
    <row r="1354" spans="1:15" x14ac:dyDescent="0.25">
      <c r="A1354" s="1">
        <v>1353</v>
      </c>
      <c r="B1354" s="2">
        <v>45634</v>
      </c>
      <c r="C1354" s="1" t="s">
        <v>12</v>
      </c>
      <c r="D1354" s="1" t="s">
        <v>22</v>
      </c>
      <c r="E1354" s="1" t="s">
        <v>36</v>
      </c>
      <c r="F1354" s="1" t="s">
        <v>35</v>
      </c>
      <c r="G1354" s="1">
        <v>1</v>
      </c>
      <c r="H1354" s="1">
        <v>877</v>
      </c>
      <c r="I1354" s="1">
        <v>20</v>
      </c>
      <c r="J1354" s="4">
        <v>701.6</v>
      </c>
      <c r="K1354" s="4">
        <v>402.59</v>
      </c>
      <c r="L1354" s="4">
        <v>299.01</v>
      </c>
      <c r="M1354" s="1" t="str">
        <f>TEXT(Table1[[#This Row],[Order_Date]], "MMM")</f>
        <v>Dec</v>
      </c>
      <c r="N1354" s="1">
        <f>YEAR(Table1[[#This Row],[Order_Date]])</f>
        <v>2024</v>
      </c>
      <c r="O1354" s="7">
        <f>Table1[[#This Row],[Profit]]/Table1[[#This Row],[Total_Sales]]</f>
        <v>0.42618301026225769</v>
      </c>
    </row>
    <row r="1355" spans="1:15" x14ac:dyDescent="0.25">
      <c r="A1355" s="1">
        <v>1354</v>
      </c>
      <c r="B1355" s="2">
        <v>45341</v>
      </c>
      <c r="C1355" s="1" t="s">
        <v>16</v>
      </c>
      <c r="D1355" s="1" t="s">
        <v>26</v>
      </c>
      <c r="E1355" s="1" t="s">
        <v>46</v>
      </c>
      <c r="F1355" s="1" t="s">
        <v>40</v>
      </c>
      <c r="G1355" s="1">
        <v>2</v>
      </c>
      <c r="H1355" s="1">
        <v>841</v>
      </c>
      <c r="I1355" s="1">
        <v>10</v>
      </c>
      <c r="J1355" s="4">
        <v>1513.8</v>
      </c>
      <c r="K1355" s="4">
        <v>772.65</v>
      </c>
      <c r="L1355" s="4">
        <v>741.15</v>
      </c>
      <c r="M1355" s="1" t="str">
        <f>TEXT(Table1[[#This Row],[Order_Date]], "MMM")</f>
        <v>Feb</v>
      </c>
      <c r="N1355" s="1">
        <f>YEAR(Table1[[#This Row],[Order_Date]])</f>
        <v>2024</v>
      </c>
      <c r="O1355" s="7">
        <f>Table1[[#This Row],[Profit]]/Table1[[#This Row],[Total_Sales]]</f>
        <v>0.48959571938168844</v>
      </c>
    </row>
    <row r="1356" spans="1:15" x14ac:dyDescent="0.25">
      <c r="A1356" s="1">
        <v>1355</v>
      </c>
      <c r="B1356" s="2">
        <v>45057</v>
      </c>
      <c r="C1356" s="1" t="s">
        <v>16</v>
      </c>
      <c r="D1356" s="1" t="s">
        <v>32</v>
      </c>
      <c r="E1356" s="1" t="s">
        <v>41</v>
      </c>
      <c r="F1356" s="1" t="s">
        <v>31</v>
      </c>
      <c r="G1356" s="1">
        <v>7</v>
      </c>
      <c r="H1356" s="1">
        <v>306</v>
      </c>
      <c r="I1356" s="1">
        <v>10</v>
      </c>
      <c r="J1356" s="4">
        <v>1927.8</v>
      </c>
      <c r="K1356" s="4">
        <v>1217.76</v>
      </c>
      <c r="L1356" s="4">
        <v>710.04</v>
      </c>
      <c r="M1356" s="1" t="str">
        <f>TEXT(Table1[[#This Row],[Order_Date]], "MMM")</f>
        <v>May</v>
      </c>
      <c r="N1356" s="1">
        <f>YEAR(Table1[[#This Row],[Order_Date]])</f>
        <v>2023</v>
      </c>
      <c r="O1356" s="7">
        <f>Table1[[#This Row],[Profit]]/Table1[[#This Row],[Total_Sales]]</f>
        <v>0.36831621537503889</v>
      </c>
    </row>
    <row r="1357" spans="1:15" x14ac:dyDescent="0.25">
      <c r="A1357" s="1">
        <v>1356</v>
      </c>
      <c r="B1357" s="2">
        <v>45176</v>
      </c>
      <c r="C1357" s="1" t="s">
        <v>16</v>
      </c>
      <c r="D1357" s="1" t="s">
        <v>26</v>
      </c>
      <c r="E1357" s="1" t="s">
        <v>37</v>
      </c>
      <c r="F1357" s="1" t="s">
        <v>31</v>
      </c>
      <c r="G1357" s="1">
        <v>1</v>
      </c>
      <c r="H1357" s="1">
        <v>277</v>
      </c>
      <c r="I1357" s="1">
        <v>5</v>
      </c>
      <c r="J1357" s="4">
        <v>263.14999999999998</v>
      </c>
      <c r="K1357" s="4">
        <v>183.39</v>
      </c>
      <c r="L1357" s="4">
        <v>79.760000000000005</v>
      </c>
      <c r="M1357" s="1" t="str">
        <f>TEXT(Table1[[#This Row],[Order_Date]], "MMM")</f>
        <v>Sep</v>
      </c>
      <c r="N1357" s="1">
        <f>YEAR(Table1[[#This Row],[Order_Date]])</f>
        <v>2023</v>
      </c>
      <c r="O1357" s="7">
        <f>Table1[[#This Row],[Profit]]/Table1[[#This Row],[Total_Sales]]</f>
        <v>0.30309709291278741</v>
      </c>
    </row>
    <row r="1358" spans="1:15" x14ac:dyDescent="0.25">
      <c r="A1358" s="1">
        <v>1357</v>
      </c>
      <c r="B1358" s="2">
        <v>45216</v>
      </c>
      <c r="C1358" s="1" t="s">
        <v>16</v>
      </c>
      <c r="D1358" s="1" t="s">
        <v>22</v>
      </c>
      <c r="E1358" s="1" t="s">
        <v>23</v>
      </c>
      <c r="F1358" s="1" t="s">
        <v>31</v>
      </c>
      <c r="G1358" s="1">
        <v>2</v>
      </c>
      <c r="H1358" s="1">
        <v>484</v>
      </c>
      <c r="I1358" s="1">
        <v>0</v>
      </c>
      <c r="J1358" s="4">
        <v>968</v>
      </c>
      <c r="K1358" s="4">
        <v>680.92</v>
      </c>
      <c r="L1358" s="4">
        <v>287.08</v>
      </c>
      <c r="M1358" s="1" t="str">
        <f>TEXT(Table1[[#This Row],[Order_Date]], "MMM")</f>
        <v>Oct</v>
      </c>
      <c r="N1358" s="1">
        <f>YEAR(Table1[[#This Row],[Order_Date]])</f>
        <v>2023</v>
      </c>
      <c r="O1358" s="7">
        <f>Table1[[#This Row],[Profit]]/Table1[[#This Row],[Total_Sales]]</f>
        <v>0.29657024793388426</v>
      </c>
    </row>
    <row r="1359" spans="1:15" x14ac:dyDescent="0.25">
      <c r="A1359" s="1">
        <v>1358</v>
      </c>
      <c r="B1359" s="2">
        <v>45629</v>
      </c>
      <c r="C1359" s="1" t="s">
        <v>19</v>
      </c>
      <c r="D1359" s="1" t="s">
        <v>20</v>
      </c>
      <c r="E1359" s="1" t="s">
        <v>21</v>
      </c>
      <c r="F1359" s="1" t="s">
        <v>18</v>
      </c>
      <c r="G1359" s="1">
        <v>8</v>
      </c>
      <c r="H1359" s="1">
        <v>839</v>
      </c>
      <c r="I1359" s="1">
        <v>15</v>
      </c>
      <c r="J1359" s="4">
        <v>5705.2</v>
      </c>
      <c r="K1359" s="4">
        <v>3888.88</v>
      </c>
      <c r="L1359" s="4">
        <v>1816.32</v>
      </c>
      <c r="M1359" s="1" t="str">
        <f>TEXT(Table1[[#This Row],[Order_Date]], "MMM")</f>
        <v>Dec</v>
      </c>
      <c r="N1359" s="1">
        <f>YEAR(Table1[[#This Row],[Order_Date]])</f>
        <v>2024</v>
      </c>
      <c r="O1359" s="7">
        <f>Table1[[#This Row],[Profit]]/Table1[[#This Row],[Total_Sales]]</f>
        <v>0.31836219589146741</v>
      </c>
    </row>
    <row r="1360" spans="1:15" x14ac:dyDescent="0.25">
      <c r="A1360" s="1">
        <v>1359</v>
      </c>
      <c r="B1360" s="2">
        <v>45651</v>
      </c>
      <c r="C1360" s="1" t="s">
        <v>16</v>
      </c>
      <c r="D1360" s="1" t="s">
        <v>20</v>
      </c>
      <c r="E1360" s="1" t="s">
        <v>43</v>
      </c>
      <c r="F1360" s="1" t="s">
        <v>40</v>
      </c>
      <c r="G1360" s="1">
        <v>8</v>
      </c>
      <c r="H1360" s="1">
        <v>397</v>
      </c>
      <c r="I1360" s="1">
        <v>15</v>
      </c>
      <c r="J1360" s="4">
        <v>2699.6</v>
      </c>
      <c r="K1360" s="4">
        <v>1928.56</v>
      </c>
      <c r="L1360" s="4">
        <v>771.04</v>
      </c>
      <c r="M1360" s="1" t="str">
        <f>TEXT(Table1[[#This Row],[Order_Date]], "MMM")</f>
        <v>Dec</v>
      </c>
      <c r="N1360" s="1">
        <f>YEAR(Table1[[#This Row],[Order_Date]])</f>
        <v>2024</v>
      </c>
      <c r="O1360" s="7">
        <f>Table1[[#This Row],[Profit]]/Table1[[#This Row],[Total_Sales]]</f>
        <v>0.28561268336049783</v>
      </c>
    </row>
    <row r="1361" spans="1:15" x14ac:dyDescent="0.25">
      <c r="A1361" s="1">
        <v>1360</v>
      </c>
      <c r="B1361" s="2">
        <v>45195</v>
      </c>
      <c r="C1361" s="1" t="s">
        <v>16</v>
      </c>
      <c r="D1361" s="1" t="s">
        <v>22</v>
      </c>
      <c r="E1361" s="1" t="s">
        <v>23</v>
      </c>
      <c r="F1361" s="1" t="s">
        <v>35</v>
      </c>
      <c r="G1361" s="1">
        <v>5</v>
      </c>
      <c r="H1361" s="1">
        <v>797</v>
      </c>
      <c r="I1361" s="1">
        <v>10</v>
      </c>
      <c r="J1361" s="4">
        <v>3586.5</v>
      </c>
      <c r="K1361" s="4">
        <v>2673.01</v>
      </c>
      <c r="L1361" s="4">
        <v>913.49</v>
      </c>
      <c r="M1361" s="1" t="str">
        <f>TEXT(Table1[[#This Row],[Order_Date]], "MMM")</f>
        <v>Sep</v>
      </c>
      <c r="N1361" s="1">
        <f>YEAR(Table1[[#This Row],[Order_Date]])</f>
        <v>2023</v>
      </c>
      <c r="O1361" s="7">
        <f>Table1[[#This Row],[Profit]]/Table1[[#This Row],[Total_Sales]]</f>
        <v>0.25470235605743763</v>
      </c>
    </row>
    <row r="1362" spans="1:15" x14ac:dyDescent="0.25">
      <c r="A1362" s="1">
        <v>1361</v>
      </c>
      <c r="B1362" s="2">
        <v>45243</v>
      </c>
      <c r="C1362" s="1" t="s">
        <v>16</v>
      </c>
      <c r="D1362" s="1" t="s">
        <v>26</v>
      </c>
      <c r="E1362" s="1" t="s">
        <v>42</v>
      </c>
      <c r="F1362" s="1" t="s">
        <v>35</v>
      </c>
      <c r="G1362" s="1">
        <v>6</v>
      </c>
      <c r="H1362" s="1">
        <v>573</v>
      </c>
      <c r="I1362" s="1">
        <v>10</v>
      </c>
      <c r="J1362" s="4">
        <v>3094.2</v>
      </c>
      <c r="K1362" s="4">
        <v>2191.4</v>
      </c>
      <c r="L1362" s="4">
        <v>902.8</v>
      </c>
      <c r="M1362" s="1" t="str">
        <f>TEXT(Table1[[#This Row],[Order_Date]], "MMM")</f>
        <v>Nov</v>
      </c>
      <c r="N1362" s="1">
        <f>YEAR(Table1[[#This Row],[Order_Date]])</f>
        <v>2023</v>
      </c>
      <c r="O1362" s="7">
        <f>Table1[[#This Row],[Profit]]/Table1[[#This Row],[Total_Sales]]</f>
        <v>0.29177170189386592</v>
      </c>
    </row>
    <row r="1363" spans="1:15" x14ac:dyDescent="0.25">
      <c r="A1363" s="1">
        <v>1362</v>
      </c>
      <c r="B1363" s="2">
        <v>45180</v>
      </c>
      <c r="C1363" s="1" t="s">
        <v>16</v>
      </c>
      <c r="D1363" s="1" t="s">
        <v>13</v>
      </c>
      <c r="E1363" s="1" t="s">
        <v>14</v>
      </c>
      <c r="F1363" s="1" t="s">
        <v>15</v>
      </c>
      <c r="G1363" s="1">
        <v>4</v>
      </c>
      <c r="H1363" s="1">
        <v>684</v>
      </c>
      <c r="I1363" s="1">
        <v>20</v>
      </c>
      <c r="J1363" s="4">
        <v>2188.8000000000002</v>
      </c>
      <c r="K1363" s="4">
        <v>1167.6600000000001</v>
      </c>
      <c r="L1363" s="4">
        <v>1021.14</v>
      </c>
      <c r="M1363" s="1" t="str">
        <f>TEXT(Table1[[#This Row],[Order_Date]], "MMM")</f>
        <v>Sep</v>
      </c>
      <c r="N1363" s="1">
        <f>YEAR(Table1[[#This Row],[Order_Date]])</f>
        <v>2023</v>
      </c>
      <c r="O1363" s="7">
        <f>Table1[[#This Row],[Profit]]/Table1[[#This Row],[Total_Sales]]</f>
        <v>0.46652960526315784</v>
      </c>
    </row>
    <row r="1364" spans="1:15" x14ac:dyDescent="0.25">
      <c r="A1364" s="1">
        <v>1363</v>
      </c>
      <c r="B1364" s="2">
        <v>45643</v>
      </c>
      <c r="C1364" s="1" t="s">
        <v>12</v>
      </c>
      <c r="D1364" s="1" t="s">
        <v>22</v>
      </c>
      <c r="E1364" s="1" t="s">
        <v>29</v>
      </c>
      <c r="F1364" s="1" t="s">
        <v>40</v>
      </c>
      <c r="G1364" s="1">
        <v>8</v>
      </c>
      <c r="H1364" s="1">
        <v>570</v>
      </c>
      <c r="I1364" s="1">
        <v>15</v>
      </c>
      <c r="J1364" s="4">
        <v>3876</v>
      </c>
      <c r="K1364" s="4">
        <v>2712.26</v>
      </c>
      <c r="L1364" s="4">
        <v>1163.74</v>
      </c>
      <c r="M1364" s="1" t="str">
        <f>TEXT(Table1[[#This Row],[Order_Date]], "MMM")</f>
        <v>Dec</v>
      </c>
      <c r="N1364" s="1">
        <f>YEAR(Table1[[#This Row],[Order_Date]])</f>
        <v>2024</v>
      </c>
      <c r="O1364" s="7">
        <f>Table1[[#This Row],[Profit]]/Table1[[#This Row],[Total_Sales]]</f>
        <v>0.30024251805985552</v>
      </c>
    </row>
    <row r="1365" spans="1:15" x14ac:dyDescent="0.25">
      <c r="A1365" s="1">
        <v>1364</v>
      </c>
      <c r="B1365" s="2">
        <v>45541</v>
      </c>
      <c r="C1365" s="1" t="s">
        <v>19</v>
      </c>
      <c r="D1365" s="1" t="s">
        <v>20</v>
      </c>
      <c r="E1365" s="1" t="s">
        <v>43</v>
      </c>
      <c r="F1365" s="1" t="s">
        <v>24</v>
      </c>
      <c r="G1365" s="1">
        <v>9</v>
      </c>
      <c r="H1365" s="1">
        <v>324</v>
      </c>
      <c r="I1365" s="1">
        <v>20</v>
      </c>
      <c r="J1365" s="4">
        <v>2332.8000000000002</v>
      </c>
      <c r="K1365" s="4">
        <v>1832.93</v>
      </c>
      <c r="L1365" s="4">
        <v>499.87</v>
      </c>
      <c r="M1365" s="1" t="str">
        <f>TEXT(Table1[[#This Row],[Order_Date]], "MMM")</f>
        <v>Sep</v>
      </c>
      <c r="N1365" s="1">
        <f>YEAR(Table1[[#This Row],[Order_Date]])</f>
        <v>2024</v>
      </c>
      <c r="O1365" s="7">
        <f>Table1[[#This Row],[Profit]]/Table1[[#This Row],[Total_Sales]]</f>
        <v>0.21427897805212617</v>
      </c>
    </row>
    <row r="1366" spans="1:15" x14ac:dyDescent="0.25">
      <c r="A1366" s="1">
        <v>1365</v>
      </c>
      <c r="B1366" s="2">
        <v>45163</v>
      </c>
      <c r="C1366" s="1" t="s">
        <v>16</v>
      </c>
      <c r="D1366" s="1" t="s">
        <v>13</v>
      </c>
      <c r="E1366" s="1" t="s">
        <v>39</v>
      </c>
      <c r="F1366" s="1" t="s">
        <v>40</v>
      </c>
      <c r="G1366" s="1">
        <v>8</v>
      </c>
      <c r="H1366" s="1">
        <v>941</v>
      </c>
      <c r="I1366" s="1">
        <v>0</v>
      </c>
      <c r="J1366" s="4">
        <v>7528</v>
      </c>
      <c r="K1366" s="4">
        <v>5602.47</v>
      </c>
      <c r="L1366" s="4">
        <v>1925.53</v>
      </c>
      <c r="M1366" s="1" t="str">
        <f>TEXT(Table1[[#This Row],[Order_Date]], "MMM")</f>
        <v>Aug</v>
      </c>
      <c r="N1366" s="1">
        <f>YEAR(Table1[[#This Row],[Order_Date]])</f>
        <v>2023</v>
      </c>
      <c r="O1366" s="7">
        <f>Table1[[#This Row],[Profit]]/Table1[[#This Row],[Total_Sales]]</f>
        <v>0.25578241232731136</v>
      </c>
    </row>
    <row r="1367" spans="1:15" x14ac:dyDescent="0.25">
      <c r="A1367" s="1">
        <v>1366</v>
      </c>
      <c r="B1367" s="2">
        <v>45065</v>
      </c>
      <c r="C1367" s="1" t="s">
        <v>25</v>
      </c>
      <c r="D1367" s="1" t="s">
        <v>22</v>
      </c>
      <c r="E1367" s="1" t="s">
        <v>36</v>
      </c>
      <c r="F1367" s="1" t="s">
        <v>35</v>
      </c>
      <c r="G1367" s="1">
        <v>3</v>
      </c>
      <c r="H1367" s="1">
        <v>503</v>
      </c>
      <c r="I1367" s="1">
        <v>15</v>
      </c>
      <c r="J1367" s="4">
        <v>1282.6500000000001</v>
      </c>
      <c r="K1367" s="4">
        <v>1009.28</v>
      </c>
      <c r="L1367" s="4">
        <v>273.37</v>
      </c>
      <c r="M1367" s="1" t="str">
        <f>TEXT(Table1[[#This Row],[Order_Date]], "MMM")</f>
        <v>May</v>
      </c>
      <c r="N1367" s="1">
        <f>YEAR(Table1[[#This Row],[Order_Date]])</f>
        <v>2023</v>
      </c>
      <c r="O1367" s="7">
        <f>Table1[[#This Row],[Profit]]/Table1[[#This Row],[Total_Sales]]</f>
        <v>0.21312906872490545</v>
      </c>
    </row>
    <row r="1368" spans="1:15" x14ac:dyDescent="0.25">
      <c r="A1368" s="1">
        <v>1367</v>
      </c>
      <c r="B1368" s="2">
        <v>45628</v>
      </c>
      <c r="C1368" s="1" t="s">
        <v>19</v>
      </c>
      <c r="D1368" s="1" t="s">
        <v>26</v>
      </c>
      <c r="E1368" s="1" t="s">
        <v>42</v>
      </c>
      <c r="F1368" s="1" t="s">
        <v>18</v>
      </c>
      <c r="G1368" s="1">
        <v>5</v>
      </c>
      <c r="H1368" s="1">
        <v>889</v>
      </c>
      <c r="I1368" s="1">
        <v>20</v>
      </c>
      <c r="J1368" s="4">
        <v>3556</v>
      </c>
      <c r="K1368" s="4">
        <v>2363.36</v>
      </c>
      <c r="L1368" s="4">
        <v>1192.6400000000001</v>
      </c>
      <c r="M1368" s="1" t="str">
        <f>TEXT(Table1[[#This Row],[Order_Date]], "MMM")</f>
        <v>Dec</v>
      </c>
      <c r="N1368" s="1">
        <f>YEAR(Table1[[#This Row],[Order_Date]])</f>
        <v>2024</v>
      </c>
      <c r="O1368" s="7">
        <f>Table1[[#This Row],[Profit]]/Table1[[#This Row],[Total_Sales]]</f>
        <v>0.33538807649043872</v>
      </c>
    </row>
    <row r="1369" spans="1:15" x14ac:dyDescent="0.25">
      <c r="A1369" s="1">
        <v>1368</v>
      </c>
      <c r="B1369" s="2">
        <v>45328</v>
      </c>
      <c r="C1369" s="1" t="s">
        <v>12</v>
      </c>
      <c r="D1369" s="1" t="s">
        <v>22</v>
      </c>
      <c r="E1369" s="1" t="s">
        <v>29</v>
      </c>
      <c r="F1369" s="1" t="s">
        <v>15</v>
      </c>
      <c r="G1369" s="1">
        <v>2</v>
      </c>
      <c r="H1369" s="1">
        <v>304</v>
      </c>
      <c r="I1369" s="1">
        <v>20</v>
      </c>
      <c r="J1369" s="4">
        <v>486.4</v>
      </c>
      <c r="K1369" s="4">
        <v>243.97</v>
      </c>
      <c r="L1369" s="4">
        <v>242.43</v>
      </c>
      <c r="M1369" s="1" t="str">
        <f>TEXT(Table1[[#This Row],[Order_Date]], "MMM")</f>
        <v>Feb</v>
      </c>
      <c r="N1369" s="1">
        <f>YEAR(Table1[[#This Row],[Order_Date]])</f>
        <v>2024</v>
      </c>
      <c r="O1369" s="7">
        <f>Table1[[#This Row],[Profit]]/Table1[[#This Row],[Total_Sales]]</f>
        <v>0.49841694078947374</v>
      </c>
    </row>
    <row r="1370" spans="1:15" x14ac:dyDescent="0.25">
      <c r="A1370" s="1">
        <v>1369</v>
      </c>
      <c r="B1370" s="2">
        <v>45210</v>
      </c>
      <c r="C1370" s="1" t="s">
        <v>19</v>
      </c>
      <c r="D1370" s="1" t="s">
        <v>32</v>
      </c>
      <c r="E1370" s="1" t="s">
        <v>45</v>
      </c>
      <c r="F1370" s="1" t="s">
        <v>35</v>
      </c>
      <c r="G1370" s="1">
        <v>10</v>
      </c>
      <c r="H1370" s="1">
        <v>710</v>
      </c>
      <c r="I1370" s="1">
        <v>5</v>
      </c>
      <c r="J1370" s="4">
        <v>6745</v>
      </c>
      <c r="K1370" s="4">
        <v>4017.62</v>
      </c>
      <c r="L1370" s="4">
        <v>2727.38</v>
      </c>
      <c r="M1370" s="1" t="str">
        <f>TEXT(Table1[[#This Row],[Order_Date]], "MMM")</f>
        <v>Oct</v>
      </c>
      <c r="N1370" s="1">
        <f>YEAR(Table1[[#This Row],[Order_Date]])</f>
        <v>2023</v>
      </c>
      <c r="O1370" s="7">
        <f>Table1[[#This Row],[Profit]]/Table1[[#This Row],[Total_Sales]]</f>
        <v>0.40435581912527802</v>
      </c>
    </row>
    <row r="1371" spans="1:15" x14ac:dyDescent="0.25">
      <c r="A1371" s="1">
        <v>1370</v>
      </c>
      <c r="B1371" s="2">
        <v>45182</v>
      </c>
      <c r="C1371" s="1" t="s">
        <v>19</v>
      </c>
      <c r="D1371" s="1" t="s">
        <v>22</v>
      </c>
      <c r="E1371" s="1" t="s">
        <v>23</v>
      </c>
      <c r="F1371" s="1" t="s">
        <v>15</v>
      </c>
      <c r="G1371" s="1">
        <v>10</v>
      </c>
      <c r="H1371" s="1">
        <v>672</v>
      </c>
      <c r="I1371" s="1">
        <v>5</v>
      </c>
      <c r="J1371" s="4">
        <v>6384</v>
      </c>
      <c r="K1371" s="4">
        <v>4406.8100000000004</v>
      </c>
      <c r="L1371" s="4">
        <v>1977.19</v>
      </c>
      <c r="M1371" s="1" t="str">
        <f>TEXT(Table1[[#This Row],[Order_Date]], "MMM")</f>
        <v>Sep</v>
      </c>
      <c r="N1371" s="1">
        <f>YEAR(Table1[[#This Row],[Order_Date]])</f>
        <v>2023</v>
      </c>
      <c r="O1371" s="7">
        <f>Table1[[#This Row],[Profit]]/Table1[[#This Row],[Total_Sales]]</f>
        <v>0.30971021303258145</v>
      </c>
    </row>
    <row r="1372" spans="1:15" x14ac:dyDescent="0.25">
      <c r="A1372" s="1">
        <v>1371</v>
      </c>
      <c r="B1372" s="2">
        <v>45443</v>
      </c>
      <c r="C1372" s="1" t="s">
        <v>25</v>
      </c>
      <c r="D1372" s="1" t="s">
        <v>13</v>
      </c>
      <c r="E1372" s="1" t="s">
        <v>38</v>
      </c>
      <c r="F1372" s="1" t="s">
        <v>15</v>
      </c>
      <c r="G1372" s="1">
        <v>3</v>
      </c>
      <c r="H1372" s="1">
        <v>561</v>
      </c>
      <c r="I1372" s="1">
        <v>20</v>
      </c>
      <c r="J1372" s="4">
        <v>1346.4</v>
      </c>
      <c r="K1372" s="4">
        <v>961.69</v>
      </c>
      <c r="L1372" s="4">
        <v>384.71</v>
      </c>
      <c r="M1372" s="1" t="str">
        <f>TEXT(Table1[[#This Row],[Order_Date]], "MMM")</f>
        <v>May</v>
      </c>
      <c r="N1372" s="1">
        <f>YEAR(Table1[[#This Row],[Order_Date]])</f>
        <v>2024</v>
      </c>
      <c r="O1372" s="7">
        <f>Table1[[#This Row],[Profit]]/Table1[[#This Row],[Total_Sales]]</f>
        <v>0.28573232323232317</v>
      </c>
    </row>
    <row r="1373" spans="1:15" x14ac:dyDescent="0.25">
      <c r="A1373" s="1">
        <v>1372</v>
      </c>
      <c r="B1373" s="2">
        <v>45061</v>
      </c>
      <c r="C1373" s="1" t="s">
        <v>12</v>
      </c>
      <c r="D1373" s="1" t="s">
        <v>20</v>
      </c>
      <c r="E1373" s="1" t="s">
        <v>43</v>
      </c>
      <c r="F1373" s="1" t="s">
        <v>35</v>
      </c>
      <c r="G1373" s="1">
        <v>2</v>
      </c>
      <c r="H1373" s="1">
        <v>950</v>
      </c>
      <c r="I1373" s="1">
        <v>20</v>
      </c>
      <c r="J1373" s="4">
        <v>1520</v>
      </c>
      <c r="K1373" s="4">
        <v>820.2</v>
      </c>
      <c r="L1373" s="4">
        <v>699.8</v>
      </c>
      <c r="M1373" s="1" t="str">
        <f>TEXT(Table1[[#This Row],[Order_Date]], "MMM")</f>
        <v>May</v>
      </c>
      <c r="N1373" s="1">
        <f>YEAR(Table1[[#This Row],[Order_Date]])</f>
        <v>2023</v>
      </c>
      <c r="O1373" s="7">
        <f>Table1[[#This Row],[Profit]]/Table1[[#This Row],[Total_Sales]]</f>
        <v>0.46039473684210525</v>
      </c>
    </row>
    <row r="1374" spans="1:15" x14ac:dyDescent="0.25">
      <c r="A1374" s="1">
        <v>1373</v>
      </c>
      <c r="B1374" s="2">
        <v>45043</v>
      </c>
      <c r="C1374" s="1" t="s">
        <v>25</v>
      </c>
      <c r="D1374" s="1" t="s">
        <v>26</v>
      </c>
      <c r="E1374" s="1" t="s">
        <v>42</v>
      </c>
      <c r="F1374" s="1" t="s">
        <v>15</v>
      </c>
      <c r="G1374" s="1">
        <v>8</v>
      </c>
      <c r="H1374" s="1">
        <v>489</v>
      </c>
      <c r="I1374" s="1">
        <v>5</v>
      </c>
      <c r="J1374" s="4">
        <v>3716.4</v>
      </c>
      <c r="K1374" s="4">
        <v>2072.9699999999998</v>
      </c>
      <c r="L1374" s="4">
        <v>1643.43</v>
      </c>
      <c r="M1374" s="1" t="str">
        <f>TEXT(Table1[[#This Row],[Order_Date]], "MMM")</f>
        <v>Apr</v>
      </c>
      <c r="N1374" s="1">
        <f>YEAR(Table1[[#This Row],[Order_Date]])</f>
        <v>2023</v>
      </c>
      <c r="O1374" s="7">
        <f>Table1[[#This Row],[Profit]]/Table1[[#This Row],[Total_Sales]]</f>
        <v>0.44221020342266709</v>
      </c>
    </row>
    <row r="1375" spans="1:15" x14ac:dyDescent="0.25">
      <c r="A1375" s="1">
        <v>1374</v>
      </c>
      <c r="B1375" s="2">
        <v>45276</v>
      </c>
      <c r="C1375" s="1" t="s">
        <v>12</v>
      </c>
      <c r="D1375" s="1" t="s">
        <v>13</v>
      </c>
      <c r="E1375" s="1" t="s">
        <v>17</v>
      </c>
      <c r="F1375" s="1" t="s">
        <v>18</v>
      </c>
      <c r="G1375" s="1">
        <v>4</v>
      </c>
      <c r="H1375" s="1">
        <v>587</v>
      </c>
      <c r="I1375" s="1">
        <v>5</v>
      </c>
      <c r="J1375" s="4">
        <v>2230.6</v>
      </c>
      <c r="K1375" s="4">
        <v>1491.56</v>
      </c>
      <c r="L1375" s="4">
        <v>739.04</v>
      </c>
      <c r="M1375" s="1" t="str">
        <f>TEXT(Table1[[#This Row],[Order_Date]], "MMM")</f>
        <v>Dec</v>
      </c>
      <c r="N1375" s="1">
        <f>YEAR(Table1[[#This Row],[Order_Date]])</f>
        <v>2023</v>
      </c>
      <c r="O1375" s="7">
        <f>Table1[[#This Row],[Profit]]/Table1[[#This Row],[Total_Sales]]</f>
        <v>0.3313189276427867</v>
      </c>
    </row>
    <row r="1376" spans="1:15" x14ac:dyDescent="0.25">
      <c r="A1376" s="1">
        <v>1375</v>
      </c>
      <c r="B1376" s="2">
        <v>45459</v>
      </c>
      <c r="C1376" s="1" t="s">
        <v>12</v>
      </c>
      <c r="D1376" s="1" t="s">
        <v>26</v>
      </c>
      <c r="E1376" s="1" t="s">
        <v>27</v>
      </c>
      <c r="F1376" s="1" t="s">
        <v>40</v>
      </c>
      <c r="G1376" s="1">
        <v>8</v>
      </c>
      <c r="H1376" s="1">
        <v>831</v>
      </c>
      <c r="I1376" s="1">
        <v>5</v>
      </c>
      <c r="J1376" s="4">
        <v>6315.6</v>
      </c>
      <c r="K1376" s="4">
        <v>4675.34</v>
      </c>
      <c r="L1376" s="4">
        <v>1640.26</v>
      </c>
      <c r="M1376" s="1" t="str">
        <f>TEXT(Table1[[#This Row],[Order_Date]], "MMM")</f>
        <v>Jun</v>
      </c>
      <c r="N1376" s="1">
        <f>YEAR(Table1[[#This Row],[Order_Date]])</f>
        <v>2024</v>
      </c>
      <c r="O1376" s="7">
        <f>Table1[[#This Row],[Profit]]/Table1[[#This Row],[Total_Sales]]</f>
        <v>0.25971562480207738</v>
      </c>
    </row>
    <row r="1377" spans="1:15" x14ac:dyDescent="0.25">
      <c r="A1377" s="1">
        <v>1376</v>
      </c>
      <c r="B1377" s="2">
        <v>45597</v>
      </c>
      <c r="C1377" s="1" t="s">
        <v>19</v>
      </c>
      <c r="D1377" s="1" t="s">
        <v>26</v>
      </c>
      <c r="E1377" s="1" t="s">
        <v>37</v>
      </c>
      <c r="F1377" s="1" t="s">
        <v>15</v>
      </c>
      <c r="G1377" s="1">
        <v>6</v>
      </c>
      <c r="H1377" s="1">
        <v>493</v>
      </c>
      <c r="I1377" s="1">
        <v>20</v>
      </c>
      <c r="J1377" s="4">
        <v>2366.4</v>
      </c>
      <c r="K1377" s="4">
        <v>1208.92</v>
      </c>
      <c r="L1377" s="4">
        <v>1157.48</v>
      </c>
      <c r="M1377" s="1" t="str">
        <f>TEXT(Table1[[#This Row],[Order_Date]], "MMM")</f>
        <v>Nov</v>
      </c>
      <c r="N1377" s="1">
        <f>YEAR(Table1[[#This Row],[Order_Date]])</f>
        <v>2024</v>
      </c>
      <c r="O1377" s="7">
        <f>Table1[[#This Row],[Profit]]/Table1[[#This Row],[Total_Sales]]</f>
        <v>0.48913116970926301</v>
      </c>
    </row>
    <row r="1378" spans="1:15" x14ac:dyDescent="0.25">
      <c r="A1378" s="1">
        <v>1377</v>
      </c>
      <c r="B1378" s="2">
        <v>45442</v>
      </c>
      <c r="C1378" s="1" t="s">
        <v>19</v>
      </c>
      <c r="D1378" s="1" t="s">
        <v>22</v>
      </c>
      <c r="E1378" s="1" t="s">
        <v>23</v>
      </c>
      <c r="F1378" s="1" t="s">
        <v>24</v>
      </c>
      <c r="G1378" s="1">
        <v>2</v>
      </c>
      <c r="H1378" s="1">
        <v>897</v>
      </c>
      <c r="I1378" s="1">
        <v>5</v>
      </c>
      <c r="J1378" s="4">
        <v>1704.3</v>
      </c>
      <c r="K1378" s="4">
        <v>1051.73</v>
      </c>
      <c r="L1378" s="4">
        <v>652.57000000000005</v>
      </c>
      <c r="M1378" s="1" t="str">
        <f>TEXT(Table1[[#This Row],[Order_Date]], "MMM")</f>
        <v>May</v>
      </c>
      <c r="N1378" s="1">
        <f>YEAR(Table1[[#This Row],[Order_Date]])</f>
        <v>2024</v>
      </c>
      <c r="O1378" s="7">
        <f>Table1[[#This Row],[Profit]]/Table1[[#This Row],[Total_Sales]]</f>
        <v>0.38289620372000238</v>
      </c>
    </row>
    <row r="1379" spans="1:15" x14ac:dyDescent="0.25">
      <c r="A1379" s="1">
        <v>1378</v>
      </c>
      <c r="B1379" s="2">
        <v>45513</v>
      </c>
      <c r="C1379" s="1" t="s">
        <v>12</v>
      </c>
      <c r="D1379" s="1" t="s">
        <v>20</v>
      </c>
      <c r="E1379" s="1" t="s">
        <v>21</v>
      </c>
      <c r="F1379" s="1" t="s">
        <v>15</v>
      </c>
      <c r="G1379" s="1">
        <v>3</v>
      </c>
      <c r="H1379" s="1">
        <v>529</v>
      </c>
      <c r="I1379" s="1">
        <v>15</v>
      </c>
      <c r="J1379" s="4">
        <v>1348.95</v>
      </c>
      <c r="K1379" s="4">
        <v>810.73</v>
      </c>
      <c r="L1379" s="4">
        <v>538.22</v>
      </c>
      <c r="M1379" s="1" t="str">
        <f>TEXT(Table1[[#This Row],[Order_Date]], "MMM")</f>
        <v>Aug</v>
      </c>
      <c r="N1379" s="1">
        <f>YEAR(Table1[[#This Row],[Order_Date]])</f>
        <v>2024</v>
      </c>
      <c r="O1379" s="7">
        <f>Table1[[#This Row],[Profit]]/Table1[[#This Row],[Total_Sales]]</f>
        <v>0.39899180844360427</v>
      </c>
    </row>
    <row r="1380" spans="1:15" x14ac:dyDescent="0.25">
      <c r="A1380" s="1">
        <v>1379</v>
      </c>
      <c r="B1380" s="2">
        <v>45552</v>
      </c>
      <c r="C1380" s="1" t="s">
        <v>19</v>
      </c>
      <c r="D1380" s="1" t="s">
        <v>22</v>
      </c>
      <c r="E1380" s="1" t="s">
        <v>29</v>
      </c>
      <c r="F1380" s="1" t="s">
        <v>35</v>
      </c>
      <c r="G1380" s="1">
        <v>2</v>
      </c>
      <c r="H1380" s="1">
        <v>941</v>
      </c>
      <c r="I1380" s="1">
        <v>20</v>
      </c>
      <c r="J1380" s="4">
        <v>1505.6</v>
      </c>
      <c r="K1380" s="4">
        <v>856.16</v>
      </c>
      <c r="L1380" s="4">
        <v>649.44000000000005</v>
      </c>
      <c r="M1380" s="1" t="str">
        <f>TEXT(Table1[[#This Row],[Order_Date]], "MMM")</f>
        <v>Sep</v>
      </c>
      <c r="N1380" s="1">
        <f>YEAR(Table1[[#This Row],[Order_Date]])</f>
        <v>2024</v>
      </c>
      <c r="O1380" s="7">
        <f>Table1[[#This Row],[Profit]]/Table1[[#This Row],[Total_Sales]]</f>
        <v>0.43134962805526045</v>
      </c>
    </row>
    <row r="1381" spans="1:15" x14ac:dyDescent="0.25">
      <c r="A1381" s="1">
        <v>1380</v>
      </c>
      <c r="B1381" s="2">
        <v>45495</v>
      </c>
      <c r="C1381" s="1" t="s">
        <v>16</v>
      </c>
      <c r="D1381" s="1" t="s">
        <v>22</v>
      </c>
      <c r="E1381" s="1" t="s">
        <v>44</v>
      </c>
      <c r="F1381" s="1" t="s">
        <v>18</v>
      </c>
      <c r="G1381" s="1">
        <v>2</v>
      </c>
      <c r="H1381" s="1">
        <v>561</v>
      </c>
      <c r="I1381" s="1">
        <v>0</v>
      </c>
      <c r="J1381" s="4">
        <v>1122</v>
      </c>
      <c r="K1381" s="4">
        <v>599.61</v>
      </c>
      <c r="L1381" s="4">
        <v>522.39</v>
      </c>
      <c r="M1381" s="1" t="str">
        <f>TEXT(Table1[[#This Row],[Order_Date]], "MMM")</f>
        <v>Jul</v>
      </c>
      <c r="N1381" s="1">
        <f>YEAR(Table1[[#This Row],[Order_Date]])</f>
        <v>2024</v>
      </c>
      <c r="O1381" s="7">
        <f>Table1[[#This Row],[Profit]]/Table1[[#This Row],[Total_Sales]]</f>
        <v>0.46558823529411764</v>
      </c>
    </row>
    <row r="1382" spans="1:15" x14ac:dyDescent="0.25">
      <c r="A1382" s="1">
        <v>1381</v>
      </c>
      <c r="B1382" s="2">
        <v>45359</v>
      </c>
      <c r="C1382" s="1" t="s">
        <v>19</v>
      </c>
      <c r="D1382" s="1" t="s">
        <v>32</v>
      </c>
      <c r="E1382" s="1" t="s">
        <v>34</v>
      </c>
      <c r="F1382" s="1" t="s">
        <v>15</v>
      </c>
      <c r="G1382" s="1">
        <v>5</v>
      </c>
      <c r="H1382" s="1">
        <v>562</v>
      </c>
      <c r="I1382" s="1">
        <v>5</v>
      </c>
      <c r="J1382" s="4">
        <v>2669.5</v>
      </c>
      <c r="K1382" s="4">
        <v>1776.05</v>
      </c>
      <c r="L1382" s="4">
        <v>893.45</v>
      </c>
      <c r="M1382" s="1" t="str">
        <f>TEXT(Table1[[#This Row],[Order_Date]], "MMM")</f>
        <v>Mar</v>
      </c>
      <c r="N1382" s="1">
        <f>YEAR(Table1[[#This Row],[Order_Date]])</f>
        <v>2024</v>
      </c>
      <c r="O1382" s="7">
        <f>Table1[[#This Row],[Profit]]/Table1[[#This Row],[Total_Sales]]</f>
        <v>0.33468814384716239</v>
      </c>
    </row>
    <row r="1383" spans="1:15" x14ac:dyDescent="0.25">
      <c r="A1383" s="1">
        <v>1382</v>
      </c>
      <c r="B1383" s="2">
        <v>45614</v>
      </c>
      <c r="C1383" s="1" t="s">
        <v>16</v>
      </c>
      <c r="D1383" s="1" t="s">
        <v>20</v>
      </c>
      <c r="E1383" s="1" t="s">
        <v>43</v>
      </c>
      <c r="F1383" s="1" t="s">
        <v>15</v>
      </c>
      <c r="G1383" s="1">
        <v>1</v>
      </c>
      <c r="H1383" s="1">
        <v>850</v>
      </c>
      <c r="I1383" s="1">
        <v>20</v>
      </c>
      <c r="J1383" s="4">
        <v>680</v>
      </c>
      <c r="K1383" s="4">
        <v>443.69</v>
      </c>
      <c r="L1383" s="4">
        <v>236.31</v>
      </c>
      <c r="M1383" s="1" t="str">
        <f>TEXT(Table1[[#This Row],[Order_Date]], "MMM")</f>
        <v>Nov</v>
      </c>
      <c r="N1383" s="1">
        <f>YEAR(Table1[[#This Row],[Order_Date]])</f>
        <v>2024</v>
      </c>
      <c r="O1383" s="7">
        <f>Table1[[#This Row],[Profit]]/Table1[[#This Row],[Total_Sales]]</f>
        <v>0.34751470588235295</v>
      </c>
    </row>
    <row r="1384" spans="1:15" x14ac:dyDescent="0.25">
      <c r="A1384" s="1">
        <v>1383</v>
      </c>
      <c r="B1384" s="2">
        <v>45289</v>
      </c>
      <c r="C1384" s="1" t="s">
        <v>16</v>
      </c>
      <c r="D1384" s="1" t="s">
        <v>22</v>
      </c>
      <c r="E1384" s="1" t="s">
        <v>44</v>
      </c>
      <c r="F1384" s="1" t="s">
        <v>15</v>
      </c>
      <c r="G1384" s="1">
        <v>8</v>
      </c>
      <c r="H1384" s="1">
        <v>334</v>
      </c>
      <c r="I1384" s="1">
        <v>15</v>
      </c>
      <c r="J1384" s="4">
        <v>2271.1999999999998</v>
      </c>
      <c r="K1384" s="4">
        <v>1742.06</v>
      </c>
      <c r="L1384" s="4">
        <v>529.14</v>
      </c>
      <c r="M1384" s="1" t="str">
        <f>TEXT(Table1[[#This Row],[Order_Date]], "MMM")</f>
        <v>Dec</v>
      </c>
      <c r="N1384" s="1">
        <f>YEAR(Table1[[#This Row],[Order_Date]])</f>
        <v>2023</v>
      </c>
      <c r="O1384" s="7">
        <f>Table1[[#This Row],[Profit]]/Table1[[#This Row],[Total_Sales]]</f>
        <v>0.23297816132441002</v>
      </c>
    </row>
    <row r="1385" spans="1:15" x14ac:dyDescent="0.25">
      <c r="A1385" s="1">
        <v>1384</v>
      </c>
      <c r="B1385" s="2">
        <v>45189</v>
      </c>
      <c r="C1385" s="1" t="s">
        <v>16</v>
      </c>
      <c r="D1385" s="1" t="s">
        <v>32</v>
      </c>
      <c r="E1385" s="1" t="s">
        <v>45</v>
      </c>
      <c r="F1385" s="1" t="s">
        <v>35</v>
      </c>
      <c r="G1385" s="1">
        <v>8</v>
      </c>
      <c r="H1385" s="1">
        <v>24</v>
      </c>
      <c r="I1385" s="1">
        <v>5</v>
      </c>
      <c r="J1385" s="4">
        <v>182.4</v>
      </c>
      <c r="K1385" s="4">
        <v>101.61</v>
      </c>
      <c r="L1385" s="4">
        <v>80.790000000000006</v>
      </c>
      <c r="M1385" s="1" t="str">
        <f>TEXT(Table1[[#This Row],[Order_Date]], "MMM")</f>
        <v>Sep</v>
      </c>
      <c r="N1385" s="1">
        <f>YEAR(Table1[[#This Row],[Order_Date]])</f>
        <v>2023</v>
      </c>
      <c r="O1385" s="7">
        <f>Table1[[#This Row],[Profit]]/Table1[[#This Row],[Total_Sales]]</f>
        <v>0.44292763157894738</v>
      </c>
    </row>
    <row r="1386" spans="1:15" x14ac:dyDescent="0.25">
      <c r="A1386" s="1">
        <v>1385</v>
      </c>
      <c r="B1386" s="2">
        <v>45096</v>
      </c>
      <c r="C1386" s="1" t="s">
        <v>19</v>
      </c>
      <c r="D1386" s="1" t="s">
        <v>22</v>
      </c>
      <c r="E1386" s="1" t="s">
        <v>36</v>
      </c>
      <c r="F1386" s="1" t="s">
        <v>40</v>
      </c>
      <c r="G1386" s="1">
        <v>7</v>
      </c>
      <c r="H1386" s="1">
        <v>502</v>
      </c>
      <c r="I1386" s="1">
        <v>15</v>
      </c>
      <c r="J1386" s="4">
        <v>2986.9</v>
      </c>
      <c r="K1386" s="4">
        <v>1983.05</v>
      </c>
      <c r="L1386" s="4">
        <v>1003.85</v>
      </c>
      <c r="M1386" s="1" t="str">
        <f>TEXT(Table1[[#This Row],[Order_Date]], "MMM")</f>
        <v>Jun</v>
      </c>
      <c r="N1386" s="1">
        <f>YEAR(Table1[[#This Row],[Order_Date]])</f>
        <v>2023</v>
      </c>
      <c r="O1386" s="7">
        <f>Table1[[#This Row],[Profit]]/Table1[[#This Row],[Total_Sales]]</f>
        <v>0.33608423449060898</v>
      </c>
    </row>
    <row r="1387" spans="1:15" x14ac:dyDescent="0.25">
      <c r="A1387" s="1">
        <v>1386</v>
      </c>
      <c r="B1387" s="2">
        <v>45642</v>
      </c>
      <c r="C1387" s="1" t="s">
        <v>12</v>
      </c>
      <c r="D1387" s="1" t="s">
        <v>32</v>
      </c>
      <c r="E1387" s="1" t="s">
        <v>34</v>
      </c>
      <c r="F1387" s="1" t="s">
        <v>24</v>
      </c>
      <c r="G1387" s="1">
        <v>7</v>
      </c>
      <c r="H1387" s="1">
        <v>69</v>
      </c>
      <c r="I1387" s="1">
        <v>15</v>
      </c>
      <c r="J1387" s="4">
        <v>410.55</v>
      </c>
      <c r="K1387" s="4">
        <v>293.52</v>
      </c>
      <c r="L1387" s="4">
        <v>117.03</v>
      </c>
      <c r="M1387" s="1" t="str">
        <f>TEXT(Table1[[#This Row],[Order_Date]], "MMM")</f>
        <v>Dec</v>
      </c>
      <c r="N1387" s="1">
        <f>YEAR(Table1[[#This Row],[Order_Date]])</f>
        <v>2024</v>
      </c>
      <c r="O1387" s="7">
        <f>Table1[[#This Row],[Profit]]/Table1[[#This Row],[Total_Sales]]</f>
        <v>0.28505663134819142</v>
      </c>
    </row>
    <row r="1388" spans="1:15" x14ac:dyDescent="0.25">
      <c r="A1388" s="1">
        <v>1387</v>
      </c>
      <c r="B1388" s="2">
        <v>45562</v>
      </c>
      <c r="C1388" s="1" t="s">
        <v>25</v>
      </c>
      <c r="D1388" s="1" t="s">
        <v>26</v>
      </c>
      <c r="E1388" s="1" t="s">
        <v>27</v>
      </c>
      <c r="F1388" s="1" t="s">
        <v>15</v>
      </c>
      <c r="G1388" s="1">
        <v>3</v>
      </c>
      <c r="H1388" s="1">
        <v>630</v>
      </c>
      <c r="I1388" s="1">
        <v>20</v>
      </c>
      <c r="J1388" s="4">
        <v>1512</v>
      </c>
      <c r="K1388" s="4">
        <v>985.32</v>
      </c>
      <c r="L1388" s="4">
        <v>526.67999999999995</v>
      </c>
      <c r="M1388" s="1" t="str">
        <f>TEXT(Table1[[#This Row],[Order_Date]], "MMM")</f>
        <v>Sep</v>
      </c>
      <c r="N1388" s="1">
        <f>YEAR(Table1[[#This Row],[Order_Date]])</f>
        <v>2024</v>
      </c>
      <c r="O1388" s="7">
        <f>Table1[[#This Row],[Profit]]/Table1[[#This Row],[Total_Sales]]</f>
        <v>0.34833333333333327</v>
      </c>
    </row>
    <row r="1389" spans="1:15" x14ac:dyDescent="0.25">
      <c r="A1389" s="1">
        <v>1388</v>
      </c>
      <c r="B1389" s="2">
        <v>45621</v>
      </c>
      <c r="C1389" s="1" t="s">
        <v>19</v>
      </c>
      <c r="D1389" s="1" t="s">
        <v>26</v>
      </c>
      <c r="E1389" s="1" t="s">
        <v>42</v>
      </c>
      <c r="F1389" s="1" t="s">
        <v>31</v>
      </c>
      <c r="G1389" s="1">
        <v>10</v>
      </c>
      <c r="H1389" s="1">
        <v>717</v>
      </c>
      <c r="I1389" s="1">
        <v>20</v>
      </c>
      <c r="J1389" s="4">
        <v>5736</v>
      </c>
      <c r="K1389" s="4">
        <v>4200.25</v>
      </c>
      <c r="L1389" s="4">
        <v>1535.75</v>
      </c>
      <c r="M1389" s="1" t="str">
        <f>TEXT(Table1[[#This Row],[Order_Date]], "MMM")</f>
        <v>Nov</v>
      </c>
      <c r="N1389" s="1">
        <f>YEAR(Table1[[#This Row],[Order_Date]])</f>
        <v>2024</v>
      </c>
      <c r="O1389" s="7">
        <f>Table1[[#This Row],[Profit]]/Table1[[#This Row],[Total_Sales]]</f>
        <v>0.26773884239888424</v>
      </c>
    </row>
    <row r="1390" spans="1:15" x14ac:dyDescent="0.25">
      <c r="A1390" s="1">
        <v>1389</v>
      </c>
      <c r="B1390" s="2">
        <v>45562</v>
      </c>
      <c r="C1390" s="1" t="s">
        <v>25</v>
      </c>
      <c r="D1390" s="1" t="s">
        <v>13</v>
      </c>
      <c r="E1390" s="1" t="s">
        <v>39</v>
      </c>
      <c r="F1390" s="1" t="s">
        <v>24</v>
      </c>
      <c r="G1390" s="1">
        <v>4</v>
      </c>
      <c r="H1390" s="1">
        <v>246</v>
      </c>
      <c r="I1390" s="1">
        <v>0</v>
      </c>
      <c r="J1390" s="4">
        <v>984</v>
      </c>
      <c r="K1390" s="4">
        <v>518.97</v>
      </c>
      <c r="L1390" s="4">
        <v>465.03</v>
      </c>
      <c r="M1390" s="1" t="str">
        <f>TEXT(Table1[[#This Row],[Order_Date]], "MMM")</f>
        <v>Sep</v>
      </c>
      <c r="N1390" s="1">
        <f>YEAR(Table1[[#This Row],[Order_Date]])</f>
        <v>2024</v>
      </c>
      <c r="O1390" s="7">
        <f>Table1[[#This Row],[Profit]]/Table1[[#This Row],[Total_Sales]]</f>
        <v>0.47259146341463409</v>
      </c>
    </row>
    <row r="1391" spans="1:15" x14ac:dyDescent="0.25">
      <c r="A1391" s="1">
        <v>1390</v>
      </c>
      <c r="B1391" s="2">
        <v>45293</v>
      </c>
      <c r="C1391" s="1" t="s">
        <v>19</v>
      </c>
      <c r="D1391" s="1" t="s">
        <v>32</v>
      </c>
      <c r="E1391" s="1" t="s">
        <v>45</v>
      </c>
      <c r="F1391" s="1" t="s">
        <v>35</v>
      </c>
      <c r="G1391" s="1">
        <v>7</v>
      </c>
      <c r="H1391" s="1">
        <v>392</v>
      </c>
      <c r="I1391" s="1">
        <v>10</v>
      </c>
      <c r="J1391" s="4">
        <v>2469.6</v>
      </c>
      <c r="K1391" s="4">
        <v>1647.71</v>
      </c>
      <c r="L1391" s="4">
        <v>821.89</v>
      </c>
      <c r="M1391" s="1" t="str">
        <f>TEXT(Table1[[#This Row],[Order_Date]], "MMM")</f>
        <v>Jan</v>
      </c>
      <c r="N1391" s="1">
        <f>YEAR(Table1[[#This Row],[Order_Date]])</f>
        <v>2024</v>
      </c>
      <c r="O1391" s="7">
        <f>Table1[[#This Row],[Profit]]/Table1[[#This Row],[Total_Sales]]</f>
        <v>0.33280288305798511</v>
      </c>
    </row>
    <row r="1392" spans="1:15" x14ac:dyDescent="0.25">
      <c r="A1392" s="1">
        <v>1391</v>
      </c>
      <c r="B1392" s="2">
        <v>45610</v>
      </c>
      <c r="C1392" s="1" t="s">
        <v>25</v>
      </c>
      <c r="D1392" s="1" t="s">
        <v>26</v>
      </c>
      <c r="E1392" s="1" t="s">
        <v>27</v>
      </c>
      <c r="F1392" s="1" t="s">
        <v>15</v>
      </c>
      <c r="G1392" s="1">
        <v>9</v>
      </c>
      <c r="H1392" s="1">
        <v>273</v>
      </c>
      <c r="I1392" s="1">
        <v>10</v>
      </c>
      <c r="J1392" s="4">
        <v>2211.3000000000002</v>
      </c>
      <c r="K1392" s="4">
        <v>1312.44</v>
      </c>
      <c r="L1392" s="4">
        <v>898.86</v>
      </c>
      <c r="M1392" s="1" t="str">
        <f>TEXT(Table1[[#This Row],[Order_Date]], "MMM")</f>
        <v>Nov</v>
      </c>
      <c r="N1392" s="1">
        <f>YEAR(Table1[[#This Row],[Order_Date]])</f>
        <v>2024</v>
      </c>
      <c r="O1392" s="7">
        <f>Table1[[#This Row],[Profit]]/Table1[[#This Row],[Total_Sales]]</f>
        <v>0.40648487315153981</v>
      </c>
    </row>
    <row r="1393" spans="1:15" x14ac:dyDescent="0.25">
      <c r="A1393" s="1">
        <v>1392</v>
      </c>
      <c r="B1393" s="2">
        <v>45146</v>
      </c>
      <c r="C1393" s="1" t="s">
        <v>16</v>
      </c>
      <c r="D1393" s="1" t="s">
        <v>26</v>
      </c>
      <c r="E1393" s="1" t="s">
        <v>27</v>
      </c>
      <c r="F1393" s="1" t="s">
        <v>24</v>
      </c>
      <c r="G1393" s="1">
        <v>6</v>
      </c>
      <c r="H1393" s="1">
        <v>611</v>
      </c>
      <c r="I1393" s="1">
        <v>5</v>
      </c>
      <c r="J1393" s="4">
        <v>3482.7</v>
      </c>
      <c r="K1393" s="4">
        <v>2343.4499999999998</v>
      </c>
      <c r="L1393" s="4">
        <v>1139.25</v>
      </c>
      <c r="M1393" s="1" t="str">
        <f>TEXT(Table1[[#This Row],[Order_Date]], "MMM")</f>
        <v>Aug</v>
      </c>
      <c r="N1393" s="1">
        <f>YEAR(Table1[[#This Row],[Order_Date]])</f>
        <v>2023</v>
      </c>
      <c r="O1393" s="7">
        <f>Table1[[#This Row],[Profit]]/Table1[[#This Row],[Total_Sales]]</f>
        <v>0.32711689206650013</v>
      </c>
    </row>
    <row r="1394" spans="1:15" x14ac:dyDescent="0.25">
      <c r="A1394" s="1">
        <v>1393</v>
      </c>
      <c r="B1394" s="2">
        <v>45598</v>
      </c>
      <c r="C1394" s="1" t="s">
        <v>25</v>
      </c>
      <c r="D1394" s="1" t="s">
        <v>32</v>
      </c>
      <c r="E1394" s="1" t="s">
        <v>41</v>
      </c>
      <c r="F1394" s="1" t="s">
        <v>15</v>
      </c>
      <c r="G1394" s="1">
        <v>4</v>
      </c>
      <c r="H1394" s="1">
        <v>719</v>
      </c>
      <c r="I1394" s="1">
        <v>0</v>
      </c>
      <c r="J1394" s="4">
        <v>2876</v>
      </c>
      <c r="K1394" s="4">
        <v>1940.23</v>
      </c>
      <c r="L1394" s="4">
        <v>935.77</v>
      </c>
      <c r="M1394" s="1" t="str">
        <f>TEXT(Table1[[#This Row],[Order_Date]], "MMM")</f>
        <v>Nov</v>
      </c>
      <c r="N1394" s="1">
        <f>YEAR(Table1[[#This Row],[Order_Date]])</f>
        <v>2024</v>
      </c>
      <c r="O1394" s="7">
        <f>Table1[[#This Row],[Profit]]/Table1[[#This Row],[Total_Sales]]</f>
        <v>0.32537204450625867</v>
      </c>
    </row>
    <row r="1395" spans="1:15" x14ac:dyDescent="0.25">
      <c r="A1395" s="1">
        <v>1394</v>
      </c>
      <c r="B1395" s="2">
        <v>45125</v>
      </c>
      <c r="C1395" s="1" t="s">
        <v>12</v>
      </c>
      <c r="D1395" s="1" t="s">
        <v>22</v>
      </c>
      <c r="E1395" s="1" t="s">
        <v>36</v>
      </c>
      <c r="F1395" s="1" t="s">
        <v>24</v>
      </c>
      <c r="G1395" s="1">
        <v>9</v>
      </c>
      <c r="H1395" s="1">
        <v>529</v>
      </c>
      <c r="I1395" s="1">
        <v>20</v>
      </c>
      <c r="J1395" s="4">
        <v>3808.8</v>
      </c>
      <c r="K1395" s="4">
        <v>2778.46</v>
      </c>
      <c r="L1395" s="4">
        <v>1030.3399999999999</v>
      </c>
      <c r="M1395" s="1" t="str">
        <f>TEXT(Table1[[#This Row],[Order_Date]], "MMM")</f>
        <v>Jul</v>
      </c>
      <c r="N1395" s="1">
        <f>YEAR(Table1[[#This Row],[Order_Date]])</f>
        <v>2023</v>
      </c>
      <c r="O1395" s="7">
        <f>Table1[[#This Row],[Profit]]/Table1[[#This Row],[Total_Sales]]</f>
        <v>0.27051564797311484</v>
      </c>
    </row>
    <row r="1396" spans="1:15" x14ac:dyDescent="0.25">
      <c r="A1396" s="1">
        <v>1395</v>
      </c>
      <c r="B1396" s="2">
        <v>44972</v>
      </c>
      <c r="C1396" s="1" t="s">
        <v>16</v>
      </c>
      <c r="D1396" s="1" t="s">
        <v>22</v>
      </c>
      <c r="E1396" s="1" t="s">
        <v>36</v>
      </c>
      <c r="F1396" s="1" t="s">
        <v>15</v>
      </c>
      <c r="G1396" s="1">
        <v>5</v>
      </c>
      <c r="H1396" s="1">
        <v>956</v>
      </c>
      <c r="I1396" s="1">
        <v>10</v>
      </c>
      <c r="J1396" s="4">
        <v>4302</v>
      </c>
      <c r="K1396" s="4">
        <v>3122.35</v>
      </c>
      <c r="L1396" s="4">
        <v>1179.6500000000001</v>
      </c>
      <c r="M1396" s="1" t="str">
        <f>TEXT(Table1[[#This Row],[Order_Date]], "MMM")</f>
        <v>Feb</v>
      </c>
      <c r="N1396" s="1">
        <f>YEAR(Table1[[#This Row],[Order_Date]])</f>
        <v>2023</v>
      </c>
      <c r="O1396" s="7">
        <f>Table1[[#This Row],[Profit]]/Table1[[#This Row],[Total_Sales]]</f>
        <v>0.27420966992096701</v>
      </c>
    </row>
    <row r="1397" spans="1:15" x14ac:dyDescent="0.25">
      <c r="A1397" s="1">
        <v>1396</v>
      </c>
      <c r="B1397" s="2">
        <v>45220</v>
      </c>
      <c r="C1397" s="1" t="s">
        <v>25</v>
      </c>
      <c r="D1397" s="1" t="s">
        <v>32</v>
      </c>
      <c r="E1397" s="1" t="s">
        <v>45</v>
      </c>
      <c r="F1397" s="1" t="s">
        <v>18</v>
      </c>
      <c r="G1397" s="1">
        <v>6</v>
      </c>
      <c r="H1397" s="1">
        <v>324</v>
      </c>
      <c r="I1397" s="1">
        <v>15</v>
      </c>
      <c r="J1397" s="4">
        <v>1652.4</v>
      </c>
      <c r="K1397" s="4">
        <v>1080.3399999999999</v>
      </c>
      <c r="L1397" s="4">
        <v>572.05999999999995</v>
      </c>
      <c r="M1397" s="1" t="str">
        <f>TEXT(Table1[[#This Row],[Order_Date]], "MMM")</f>
        <v>Oct</v>
      </c>
      <c r="N1397" s="1">
        <f>YEAR(Table1[[#This Row],[Order_Date]])</f>
        <v>2023</v>
      </c>
      <c r="O1397" s="7">
        <f>Table1[[#This Row],[Profit]]/Table1[[#This Row],[Total_Sales]]</f>
        <v>0.34619946744129748</v>
      </c>
    </row>
    <row r="1398" spans="1:15" x14ac:dyDescent="0.25">
      <c r="A1398" s="1">
        <v>1397</v>
      </c>
      <c r="B1398" s="2">
        <v>45264</v>
      </c>
      <c r="C1398" s="1" t="s">
        <v>19</v>
      </c>
      <c r="D1398" s="1" t="s">
        <v>13</v>
      </c>
      <c r="E1398" s="1" t="s">
        <v>17</v>
      </c>
      <c r="F1398" s="1" t="s">
        <v>15</v>
      </c>
      <c r="G1398" s="1">
        <v>2</v>
      </c>
      <c r="H1398" s="1">
        <v>291</v>
      </c>
      <c r="I1398" s="1">
        <v>5</v>
      </c>
      <c r="J1398" s="4">
        <v>552.9</v>
      </c>
      <c r="K1398" s="4">
        <v>388.58</v>
      </c>
      <c r="L1398" s="4">
        <v>164.32</v>
      </c>
      <c r="M1398" s="1" t="str">
        <f>TEXT(Table1[[#This Row],[Order_Date]], "MMM")</f>
        <v>Dec</v>
      </c>
      <c r="N1398" s="1">
        <f>YEAR(Table1[[#This Row],[Order_Date]])</f>
        <v>2023</v>
      </c>
      <c r="O1398" s="7">
        <f>Table1[[#This Row],[Profit]]/Table1[[#This Row],[Total_Sales]]</f>
        <v>0.29719659974678964</v>
      </c>
    </row>
    <row r="1399" spans="1:15" x14ac:dyDescent="0.25">
      <c r="A1399" s="1">
        <v>1398</v>
      </c>
      <c r="B1399" s="2">
        <v>45377</v>
      </c>
      <c r="C1399" s="1" t="s">
        <v>19</v>
      </c>
      <c r="D1399" s="1" t="s">
        <v>32</v>
      </c>
      <c r="E1399" s="1" t="s">
        <v>41</v>
      </c>
      <c r="F1399" s="1" t="s">
        <v>18</v>
      </c>
      <c r="G1399" s="1">
        <v>3</v>
      </c>
      <c r="H1399" s="1">
        <v>77</v>
      </c>
      <c r="I1399" s="1">
        <v>10</v>
      </c>
      <c r="J1399" s="4">
        <v>207.9</v>
      </c>
      <c r="K1399" s="4">
        <v>153.99</v>
      </c>
      <c r="L1399" s="4">
        <v>53.91</v>
      </c>
      <c r="M1399" s="1" t="str">
        <f>TEXT(Table1[[#This Row],[Order_Date]], "MMM")</f>
        <v>Mar</v>
      </c>
      <c r="N1399" s="1">
        <f>YEAR(Table1[[#This Row],[Order_Date]])</f>
        <v>2024</v>
      </c>
      <c r="O1399" s="7">
        <f>Table1[[#This Row],[Profit]]/Table1[[#This Row],[Total_Sales]]</f>
        <v>0.25930735930735926</v>
      </c>
    </row>
    <row r="1400" spans="1:15" x14ac:dyDescent="0.25">
      <c r="A1400" s="1">
        <v>1399</v>
      </c>
      <c r="B1400" s="2">
        <v>45096</v>
      </c>
      <c r="C1400" s="1" t="s">
        <v>25</v>
      </c>
      <c r="D1400" s="1" t="s">
        <v>13</v>
      </c>
      <c r="E1400" s="1" t="s">
        <v>38</v>
      </c>
      <c r="F1400" s="1" t="s">
        <v>31</v>
      </c>
      <c r="G1400" s="1">
        <v>2</v>
      </c>
      <c r="H1400" s="1">
        <v>124</v>
      </c>
      <c r="I1400" s="1">
        <v>0</v>
      </c>
      <c r="J1400" s="4">
        <v>248</v>
      </c>
      <c r="K1400" s="4">
        <v>196.74</v>
      </c>
      <c r="L1400" s="4">
        <v>51.26</v>
      </c>
      <c r="M1400" s="1" t="str">
        <f>TEXT(Table1[[#This Row],[Order_Date]], "MMM")</f>
        <v>Jun</v>
      </c>
      <c r="N1400" s="1">
        <f>YEAR(Table1[[#This Row],[Order_Date]])</f>
        <v>2023</v>
      </c>
      <c r="O1400" s="7">
        <f>Table1[[#This Row],[Profit]]/Table1[[#This Row],[Total_Sales]]</f>
        <v>0.20669354838709678</v>
      </c>
    </row>
    <row r="1401" spans="1:15" x14ac:dyDescent="0.25">
      <c r="A1401" s="1">
        <v>1400</v>
      </c>
      <c r="B1401" s="2">
        <v>45159</v>
      </c>
      <c r="C1401" s="1" t="s">
        <v>19</v>
      </c>
      <c r="D1401" s="1" t="s">
        <v>20</v>
      </c>
      <c r="E1401" s="1" t="s">
        <v>43</v>
      </c>
      <c r="F1401" s="1" t="s">
        <v>40</v>
      </c>
      <c r="G1401" s="1">
        <v>10</v>
      </c>
      <c r="H1401" s="1">
        <v>915</v>
      </c>
      <c r="I1401" s="1">
        <v>10</v>
      </c>
      <c r="J1401" s="4">
        <v>8235</v>
      </c>
      <c r="K1401" s="4">
        <v>5014.1000000000004</v>
      </c>
      <c r="L1401" s="4">
        <v>3220.9</v>
      </c>
      <c r="M1401" s="1" t="str">
        <f>TEXT(Table1[[#This Row],[Order_Date]], "MMM")</f>
        <v>Aug</v>
      </c>
      <c r="N1401" s="1">
        <f>YEAR(Table1[[#This Row],[Order_Date]])</f>
        <v>2023</v>
      </c>
      <c r="O1401" s="7">
        <f>Table1[[#This Row],[Profit]]/Table1[[#This Row],[Total_Sales]]</f>
        <v>0.39112325440194295</v>
      </c>
    </row>
    <row r="1402" spans="1:15" x14ac:dyDescent="0.25">
      <c r="A1402" s="1">
        <v>1401</v>
      </c>
      <c r="B1402" s="2">
        <v>45094</v>
      </c>
      <c r="C1402" s="1" t="s">
        <v>16</v>
      </c>
      <c r="D1402" s="1" t="s">
        <v>20</v>
      </c>
      <c r="E1402" s="1" t="s">
        <v>21</v>
      </c>
      <c r="F1402" s="1" t="s">
        <v>40</v>
      </c>
      <c r="G1402" s="1">
        <v>6</v>
      </c>
      <c r="H1402" s="1">
        <v>985</v>
      </c>
      <c r="I1402" s="1">
        <v>5</v>
      </c>
      <c r="J1402" s="4">
        <v>5614.5</v>
      </c>
      <c r="K1402" s="4">
        <v>3069.24</v>
      </c>
      <c r="L1402" s="4">
        <v>2545.2600000000002</v>
      </c>
      <c r="M1402" s="1" t="str">
        <f>TEXT(Table1[[#This Row],[Order_Date]], "MMM")</f>
        <v>Jun</v>
      </c>
      <c r="N1402" s="1">
        <f>YEAR(Table1[[#This Row],[Order_Date]])</f>
        <v>2023</v>
      </c>
      <c r="O1402" s="7">
        <f>Table1[[#This Row],[Profit]]/Table1[[#This Row],[Total_Sales]]</f>
        <v>0.45333689553833828</v>
      </c>
    </row>
    <row r="1403" spans="1:15" x14ac:dyDescent="0.25">
      <c r="A1403" s="1">
        <v>1402</v>
      </c>
      <c r="B1403" s="2">
        <v>45420</v>
      </c>
      <c r="C1403" s="1" t="s">
        <v>12</v>
      </c>
      <c r="D1403" s="1" t="s">
        <v>20</v>
      </c>
      <c r="E1403" s="1" t="s">
        <v>28</v>
      </c>
      <c r="F1403" s="1" t="s">
        <v>18</v>
      </c>
      <c r="G1403" s="1">
        <v>5</v>
      </c>
      <c r="H1403" s="1">
        <v>311</v>
      </c>
      <c r="I1403" s="1">
        <v>10</v>
      </c>
      <c r="J1403" s="4">
        <v>1399.5</v>
      </c>
      <c r="K1403" s="4">
        <v>802.07</v>
      </c>
      <c r="L1403" s="4">
        <v>597.42999999999995</v>
      </c>
      <c r="M1403" s="1" t="str">
        <f>TEXT(Table1[[#This Row],[Order_Date]], "MMM")</f>
        <v>May</v>
      </c>
      <c r="N1403" s="1">
        <f>YEAR(Table1[[#This Row],[Order_Date]])</f>
        <v>2024</v>
      </c>
      <c r="O1403" s="7">
        <f>Table1[[#This Row],[Profit]]/Table1[[#This Row],[Total_Sales]]</f>
        <v>0.42688817434798138</v>
      </c>
    </row>
    <row r="1404" spans="1:15" x14ac:dyDescent="0.25">
      <c r="A1404" s="1">
        <v>1403</v>
      </c>
      <c r="B1404" s="2">
        <v>45424</v>
      </c>
      <c r="C1404" s="1" t="s">
        <v>12</v>
      </c>
      <c r="D1404" s="1" t="s">
        <v>20</v>
      </c>
      <c r="E1404" s="1" t="s">
        <v>43</v>
      </c>
      <c r="F1404" s="1" t="s">
        <v>35</v>
      </c>
      <c r="G1404" s="1">
        <v>5</v>
      </c>
      <c r="H1404" s="1">
        <v>651</v>
      </c>
      <c r="I1404" s="1">
        <v>20</v>
      </c>
      <c r="J1404" s="4">
        <v>2604</v>
      </c>
      <c r="K1404" s="4">
        <v>1882.67</v>
      </c>
      <c r="L1404" s="4">
        <v>721.33</v>
      </c>
      <c r="M1404" s="1" t="str">
        <f>TEXT(Table1[[#This Row],[Order_Date]], "MMM")</f>
        <v>May</v>
      </c>
      <c r="N1404" s="1">
        <f>YEAR(Table1[[#This Row],[Order_Date]])</f>
        <v>2024</v>
      </c>
      <c r="O1404" s="7">
        <f>Table1[[#This Row],[Profit]]/Table1[[#This Row],[Total_Sales]]</f>
        <v>0.27700844854070661</v>
      </c>
    </row>
    <row r="1405" spans="1:15" x14ac:dyDescent="0.25">
      <c r="A1405" s="1">
        <v>1404</v>
      </c>
      <c r="B1405" s="2">
        <v>45077</v>
      </c>
      <c r="C1405" s="1" t="s">
        <v>16</v>
      </c>
      <c r="D1405" s="1" t="s">
        <v>13</v>
      </c>
      <c r="E1405" s="1" t="s">
        <v>14</v>
      </c>
      <c r="F1405" s="1" t="s">
        <v>31</v>
      </c>
      <c r="G1405" s="1">
        <v>7</v>
      </c>
      <c r="H1405" s="1">
        <v>523</v>
      </c>
      <c r="I1405" s="1">
        <v>15</v>
      </c>
      <c r="J1405" s="4">
        <v>3111.85</v>
      </c>
      <c r="K1405" s="4">
        <v>2011.55</v>
      </c>
      <c r="L1405" s="4">
        <v>1100.3</v>
      </c>
      <c r="M1405" s="1" t="str">
        <f>TEXT(Table1[[#This Row],[Order_Date]], "MMM")</f>
        <v>May</v>
      </c>
      <c r="N1405" s="1">
        <f>YEAR(Table1[[#This Row],[Order_Date]])</f>
        <v>2023</v>
      </c>
      <c r="O1405" s="7">
        <f>Table1[[#This Row],[Profit]]/Table1[[#This Row],[Total_Sales]]</f>
        <v>0.35358388097112647</v>
      </c>
    </row>
    <row r="1406" spans="1:15" x14ac:dyDescent="0.25">
      <c r="A1406" s="1">
        <v>1405</v>
      </c>
      <c r="B1406" s="2">
        <v>45033</v>
      </c>
      <c r="C1406" s="1" t="s">
        <v>12</v>
      </c>
      <c r="D1406" s="1" t="s">
        <v>13</v>
      </c>
      <c r="E1406" s="1" t="s">
        <v>38</v>
      </c>
      <c r="F1406" s="1" t="s">
        <v>18</v>
      </c>
      <c r="G1406" s="1">
        <v>2</v>
      </c>
      <c r="H1406" s="1">
        <v>379</v>
      </c>
      <c r="I1406" s="1">
        <v>0</v>
      </c>
      <c r="J1406" s="4">
        <v>758</v>
      </c>
      <c r="K1406" s="4">
        <v>390.01</v>
      </c>
      <c r="L1406" s="4">
        <v>367.99</v>
      </c>
      <c r="M1406" s="1" t="str">
        <f>TEXT(Table1[[#This Row],[Order_Date]], "MMM")</f>
        <v>Apr</v>
      </c>
      <c r="N1406" s="1">
        <f>YEAR(Table1[[#This Row],[Order_Date]])</f>
        <v>2023</v>
      </c>
      <c r="O1406" s="7">
        <f>Table1[[#This Row],[Profit]]/Table1[[#This Row],[Total_Sales]]</f>
        <v>0.48547493403693931</v>
      </c>
    </row>
    <row r="1407" spans="1:15" x14ac:dyDescent="0.25">
      <c r="A1407" s="1">
        <v>1406</v>
      </c>
      <c r="B1407" s="2">
        <v>45575</v>
      </c>
      <c r="C1407" s="1" t="s">
        <v>19</v>
      </c>
      <c r="D1407" s="1" t="s">
        <v>22</v>
      </c>
      <c r="E1407" s="1" t="s">
        <v>36</v>
      </c>
      <c r="F1407" s="1" t="s">
        <v>35</v>
      </c>
      <c r="G1407" s="1">
        <v>8</v>
      </c>
      <c r="H1407" s="1">
        <v>517</v>
      </c>
      <c r="I1407" s="1">
        <v>15</v>
      </c>
      <c r="J1407" s="4">
        <v>3515.6</v>
      </c>
      <c r="K1407" s="4">
        <v>2666.98</v>
      </c>
      <c r="L1407" s="4">
        <v>848.62</v>
      </c>
      <c r="M1407" s="1" t="str">
        <f>TEXT(Table1[[#This Row],[Order_Date]], "MMM")</f>
        <v>Oct</v>
      </c>
      <c r="N1407" s="1">
        <f>YEAR(Table1[[#This Row],[Order_Date]])</f>
        <v>2024</v>
      </c>
      <c r="O1407" s="7">
        <f>Table1[[#This Row],[Profit]]/Table1[[#This Row],[Total_Sales]]</f>
        <v>0.24138696097394471</v>
      </c>
    </row>
    <row r="1408" spans="1:15" x14ac:dyDescent="0.25">
      <c r="A1408" s="1">
        <v>1407</v>
      </c>
      <c r="B1408" s="2">
        <v>45257</v>
      </c>
      <c r="C1408" s="1" t="s">
        <v>16</v>
      </c>
      <c r="D1408" s="1" t="s">
        <v>32</v>
      </c>
      <c r="E1408" s="1" t="s">
        <v>41</v>
      </c>
      <c r="F1408" s="1" t="s">
        <v>18</v>
      </c>
      <c r="G1408" s="1">
        <v>1</v>
      </c>
      <c r="H1408" s="1">
        <v>286</v>
      </c>
      <c r="I1408" s="1">
        <v>15</v>
      </c>
      <c r="J1408" s="4">
        <v>243.1</v>
      </c>
      <c r="K1408" s="4">
        <v>123.52</v>
      </c>
      <c r="L1408" s="4">
        <v>119.58</v>
      </c>
      <c r="M1408" s="1" t="str">
        <f>TEXT(Table1[[#This Row],[Order_Date]], "MMM")</f>
        <v>Nov</v>
      </c>
      <c r="N1408" s="1">
        <f>YEAR(Table1[[#This Row],[Order_Date]])</f>
        <v>2023</v>
      </c>
      <c r="O1408" s="7">
        <f>Table1[[#This Row],[Profit]]/Table1[[#This Row],[Total_Sales]]</f>
        <v>0.49189633895516249</v>
      </c>
    </row>
    <row r="1409" spans="1:15" x14ac:dyDescent="0.25">
      <c r="A1409" s="1">
        <v>1408</v>
      </c>
      <c r="B1409" s="2">
        <v>45555</v>
      </c>
      <c r="C1409" s="1" t="s">
        <v>16</v>
      </c>
      <c r="D1409" s="1" t="s">
        <v>32</v>
      </c>
      <c r="E1409" s="1" t="s">
        <v>34</v>
      </c>
      <c r="F1409" s="1" t="s">
        <v>35</v>
      </c>
      <c r="G1409" s="1">
        <v>6</v>
      </c>
      <c r="H1409" s="1">
        <v>40</v>
      </c>
      <c r="I1409" s="1">
        <v>20</v>
      </c>
      <c r="J1409" s="4">
        <v>192</v>
      </c>
      <c r="K1409" s="4">
        <v>145.66999999999999</v>
      </c>
      <c r="L1409" s="4">
        <v>46.33</v>
      </c>
      <c r="M1409" s="1" t="str">
        <f>TEXT(Table1[[#This Row],[Order_Date]], "MMM")</f>
        <v>Sep</v>
      </c>
      <c r="N1409" s="1">
        <f>YEAR(Table1[[#This Row],[Order_Date]])</f>
        <v>2024</v>
      </c>
      <c r="O1409" s="7">
        <f>Table1[[#This Row],[Profit]]/Table1[[#This Row],[Total_Sales]]</f>
        <v>0.24130208333333333</v>
      </c>
    </row>
    <row r="1410" spans="1:15" x14ac:dyDescent="0.25">
      <c r="A1410" s="1">
        <v>1409</v>
      </c>
      <c r="B1410" s="2">
        <v>44950</v>
      </c>
      <c r="C1410" s="1" t="s">
        <v>19</v>
      </c>
      <c r="D1410" s="1" t="s">
        <v>22</v>
      </c>
      <c r="E1410" s="1" t="s">
        <v>36</v>
      </c>
      <c r="F1410" s="1" t="s">
        <v>31</v>
      </c>
      <c r="G1410" s="1">
        <v>8</v>
      </c>
      <c r="H1410" s="1">
        <v>540</v>
      </c>
      <c r="I1410" s="1">
        <v>10</v>
      </c>
      <c r="J1410" s="4">
        <v>3888</v>
      </c>
      <c r="K1410" s="4">
        <v>2083.88</v>
      </c>
      <c r="L1410" s="4">
        <v>1804.12</v>
      </c>
      <c r="M1410" s="1" t="str">
        <f>TEXT(Table1[[#This Row],[Order_Date]], "MMM")</f>
        <v>Jan</v>
      </c>
      <c r="N1410" s="1">
        <f>YEAR(Table1[[#This Row],[Order_Date]])</f>
        <v>2023</v>
      </c>
      <c r="O1410" s="7">
        <f>Table1[[#This Row],[Profit]]/Table1[[#This Row],[Total_Sales]]</f>
        <v>0.46402263374485592</v>
      </c>
    </row>
    <row r="1411" spans="1:15" x14ac:dyDescent="0.25">
      <c r="A1411" s="1">
        <v>1410</v>
      </c>
      <c r="B1411" s="2">
        <v>45203</v>
      </c>
      <c r="C1411" s="1" t="s">
        <v>12</v>
      </c>
      <c r="D1411" s="1" t="s">
        <v>22</v>
      </c>
      <c r="E1411" s="1" t="s">
        <v>29</v>
      </c>
      <c r="F1411" s="1" t="s">
        <v>31</v>
      </c>
      <c r="G1411" s="1">
        <v>9</v>
      </c>
      <c r="H1411" s="1">
        <v>863</v>
      </c>
      <c r="I1411" s="1">
        <v>20</v>
      </c>
      <c r="J1411" s="4">
        <v>6213.6</v>
      </c>
      <c r="K1411" s="4">
        <v>4714.87</v>
      </c>
      <c r="L1411" s="4">
        <v>1498.73</v>
      </c>
      <c r="M1411" s="1" t="str">
        <f>TEXT(Table1[[#This Row],[Order_Date]], "MMM")</f>
        <v>Oct</v>
      </c>
      <c r="N1411" s="1">
        <f>YEAR(Table1[[#This Row],[Order_Date]])</f>
        <v>2023</v>
      </c>
      <c r="O1411" s="7">
        <f>Table1[[#This Row],[Profit]]/Table1[[#This Row],[Total_Sales]]</f>
        <v>0.24120155787305264</v>
      </c>
    </row>
    <row r="1412" spans="1:15" x14ac:dyDescent="0.25">
      <c r="A1412" s="1">
        <v>1411</v>
      </c>
      <c r="B1412" s="2">
        <v>45419</v>
      </c>
      <c r="C1412" s="1" t="s">
        <v>16</v>
      </c>
      <c r="D1412" s="1" t="s">
        <v>32</v>
      </c>
      <c r="E1412" s="1" t="s">
        <v>41</v>
      </c>
      <c r="F1412" s="1" t="s">
        <v>40</v>
      </c>
      <c r="G1412" s="1">
        <v>5</v>
      </c>
      <c r="H1412" s="1">
        <v>916</v>
      </c>
      <c r="I1412" s="1">
        <v>15</v>
      </c>
      <c r="J1412" s="4">
        <v>3893</v>
      </c>
      <c r="K1412" s="4">
        <v>2835.93</v>
      </c>
      <c r="L1412" s="4">
        <v>1057.07</v>
      </c>
      <c r="M1412" s="1" t="str">
        <f>TEXT(Table1[[#This Row],[Order_Date]], "MMM")</f>
        <v>May</v>
      </c>
      <c r="N1412" s="1">
        <f>YEAR(Table1[[#This Row],[Order_Date]])</f>
        <v>2024</v>
      </c>
      <c r="O1412" s="7">
        <f>Table1[[#This Row],[Profit]]/Table1[[#This Row],[Total_Sales]]</f>
        <v>0.2715309529925507</v>
      </c>
    </row>
    <row r="1413" spans="1:15" x14ac:dyDescent="0.25">
      <c r="A1413" s="1">
        <v>1412</v>
      </c>
      <c r="B1413" s="2">
        <v>45044</v>
      </c>
      <c r="C1413" s="1" t="s">
        <v>16</v>
      </c>
      <c r="D1413" s="1" t="s">
        <v>26</v>
      </c>
      <c r="E1413" s="1" t="s">
        <v>27</v>
      </c>
      <c r="F1413" s="1" t="s">
        <v>18</v>
      </c>
      <c r="G1413" s="1">
        <v>8</v>
      </c>
      <c r="H1413" s="1">
        <v>106</v>
      </c>
      <c r="I1413" s="1">
        <v>20</v>
      </c>
      <c r="J1413" s="4">
        <v>678.4</v>
      </c>
      <c r="K1413" s="4">
        <v>446.67</v>
      </c>
      <c r="L1413" s="4">
        <v>231.73</v>
      </c>
      <c r="M1413" s="1" t="str">
        <f>TEXT(Table1[[#This Row],[Order_Date]], "MMM")</f>
        <v>Apr</v>
      </c>
      <c r="N1413" s="1">
        <f>YEAR(Table1[[#This Row],[Order_Date]])</f>
        <v>2023</v>
      </c>
      <c r="O1413" s="7">
        <f>Table1[[#This Row],[Profit]]/Table1[[#This Row],[Total_Sales]]</f>
        <v>0.34158313679245284</v>
      </c>
    </row>
    <row r="1414" spans="1:15" x14ac:dyDescent="0.25">
      <c r="A1414" s="1">
        <v>1413</v>
      </c>
      <c r="B1414" s="2">
        <v>45121</v>
      </c>
      <c r="C1414" s="1" t="s">
        <v>19</v>
      </c>
      <c r="D1414" s="1" t="s">
        <v>20</v>
      </c>
      <c r="E1414" s="1" t="s">
        <v>28</v>
      </c>
      <c r="F1414" s="1" t="s">
        <v>40</v>
      </c>
      <c r="G1414" s="1">
        <v>2</v>
      </c>
      <c r="H1414" s="1">
        <v>274</v>
      </c>
      <c r="I1414" s="1">
        <v>15</v>
      </c>
      <c r="J1414" s="4">
        <v>465.8</v>
      </c>
      <c r="K1414" s="4">
        <v>268.20999999999998</v>
      </c>
      <c r="L1414" s="4">
        <v>197.59</v>
      </c>
      <c r="M1414" s="1" t="str">
        <f>TEXT(Table1[[#This Row],[Order_Date]], "MMM")</f>
        <v>Jul</v>
      </c>
      <c r="N1414" s="1">
        <f>YEAR(Table1[[#This Row],[Order_Date]])</f>
        <v>2023</v>
      </c>
      <c r="O1414" s="7">
        <f>Table1[[#This Row],[Profit]]/Table1[[#This Row],[Total_Sales]]</f>
        <v>0.42419493344783166</v>
      </c>
    </row>
    <row r="1415" spans="1:15" x14ac:dyDescent="0.25">
      <c r="A1415" s="1">
        <v>1414</v>
      </c>
      <c r="B1415" s="2">
        <v>45556</v>
      </c>
      <c r="C1415" s="1" t="s">
        <v>16</v>
      </c>
      <c r="D1415" s="1" t="s">
        <v>26</v>
      </c>
      <c r="E1415" s="1" t="s">
        <v>42</v>
      </c>
      <c r="F1415" s="1" t="s">
        <v>40</v>
      </c>
      <c r="G1415" s="1">
        <v>6</v>
      </c>
      <c r="H1415" s="1">
        <v>967</v>
      </c>
      <c r="I1415" s="1">
        <v>15</v>
      </c>
      <c r="J1415" s="4">
        <v>4931.7</v>
      </c>
      <c r="K1415" s="4">
        <v>3635.31</v>
      </c>
      <c r="L1415" s="4">
        <v>1296.3900000000001</v>
      </c>
      <c r="M1415" s="1" t="str">
        <f>TEXT(Table1[[#This Row],[Order_Date]], "MMM")</f>
        <v>Sep</v>
      </c>
      <c r="N1415" s="1">
        <f>YEAR(Table1[[#This Row],[Order_Date]])</f>
        <v>2024</v>
      </c>
      <c r="O1415" s="7">
        <f>Table1[[#This Row],[Profit]]/Table1[[#This Row],[Total_Sales]]</f>
        <v>0.26286878763915084</v>
      </c>
    </row>
    <row r="1416" spans="1:15" x14ac:dyDescent="0.25">
      <c r="A1416" s="1">
        <v>1415</v>
      </c>
      <c r="B1416" s="2">
        <v>45425</v>
      </c>
      <c r="C1416" s="1" t="s">
        <v>19</v>
      </c>
      <c r="D1416" s="1" t="s">
        <v>20</v>
      </c>
      <c r="E1416" s="1" t="s">
        <v>43</v>
      </c>
      <c r="F1416" s="1" t="s">
        <v>18</v>
      </c>
      <c r="G1416" s="1">
        <v>8</v>
      </c>
      <c r="H1416" s="1">
        <v>333</v>
      </c>
      <c r="I1416" s="1">
        <v>5</v>
      </c>
      <c r="J1416" s="4">
        <v>2530.8000000000002</v>
      </c>
      <c r="K1416" s="4">
        <v>1794.04</v>
      </c>
      <c r="L1416" s="4">
        <v>736.76</v>
      </c>
      <c r="M1416" s="1" t="str">
        <f>TEXT(Table1[[#This Row],[Order_Date]], "MMM")</f>
        <v>May</v>
      </c>
      <c r="N1416" s="1">
        <f>YEAR(Table1[[#This Row],[Order_Date]])</f>
        <v>2024</v>
      </c>
      <c r="O1416" s="7">
        <f>Table1[[#This Row],[Profit]]/Table1[[#This Row],[Total_Sales]]</f>
        <v>0.29111743322269634</v>
      </c>
    </row>
    <row r="1417" spans="1:15" x14ac:dyDescent="0.25">
      <c r="A1417" s="1">
        <v>1416</v>
      </c>
      <c r="B1417" s="2">
        <v>45184</v>
      </c>
      <c r="C1417" s="1" t="s">
        <v>19</v>
      </c>
      <c r="D1417" s="1" t="s">
        <v>20</v>
      </c>
      <c r="E1417" s="1" t="s">
        <v>21</v>
      </c>
      <c r="F1417" s="1" t="s">
        <v>35</v>
      </c>
      <c r="G1417" s="1">
        <v>6</v>
      </c>
      <c r="H1417" s="1">
        <v>580</v>
      </c>
      <c r="I1417" s="1">
        <v>0</v>
      </c>
      <c r="J1417" s="4">
        <v>3480</v>
      </c>
      <c r="K1417" s="4">
        <v>2454.0500000000002</v>
      </c>
      <c r="L1417" s="4">
        <v>1025.95</v>
      </c>
      <c r="M1417" s="1" t="str">
        <f>TEXT(Table1[[#This Row],[Order_Date]], "MMM")</f>
        <v>Sep</v>
      </c>
      <c r="N1417" s="1">
        <f>YEAR(Table1[[#This Row],[Order_Date]])</f>
        <v>2023</v>
      </c>
      <c r="O1417" s="7">
        <f>Table1[[#This Row],[Profit]]/Table1[[#This Row],[Total_Sales]]</f>
        <v>0.2948132183908046</v>
      </c>
    </row>
    <row r="1418" spans="1:15" x14ac:dyDescent="0.25">
      <c r="A1418" s="1">
        <v>1417</v>
      </c>
      <c r="B1418" s="2">
        <v>45578</v>
      </c>
      <c r="C1418" s="1" t="s">
        <v>16</v>
      </c>
      <c r="D1418" s="1" t="s">
        <v>22</v>
      </c>
      <c r="E1418" s="1" t="s">
        <v>36</v>
      </c>
      <c r="F1418" s="1" t="s">
        <v>40</v>
      </c>
      <c r="G1418" s="1">
        <v>5</v>
      </c>
      <c r="H1418" s="1">
        <v>465</v>
      </c>
      <c r="I1418" s="1">
        <v>15</v>
      </c>
      <c r="J1418" s="4">
        <v>1976.25</v>
      </c>
      <c r="K1418" s="4">
        <v>1578.55</v>
      </c>
      <c r="L1418" s="4">
        <v>397.7</v>
      </c>
      <c r="M1418" s="1" t="str">
        <f>TEXT(Table1[[#This Row],[Order_Date]], "MMM")</f>
        <v>Oct</v>
      </c>
      <c r="N1418" s="1">
        <f>YEAR(Table1[[#This Row],[Order_Date]])</f>
        <v>2024</v>
      </c>
      <c r="O1418" s="7">
        <f>Table1[[#This Row],[Profit]]/Table1[[#This Row],[Total_Sales]]</f>
        <v>0.20123972169512966</v>
      </c>
    </row>
    <row r="1419" spans="1:15" x14ac:dyDescent="0.25">
      <c r="A1419" s="1">
        <v>1418</v>
      </c>
      <c r="B1419" s="2">
        <v>45020</v>
      </c>
      <c r="C1419" s="1" t="s">
        <v>19</v>
      </c>
      <c r="D1419" s="1" t="s">
        <v>20</v>
      </c>
      <c r="E1419" s="1" t="s">
        <v>21</v>
      </c>
      <c r="F1419" s="1" t="s">
        <v>40</v>
      </c>
      <c r="G1419" s="1">
        <v>4</v>
      </c>
      <c r="H1419" s="1">
        <v>120</v>
      </c>
      <c r="I1419" s="1">
        <v>0</v>
      </c>
      <c r="J1419" s="4">
        <v>480</v>
      </c>
      <c r="K1419" s="4">
        <v>283</v>
      </c>
      <c r="L1419" s="4">
        <v>197</v>
      </c>
      <c r="M1419" s="1" t="str">
        <f>TEXT(Table1[[#This Row],[Order_Date]], "MMM")</f>
        <v>Apr</v>
      </c>
      <c r="N1419" s="1">
        <f>YEAR(Table1[[#This Row],[Order_Date]])</f>
        <v>2023</v>
      </c>
      <c r="O1419" s="7">
        <f>Table1[[#This Row],[Profit]]/Table1[[#This Row],[Total_Sales]]</f>
        <v>0.41041666666666665</v>
      </c>
    </row>
    <row r="1420" spans="1:15" x14ac:dyDescent="0.25">
      <c r="A1420" s="1">
        <v>1419</v>
      </c>
      <c r="B1420" s="2">
        <v>45653</v>
      </c>
      <c r="C1420" s="1" t="s">
        <v>19</v>
      </c>
      <c r="D1420" s="1" t="s">
        <v>13</v>
      </c>
      <c r="E1420" s="1" t="s">
        <v>39</v>
      </c>
      <c r="F1420" s="1" t="s">
        <v>24</v>
      </c>
      <c r="G1420" s="1">
        <v>8</v>
      </c>
      <c r="H1420" s="1">
        <v>52</v>
      </c>
      <c r="I1420" s="1">
        <v>20</v>
      </c>
      <c r="J1420" s="4">
        <v>332.8</v>
      </c>
      <c r="K1420" s="4">
        <v>196.51</v>
      </c>
      <c r="L1420" s="4">
        <v>136.29</v>
      </c>
      <c r="M1420" s="1" t="str">
        <f>TEXT(Table1[[#This Row],[Order_Date]], "MMM")</f>
        <v>Dec</v>
      </c>
      <c r="N1420" s="1">
        <f>YEAR(Table1[[#This Row],[Order_Date]])</f>
        <v>2024</v>
      </c>
      <c r="O1420" s="7">
        <f>Table1[[#This Row],[Profit]]/Table1[[#This Row],[Total_Sales]]</f>
        <v>0.40952524038461535</v>
      </c>
    </row>
    <row r="1421" spans="1:15" x14ac:dyDescent="0.25">
      <c r="A1421" s="1">
        <v>1420</v>
      </c>
      <c r="B1421" s="2">
        <v>45163</v>
      </c>
      <c r="C1421" s="1" t="s">
        <v>16</v>
      </c>
      <c r="D1421" s="1" t="s">
        <v>26</v>
      </c>
      <c r="E1421" s="1" t="s">
        <v>46</v>
      </c>
      <c r="F1421" s="1" t="s">
        <v>35</v>
      </c>
      <c r="G1421" s="1">
        <v>5</v>
      </c>
      <c r="H1421" s="1">
        <v>594</v>
      </c>
      <c r="I1421" s="1">
        <v>20</v>
      </c>
      <c r="J1421" s="4">
        <v>2376</v>
      </c>
      <c r="K1421" s="4">
        <v>1840.97</v>
      </c>
      <c r="L1421" s="4">
        <v>535.03</v>
      </c>
      <c r="M1421" s="1" t="str">
        <f>TEXT(Table1[[#This Row],[Order_Date]], "MMM")</f>
        <v>Aug</v>
      </c>
      <c r="N1421" s="1">
        <f>YEAR(Table1[[#This Row],[Order_Date]])</f>
        <v>2023</v>
      </c>
      <c r="O1421" s="7">
        <f>Table1[[#This Row],[Profit]]/Table1[[#This Row],[Total_Sales]]</f>
        <v>0.22518097643097643</v>
      </c>
    </row>
    <row r="1422" spans="1:15" x14ac:dyDescent="0.25">
      <c r="A1422" s="1">
        <v>1421</v>
      </c>
      <c r="B1422" s="2">
        <v>45544</v>
      </c>
      <c r="C1422" s="1" t="s">
        <v>12</v>
      </c>
      <c r="D1422" s="1" t="s">
        <v>22</v>
      </c>
      <c r="E1422" s="1" t="s">
        <v>23</v>
      </c>
      <c r="F1422" s="1" t="s">
        <v>15</v>
      </c>
      <c r="G1422" s="1">
        <v>5</v>
      </c>
      <c r="H1422" s="1">
        <v>755</v>
      </c>
      <c r="I1422" s="1">
        <v>0</v>
      </c>
      <c r="J1422" s="4">
        <v>3775</v>
      </c>
      <c r="K1422" s="4">
        <v>1966.17</v>
      </c>
      <c r="L1422" s="4">
        <v>1808.83</v>
      </c>
      <c r="M1422" s="1" t="str">
        <f>TEXT(Table1[[#This Row],[Order_Date]], "MMM")</f>
        <v>Sep</v>
      </c>
      <c r="N1422" s="1">
        <f>YEAR(Table1[[#This Row],[Order_Date]])</f>
        <v>2024</v>
      </c>
      <c r="O1422" s="7">
        <f>Table1[[#This Row],[Profit]]/Table1[[#This Row],[Total_Sales]]</f>
        <v>0.47916026490066221</v>
      </c>
    </row>
    <row r="1423" spans="1:15" x14ac:dyDescent="0.25">
      <c r="A1423" s="1">
        <v>1422</v>
      </c>
      <c r="B1423" s="2">
        <v>45617</v>
      </c>
      <c r="C1423" s="1" t="s">
        <v>16</v>
      </c>
      <c r="D1423" s="1" t="s">
        <v>26</v>
      </c>
      <c r="E1423" s="1" t="s">
        <v>42</v>
      </c>
      <c r="F1423" s="1" t="s">
        <v>40</v>
      </c>
      <c r="G1423" s="1">
        <v>4</v>
      </c>
      <c r="H1423" s="1">
        <v>642</v>
      </c>
      <c r="I1423" s="1">
        <v>10</v>
      </c>
      <c r="J1423" s="4">
        <v>2311.1999999999998</v>
      </c>
      <c r="K1423" s="4">
        <v>1178.8900000000001</v>
      </c>
      <c r="L1423" s="4">
        <v>1132.31</v>
      </c>
      <c r="M1423" s="1" t="str">
        <f>TEXT(Table1[[#This Row],[Order_Date]], "MMM")</f>
        <v>Nov</v>
      </c>
      <c r="N1423" s="1">
        <f>YEAR(Table1[[#This Row],[Order_Date]])</f>
        <v>2024</v>
      </c>
      <c r="O1423" s="7">
        <f>Table1[[#This Row],[Profit]]/Table1[[#This Row],[Total_Sales]]</f>
        <v>0.48992298373139498</v>
      </c>
    </row>
    <row r="1424" spans="1:15" x14ac:dyDescent="0.25">
      <c r="A1424" s="1">
        <v>1423</v>
      </c>
      <c r="B1424" s="2">
        <v>45652</v>
      </c>
      <c r="C1424" s="1" t="s">
        <v>19</v>
      </c>
      <c r="D1424" s="1" t="s">
        <v>20</v>
      </c>
      <c r="E1424" s="1" t="s">
        <v>30</v>
      </c>
      <c r="F1424" s="1" t="s">
        <v>35</v>
      </c>
      <c r="G1424" s="1">
        <v>3</v>
      </c>
      <c r="H1424" s="1">
        <v>70</v>
      </c>
      <c r="I1424" s="1">
        <v>5</v>
      </c>
      <c r="J1424" s="4">
        <v>199.5</v>
      </c>
      <c r="K1424" s="4">
        <v>120.02</v>
      </c>
      <c r="L1424" s="4">
        <v>79.48</v>
      </c>
      <c r="M1424" s="1" t="str">
        <f>TEXT(Table1[[#This Row],[Order_Date]], "MMM")</f>
        <v>Dec</v>
      </c>
      <c r="N1424" s="1">
        <f>YEAR(Table1[[#This Row],[Order_Date]])</f>
        <v>2024</v>
      </c>
      <c r="O1424" s="7">
        <f>Table1[[#This Row],[Profit]]/Table1[[#This Row],[Total_Sales]]</f>
        <v>0.39839598997493736</v>
      </c>
    </row>
    <row r="1425" spans="1:15" x14ac:dyDescent="0.25">
      <c r="A1425" s="1">
        <v>1424</v>
      </c>
      <c r="B1425" s="2">
        <v>45319</v>
      </c>
      <c r="C1425" s="1" t="s">
        <v>25</v>
      </c>
      <c r="D1425" s="1" t="s">
        <v>22</v>
      </c>
      <c r="E1425" s="1" t="s">
        <v>44</v>
      </c>
      <c r="F1425" s="1" t="s">
        <v>40</v>
      </c>
      <c r="G1425" s="1">
        <v>4</v>
      </c>
      <c r="H1425" s="1">
        <v>581</v>
      </c>
      <c r="I1425" s="1">
        <v>20</v>
      </c>
      <c r="J1425" s="4">
        <v>1859.2</v>
      </c>
      <c r="K1425" s="4">
        <v>1052.02</v>
      </c>
      <c r="L1425" s="4">
        <v>807.18</v>
      </c>
      <c r="M1425" s="1" t="str">
        <f>TEXT(Table1[[#This Row],[Order_Date]], "MMM")</f>
        <v>Jan</v>
      </c>
      <c r="N1425" s="1">
        <f>YEAR(Table1[[#This Row],[Order_Date]])</f>
        <v>2024</v>
      </c>
      <c r="O1425" s="7">
        <f>Table1[[#This Row],[Profit]]/Table1[[#This Row],[Total_Sales]]</f>
        <v>0.43415447504302923</v>
      </c>
    </row>
    <row r="1426" spans="1:15" x14ac:dyDescent="0.25">
      <c r="A1426" s="1">
        <v>1425</v>
      </c>
      <c r="B1426" s="2">
        <v>45123</v>
      </c>
      <c r="C1426" s="1" t="s">
        <v>12</v>
      </c>
      <c r="D1426" s="1" t="s">
        <v>13</v>
      </c>
      <c r="E1426" s="1" t="s">
        <v>39</v>
      </c>
      <c r="F1426" s="1" t="s">
        <v>18</v>
      </c>
      <c r="G1426" s="1">
        <v>2</v>
      </c>
      <c r="H1426" s="1">
        <v>461</v>
      </c>
      <c r="I1426" s="1">
        <v>0</v>
      </c>
      <c r="J1426" s="4">
        <v>922</v>
      </c>
      <c r="K1426" s="4">
        <v>653.20000000000005</v>
      </c>
      <c r="L1426" s="4">
        <v>268.8</v>
      </c>
      <c r="M1426" s="1" t="str">
        <f>TEXT(Table1[[#This Row],[Order_Date]], "MMM")</f>
        <v>Jul</v>
      </c>
      <c r="N1426" s="1">
        <f>YEAR(Table1[[#This Row],[Order_Date]])</f>
        <v>2023</v>
      </c>
      <c r="O1426" s="7">
        <f>Table1[[#This Row],[Profit]]/Table1[[#This Row],[Total_Sales]]</f>
        <v>0.29154013015184382</v>
      </c>
    </row>
    <row r="1427" spans="1:15" x14ac:dyDescent="0.25">
      <c r="A1427" s="1">
        <v>1426</v>
      </c>
      <c r="B1427" s="2">
        <v>45208</v>
      </c>
      <c r="C1427" s="1" t="s">
        <v>12</v>
      </c>
      <c r="D1427" s="1" t="s">
        <v>32</v>
      </c>
      <c r="E1427" s="1" t="s">
        <v>34</v>
      </c>
      <c r="F1427" s="1" t="s">
        <v>24</v>
      </c>
      <c r="G1427" s="1">
        <v>1</v>
      </c>
      <c r="H1427" s="1">
        <v>971</v>
      </c>
      <c r="I1427" s="1">
        <v>10</v>
      </c>
      <c r="J1427" s="4">
        <v>873.9</v>
      </c>
      <c r="K1427" s="4">
        <v>555.04999999999995</v>
      </c>
      <c r="L1427" s="4">
        <v>318.85000000000002</v>
      </c>
      <c r="M1427" s="1" t="str">
        <f>TEXT(Table1[[#This Row],[Order_Date]], "MMM")</f>
        <v>Oct</v>
      </c>
      <c r="N1427" s="1">
        <f>YEAR(Table1[[#This Row],[Order_Date]])</f>
        <v>2023</v>
      </c>
      <c r="O1427" s="7">
        <f>Table1[[#This Row],[Profit]]/Table1[[#This Row],[Total_Sales]]</f>
        <v>0.36485867948277839</v>
      </c>
    </row>
    <row r="1428" spans="1:15" x14ac:dyDescent="0.25">
      <c r="A1428" s="1">
        <v>1427</v>
      </c>
      <c r="B1428" s="2">
        <v>45279</v>
      </c>
      <c r="C1428" s="1" t="s">
        <v>12</v>
      </c>
      <c r="D1428" s="1" t="s">
        <v>32</v>
      </c>
      <c r="E1428" s="1" t="s">
        <v>41</v>
      </c>
      <c r="F1428" s="1" t="s">
        <v>24</v>
      </c>
      <c r="G1428" s="1">
        <v>6</v>
      </c>
      <c r="H1428" s="1">
        <v>28</v>
      </c>
      <c r="I1428" s="1">
        <v>0</v>
      </c>
      <c r="J1428" s="4">
        <v>168</v>
      </c>
      <c r="K1428" s="4">
        <v>110.08</v>
      </c>
      <c r="L1428" s="4">
        <v>57.92</v>
      </c>
      <c r="M1428" s="1" t="str">
        <f>TEXT(Table1[[#This Row],[Order_Date]], "MMM")</f>
        <v>Dec</v>
      </c>
      <c r="N1428" s="1">
        <f>YEAR(Table1[[#This Row],[Order_Date]])</f>
        <v>2023</v>
      </c>
      <c r="O1428" s="7">
        <f>Table1[[#This Row],[Profit]]/Table1[[#This Row],[Total_Sales]]</f>
        <v>0.34476190476190477</v>
      </c>
    </row>
    <row r="1429" spans="1:15" x14ac:dyDescent="0.25">
      <c r="A1429" s="1">
        <v>1428</v>
      </c>
      <c r="B1429" s="2">
        <v>45375</v>
      </c>
      <c r="C1429" s="1" t="s">
        <v>19</v>
      </c>
      <c r="D1429" s="1" t="s">
        <v>26</v>
      </c>
      <c r="E1429" s="1" t="s">
        <v>37</v>
      </c>
      <c r="F1429" s="1" t="s">
        <v>35</v>
      </c>
      <c r="G1429" s="1">
        <v>2</v>
      </c>
      <c r="H1429" s="1">
        <v>604</v>
      </c>
      <c r="I1429" s="1">
        <v>0</v>
      </c>
      <c r="J1429" s="4">
        <v>1208</v>
      </c>
      <c r="K1429" s="4">
        <v>872.24</v>
      </c>
      <c r="L1429" s="4">
        <v>335.76</v>
      </c>
      <c r="M1429" s="1" t="str">
        <f>TEXT(Table1[[#This Row],[Order_Date]], "MMM")</f>
        <v>Mar</v>
      </c>
      <c r="N1429" s="1">
        <f>YEAR(Table1[[#This Row],[Order_Date]])</f>
        <v>2024</v>
      </c>
      <c r="O1429" s="7">
        <f>Table1[[#This Row],[Profit]]/Table1[[#This Row],[Total_Sales]]</f>
        <v>0.27794701986754966</v>
      </c>
    </row>
    <row r="1430" spans="1:15" x14ac:dyDescent="0.25">
      <c r="A1430" s="1">
        <v>1429</v>
      </c>
      <c r="B1430" s="2">
        <v>44974</v>
      </c>
      <c r="C1430" s="1" t="s">
        <v>25</v>
      </c>
      <c r="D1430" s="1" t="s">
        <v>20</v>
      </c>
      <c r="E1430" s="1" t="s">
        <v>21</v>
      </c>
      <c r="F1430" s="1" t="s">
        <v>40</v>
      </c>
      <c r="G1430" s="1">
        <v>2</v>
      </c>
      <c r="H1430" s="1">
        <v>28</v>
      </c>
      <c r="I1430" s="1">
        <v>0</v>
      </c>
      <c r="J1430" s="4">
        <v>56</v>
      </c>
      <c r="K1430" s="4">
        <v>36.03</v>
      </c>
      <c r="L1430" s="4">
        <v>19.97</v>
      </c>
      <c r="M1430" s="1" t="str">
        <f>TEXT(Table1[[#This Row],[Order_Date]], "MMM")</f>
        <v>Feb</v>
      </c>
      <c r="N1430" s="1">
        <f>YEAR(Table1[[#This Row],[Order_Date]])</f>
        <v>2023</v>
      </c>
      <c r="O1430" s="7">
        <f>Table1[[#This Row],[Profit]]/Table1[[#This Row],[Total_Sales]]</f>
        <v>0.35660714285714284</v>
      </c>
    </row>
    <row r="1431" spans="1:15" x14ac:dyDescent="0.25">
      <c r="A1431" s="1">
        <v>1430</v>
      </c>
      <c r="B1431" s="2">
        <v>45529</v>
      </c>
      <c r="C1431" s="1" t="s">
        <v>25</v>
      </c>
      <c r="D1431" s="1" t="s">
        <v>20</v>
      </c>
      <c r="E1431" s="1" t="s">
        <v>30</v>
      </c>
      <c r="F1431" s="1" t="s">
        <v>31</v>
      </c>
      <c r="G1431" s="1">
        <v>9</v>
      </c>
      <c r="H1431" s="1">
        <v>591</v>
      </c>
      <c r="I1431" s="1">
        <v>0</v>
      </c>
      <c r="J1431" s="4">
        <v>5319</v>
      </c>
      <c r="K1431" s="4">
        <v>3174.21</v>
      </c>
      <c r="L1431" s="4">
        <v>2144.79</v>
      </c>
      <c r="M1431" s="1" t="str">
        <f>TEXT(Table1[[#This Row],[Order_Date]], "MMM")</f>
        <v>Aug</v>
      </c>
      <c r="N1431" s="1">
        <f>YEAR(Table1[[#This Row],[Order_Date]])</f>
        <v>2024</v>
      </c>
      <c r="O1431" s="7">
        <f>Table1[[#This Row],[Profit]]/Table1[[#This Row],[Total_Sales]]</f>
        <v>0.40323181049069373</v>
      </c>
    </row>
    <row r="1432" spans="1:15" x14ac:dyDescent="0.25">
      <c r="A1432" s="1">
        <v>1431</v>
      </c>
      <c r="B1432" s="2">
        <v>45381</v>
      </c>
      <c r="C1432" s="1" t="s">
        <v>12</v>
      </c>
      <c r="D1432" s="1" t="s">
        <v>13</v>
      </c>
      <c r="E1432" s="1" t="s">
        <v>39</v>
      </c>
      <c r="F1432" s="1" t="s">
        <v>31</v>
      </c>
      <c r="G1432" s="1">
        <v>5</v>
      </c>
      <c r="H1432" s="1">
        <v>528</v>
      </c>
      <c r="I1432" s="1">
        <v>20</v>
      </c>
      <c r="J1432" s="4">
        <v>2112</v>
      </c>
      <c r="K1432" s="4">
        <v>1403.26</v>
      </c>
      <c r="L1432" s="4">
        <v>708.74</v>
      </c>
      <c r="M1432" s="1" t="str">
        <f>TEXT(Table1[[#This Row],[Order_Date]], "MMM")</f>
        <v>Mar</v>
      </c>
      <c r="N1432" s="1">
        <f>YEAR(Table1[[#This Row],[Order_Date]])</f>
        <v>2024</v>
      </c>
      <c r="O1432" s="7">
        <f>Table1[[#This Row],[Profit]]/Table1[[#This Row],[Total_Sales]]</f>
        <v>0.33557765151515151</v>
      </c>
    </row>
    <row r="1433" spans="1:15" x14ac:dyDescent="0.25">
      <c r="A1433" s="1">
        <v>1432</v>
      </c>
      <c r="B1433" s="2">
        <v>45560</v>
      </c>
      <c r="C1433" s="1" t="s">
        <v>16</v>
      </c>
      <c r="D1433" s="1" t="s">
        <v>20</v>
      </c>
      <c r="E1433" s="1" t="s">
        <v>28</v>
      </c>
      <c r="F1433" s="1" t="s">
        <v>24</v>
      </c>
      <c r="G1433" s="1">
        <v>3</v>
      </c>
      <c r="H1433" s="1">
        <v>442</v>
      </c>
      <c r="I1433" s="1">
        <v>5</v>
      </c>
      <c r="J1433" s="4">
        <v>1259.7</v>
      </c>
      <c r="K1433" s="4">
        <v>670.27</v>
      </c>
      <c r="L1433" s="4">
        <v>589.42999999999995</v>
      </c>
      <c r="M1433" s="1" t="str">
        <f>TEXT(Table1[[#This Row],[Order_Date]], "MMM")</f>
        <v>Sep</v>
      </c>
      <c r="N1433" s="1">
        <f>YEAR(Table1[[#This Row],[Order_Date]])</f>
        <v>2024</v>
      </c>
      <c r="O1433" s="7">
        <f>Table1[[#This Row],[Profit]]/Table1[[#This Row],[Total_Sales]]</f>
        <v>0.46791299515757717</v>
      </c>
    </row>
    <row r="1434" spans="1:15" x14ac:dyDescent="0.25">
      <c r="A1434" s="1">
        <v>1433</v>
      </c>
      <c r="B1434" s="2">
        <v>45058</v>
      </c>
      <c r="C1434" s="1" t="s">
        <v>19</v>
      </c>
      <c r="D1434" s="1" t="s">
        <v>13</v>
      </c>
      <c r="E1434" s="1" t="s">
        <v>38</v>
      </c>
      <c r="F1434" s="1" t="s">
        <v>24</v>
      </c>
      <c r="G1434" s="1">
        <v>8</v>
      </c>
      <c r="H1434" s="1">
        <v>327</v>
      </c>
      <c r="I1434" s="1">
        <v>15</v>
      </c>
      <c r="J1434" s="4">
        <v>2223.6</v>
      </c>
      <c r="K1434" s="4">
        <v>1250.92</v>
      </c>
      <c r="L1434" s="4">
        <v>972.68</v>
      </c>
      <c r="M1434" s="1" t="str">
        <f>TEXT(Table1[[#This Row],[Order_Date]], "MMM")</f>
        <v>May</v>
      </c>
      <c r="N1434" s="1">
        <f>YEAR(Table1[[#This Row],[Order_Date]])</f>
        <v>2023</v>
      </c>
      <c r="O1434" s="7">
        <f>Table1[[#This Row],[Profit]]/Table1[[#This Row],[Total_Sales]]</f>
        <v>0.43743479042993344</v>
      </c>
    </row>
    <row r="1435" spans="1:15" x14ac:dyDescent="0.25">
      <c r="A1435" s="1">
        <v>1434</v>
      </c>
      <c r="B1435" s="2">
        <v>45283</v>
      </c>
      <c r="C1435" s="1" t="s">
        <v>12</v>
      </c>
      <c r="D1435" s="1" t="s">
        <v>22</v>
      </c>
      <c r="E1435" s="1" t="s">
        <v>23</v>
      </c>
      <c r="F1435" s="1" t="s">
        <v>40</v>
      </c>
      <c r="G1435" s="1">
        <v>10</v>
      </c>
      <c r="H1435" s="1">
        <v>388</v>
      </c>
      <c r="I1435" s="1">
        <v>20</v>
      </c>
      <c r="J1435" s="4">
        <v>3104</v>
      </c>
      <c r="K1435" s="4">
        <v>2136.41</v>
      </c>
      <c r="L1435" s="4">
        <v>967.59</v>
      </c>
      <c r="M1435" s="1" t="str">
        <f>TEXT(Table1[[#This Row],[Order_Date]], "MMM")</f>
        <v>Dec</v>
      </c>
      <c r="N1435" s="1">
        <f>YEAR(Table1[[#This Row],[Order_Date]])</f>
        <v>2023</v>
      </c>
      <c r="O1435" s="7">
        <f>Table1[[#This Row],[Profit]]/Table1[[#This Row],[Total_Sales]]</f>
        <v>0.31172358247422682</v>
      </c>
    </row>
    <row r="1436" spans="1:15" x14ac:dyDescent="0.25">
      <c r="A1436" s="1">
        <v>1435</v>
      </c>
      <c r="B1436" s="2">
        <v>45285</v>
      </c>
      <c r="C1436" s="1" t="s">
        <v>12</v>
      </c>
      <c r="D1436" s="1" t="s">
        <v>26</v>
      </c>
      <c r="E1436" s="1" t="s">
        <v>46</v>
      </c>
      <c r="F1436" s="1" t="s">
        <v>18</v>
      </c>
      <c r="G1436" s="1">
        <v>8</v>
      </c>
      <c r="H1436" s="1">
        <v>79</v>
      </c>
      <c r="I1436" s="1">
        <v>15</v>
      </c>
      <c r="J1436" s="4">
        <v>537.20000000000005</v>
      </c>
      <c r="K1436" s="4">
        <v>396.14</v>
      </c>
      <c r="L1436" s="4">
        <v>141.06</v>
      </c>
      <c r="M1436" s="1" t="str">
        <f>TEXT(Table1[[#This Row],[Order_Date]], "MMM")</f>
        <v>Dec</v>
      </c>
      <c r="N1436" s="1">
        <f>YEAR(Table1[[#This Row],[Order_Date]])</f>
        <v>2023</v>
      </c>
      <c r="O1436" s="7">
        <f>Table1[[#This Row],[Profit]]/Table1[[#This Row],[Total_Sales]]</f>
        <v>0.26258376768428887</v>
      </c>
    </row>
    <row r="1437" spans="1:15" x14ac:dyDescent="0.25">
      <c r="A1437" s="1">
        <v>1436</v>
      </c>
      <c r="B1437" s="2">
        <v>45447</v>
      </c>
      <c r="C1437" s="1" t="s">
        <v>16</v>
      </c>
      <c r="D1437" s="1" t="s">
        <v>26</v>
      </c>
      <c r="E1437" s="1" t="s">
        <v>42</v>
      </c>
      <c r="F1437" s="1" t="s">
        <v>40</v>
      </c>
      <c r="G1437" s="1">
        <v>8</v>
      </c>
      <c r="H1437" s="1">
        <v>973</v>
      </c>
      <c r="I1437" s="1">
        <v>20</v>
      </c>
      <c r="J1437" s="4">
        <v>6227.2</v>
      </c>
      <c r="K1437" s="4">
        <v>4694.8900000000003</v>
      </c>
      <c r="L1437" s="4">
        <v>1532.31</v>
      </c>
      <c r="M1437" s="1" t="str">
        <f>TEXT(Table1[[#This Row],[Order_Date]], "MMM")</f>
        <v>Jun</v>
      </c>
      <c r="N1437" s="1">
        <f>YEAR(Table1[[#This Row],[Order_Date]])</f>
        <v>2024</v>
      </c>
      <c r="O1437" s="7">
        <f>Table1[[#This Row],[Profit]]/Table1[[#This Row],[Total_Sales]]</f>
        <v>0.246067253340185</v>
      </c>
    </row>
    <row r="1438" spans="1:15" x14ac:dyDescent="0.25">
      <c r="A1438" s="1">
        <v>1437</v>
      </c>
      <c r="B1438" s="2">
        <v>45560</v>
      </c>
      <c r="C1438" s="1" t="s">
        <v>16</v>
      </c>
      <c r="D1438" s="1" t="s">
        <v>32</v>
      </c>
      <c r="E1438" s="1" t="s">
        <v>45</v>
      </c>
      <c r="F1438" s="1" t="s">
        <v>18</v>
      </c>
      <c r="G1438" s="1">
        <v>7</v>
      </c>
      <c r="H1438" s="1">
        <v>431</v>
      </c>
      <c r="I1438" s="1">
        <v>20</v>
      </c>
      <c r="J1438" s="4">
        <v>2413.6</v>
      </c>
      <c r="K1438" s="4">
        <v>1877.79</v>
      </c>
      <c r="L1438" s="4">
        <v>535.80999999999995</v>
      </c>
      <c r="M1438" s="1" t="str">
        <f>TEXT(Table1[[#This Row],[Order_Date]], "MMM")</f>
        <v>Sep</v>
      </c>
      <c r="N1438" s="1">
        <f>YEAR(Table1[[#This Row],[Order_Date]])</f>
        <v>2024</v>
      </c>
      <c r="O1438" s="7">
        <f>Table1[[#This Row],[Profit]]/Table1[[#This Row],[Total_Sales]]</f>
        <v>0.22199618826648987</v>
      </c>
    </row>
    <row r="1439" spans="1:15" x14ac:dyDescent="0.25">
      <c r="A1439" s="1">
        <v>1438</v>
      </c>
      <c r="B1439" s="2">
        <v>45606</v>
      </c>
      <c r="C1439" s="1" t="s">
        <v>25</v>
      </c>
      <c r="D1439" s="1" t="s">
        <v>20</v>
      </c>
      <c r="E1439" s="1" t="s">
        <v>30</v>
      </c>
      <c r="F1439" s="1" t="s">
        <v>15</v>
      </c>
      <c r="G1439" s="1">
        <v>5</v>
      </c>
      <c r="H1439" s="1">
        <v>650</v>
      </c>
      <c r="I1439" s="1">
        <v>20</v>
      </c>
      <c r="J1439" s="4">
        <v>2600</v>
      </c>
      <c r="K1439" s="4">
        <v>1663.23</v>
      </c>
      <c r="L1439" s="4">
        <v>936.77</v>
      </c>
      <c r="M1439" s="1" t="str">
        <f>TEXT(Table1[[#This Row],[Order_Date]], "MMM")</f>
        <v>Nov</v>
      </c>
      <c r="N1439" s="1">
        <f>YEAR(Table1[[#This Row],[Order_Date]])</f>
        <v>2024</v>
      </c>
      <c r="O1439" s="7">
        <f>Table1[[#This Row],[Profit]]/Table1[[#This Row],[Total_Sales]]</f>
        <v>0.36029615384615382</v>
      </c>
    </row>
    <row r="1440" spans="1:15" x14ac:dyDescent="0.25">
      <c r="A1440" s="1">
        <v>1439</v>
      </c>
      <c r="B1440" s="2">
        <v>45380</v>
      </c>
      <c r="C1440" s="1" t="s">
        <v>16</v>
      </c>
      <c r="D1440" s="1" t="s">
        <v>20</v>
      </c>
      <c r="E1440" s="1" t="s">
        <v>28</v>
      </c>
      <c r="F1440" s="1" t="s">
        <v>35</v>
      </c>
      <c r="G1440" s="1">
        <v>4</v>
      </c>
      <c r="H1440" s="1">
        <v>888</v>
      </c>
      <c r="I1440" s="1">
        <v>0</v>
      </c>
      <c r="J1440" s="4">
        <v>3552</v>
      </c>
      <c r="K1440" s="4">
        <v>2487.09</v>
      </c>
      <c r="L1440" s="4">
        <v>1064.9100000000001</v>
      </c>
      <c r="M1440" s="1" t="str">
        <f>TEXT(Table1[[#This Row],[Order_Date]], "MMM")</f>
        <v>Mar</v>
      </c>
      <c r="N1440" s="1">
        <f>YEAR(Table1[[#This Row],[Order_Date]])</f>
        <v>2024</v>
      </c>
      <c r="O1440" s="7">
        <f>Table1[[#This Row],[Profit]]/Table1[[#This Row],[Total_Sales]]</f>
        <v>0.29980574324324327</v>
      </c>
    </row>
    <row r="1441" spans="1:15" x14ac:dyDescent="0.25">
      <c r="A1441" s="1">
        <v>1440</v>
      </c>
      <c r="B1441" s="2">
        <v>45290</v>
      </c>
      <c r="C1441" s="1" t="s">
        <v>19</v>
      </c>
      <c r="D1441" s="1" t="s">
        <v>32</v>
      </c>
      <c r="E1441" s="1" t="s">
        <v>41</v>
      </c>
      <c r="F1441" s="1" t="s">
        <v>31</v>
      </c>
      <c r="G1441" s="1">
        <v>9</v>
      </c>
      <c r="H1441" s="1">
        <v>309</v>
      </c>
      <c r="I1441" s="1">
        <v>20</v>
      </c>
      <c r="J1441" s="4">
        <v>2224.8000000000002</v>
      </c>
      <c r="K1441" s="4">
        <v>1170.46</v>
      </c>
      <c r="L1441" s="4">
        <v>1054.3399999999999</v>
      </c>
      <c r="M1441" s="1" t="str">
        <f>TEXT(Table1[[#This Row],[Order_Date]], "MMM")</f>
        <v>Dec</v>
      </c>
      <c r="N1441" s="1">
        <f>YEAR(Table1[[#This Row],[Order_Date]])</f>
        <v>2023</v>
      </c>
      <c r="O1441" s="7">
        <f>Table1[[#This Row],[Profit]]/Table1[[#This Row],[Total_Sales]]</f>
        <v>0.473903272204243</v>
      </c>
    </row>
    <row r="1442" spans="1:15" x14ac:dyDescent="0.25">
      <c r="A1442" s="1">
        <v>1441</v>
      </c>
      <c r="B1442" s="2">
        <v>45478</v>
      </c>
      <c r="C1442" s="1" t="s">
        <v>16</v>
      </c>
      <c r="D1442" s="1" t="s">
        <v>32</v>
      </c>
      <c r="E1442" s="1" t="s">
        <v>33</v>
      </c>
      <c r="F1442" s="1" t="s">
        <v>31</v>
      </c>
      <c r="G1442" s="1">
        <v>8</v>
      </c>
      <c r="H1442" s="1">
        <v>409</v>
      </c>
      <c r="I1442" s="1">
        <v>10</v>
      </c>
      <c r="J1442" s="4">
        <v>2944.8</v>
      </c>
      <c r="K1442" s="4">
        <v>1756.4</v>
      </c>
      <c r="L1442" s="4">
        <v>1188.4000000000001</v>
      </c>
      <c r="M1442" s="1" t="str">
        <f>TEXT(Table1[[#This Row],[Order_Date]], "MMM")</f>
        <v>Jul</v>
      </c>
      <c r="N1442" s="1">
        <f>YEAR(Table1[[#This Row],[Order_Date]])</f>
        <v>2024</v>
      </c>
      <c r="O1442" s="7">
        <f>Table1[[#This Row],[Profit]]/Table1[[#This Row],[Total_Sales]]</f>
        <v>0.40355881553925566</v>
      </c>
    </row>
    <row r="1443" spans="1:15" x14ac:dyDescent="0.25">
      <c r="A1443" s="1">
        <v>1442</v>
      </c>
      <c r="B1443" s="2">
        <v>45494</v>
      </c>
      <c r="C1443" s="1" t="s">
        <v>25</v>
      </c>
      <c r="D1443" s="1" t="s">
        <v>20</v>
      </c>
      <c r="E1443" s="1" t="s">
        <v>43</v>
      </c>
      <c r="F1443" s="1" t="s">
        <v>31</v>
      </c>
      <c r="G1443" s="1">
        <v>4</v>
      </c>
      <c r="H1443" s="1">
        <v>71</v>
      </c>
      <c r="I1443" s="1">
        <v>10</v>
      </c>
      <c r="J1443" s="4">
        <v>255.6</v>
      </c>
      <c r="K1443" s="4">
        <v>143.22</v>
      </c>
      <c r="L1443" s="4">
        <v>112.38</v>
      </c>
      <c r="M1443" s="1" t="str">
        <f>TEXT(Table1[[#This Row],[Order_Date]], "MMM")</f>
        <v>Jul</v>
      </c>
      <c r="N1443" s="1">
        <f>YEAR(Table1[[#This Row],[Order_Date]])</f>
        <v>2024</v>
      </c>
      <c r="O1443" s="7">
        <f>Table1[[#This Row],[Profit]]/Table1[[#This Row],[Total_Sales]]</f>
        <v>0.43967136150234742</v>
      </c>
    </row>
    <row r="1444" spans="1:15" x14ac:dyDescent="0.25">
      <c r="A1444" s="1">
        <v>1443</v>
      </c>
      <c r="B1444" s="2">
        <v>45598</v>
      </c>
      <c r="C1444" s="1" t="s">
        <v>19</v>
      </c>
      <c r="D1444" s="1" t="s">
        <v>32</v>
      </c>
      <c r="E1444" s="1" t="s">
        <v>41</v>
      </c>
      <c r="F1444" s="1" t="s">
        <v>40</v>
      </c>
      <c r="G1444" s="1">
        <v>7</v>
      </c>
      <c r="H1444" s="1">
        <v>570</v>
      </c>
      <c r="I1444" s="1">
        <v>20</v>
      </c>
      <c r="J1444" s="4">
        <v>3192</v>
      </c>
      <c r="K1444" s="4">
        <v>1970.02</v>
      </c>
      <c r="L1444" s="4">
        <v>1221.98</v>
      </c>
      <c r="M1444" s="1" t="str">
        <f>TEXT(Table1[[#This Row],[Order_Date]], "MMM")</f>
        <v>Nov</v>
      </c>
      <c r="N1444" s="1">
        <f>YEAR(Table1[[#This Row],[Order_Date]])</f>
        <v>2024</v>
      </c>
      <c r="O1444" s="7">
        <f>Table1[[#This Row],[Profit]]/Table1[[#This Row],[Total_Sales]]</f>
        <v>0.38282581453634085</v>
      </c>
    </row>
    <row r="1445" spans="1:15" x14ac:dyDescent="0.25">
      <c r="A1445" s="1">
        <v>1444</v>
      </c>
      <c r="B1445" s="2">
        <v>44930</v>
      </c>
      <c r="C1445" s="1" t="s">
        <v>25</v>
      </c>
      <c r="D1445" s="1" t="s">
        <v>20</v>
      </c>
      <c r="E1445" s="1" t="s">
        <v>30</v>
      </c>
      <c r="F1445" s="1" t="s">
        <v>18</v>
      </c>
      <c r="G1445" s="1">
        <v>9</v>
      </c>
      <c r="H1445" s="1">
        <v>275</v>
      </c>
      <c r="I1445" s="1">
        <v>0</v>
      </c>
      <c r="J1445" s="4">
        <v>2475</v>
      </c>
      <c r="K1445" s="4">
        <v>1644.17</v>
      </c>
      <c r="L1445" s="4">
        <v>830.83</v>
      </c>
      <c r="M1445" s="1" t="str">
        <f>TEXT(Table1[[#This Row],[Order_Date]], "MMM")</f>
        <v>Jan</v>
      </c>
      <c r="N1445" s="1">
        <f>YEAR(Table1[[#This Row],[Order_Date]])</f>
        <v>2023</v>
      </c>
      <c r="O1445" s="7">
        <f>Table1[[#This Row],[Profit]]/Table1[[#This Row],[Total_Sales]]</f>
        <v>0.33568888888888893</v>
      </c>
    </row>
    <row r="1446" spans="1:15" x14ac:dyDescent="0.25">
      <c r="A1446" s="1">
        <v>1445</v>
      </c>
      <c r="B1446" s="2">
        <v>45158</v>
      </c>
      <c r="C1446" s="1" t="s">
        <v>19</v>
      </c>
      <c r="D1446" s="1" t="s">
        <v>26</v>
      </c>
      <c r="E1446" s="1" t="s">
        <v>37</v>
      </c>
      <c r="F1446" s="1" t="s">
        <v>31</v>
      </c>
      <c r="G1446" s="1">
        <v>8</v>
      </c>
      <c r="H1446" s="1">
        <v>772</v>
      </c>
      <c r="I1446" s="1">
        <v>5</v>
      </c>
      <c r="J1446" s="4">
        <v>5867.2</v>
      </c>
      <c r="K1446" s="4">
        <v>3093.73</v>
      </c>
      <c r="L1446" s="4">
        <v>2773.47</v>
      </c>
      <c r="M1446" s="1" t="str">
        <f>TEXT(Table1[[#This Row],[Order_Date]], "MMM")</f>
        <v>Aug</v>
      </c>
      <c r="N1446" s="1">
        <f>YEAR(Table1[[#This Row],[Order_Date]])</f>
        <v>2023</v>
      </c>
      <c r="O1446" s="7">
        <f>Table1[[#This Row],[Profit]]/Table1[[#This Row],[Total_Sales]]</f>
        <v>0.47270759476411234</v>
      </c>
    </row>
    <row r="1447" spans="1:15" x14ac:dyDescent="0.25">
      <c r="A1447" s="1">
        <v>1446</v>
      </c>
      <c r="B1447" s="2">
        <v>45100</v>
      </c>
      <c r="C1447" s="1" t="s">
        <v>16</v>
      </c>
      <c r="D1447" s="1" t="s">
        <v>20</v>
      </c>
      <c r="E1447" s="1" t="s">
        <v>21</v>
      </c>
      <c r="F1447" s="1" t="s">
        <v>35</v>
      </c>
      <c r="G1447" s="1">
        <v>8</v>
      </c>
      <c r="H1447" s="1">
        <v>969</v>
      </c>
      <c r="I1447" s="1">
        <v>0</v>
      </c>
      <c r="J1447" s="4">
        <v>7752</v>
      </c>
      <c r="K1447" s="4">
        <v>4310.28</v>
      </c>
      <c r="L1447" s="4">
        <v>3441.72</v>
      </c>
      <c r="M1447" s="1" t="str">
        <f>TEXT(Table1[[#This Row],[Order_Date]], "MMM")</f>
        <v>Jun</v>
      </c>
      <c r="N1447" s="1">
        <f>YEAR(Table1[[#This Row],[Order_Date]])</f>
        <v>2023</v>
      </c>
      <c r="O1447" s="7">
        <f>Table1[[#This Row],[Profit]]/Table1[[#This Row],[Total_Sales]]</f>
        <v>0.44397832817337457</v>
      </c>
    </row>
    <row r="1448" spans="1:15" x14ac:dyDescent="0.25">
      <c r="A1448" s="1">
        <v>1447</v>
      </c>
      <c r="B1448" s="2">
        <v>45273</v>
      </c>
      <c r="C1448" s="1" t="s">
        <v>12</v>
      </c>
      <c r="D1448" s="1" t="s">
        <v>22</v>
      </c>
      <c r="E1448" s="1" t="s">
        <v>23</v>
      </c>
      <c r="F1448" s="1" t="s">
        <v>35</v>
      </c>
      <c r="G1448" s="1">
        <v>2</v>
      </c>
      <c r="H1448" s="1">
        <v>937</v>
      </c>
      <c r="I1448" s="1">
        <v>15</v>
      </c>
      <c r="J1448" s="4">
        <v>1592.9</v>
      </c>
      <c r="K1448" s="4">
        <v>1174.27</v>
      </c>
      <c r="L1448" s="4">
        <v>418.63</v>
      </c>
      <c r="M1448" s="1" t="str">
        <f>TEXT(Table1[[#This Row],[Order_Date]], "MMM")</f>
        <v>Dec</v>
      </c>
      <c r="N1448" s="1">
        <f>YEAR(Table1[[#This Row],[Order_Date]])</f>
        <v>2023</v>
      </c>
      <c r="O1448" s="7">
        <f>Table1[[#This Row],[Profit]]/Table1[[#This Row],[Total_Sales]]</f>
        <v>0.26280996923849581</v>
      </c>
    </row>
    <row r="1449" spans="1:15" x14ac:dyDescent="0.25">
      <c r="A1449" s="1">
        <v>1448</v>
      </c>
      <c r="B1449" s="2">
        <v>45025</v>
      </c>
      <c r="C1449" s="1" t="s">
        <v>12</v>
      </c>
      <c r="D1449" s="1" t="s">
        <v>22</v>
      </c>
      <c r="E1449" s="1" t="s">
        <v>44</v>
      </c>
      <c r="F1449" s="1" t="s">
        <v>24</v>
      </c>
      <c r="G1449" s="1">
        <v>10</v>
      </c>
      <c r="H1449" s="1">
        <v>23</v>
      </c>
      <c r="I1449" s="1">
        <v>0</v>
      </c>
      <c r="J1449" s="4">
        <v>230</v>
      </c>
      <c r="K1449" s="4">
        <v>154.11000000000001</v>
      </c>
      <c r="L1449" s="4">
        <v>75.89</v>
      </c>
      <c r="M1449" s="1" t="str">
        <f>TEXT(Table1[[#This Row],[Order_Date]], "MMM")</f>
        <v>Apr</v>
      </c>
      <c r="N1449" s="1">
        <f>YEAR(Table1[[#This Row],[Order_Date]])</f>
        <v>2023</v>
      </c>
      <c r="O1449" s="7">
        <f>Table1[[#This Row],[Profit]]/Table1[[#This Row],[Total_Sales]]</f>
        <v>0.32995652173913043</v>
      </c>
    </row>
    <row r="1450" spans="1:15" x14ac:dyDescent="0.25">
      <c r="A1450" s="1">
        <v>1449</v>
      </c>
      <c r="B1450" s="2">
        <v>45427</v>
      </c>
      <c r="C1450" s="1" t="s">
        <v>12</v>
      </c>
      <c r="D1450" s="1" t="s">
        <v>13</v>
      </c>
      <c r="E1450" s="1" t="s">
        <v>39</v>
      </c>
      <c r="F1450" s="1" t="s">
        <v>40</v>
      </c>
      <c r="G1450" s="1">
        <v>2</v>
      </c>
      <c r="H1450" s="1">
        <v>60</v>
      </c>
      <c r="I1450" s="1">
        <v>10</v>
      </c>
      <c r="J1450" s="4">
        <v>108</v>
      </c>
      <c r="K1450" s="4">
        <v>68.69</v>
      </c>
      <c r="L1450" s="4">
        <v>39.31</v>
      </c>
      <c r="M1450" s="1" t="str">
        <f>TEXT(Table1[[#This Row],[Order_Date]], "MMM")</f>
        <v>May</v>
      </c>
      <c r="N1450" s="1">
        <f>YEAR(Table1[[#This Row],[Order_Date]])</f>
        <v>2024</v>
      </c>
      <c r="O1450" s="7">
        <f>Table1[[#This Row],[Profit]]/Table1[[#This Row],[Total_Sales]]</f>
        <v>0.36398148148148152</v>
      </c>
    </row>
    <row r="1451" spans="1:15" x14ac:dyDescent="0.25">
      <c r="A1451" s="1">
        <v>1450</v>
      </c>
      <c r="B1451" s="2">
        <v>45135</v>
      </c>
      <c r="C1451" s="1" t="s">
        <v>12</v>
      </c>
      <c r="D1451" s="1" t="s">
        <v>26</v>
      </c>
      <c r="E1451" s="1" t="s">
        <v>42</v>
      </c>
      <c r="F1451" s="1" t="s">
        <v>31</v>
      </c>
      <c r="G1451" s="1">
        <v>8</v>
      </c>
      <c r="H1451" s="1">
        <v>327</v>
      </c>
      <c r="I1451" s="1">
        <v>5</v>
      </c>
      <c r="J1451" s="4">
        <v>2485.1999999999998</v>
      </c>
      <c r="K1451" s="4">
        <v>1273.81</v>
      </c>
      <c r="L1451" s="4">
        <v>1211.3900000000001</v>
      </c>
      <c r="M1451" s="1" t="str">
        <f>TEXT(Table1[[#This Row],[Order_Date]], "MMM")</f>
        <v>Jul</v>
      </c>
      <c r="N1451" s="1">
        <f>YEAR(Table1[[#This Row],[Order_Date]])</f>
        <v>2023</v>
      </c>
      <c r="O1451" s="7">
        <f>Table1[[#This Row],[Profit]]/Table1[[#This Row],[Total_Sales]]</f>
        <v>0.48744165459520367</v>
      </c>
    </row>
    <row r="1452" spans="1:15" x14ac:dyDescent="0.25">
      <c r="A1452" s="1">
        <v>1451</v>
      </c>
      <c r="B1452" s="2">
        <v>45529</v>
      </c>
      <c r="C1452" s="1" t="s">
        <v>12</v>
      </c>
      <c r="D1452" s="1" t="s">
        <v>26</v>
      </c>
      <c r="E1452" s="1" t="s">
        <v>46</v>
      </c>
      <c r="F1452" s="1" t="s">
        <v>40</v>
      </c>
      <c r="G1452" s="1">
        <v>5</v>
      </c>
      <c r="H1452" s="1">
        <v>206</v>
      </c>
      <c r="I1452" s="1">
        <v>0</v>
      </c>
      <c r="J1452" s="4">
        <v>1030</v>
      </c>
      <c r="K1452" s="4">
        <v>640.27</v>
      </c>
      <c r="L1452" s="4">
        <v>389.73</v>
      </c>
      <c r="M1452" s="1" t="str">
        <f>TEXT(Table1[[#This Row],[Order_Date]], "MMM")</f>
        <v>Aug</v>
      </c>
      <c r="N1452" s="1">
        <f>YEAR(Table1[[#This Row],[Order_Date]])</f>
        <v>2024</v>
      </c>
      <c r="O1452" s="7">
        <f>Table1[[#This Row],[Profit]]/Table1[[#This Row],[Total_Sales]]</f>
        <v>0.37837864077669903</v>
      </c>
    </row>
    <row r="1453" spans="1:15" x14ac:dyDescent="0.25">
      <c r="A1453" s="1">
        <v>1452</v>
      </c>
      <c r="B1453" s="2">
        <v>44946</v>
      </c>
      <c r="C1453" s="1" t="s">
        <v>19</v>
      </c>
      <c r="D1453" s="1" t="s">
        <v>20</v>
      </c>
      <c r="E1453" s="1" t="s">
        <v>43</v>
      </c>
      <c r="F1453" s="1" t="s">
        <v>40</v>
      </c>
      <c r="G1453" s="1">
        <v>5</v>
      </c>
      <c r="H1453" s="1">
        <v>168</v>
      </c>
      <c r="I1453" s="1">
        <v>5</v>
      </c>
      <c r="J1453" s="4">
        <v>798</v>
      </c>
      <c r="K1453" s="4">
        <v>480.3</v>
      </c>
      <c r="L1453" s="4">
        <v>317.7</v>
      </c>
      <c r="M1453" s="1" t="str">
        <f>TEXT(Table1[[#This Row],[Order_Date]], "MMM")</f>
        <v>Jan</v>
      </c>
      <c r="N1453" s="1">
        <f>YEAR(Table1[[#This Row],[Order_Date]])</f>
        <v>2023</v>
      </c>
      <c r="O1453" s="7">
        <f>Table1[[#This Row],[Profit]]/Table1[[#This Row],[Total_Sales]]</f>
        <v>0.39812030075187971</v>
      </c>
    </row>
    <row r="1454" spans="1:15" x14ac:dyDescent="0.25">
      <c r="A1454" s="1">
        <v>1453</v>
      </c>
      <c r="B1454" s="2">
        <v>45185</v>
      </c>
      <c r="C1454" s="1" t="s">
        <v>12</v>
      </c>
      <c r="D1454" s="1" t="s">
        <v>20</v>
      </c>
      <c r="E1454" s="1" t="s">
        <v>43</v>
      </c>
      <c r="F1454" s="1" t="s">
        <v>31</v>
      </c>
      <c r="G1454" s="1">
        <v>4</v>
      </c>
      <c r="H1454" s="1">
        <v>124</v>
      </c>
      <c r="I1454" s="1">
        <v>10</v>
      </c>
      <c r="J1454" s="4">
        <v>446.4</v>
      </c>
      <c r="K1454" s="4">
        <v>329.51</v>
      </c>
      <c r="L1454" s="4">
        <v>116.89</v>
      </c>
      <c r="M1454" s="1" t="str">
        <f>TEXT(Table1[[#This Row],[Order_Date]], "MMM")</f>
        <v>Sep</v>
      </c>
      <c r="N1454" s="1">
        <f>YEAR(Table1[[#This Row],[Order_Date]])</f>
        <v>2023</v>
      </c>
      <c r="O1454" s="7">
        <f>Table1[[#This Row],[Profit]]/Table1[[#This Row],[Total_Sales]]</f>
        <v>0.26185035842293908</v>
      </c>
    </row>
    <row r="1455" spans="1:15" x14ac:dyDescent="0.25">
      <c r="A1455" s="1">
        <v>1454</v>
      </c>
      <c r="B1455" s="2">
        <v>45467</v>
      </c>
      <c r="C1455" s="1" t="s">
        <v>25</v>
      </c>
      <c r="D1455" s="1" t="s">
        <v>20</v>
      </c>
      <c r="E1455" s="1" t="s">
        <v>30</v>
      </c>
      <c r="F1455" s="1" t="s">
        <v>40</v>
      </c>
      <c r="G1455" s="1">
        <v>8</v>
      </c>
      <c r="H1455" s="1">
        <v>198</v>
      </c>
      <c r="I1455" s="1">
        <v>20</v>
      </c>
      <c r="J1455" s="4">
        <v>1267.2</v>
      </c>
      <c r="K1455" s="4">
        <v>715.76</v>
      </c>
      <c r="L1455" s="4">
        <v>551.44000000000005</v>
      </c>
      <c r="M1455" s="1" t="str">
        <f>TEXT(Table1[[#This Row],[Order_Date]], "MMM")</f>
        <v>Jun</v>
      </c>
      <c r="N1455" s="1">
        <f>YEAR(Table1[[#This Row],[Order_Date]])</f>
        <v>2024</v>
      </c>
      <c r="O1455" s="7">
        <f>Table1[[#This Row],[Profit]]/Table1[[#This Row],[Total_Sales]]</f>
        <v>0.43516414141414145</v>
      </c>
    </row>
    <row r="1456" spans="1:15" x14ac:dyDescent="0.25">
      <c r="A1456" s="1">
        <v>1455</v>
      </c>
      <c r="B1456" s="2">
        <v>45135</v>
      </c>
      <c r="C1456" s="1" t="s">
        <v>16</v>
      </c>
      <c r="D1456" s="1" t="s">
        <v>20</v>
      </c>
      <c r="E1456" s="1" t="s">
        <v>43</v>
      </c>
      <c r="F1456" s="1" t="s">
        <v>35</v>
      </c>
      <c r="G1456" s="1">
        <v>4</v>
      </c>
      <c r="H1456" s="1">
        <v>466</v>
      </c>
      <c r="I1456" s="1">
        <v>5</v>
      </c>
      <c r="J1456" s="4">
        <v>1770.8</v>
      </c>
      <c r="K1456" s="4">
        <v>1073.33</v>
      </c>
      <c r="L1456" s="4">
        <v>697.47</v>
      </c>
      <c r="M1456" s="1" t="str">
        <f>TEXT(Table1[[#This Row],[Order_Date]], "MMM")</f>
        <v>Jul</v>
      </c>
      <c r="N1456" s="1">
        <f>YEAR(Table1[[#This Row],[Order_Date]])</f>
        <v>2023</v>
      </c>
      <c r="O1456" s="7">
        <f>Table1[[#This Row],[Profit]]/Table1[[#This Row],[Total_Sales]]</f>
        <v>0.39387282584142763</v>
      </c>
    </row>
    <row r="1457" spans="1:15" x14ac:dyDescent="0.25">
      <c r="A1457" s="1">
        <v>1456</v>
      </c>
      <c r="B1457" s="2">
        <v>45299</v>
      </c>
      <c r="C1457" s="1" t="s">
        <v>25</v>
      </c>
      <c r="D1457" s="1" t="s">
        <v>32</v>
      </c>
      <c r="E1457" s="1" t="s">
        <v>41</v>
      </c>
      <c r="F1457" s="1" t="s">
        <v>24</v>
      </c>
      <c r="G1457" s="1">
        <v>5</v>
      </c>
      <c r="H1457" s="1">
        <v>962</v>
      </c>
      <c r="I1457" s="1">
        <v>15</v>
      </c>
      <c r="J1457" s="4">
        <v>4088.5</v>
      </c>
      <c r="K1457" s="4">
        <v>3136.4</v>
      </c>
      <c r="L1457" s="4">
        <v>952.1</v>
      </c>
      <c r="M1457" s="1" t="str">
        <f>TEXT(Table1[[#This Row],[Order_Date]], "MMM")</f>
        <v>Jan</v>
      </c>
      <c r="N1457" s="1">
        <f>YEAR(Table1[[#This Row],[Order_Date]])</f>
        <v>2024</v>
      </c>
      <c r="O1457" s="7">
        <f>Table1[[#This Row],[Profit]]/Table1[[#This Row],[Total_Sales]]</f>
        <v>0.2328726916962211</v>
      </c>
    </row>
    <row r="1458" spans="1:15" x14ac:dyDescent="0.25">
      <c r="A1458" s="1">
        <v>1457</v>
      </c>
      <c r="B1458" s="2">
        <v>45524</v>
      </c>
      <c r="C1458" s="1" t="s">
        <v>12</v>
      </c>
      <c r="D1458" s="1" t="s">
        <v>32</v>
      </c>
      <c r="E1458" s="1" t="s">
        <v>41</v>
      </c>
      <c r="F1458" s="1" t="s">
        <v>35</v>
      </c>
      <c r="G1458" s="1">
        <v>8</v>
      </c>
      <c r="H1458" s="1">
        <v>927</v>
      </c>
      <c r="I1458" s="1">
        <v>10</v>
      </c>
      <c r="J1458" s="4">
        <v>6674.4</v>
      </c>
      <c r="K1458" s="4">
        <v>4502.47</v>
      </c>
      <c r="L1458" s="4">
        <v>2171.9299999999998</v>
      </c>
      <c r="M1458" s="1" t="str">
        <f>TEXT(Table1[[#This Row],[Order_Date]], "MMM")</f>
        <v>Aug</v>
      </c>
      <c r="N1458" s="1">
        <f>YEAR(Table1[[#This Row],[Order_Date]])</f>
        <v>2024</v>
      </c>
      <c r="O1458" s="7">
        <f>Table1[[#This Row],[Profit]]/Table1[[#This Row],[Total_Sales]]</f>
        <v>0.32541202205441688</v>
      </c>
    </row>
    <row r="1459" spans="1:15" x14ac:dyDescent="0.25">
      <c r="A1459" s="1">
        <v>1458</v>
      </c>
      <c r="B1459" s="2">
        <v>45305</v>
      </c>
      <c r="C1459" s="1" t="s">
        <v>25</v>
      </c>
      <c r="D1459" s="1" t="s">
        <v>20</v>
      </c>
      <c r="E1459" s="1" t="s">
        <v>21</v>
      </c>
      <c r="F1459" s="1" t="s">
        <v>18</v>
      </c>
      <c r="G1459" s="1">
        <v>8</v>
      </c>
      <c r="H1459" s="1">
        <v>489</v>
      </c>
      <c r="I1459" s="1">
        <v>0</v>
      </c>
      <c r="J1459" s="4">
        <v>3912</v>
      </c>
      <c r="K1459" s="4">
        <v>2353.77</v>
      </c>
      <c r="L1459" s="4">
        <v>1558.23</v>
      </c>
      <c r="M1459" s="1" t="str">
        <f>TEXT(Table1[[#This Row],[Order_Date]], "MMM")</f>
        <v>Jan</v>
      </c>
      <c r="N1459" s="1">
        <f>YEAR(Table1[[#This Row],[Order_Date]])</f>
        <v>2024</v>
      </c>
      <c r="O1459" s="7">
        <f>Table1[[#This Row],[Profit]]/Table1[[#This Row],[Total_Sales]]</f>
        <v>0.39832055214723927</v>
      </c>
    </row>
    <row r="1460" spans="1:15" x14ac:dyDescent="0.25">
      <c r="A1460" s="1">
        <v>1459</v>
      </c>
      <c r="B1460" s="2">
        <v>45427</v>
      </c>
      <c r="C1460" s="1" t="s">
        <v>19</v>
      </c>
      <c r="D1460" s="1" t="s">
        <v>20</v>
      </c>
      <c r="E1460" s="1" t="s">
        <v>30</v>
      </c>
      <c r="F1460" s="1" t="s">
        <v>18</v>
      </c>
      <c r="G1460" s="1">
        <v>8</v>
      </c>
      <c r="H1460" s="1">
        <v>935</v>
      </c>
      <c r="I1460" s="1">
        <v>10</v>
      </c>
      <c r="J1460" s="4">
        <v>6732</v>
      </c>
      <c r="K1460" s="4">
        <v>4952.8999999999996</v>
      </c>
      <c r="L1460" s="4">
        <v>1779.1</v>
      </c>
      <c r="M1460" s="1" t="str">
        <f>TEXT(Table1[[#This Row],[Order_Date]], "MMM")</f>
        <v>May</v>
      </c>
      <c r="N1460" s="1">
        <f>YEAR(Table1[[#This Row],[Order_Date]])</f>
        <v>2024</v>
      </c>
      <c r="O1460" s="7">
        <f>Table1[[#This Row],[Profit]]/Table1[[#This Row],[Total_Sales]]</f>
        <v>0.2642751039809863</v>
      </c>
    </row>
    <row r="1461" spans="1:15" x14ac:dyDescent="0.25">
      <c r="A1461" s="1">
        <v>1460</v>
      </c>
      <c r="B1461" s="2">
        <v>45448</v>
      </c>
      <c r="C1461" s="1" t="s">
        <v>12</v>
      </c>
      <c r="D1461" s="1" t="s">
        <v>13</v>
      </c>
      <c r="E1461" s="1" t="s">
        <v>39</v>
      </c>
      <c r="F1461" s="1" t="s">
        <v>40</v>
      </c>
      <c r="G1461" s="1">
        <v>8</v>
      </c>
      <c r="H1461" s="1">
        <v>252</v>
      </c>
      <c r="I1461" s="1">
        <v>20</v>
      </c>
      <c r="J1461" s="4">
        <v>1612.8</v>
      </c>
      <c r="K1461" s="4">
        <v>856.91</v>
      </c>
      <c r="L1461" s="4">
        <v>755.89</v>
      </c>
      <c r="M1461" s="1" t="str">
        <f>TEXT(Table1[[#This Row],[Order_Date]], "MMM")</f>
        <v>Jun</v>
      </c>
      <c r="N1461" s="1">
        <f>YEAR(Table1[[#This Row],[Order_Date]])</f>
        <v>2024</v>
      </c>
      <c r="O1461" s="7">
        <f>Table1[[#This Row],[Profit]]/Table1[[#This Row],[Total_Sales]]</f>
        <v>0.46868179563492063</v>
      </c>
    </row>
    <row r="1462" spans="1:15" x14ac:dyDescent="0.25">
      <c r="A1462" s="1">
        <v>1461</v>
      </c>
      <c r="B1462" s="2">
        <v>45628</v>
      </c>
      <c r="C1462" s="1" t="s">
        <v>25</v>
      </c>
      <c r="D1462" s="1" t="s">
        <v>22</v>
      </c>
      <c r="E1462" s="1" t="s">
        <v>44</v>
      </c>
      <c r="F1462" s="1" t="s">
        <v>15</v>
      </c>
      <c r="G1462" s="1">
        <v>4</v>
      </c>
      <c r="H1462" s="1">
        <v>181</v>
      </c>
      <c r="I1462" s="1">
        <v>0</v>
      </c>
      <c r="J1462" s="4">
        <v>724</v>
      </c>
      <c r="K1462" s="4">
        <v>367.17</v>
      </c>
      <c r="L1462" s="4">
        <v>356.83</v>
      </c>
      <c r="M1462" s="1" t="str">
        <f>TEXT(Table1[[#This Row],[Order_Date]], "MMM")</f>
        <v>Dec</v>
      </c>
      <c r="N1462" s="1">
        <f>YEAR(Table1[[#This Row],[Order_Date]])</f>
        <v>2024</v>
      </c>
      <c r="O1462" s="7">
        <f>Table1[[#This Row],[Profit]]/Table1[[#This Row],[Total_Sales]]</f>
        <v>0.49285911602209942</v>
      </c>
    </row>
    <row r="1463" spans="1:15" x14ac:dyDescent="0.25">
      <c r="A1463" s="1">
        <v>1462</v>
      </c>
      <c r="B1463" s="2">
        <v>45522</v>
      </c>
      <c r="C1463" s="1" t="s">
        <v>12</v>
      </c>
      <c r="D1463" s="1" t="s">
        <v>13</v>
      </c>
      <c r="E1463" s="1" t="s">
        <v>17</v>
      </c>
      <c r="F1463" s="1" t="s">
        <v>18</v>
      </c>
      <c r="G1463" s="1">
        <v>5</v>
      </c>
      <c r="H1463" s="1">
        <v>81</v>
      </c>
      <c r="I1463" s="1">
        <v>15</v>
      </c>
      <c r="J1463" s="4">
        <v>344.25</v>
      </c>
      <c r="K1463" s="4">
        <v>216.54</v>
      </c>
      <c r="L1463" s="4">
        <v>127.71</v>
      </c>
      <c r="M1463" s="1" t="str">
        <f>TEXT(Table1[[#This Row],[Order_Date]], "MMM")</f>
        <v>Aug</v>
      </c>
      <c r="N1463" s="1">
        <f>YEAR(Table1[[#This Row],[Order_Date]])</f>
        <v>2024</v>
      </c>
      <c r="O1463" s="7">
        <f>Table1[[#This Row],[Profit]]/Table1[[#This Row],[Total_Sales]]</f>
        <v>0.37098039215686274</v>
      </c>
    </row>
    <row r="1464" spans="1:15" x14ac:dyDescent="0.25">
      <c r="A1464" s="1">
        <v>1463</v>
      </c>
      <c r="B1464" s="2">
        <v>45295</v>
      </c>
      <c r="C1464" s="1" t="s">
        <v>12</v>
      </c>
      <c r="D1464" s="1" t="s">
        <v>13</v>
      </c>
      <c r="E1464" s="1" t="s">
        <v>39</v>
      </c>
      <c r="F1464" s="1" t="s">
        <v>31</v>
      </c>
      <c r="G1464" s="1">
        <v>3</v>
      </c>
      <c r="H1464" s="1">
        <v>857</v>
      </c>
      <c r="I1464" s="1">
        <v>5</v>
      </c>
      <c r="J1464" s="4">
        <v>2442.4499999999998</v>
      </c>
      <c r="K1464" s="4">
        <v>1653.23</v>
      </c>
      <c r="L1464" s="4">
        <v>789.22</v>
      </c>
      <c r="M1464" s="1" t="str">
        <f>TEXT(Table1[[#This Row],[Order_Date]], "MMM")</f>
        <v>Jan</v>
      </c>
      <c r="N1464" s="1">
        <f>YEAR(Table1[[#This Row],[Order_Date]])</f>
        <v>2024</v>
      </c>
      <c r="O1464" s="7">
        <f>Table1[[#This Row],[Profit]]/Table1[[#This Row],[Total_Sales]]</f>
        <v>0.32312636901471886</v>
      </c>
    </row>
    <row r="1465" spans="1:15" x14ac:dyDescent="0.25">
      <c r="A1465" s="1">
        <v>1464</v>
      </c>
      <c r="B1465" s="2">
        <v>45499</v>
      </c>
      <c r="C1465" s="1" t="s">
        <v>25</v>
      </c>
      <c r="D1465" s="1" t="s">
        <v>20</v>
      </c>
      <c r="E1465" s="1" t="s">
        <v>30</v>
      </c>
      <c r="F1465" s="1" t="s">
        <v>15</v>
      </c>
      <c r="G1465" s="1">
        <v>10</v>
      </c>
      <c r="H1465" s="1">
        <v>457</v>
      </c>
      <c r="I1465" s="1">
        <v>15</v>
      </c>
      <c r="J1465" s="4">
        <v>3884.5</v>
      </c>
      <c r="K1465" s="4">
        <v>2725.05</v>
      </c>
      <c r="L1465" s="4">
        <v>1159.45</v>
      </c>
      <c r="M1465" s="1" t="str">
        <f>TEXT(Table1[[#This Row],[Order_Date]], "MMM")</f>
        <v>Jul</v>
      </c>
      <c r="N1465" s="1">
        <f>YEAR(Table1[[#This Row],[Order_Date]])</f>
        <v>2024</v>
      </c>
      <c r="O1465" s="7">
        <f>Table1[[#This Row],[Profit]]/Table1[[#This Row],[Total_Sales]]</f>
        <v>0.29848114300424766</v>
      </c>
    </row>
    <row r="1466" spans="1:15" x14ac:dyDescent="0.25">
      <c r="A1466" s="1">
        <v>1465</v>
      </c>
      <c r="B1466" s="2">
        <v>45451</v>
      </c>
      <c r="C1466" s="1" t="s">
        <v>12</v>
      </c>
      <c r="D1466" s="1" t="s">
        <v>20</v>
      </c>
      <c r="E1466" s="1" t="s">
        <v>30</v>
      </c>
      <c r="F1466" s="1" t="s">
        <v>31</v>
      </c>
      <c r="G1466" s="1">
        <v>1</v>
      </c>
      <c r="H1466" s="1">
        <v>529</v>
      </c>
      <c r="I1466" s="1">
        <v>0</v>
      </c>
      <c r="J1466" s="4">
        <v>529</v>
      </c>
      <c r="K1466" s="4">
        <v>277.64999999999998</v>
      </c>
      <c r="L1466" s="4">
        <v>251.35</v>
      </c>
      <c r="M1466" s="1" t="str">
        <f>TEXT(Table1[[#This Row],[Order_Date]], "MMM")</f>
        <v>Jun</v>
      </c>
      <c r="N1466" s="1">
        <f>YEAR(Table1[[#This Row],[Order_Date]])</f>
        <v>2024</v>
      </c>
      <c r="O1466" s="7">
        <f>Table1[[#This Row],[Profit]]/Table1[[#This Row],[Total_Sales]]</f>
        <v>0.47514177693761811</v>
      </c>
    </row>
    <row r="1467" spans="1:15" x14ac:dyDescent="0.25">
      <c r="A1467" s="1">
        <v>1466</v>
      </c>
      <c r="B1467" s="2">
        <v>45367</v>
      </c>
      <c r="C1467" s="1" t="s">
        <v>12</v>
      </c>
      <c r="D1467" s="1" t="s">
        <v>26</v>
      </c>
      <c r="E1467" s="1" t="s">
        <v>42</v>
      </c>
      <c r="F1467" s="1" t="s">
        <v>15</v>
      </c>
      <c r="G1467" s="1">
        <v>9</v>
      </c>
      <c r="H1467" s="1">
        <v>489</v>
      </c>
      <c r="I1467" s="1">
        <v>20</v>
      </c>
      <c r="J1467" s="4">
        <v>3520.8</v>
      </c>
      <c r="K1467" s="4">
        <v>1943.06</v>
      </c>
      <c r="L1467" s="4">
        <v>1577.74</v>
      </c>
      <c r="M1467" s="1" t="str">
        <f>TEXT(Table1[[#This Row],[Order_Date]], "MMM")</f>
        <v>Mar</v>
      </c>
      <c r="N1467" s="1">
        <f>YEAR(Table1[[#This Row],[Order_Date]])</f>
        <v>2024</v>
      </c>
      <c r="O1467" s="7">
        <f>Table1[[#This Row],[Profit]]/Table1[[#This Row],[Total_Sales]]</f>
        <v>0.44811974551238354</v>
      </c>
    </row>
    <row r="1468" spans="1:15" x14ac:dyDescent="0.25">
      <c r="A1468" s="1">
        <v>1467</v>
      </c>
      <c r="B1468" s="2">
        <v>45547</v>
      </c>
      <c r="C1468" s="1" t="s">
        <v>19</v>
      </c>
      <c r="D1468" s="1" t="s">
        <v>20</v>
      </c>
      <c r="E1468" s="1" t="s">
        <v>28</v>
      </c>
      <c r="F1468" s="1" t="s">
        <v>24</v>
      </c>
      <c r="G1468" s="1">
        <v>1</v>
      </c>
      <c r="H1468" s="1">
        <v>84</v>
      </c>
      <c r="I1468" s="1">
        <v>5</v>
      </c>
      <c r="J1468" s="4">
        <v>79.8</v>
      </c>
      <c r="K1468" s="4">
        <v>41.76</v>
      </c>
      <c r="L1468" s="4">
        <v>38.04</v>
      </c>
      <c r="M1468" s="1" t="str">
        <f>TEXT(Table1[[#This Row],[Order_Date]], "MMM")</f>
        <v>Sep</v>
      </c>
      <c r="N1468" s="1">
        <f>YEAR(Table1[[#This Row],[Order_Date]])</f>
        <v>2024</v>
      </c>
      <c r="O1468" s="7">
        <f>Table1[[#This Row],[Profit]]/Table1[[#This Row],[Total_Sales]]</f>
        <v>0.47669172932330828</v>
      </c>
    </row>
    <row r="1469" spans="1:15" x14ac:dyDescent="0.25">
      <c r="A1469" s="1">
        <v>1468</v>
      </c>
      <c r="B1469" s="2">
        <v>44994</v>
      </c>
      <c r="C1469" s="1" t="s">
        <v>19</v>
      </c>
      <c r="D1469" s="1" t="s">
        <v>13</v>
      </c>
      <c r="E1469" s="1" t="s">
        <v>14</v>
      </c>
      <c r="F1469" s="1" t="s">
        <v>24</v>
      </c>
      <c r="G1469" s="1">
        <v>10</v>
      </c>
      <c r="H1469" s="1">
        <v>107</v>
      </c>
      <c r="I1469" s="1">
        <v>20</v>
      </c>
      <c r="J1469" s="4">
        <v>856</v>
      </c>
      <c r="K1469" s="4">
        <v>575.19000000000005</v>
      </c>
      <c r="L1469" s="4">
        <v>280.81</v>
      </c>
      <c r="M1469" s="1" t="str">
        <f>TEXT(Table1[[#This Row],[Order_Date]], "MMM")</f>
        <v>Mar</v>
      </c>
      <c r="N1469" s="1">
        <f>YEAR(Table1[[#This Row],[Order_Date]])</f>
        <v>2023</v>
      </c>
      <c r="O1469" s="7">
        <f>Table1[[#This Row],[Profit]]/Table1[[#This Row],[Total_Sales]]</f>
        <v>0.32804906542056073</v>
      </c>
    </row>
    <row r="1470" spans="1:15" x14ac:dyDescent="0.25">
      <c r="A1470" s="1">
        <v>1469</v>
      </c>
      <c r="B1470" s="2">
        <v>45244</v>
      </c>
      <c r="C1470" s="1" t="s">
        <v>19</v>
      </c>
      <c r="D1470" s="1" t="s">
        <v>20</v>
      </c>
      <c r="E1470" s="1" t="s">
        <v>30</v>
      </c>
      <c r="F1470" s="1" t="s">
        <v>15</v>
      </c>
      <c r="G1470" s="1">
        <v>9</v>
      </c>
      <c r="H1470" s="1">
        <v>654</v>
      </c>
      <c r="I1470" s="1">
        <v>10</v>
      </c>
      <c r="J1470" s="4">
        <v>5297.4</v>
      </c>
      <c r="K1470" s="4">
        <v>2679.56</v>
      </c>
      <c r="L1470" s="4">
        <v>2617.84</v>
      </c>
      <c r="M1470" s="1" t="str">
        <f>TEXT(Table1[[#This Row],[Order_Date]], "MMM")</f>
        <v>Nov</v>
      </c>
      <c r="N1470" s="1">
        <f>YEAR(Table1[[#This Row],[Order_Date]])</f>
        <v>2023</v>
      </c>
      <c r="O1470" s="7">
        <f>Table1[[#This Row],[Profit]]/Table1[[#This Row],[Total_Sales]]</f>
        <v>0.49417450069845592</v>
      </c>
    </row>
    <row r="1471" spans="1:15" x14ac:dyDescent="0.25">
      <c r="A1471" s="1">
        <v>1470</v>
      </c>
      <c r="B1471" s="2">
        <v>45561</v>
      </c>
      <c r="C1471" s="1" t="s">
        <v>19</v>
      </c>
      <c r="D1471" s="1" t="s">
        <v>32</v>
      </c>
      <c r="E1471" s="1" t="s">
        <v>34</v>
      </c>
      <c r="F1471" s="1" t="s">
        <v>40</v>
      </c>
      <c r="G1471" s="1">
        <v>1</v>
      </c>
      <c r="H1471" s="1">
        <v>798</v>
      </c>
      <c r="I1471" s="1">
        <v>20</v>
      </c>
      <c r="J1471" s="4">
        <v>638.4</v>
      </c>
      <c r="K1471" s="4">
        <v>353.12</v>
      </c>
      <c r="L1471" s="4">
        <v>285.27999999999997</v>
      </c>
      <c r="M1471" s="1" t="str">
        <f>TEXT(Table1[[#This Row],[Order_Date]], "MMM")</f>
        <v>Sep</v>
      </c>
      <c r="N1471" s="1">
        <f>YEAR(Table1[[#This Row],[Order_Date]])</f>
        <v>2024</v>
      </c>
      <c r="O1471" s="7">
        <f>Table1[[#This Row],[Profit]]/Table1[[#This Row],[Total_Sales]]</f>
        <v>0.44686716791979947</v>
      </c>
    </row>
    <row r="1472" spans="1:15" x14ac:dyDescent="0.25">
      <c r="A1472" s="1">
        <v>1471</v>
      </c>
      <c r="B1472" s="2">
        <v>45089</v>
      </c>
      <c r="C1472" s="1" t="s">
        <v>16</v>
      </c>
      <c r="D1472" s="1" t="s">
        <v>22</v>
      </c>
      <c r="E1472" s="1" t="s">
        <v>29</v>
      </c>
      <c r="F1472" s="1" t="s">
        <v>24</v>
      </c>
      <c r="G1472" s="1">
        <v>1</v>
      </c>
      <c r="H1472" s="1">
        <v>593</v>
      </c>
      <c r="I1472" s="1">
        <v>10</v>
      </c>
      <c r="J1472" s="4">
        <v>533.70000000000005</v>
      </c>
      <c r="K1472" s="4">
        <v>322.22000000000003</v>
      </c>
      <c r="L1472" s="4">
        <v>211.48</v>
      </c>
      <c r="M1472" s="1" t="str">
        <f>TEXT(Table1[[#This Row],[Order_Date]], "MMM")</f>
        <v>Jun</v>
      </c>
      <c r="N1472" s="1">
        <f>YEAR(Table1[[#This Row],[Order_Date]])</f>
        <v>2023</v>
      </c>
      <c r="O1472" s="7">
        <f>Table1[[#This Row],[Profit]]/Table1[[#This Row],[Total_Sales]]</f>
        <v>0.39625257635375671</v>
      </c>
    </row>
    <row r="1473" spans="1:15" x14ac:dyDescent="0.25">
      <c r="A1473" s="1">
        <v>1472</v>
      </c>
      <c r="B1473" s="2">
        <v>45127</v>
      </c>
      <c r="C1473" s="1" t="s">
        <v>16</v>
      </c>
      <c r="D1473" s="1" t="s">
        <v>22</v>
      </c>
      <c r="E1473" s="1" t="s">
        <v>23</v>
      </c>
      <c r="F1473" s="1" t="s">
        <v>18</v>
      </c>
      <c r="G1473" s="1">
        <v>5</v>
      </c>
      <c r="H1473" s="1">
        <v>84</v>
      </c>
      <c r="I1473" s="1">
        <v>10</v>
      </c>
      <c r="J1473" s="4">
        <v>378</v>
      </c>
      <c r="K1473" s="4">
        <v>274.25</v>
      </c>
      <c r="L1473" s="4">
        <v>103.75</v>
      </c>
      <c r="M1473" s="1" t="str">
        <f>TEXT(Table1[[#This Row],[Order_Date]], "MMM")</f>
        <v>Jul</v>
      </c>
      <c r="N1473" s="1">
        <f>YEAR(Table1[[#This Row],[Order_Date]])</f>
        <v>2023</v>
      </c>
      <c r="O1473" s="7">
        <f>Table1[[#This Row],[Profit]]/Table1[[#This Row],[Total_Sales]]</f>
        <v>0.27447089947089948</v>
      </c>
    </row>
    <row r="1474" spans="1:15" x14ac:dyDescent="0.25">
      <c r="A1474" s="1">
        <v>1473</v>
      </c>
      <c r="B1474" s="2">
        <v>45639</v>
      </c>
      <c r="C1474" s="1" t="s">
        <v>19</v>
      </c>
      <c r="D1474" s="1" t="s">
        <v>22</v>
      </c>
      <c r="E1474" s="1" t="s">
        <v>29</v>
      </c>
      <c r="F1474" s="1" t="s">
        <v>31</v>
      </c>
      <c r="G1474" s="1">
        <v>4</v>
      </c>
      <c r="H1474" s="1">
        <v>817</v>
      </c>
      <c r="I1474" s="1">
        <v>15</v>
      </c>
      <c r="J1474" s="4">
        <v>2777.8</v>
      </c>
      <c r="K1474" s="4">
        <v>1570.95</v>
      </c>
      <c r="L1474" s="4">
        <v>1206.8499999999999</v>
      </c>
      <c r="M1474" s="1" t="str">
        <f>TEXT(Table1[[#This Row],[Order_Date]], "MMM")</f>
        <v>Dec</v>
      </c>
      <c r="N1474" s="1">
        <f>YEAR(Table1[[#This Row],[Order_Date]])</f>
        <v>2024</v>
      </c>
      <c r="O1474" s="7">
        <f>Table1[[#This Row],[Profit]]/Table1[[#This Row],[Total_Sales]]</f>
        <v>0.43446252429980553</v>
      </c>
    </row>
    <row r="1475" spans="1:15" x14ac:dyDescent="0.25">
      <c r="A1475" s="1">
        <v>1474</v>
      </c>
      <c r="B1475" s="2">
        <v>45622</v>
      </c>
      <c r="C1475" s="1" t="s">
        <v>16</v>
      </c>
      <c r="D1475" s="1" t="s">
        <v>32</v>
      </c>
      <c r="E1475" s="1" t="s">
        <v>34</v>
      </c>
      <c r="F1475" s="1" t="s">
        <v>35</v>
      </c>
      <c r="G1475" s="1">
        <v>3</v>
      </c>
      <c r="H1475" s="1">
        <v>562</v>
      </c>
      <c r="I1475" s="1">
        <v>5</v>
      </c>
      <c r="J1475" s="4">
        <v>1601.7</v>
      </c>
      <c r="K1475" s="4">
        <v>930.6</v>
      </c>
      <c r="L1475" s="4">
        <v>671.1</v>
      </c>
      <c r="M1475" s="1" t="str">
        <f>TEXT(Table1[[#This Row],[Order_Date]], "MMM")</f>
        <v>Nov</v>
      </c>
      <c r="N1475" s="1">
        <f>YEAR(Table1[[#This Row],[Order_Date]])</f>
        <v>2024</v>
      </c>
      <c r="O1475" s="7">
        <f>Table1[[#This Row],[Profit]]/Table1[[#This Row],[Total_Sales]]</f>
        <v>0.41899232065929948</v>
      </c>
    </row>
    <row r="1476" spans="1:15" x14ac:dyDescent="0.25">
      <c r="A1476" s="1">
        <v>1475</v>
      </c>
      <c r="B1476" s="2">
        <v>45126</v>
      </c>
      <c r="C1476" s="1" t="s">
        <v>12</v>
      </c>
      <c r="D1476" s="1" t="s">
        <v>22</v>
      </c>
      <c r="E1476" s="1" t="s">
        <v>29</v>
      </c>
      <c r="F1476" s="1" t="s">
        <v>40</v>
      </c>
      <c r="G1476" s="1">
        <v>6</v>
      </c>
      <c r="H1476" s="1">
        <v>1000</v>
      </c>
      <c r="I1476" s="1">
        <v>10</v>
      </c>
      <c r="J1476" s="4">
        <v>5400</v>
      </c>
      <c r="K1476" s="4">
        <v>4190.29</v>
      </c>
      <c r="L1476" s="4">
        <v>1209.71</v>
      </c>
      <c r="M1476" s="1" t="str">
        <f>TEXT(Table1[[#This Row],[Order_Date]], "MMM")</f>
        <v>Jul</v>
      </c>
      <c r="N1476" s="1">
        <f>YEAR(Table1[[#This Row],[Order_Date]])</f>
        <v>2023</v>
      </c>
      <c r="O1476" s="7">
        <f>Table1[[#This Row],[Profit]]/Table1[[#This Row],[Total_Sales]]</f>
        <v>0.22402037037037037</v>
      </c>
    </row>
    <row r="1477" spans="1:15" x14ac:dyDescent="0.25">
      <c r="A1477" s="1">
        <v>1476</v>
      </c>
      <c r="B1477" s="2">
        <v>45221</v>
      </c>
      <c r="C1477" s="1" t="s">
        <v>19</v>
      </c>
      <c r="D1477" s="1" t="s">
        <v>22</v>
      </c>
      <c r="E1477" s="1" t="s">
        <v>23</v>
      </c>
      <c r="F1477" s="1" t="s">
        <v>24</v>
      </c>
      <c r="G1477" s="1">
        <v>3</v>
      </c>
      <c r="H1477" s="1">
        <v>215</v>
      </c>
      <c r="I1477" s="1">
        <v>15</v>
      </c>
      <c r="J1477" s="4">
        <v>548.25</v>
      </c>
      <c r="K1477" s="4">
        <v>291.05</v>
      </c>
      <c r="L1477" s="4">
        <v>257.2</v>
      </c>
      <c r="M1477" s="1" t="str">
        <f>TEXT(Table1[[#This Row],[Order_Date]], "MMM")</f>
        <v>Oct</v>
      </c>
      <c r="N1477" s="1">
        <f>YEAR(Table1[[#This Row],[Order_Date]])</f>
        <v>2023</v>
      </c>
      <c r="O1477" s="7">
        <f>Table1[[#This Row],[Profit]]/Table1[[#This Row],[Total_Sales]]</f>
        <v>0.46912904696762425</v>
      </c>
    </row>
    <row r="1478" spans="1:15" x14ac:dyDescent="0.25">
      <c r="A1478" s="1">
        <v>1477</v>
      </c>
      <c r="B1478" s="2">
        <v>45283</v>
      </c>
      <c r="C1478" s="1" t="s">
        <v>25</v>
      </c>
      <c r="D1478" s="1" t="s">
        <v>26</v>
      </c>
      <c r="E1478" s="1" t="s">
        <v>42</v>
      </c>
      <c r="F1478" s="1" t="s">
        <v>15</v>
      </c>
      <c r="G1478" s="1">
        <v>3</v>
      </c>
      <c r="H1478" s="1">
        <v>820</v>
      </c>
      <c r="I1478" s="1">
        <v>0</v>
      </c>
      <c r="J1478" s="4">
        <v>2460</v>
      </c>
      <c r="K1478" s="4">
        <v>1801.12</v>
      </c>
      <c r="L1478" s="4">
        <v>658.88</v>
      </c>
      <c r="M1478" s="1" t="str">
        <f>TEXT(Table1[[#This Row],[Order_Date]], "MMM")</f>
        <v>Dec</v>
      </c>
      <c r="N1478" s="1">
        <f>YEAR(Table1[[#This Row],[Order_Date]])</f>
        <v>2023</v>
      </c>
      <c r="O1478" s="7">
        <f>Table1[[#This Row],[Profit]]/Table1[[#This Row],[Total_Sales]]</f>
        <v>0.26783739837398374</v>
      </c>
    </row>
    <row r="1479" spans="1:15" x14ac:dyDescent="0.25">
      <c r="A1479" s="1">
        <v>1478</v>
      </c>
      <c r="B1479" s="2">
        <v>45339</v>
      </c>
      <c r="C1479" s="1" t="s">
        <v>16</v>
      </c>
      <c r="D1479" s="1" t="s">
        <v>32</v>
      </c>
      <c r="E1479" s="1" t="s">
        <v>41</v>
      </c>
      <c r="F1479" s="1" t="s">
        <v>24</v>
      </c>
      <c r="G1479" s="1">
        <v>6</v>
      </c>
      <c r="H1479" s="1">
        <v>479</v>
      </c>
      <c r="I1479" s="1">
        <v>15</v>
      </c>
      <c r="J1479" s="4">
        <v>2442.9</v>
      </c>
      <c r="K1479" s="4">
        <v>1772.82</v>
      </c>
      <c r="L1479" s="4">
        <v>670.08</v>
      </c>
      <c r="M1479" s="1" t="str">
        <f>TEXT(Table1[[#This Row],[Order_Date]], "MMM")</f>
        <v>Feb</v>
      </c>
      <c r="N1479" s="1">
        <f>YEAR(Table1[[#This Row],[Order_Date]])</f>
        <v>2024</v>
      </c>
      <c r="O1479" s="7">
        <f>Table1[[#This Row],[Profit]]/Table1[[#This Row],[Total_Sales]]</f>
        <v>0.27429694215890948</v>
      </c>
    </row>
    <row r="1480" spans="1:15" x14ac:dyDescent="0.25">
      <c r="A1480" s="1">
        <v>1479</v>
      </c>
      <c r="B1480" s="2">
        <v>45508</v>
      </c>
      <c r="C1480" s="1" t="s">
        <v>19</v>
      </c>
      <c r="D1480" s="1" t="s">
        <v>13</v>
      </c>
      <c r="E1480" s="1" t="s">
        <v>38</v>
      </c>
      <c r="F1480" s="1" t="s">
        <v>35</v>
      </c>
      <c r="G1480" s="1">
        <v>10</v>
      </c>
      <c r="H1480" s="1">
        <v>713</v>
      </c>
      <c r="I1480" s="1">
        <v>15</v>
      </c>
      <c r="J1480" s="4">
        <v>6060.5</v>
      </c>
      <c r="K1480" s="4">
        <v>4764.99</v>
      </c>
      <c r="L1480" s="4">
        <v>1295.51</v>
      </c>
      <c r="M1480" s="1" t="str">
        <f>TEXT(Table1[[#This Row],[Order_Date]], "MMM")</f>
        <v>Aug</v>
      </c>
      <c r="N1480" s="1">
        <f>YEAR(Table1[[#This Row],[Order_Date]])</f>
        <v>2024</v>
      </c>
      <c r="O1480" s="7">
        <f>Table1[[#This Row],[Profit]]/Table1[[#This Row],[Total_Sales]]</f>
        <v>0.21376289085058989</v>
      </c>
    </row>
    <row r="1481" spans="1:15" x14ac:dyDescent="0.25">
      <c r="A1481" s="1">
        <v>1480</v>
      </c>
      <c r="B1481" s="2">
        <v>45206</v>
      </c>
      <c r="C1481" s="1" t="s">
        <v>19</v>
      </c>
      <c r="D1481" s="1" t="s">
        <v>22</v>
      </c>
      <c r="E1481" s="1" t="s">
        <v>44</v>
      </c>
      <c r="F1481" s="1" t="s">
        <v>35</v>
      </c>
      <c r="G1481" s="1">
        <v>1</v>
      </c>
      <c r="H1481" s="1">
        <v>689</v>
      </c>
      <c r="I1481" s="1">
        <v>20</v>
      </c>
      <c r="J1481" s="4">
        <v>551.20000000000005</v>
      </c>
      <c r="K1481" s="4">
        <v>309.47000000000003</v>
      </c>
      <c r="L1481" s="4">
        <v>241.73</v>
      </c>
      <c r="M1481" s="1" t="str">
        <f>TEXT(Table1[[#This Row],[Order_Date]], "MMM")</f>
        <v>Oct</v>
      </c>
      <c r="N1481" s="1">
        <f>YEAR(Table1[[#This Row],[Order_Date]])</f>
        <v>2023</v>
      </c>
      <c r="O1481" s="7">
        <f>Table1[[#This Row],[Profit]]/Table1[[#This Row],[Total_Sales]]</f>
        <v>0.43855224963715522</v>
      </c>
    </row>
    <row r="1482" spans="1:15" x14ac:dyDescent="0.25">
      <c r="A1482" s="1">
        <v>1481</v>
      </c>
      <c r="B1482" s="2">
        <v>45196</v>
      </c>
      <c r="C1482" s="1" t="s">
        <v>16</v>
      </c>
      <c r="D1482" s="1" t="s">
        <v>22</v>
      </c>
      <c r="E1482" s="1" t="s">
        <v>23</v>
      </c>
      <c r="F1482" s="1" t="s">
        <v>18</v>
      </c>
      <c r="G1482" s="1">
        <v>3</v>
      </c>
      <c r="H1482" s="1">
        <v>864</v>
      </c>
      <c r="I1482" s="1">
        <v>20</v>
      </c>
      <c r="J1482" s="4">
        <v>2073.6</v>
      </c>
      <c r="K1482" s="4">
        <v>1517.85</v>
      </c>
      <c r="L1482" s="4">
        <v>555.75</v>
      </c>
      <c r="M1482" s="1" t="str">
        <f>TEXT(Table1[[#This Row],[Order_Date]], "MMM")</f>
        <v>Sep</v>
      </c>
      <c r="N1482" s="1">
        <f>YEAR(Table1[[#This Row],[Order_Date]])</f>
        <v>2023</v>
      </c>
      <c r="O1482" s="7">
        <f>Table1[[#This Row],[Profit]]/Table1[[#This Row],[Total_Sales]]</f>
        <v>0.26801215277777779</v>
      </c>
    </row>
    <row r="1483" spans="1:15" x14ac:dyDescent="0.25">
      <c r="A1483" s="1">
        <v>1482</v>
      </c>
      <c r="B1483" s="2">
        <v>45606</v>
      </c>
      <c r="C1483" s="1" t="s">
        <v>19</v>
      </c>
      <c r="D1483" s="1" t="s">
        <v>20</v>
      </c>
      <c r="E1483" s="1" t="s">
        <v>28</v>
      </c>
      <c r="F1483" s="1" t="s">
        <v>24</v>
      </c>
      <c r="G1483" s="1">
        <v>5</v>
      </c>
      <c r="H1483" s="1">
        <v>668</v>
      </c>
      <c r="I1483" s="1">
        <v>20</v>
      </c>
      <c r="J1483" s="4">
        <v>2672</v>
      </c>
      <c r="K1483" s="4">
        <v>1860.26</v>
      </c>
      <c r="L1483" s="4">
        <v>811.74</v>
      </c>
      <c r="M1483" s="1" t="str">
        <f>TEXT(Table1[[#This Row],[Order_Date]], "MMM")</f>
        <v>Nov</v>
      </c>
      <c r="N1483" s="1">
        <f>YEAR(Table1[[#This Row],[Order_Date]])</f>
        <v>2024</v>
      </c>
      <c r="O1483" s="7">
        <f>Table1[[#This Row],[Profit]]/Table1[[#This Row],[Total_Sales]]</f>
        <v>0.30379491017964072</v>
      </c>
    </row>
    <row r="1484" spans="1:15" x14ac:dyDescent="0.25">
      <c r="A1484" s="1">
        <v>1483</v>
      </c>
      <c r="B1484" s="2">
        <v>45393</v>
      </c>
      <c r="C1484" s="1" t="s">
        <v>12</v>
      </c>
      <c r="D1484" s="1" t="s">
        <v>26</v>
      </c>
      <c r="E1484" s="1" t="s">
        <v>37</v>
      </c>
      <c r="F1484" s="1" t="s">
        <v>31</v>
      </c>
      <c r="G1484" s="1">
        <v>6</v>
      </c>
      <c r="H1484" s="1">
        <v>307</v>
      </c>
      <c r="I1484" s="1">
        <v>5</v>
      </c>
      <c r="J1484" s="4">
        <v>1749.9</v>
      </c>
      <c r="K1484" s="4">
        <v>1011.34</v>
      </c>
      <c r="L1484" s="4">
        <v>738.56</v>
      </c>
      <c r="M1484" s="1" t="str">
        <f>TEXT(Table1[[#This Row],[Order_Date]], "MMM")</f>
        <v>Apr</v>
      </c>
      <c r="N1484" s="1">
        <f>YEAR(Table1[[#This Row],[Order_Date]])</f>
        <v>2024</v>
      </c>
      <c r="O1484" s="7">
        <f>Table1[[#This Row],[Profit]]/Table1[[#This Row],[Total_Sales]]</f>
        <v>0.42205840333733352</v>
      </c>
    </row>
    <row r="1485" spans="1:15" x14ac:dyDescent="0.25">
      <c r="A1485" s="1">
        <v>1484</v>
      </c>
      <c r="B1485" s="2">
        <v>45139</v>
      </c>
      <c r="C1485" s="1" t="s">
        <v>12</v>
      </c>
      <c r="D1485" s="1" t="s">
        <v>13</v>
      </c>
      <c r="E1485" s="1" t="s">
        <v>38</v>
      </c>
      <c r="F1485" s="1" t="s">
        <v>35</v>
      </c>
      <c r="G1485" s="1">
        <v>2</v>
      </c>
      <c r="H1485" s="1">
        <v>330</v>
      </c>
      <c r="I1485" s="1">
        <v>10</v>
      </c>
      <c r="J1485" s="4">
        <v>594</v>
      </c>
      <c r="K1485" s="4">
        <v>308.83</v>
      </c>
      <c r="L1485" s="4">
        <v>285.17</v>
      </c>
      <c r="M1485" s="1" t="str">
        <f>TEXT(Table1[[#This Row],[Order_Date]], "MMM")</f>
        <v>Aug</v>
      </c>
      <c r="N1485" s="1">
        <f>YEAR(Table1[[#This Row],[Order_Date]])</f>
        <v>2023</v>
      </c>
      <c r="O1485" s="7">
        <f>Table1[[#This Row],[Profit]]/Table1[[#This Row],[Total_Sales]]</f>
        <v>0.48008417508417511</v>
      </c>
    </row>
    <row r="1486" spans="1:15" x14ac:dyDescent="0.25">
      <c r="A1486" s="1">
        <v>1485</v>
      </c>
      <c r="B1486" s="2">
        <v>45031</v>
      </c>
      <c r="C1486" s="1" t="s">
        <v>19</v>
      </c>
      <c r="D1486" s="1" t="s">
        <v>32</v>
      </c>
      <c r="E1486" s="1" t="s">
        <v>33</v>
      </c>
      <c r="F1486" s="1" t="s">
        <v>40</v>
      </c>
      <c r="G1486" s="1">
        <v>3</v>
      </c>
      <c r="H1486" s="1">
        <v>867</v>
      </c>
      <c r="I1486" s="1">
        <v>15</v>
      </c>
      <c r="J1486" s="4">
        <v>2210.85</v>
      </c>
      <c r="K1486" s="4">
        <v>1170.5999999999999</v>
      </c>
      <c r="L1486" s="4">
        <v>1040.25</v>
      </c>
      <c r="M1486" s="1" t="str">
        <f>TEXT(Table1[[#This Row],[Order_Date]], "MMM")</f>
        <v>Apr</v>
      </c>
      <c r="N1486" s="1">
        <f>YEAR(Table1[[#This Row],[Order_Date]])</f>
        <v>2023</v>
      </c>
      <c r="O1486" s="7">
        <f>Table1[[#This Row],[Profit]]/Table1[[#This Row],[Total_Sales]]</f>
        <v>0.47052038808603031</v>
      </c>
    </row>
    <row r="1487" spans="1:15" x14ac:dyDescent="0.25">
      <c r="A1487" s="1">
        <v>1486</v>
      </c>
      <c r="B1487" s="2">
        <v>45539</v>
      </c>
      <c r="C1487" s="1" t="s">
        <v>16</v>
      </c>
      <c r="D1487" s="1" t="s">
        <v>13</v>
      </c>
      <c r="E1487" s="1" t="s">
        <v>39</v>
      </c>
      <c r="F1487" s="1" t="s">
        <v>31</v>
      </c>
      <c r="G1487" s="1">
        <v>7</v>
      </c>
      <c r="H1487" s="1">
        <v>55</v>
      </c>
      <c r="I1487" s="1">
        <v>15</v>
      </c>
      <c r="J1487" s="4">
        <v>327.25</v>
      </c>
      <c r="K1487" s="4">
        <v>228.37</v>
      </c>
      <c r="L1487" s="4">
        <v>98.88</v>
      </c>
      <c r="M1487" s="1" t="str">
        <f>TEXT(Table1[[#This Row],[Order_Date]], "MMM")</f>
        <v>Sep</v>
      </c>
      <c r="N1487" s="1">
        <f>YEAR(Table1[[#This Row],[Order_Date]])</f>
        <v>2024</v>
      </c>
      <c r="O1487" s="7">
        <f>Table1[[#This Row],[Profit]]/Table1[[#This Row],[Total_Sales]]</f>
        <v>0.30215431627196332</v>
      </c>
    </row>
    <row r="1488" spans="1:15" x14ac:dyDescent="0.25">
      <c r="A1488" s="1">
        <v>1487</v>
      </c>
      <c r="B1488" s="2">
        <v>45142</v>
      </c>
      <c r="C1488" s="1" t="s">
        <v>25</v>
      </c>
      <c r="D1488" s="1" t="s">
        <v>26</v>
      </c>
      <c r="E1488" s="1" t="s">
        <v>42</v>
      </c>
      <c r="F1488" s="1" t="s">
        <v>35</v>
      </c>
      <c r="G1488" s="1">
        <v>8</v>
      </c>
      <c r="H1488" s="1">
        <v>36</v>
      </c>
      <c r="I1488" s="1">
        <v>10</v>
      </c>
      <c r="J1488" s="4">
        <v>259.2</v>
      </c>
      <c r="K1488" s="4">
        <v>180.54</v>
      </c>
      <c r="L1488" s="4">
        <v>78.66</v>
      </c>
      <c r="M1488" s="1" t="str">
        <f>TEXT(Table1[[#This Row],[Order_Date]], "MMM")</f>
        <v>Aug</v>
      </c>
      <c r="N1488" s="1">
        <f>YEAR(Table1[[#This Row],[Order_Date]])</f>
        <v>2023</v>
      </c>
      <c r="O1488" s="7">
        <f>Table1[[#This Row],[Profit]]/Table1[[#This Row],[Total_Sales]]</f>
        <v>0.3034722222222222</v>
      </c>
    </row>
    <row r="1489" spans="1:15" x14ac:dyDescent="0.25">
      <c r="A1489" s="1">
        <v>1488</v>
      </c>
      <c r="B1489" s="2">
        <v>45383</v>
      </c>
      <c r="C1489" s="1" t="s">
        <v>25</v>
      </c>
      <c r="D1489" s="1" t="s">
        <v>13</v>
      </c>
      <c r="E1489" s="1" t="s">
        <v>14</v>
      </c>
      <c r="F1489" s="1" t="s">
        <v>35</v>
      </c>
      <c r="G1489" s="1">
        <v>3</v>
      </c>
      <c r="H1489" s="1">
        <v>94</v>
      </c>
      <c r="I1489" s="1">
        <v>15</v>
      </c>
      <c r="J1489" s="4">
        <v>239.7</v>
      </c>
      <c r="K1489" s="4">
        <v>185.9</v>
      </c>
      <c r="L1489" s="4">
        <v>53.8</v>
      </c>
      <c r="M1489" s="1" t="str">
        <f>TEXT(Table1[[#This Row],[Order_Date]], "MMM")</f>
        <v>Apr</v>
      </c>
      <c r="N1489" s="1">
        <f>YEAR(Table1[[#This Row],[Order_Date]])</f>
        <v>2024</v>
      </c>
      <c r="O1489" s="7">
        <f>Table1[[#This Row],[Profit]]/Table1[[#This Row],[Total_Sales]]</f>
        <v>0.22444722569879016</v>
      </c>
    </row>
    <row r="1490" spans="1:15" x14ac:dyDescent="0.25">
      <c r="A1490" s="1">
        <v>1489</v>
      </c>
      <c r="B1490" s="2">
        <v>45397</v>
      </c>
      <c r="C1490" s="1" t="s">
        <v>19</v>
      </c>
      <c r="D1490" s="1" t="s">
        <v>22</v>
      </c>
      <c r="E1490" s="1" t="s">
        <v>44</v>
      </c>
      <c r="F1490" s="1" t="s">
        <v>31</v>
      </c>
      <c r="G1490" s="1">
        <v>4</v>
      </c>
      <c r="H1490" s="1">
        <v>528</v>
      </c>
      <c r="I1490" s="1">
        <v>10</v>
      </c>
      <c r="J1490" s="4">
        <v>1900.8</v>
      </c>
      <c r="K1490" s="4">
        <v>1141.6199999999999</v>
      </c>
      <c r="L1490" s="4">
        <v>759.18</v>
      </c>
      <c r="M1490" s="1" t="str">
        <f>TEXT(Table1[[#This Row],[Order_Date]], "MMM")</f>
        <v>Apr</v>
      </c>
      <c r="N1490" s="1">
        <f>YEAR(Table1[[#This Row],[Order_Date]])</f>
        <v>2024</v>
      </c>
      <c r="O1490" s="7">
        <f>Table1[[#This Row],[Profit]]/Table1[[#This Row],[Total_Sales]]</f>
        <v>0.39940025252525252</v>
      </c>
    </row>
    <row r="1491" spans="1:15" x14ac:dyDescent="0.25">
      <c r="A1491" s="1">
        <v>1490</v>
      </c>
      <c r="B1491" s="2">
        <v>45244</v>
      </c>
      <c r="C1491" s="1" t="s">
        <v>12</v>
      </c>
      <c r="D1491" s="1" t="s">
        <v>13</v>
      </c>
      <c r="E1491" s="1" t="s">
        <v>17</v>
      </c>
      <c r="F1491" s="1" t="s">
        <v>40</v>
      </c>
      <c r="G1491" s="1">
        <v>3</v>
      </c>
      <c r="H1491" s="1">
        <v>188</v>
      </c>
      <c r="I1491" s="1">
        <v>15</v>
      </c>
      <c r="J1491" s="4">
        <v>479.4</v>
      </c>
      <c r="K1491" s="4">
        <v>330.93</v>
      </c>
      <c r="L1491" s="4">
        <v>148.47</v>
      </c>
      <c r="M1491" s="1" t="str">
        <f>TEXT(Table1[[#This Row],[Order_Date]], "MMM")</f>
        <v>Nov</v>
      </c>
      <c r="N1491" s="1">
        <f>YEAR(Table1[[#This Row],[Order_Date]])</f>
        <v>2023</v>
      </c>
      <c r="O1491" s="7">
        <f>Table1[[#This Row],[Profit]]/Table1[[#This Row],[Total_Sales]]</f>
        <v>0.30969962453066335</v>
      </c>
    </row>
    <row r="1492" spans="1:15" x14ac:dyDescent="0.25">
      <c r="A1492" s="1">
        <v>1491</v>
      </c>
      <c r="B1492" s="2">
        <v>44974</v>
      </c>
      <c r="C1492" s="1" t="s">
        <v>19</v>
      </c>
      <c r="D1492" s="1" t="s">
        <v>32</v>
      </c>
      <c r="E1492" s="1" t="s">
        <v>45</v>
      </c>
      <c r="F1492" s="1" t="s">
        <v>40</v>
      </c>
      <c r="G1492" s="1">
        <v>8</v>
      </c>
      <c r="H1492" s="1">
        <v>842</v>
      </c>
      <c r="I1492" s="1">
        <v>20</v>
      </c>
      <c r="J1492" s="4">
        <v>5388.8</v>
      </c>
      <c r="K1492" s="4">
        <v>3685.46</v>
      </c>
      <c r="L1492" s="4">
        <v>1703.34</v>
      </c>
      <c r="M1492" s="1" t="str">
        <f>TEXT(Table1[[#This Row],[Order_Date]], "MMM")</f>
        <v>Feb</v>
      </c>
      <c r="N1492" s="1">
        <f>YEAR(Table1[[#This Row],[Order_Date]])</f>
        <v>2023</v>
      </c>
      <c r="O1492" s="7">
        <f>Table1[[#This Row],[Profit]]/Table1[[#This Row],[Total_Sales]]</f>
        <v>0.31608892517814724</v>
      </c>
    </row>
    <row r="1493" spans="1:15" x14ac:dyDescent="0.25">
      <c r="A1493" s="1">
        <v>1492</v>
      </c>
      <c r="B1493" s="2">
        <v>44939</v>
      </c>
      <c r="C1493" s="1" t="s">
        <v>19</v>
      </c>
      <c r="D1493" s="1" t="s">
        <v>32</v>
      </c>
      <c r="E1493" s="1" t="s">
        <v>41</v>
      </c>
      <c r="F1493" s="1" t="s">
        <v>18</v>
      </c>
      <c r="G1493" s="1">
        <v>8</v>
      </c>
      <c r="H1493" s="1">
        <v>285</v>
      </c>
      <c r="I1493" s="1">
        <v>15</v>
      </c>
      <c r="J1493" s="4">
        <v>1938</v>
      </c>
      <c r="K1493" s="4">
        <v>990.39</v>
      </c>
      <c r="L1493" s="4">
        <v>947.61</v>
      </c>
      <c r="M1493" s="1" t="str">
        <f>TEXT(Table1[[#This Row],[Order_Date]], "MMM")</f>
        <v>Jan</v>
      </c>
      <c r="N1493" s="1">
        <f>YEAR(Table1[[#This Row],[Order_Date]])</f>
        <v>2023</v>
      </c>
      <c r="O1493" s="7">
        <f>Table1[[#This Row],[Profit]]/Table1[[#This Row],[Total_Sales]]</f>
        <v>0.48896284829721365</v>
      </c>
    </row>
    <row r="1494" spans="1:15" x14ac:dyDescent="0.25">
      <c r="A1494" s="1">
        <v>1493</v>
      </c>
      <c r="B1494" s="2">
        <v>45637</v>
      </c>
      <c r="C1494" s="1" t="s">
        <v>25</v>
      </c>
      <c r="D1494" s="1" t="s">
        <v>26</v>
      </c>
      <c r="E1494" s="1" t="s">
        <v>46</v>
      </c>
      <c r="F1494" s="1" t="s">
        <v>15</v>
      </c>
      <c r="G1494" s="1">
        <v>10</v>
      </c>
      <c r="H1494" s="1">
        <v>565</v>
      </c>
      <c r="I1494" s="1">
        <v>15</v>
      </c>
      <c r="J1494" s="4">
        <v>4802.5</v>
      </c>
      <c r="K1494" s="4">
        <v>3075.47</v>
      </c>
      <c r="L1494" s="4">
        <v>1727.03</v>
      </c>
      <c r="M1494" s="1" t="str">
        <f>TEXT(Table1[[#This Row],[Order_Date]], "MMM")</f>
        <v>Dec</v>
      </c>
      <c r="N1494" s="1">
        <f>YEAR(Table1[[#This Row],[Order_Date]])</f>
        <v>2024</v>
      </c>
      <c r="O1494" s="7">
        <f>Table1[[#This Row],[Profit]]/Table1[[#This Row],[Total_Sales]]</f>
        <v>0.35961061946902656</v>
      </c>
    </row>
    <row r="1495" spans="1:15" x14ac:dyDescent="0.25">
      <c r="A1495" s="1">
        <v>1494</v>
      </c>
      <c r="B1495" s="2">
        <v>45244</v>
      </c>
      <c r="C1495" s="1" t="s">
        <v>16</v>
      </c>
      <c r="D1495" s="1" t="s">
        <v>22</v>
      </c>
      <c r="E1495" s="1" t="s">
        <v>23</v>
      </c>
      <c r="F1495" s="1" t="s">
        <v>15</v>
      </c>
      <c r="G1495" s="1">
        <v>6</v>
      </c>
      <c r="H1495" s="1">
        <v>778</v>
      </c>
      <c r="I1495" s="1">
        <v>0</v>
      </c>
      <c r="J1495" s="4">
        <v>4668</v>
      </c>
      <c r="K1495" s="4">
        <v>3671.05</v>
      </c>
      <c r="L1495" s="4">
        <v>996.95</v>
      </c>
      <c r="M1495" s="1" t="str">
        <f>TEXT(Table1[[#This Row],[Order_Date]], "MMM")</f>
        <v>Nov</v>
      </c>
      <c r="N1495" s="1">
        <f>YEAR(Table1[[#This Row],[Order_Date]])</f>
        <v>2023</v>
      </c>
      <c r="O1495" s="7">
        <f>Table1[[#This Row],[Profit]]/Table1[[#This Row],[Total_Sales]]</f>
        <v>0.21357112253641819</v>
      </c>
    </row>
    <row r="1496" spans="1:15" x14ac:dyDescent="0.25">
      <c r="A1496" s="1">
        <v>1495</v>
      </c>
      <c r="B1496" s="2">
        <v>45361</v>
      </c>
      <c r="C1496" s="1" t="s">
        <v>12</v>
      </c>
      <c r="D1496" s="1" t="s">
        <v>32</v>
      </c>
      <c r="E1496" s="1" t="s">
        <v>45</v>
      </c>
      <c r="F1496" s="1" t="s">
        <v>40</v>
      </c>
      <c r="G1496" s="1">
        <v>9</v>
      </c>
      <c r="H1496" s="1">
        <v>824</v>
      </c>
      <c r="I1496" s="1">
        <v>0</v>
      </c>
      <c r="J1496" s="4">
        <v>7416</v>
      </c>
      <c r="K1496" s="4">
        <v>3724.46</v>
      </c>
      <c r="L1496" s="4">
        <v>3691.54</v>
      </c>
      <c r="M1496" s="1" t="str">
        <f>TEXT(Table1[[#This Row],[Order_Date]], "MMM")</f>
        <v>Mar</v>
      </c>
      <c r="N1496" s="1">
        <f>YEAR(Table1[[#This Row],[Order_Date]])</f>
        <v>2024</v>
      </c>
      <c r="O1496" s="7">
        <f>Table1[[#This Row],[Profit]]/Table1[[#This Row],[Total_Sales]]</f>
        <v>0.49778047464940667</v>
      </c>
    </row>
    <row r="1497" spans="1:15" x14ac:dyDescent="0.25">
      <c r="A1497" s="1">
        <v>1496</v>
      </c>
      <c r="B1497" s="2">
        <v>45208</v>
      </c>
      <c r="C1497" s="1" t="s">
        <v>16</v>
      </c>
      <c r="D1497" s="1" t="s">
        <v>20</v>
      </c>
      <c r="E1497" s="1" t="s">
        <v>43</v>
      </c>
      <c r="F1497" s="1" t="s">
        <v>35</v>
      </c>
      <c r="G1497" s="1">
        <v>8</v>
      </c>
      <c r="H1497" s="1">
        <v>532</v>
      </c>
      <c r="I1497" s="1">
        <v>5</v>
      </c>
      <c r="J1497" s="4">
        <v>4043.2</v>
      </c>
      <c r="K1497" s="4">
        <v>3142.12</v>
      </c>
      <c r="L1497" s="4">
        <v>901.08</v>
      </c>
      <c r="M1497" s="1" t="str">
        <f>TEXT(Table1[[#This Row],[Order_Date]], "MMM")</f>
        <v>Oct</v>
      </c>
      <c r="N1497" s="1">
        <f>YEAR(Table1[[#This Row],[Order_Date]])</f>
        <v>2023</v>
      </c>
      <c r="O1497" s="7">
        <f>Table1[[#This Row],[Profit]]/Table1[[#This Row],[Total_Sales]]</f>
        <v>0.22286307874950537</v>
      </c>
    </row>
    <row r="1498" spans="1:15" x14ac:dyDescent="0.25">
      <c r="A1498" s="1">
        <v>1497</v>
      </c>
      <c r="B1498" s="2">
        <v>45437</v>
      </c>
      <c r="C1498" s="1" t="s">
        <v>25</v>
      </c>
      <c r="D1498" s="1" t="s">
        <v>26</v>
      </c>
      <c r="E1498" s="1" t="s">
        <v>46</v>
      </c>
      <c r="F1498" s="1" t="s">
        <v>15</v>
      </c>
      <c r="G1498" s="1">
        <v>3</v>
      </c>
      <c r="H1498" s="1">
        <v>366</v>
      </c>
      <c r="I1498" s="1">
        <v>10</v>
      </c>
      <c r="J1498" s="4">
        <v>988.2</v>
      </c>
      <c r="K1498" s="4">
        <v>701.91</v>
      </c>
      <c r="L1498" s="4">
        <v>286.29000000000002</v>
      </c>
      <c r="M1498" s="1" t="str">
        <f>TEXT(Table1[[#This Row],[Order_Date]], "MMM")</f>
        <v>May</v>
      </c>
      <c r="N1498" s="1">
        <f>YEAR(Table1[[#This Row],[Order_Date]])</f>
        <v>2024</v>
      </c>
      <c r="O1498" s="7">
        <f>Table1[[#This Row],[Profit]]/Table1[[#This Row],[Total_Sales]]</f>
        <v>0.28970856102003645</v>
      </c>
    </row>
    <row r="1499" spans="1:15" x14ac:dyDescent="0.25">
      <c r="A1499" s="1">
        <v>1498</v>
      </c>
      <c r="B1499" s="2">
        <v>45525</v>
      </c>
      <c r="C1499" s="1" t="s">
        <v>19</v>
      </c>
      <c r="D1499" s="1" t="s">
        <v>26</v>
      </c>
      <c r="E1499" s="1" t="s">
        <v>42</v>
      </c>
      <c r="F1499" s="1" t="s">
        <v>35</v>
      </c>
      <c r="G1499" s="1">
        <v>10</v>
      </c>
      <c r="H1499" s="1">
        <v>962</v>
      </c>
      <c r="I1499" s="1">
        <v>20</v>
      </c>
      <c r="J1499" s="4">
        <v>7696</v>
      </c>
      <c r="K1499" s="4">
        <v>5735.44</v>
      </c>
      <c r="L1499" s="4">
        <v>1960.56</v>
      </c>
      <c r="M1499" s="1" t="str">
        <f>TEXT(Table1[[#This Row],[Order_Date]], "MMM")</f>
        <v>Aug</v>
      </c>
      <c r="N1499" s="1">
        <f>YEAR(Table1[[#This Row],[Order_Date]])</f>
        <v>2024</v>
      </c>
      <c r="O1499" s="7">
        <f>Table1[[#This Row],[Profit]]/Table1[[#This Row],[Total_Sales]]</f>
        <v>0.25475051975051977</v>
      </c>
    </row>
    <row r="1500" spans="1:15" x14ac:dyDescent="0.25">
      <c r="A1500" s="1">
        <v>1499</v>
      </c>
      <c r="B1500" s="2">
        <v>44960</v>
      </c>
      <c r="C1500" s="1" t="s">
        <v>12</v>
      </c>
      <c r="D1500" s="1" t="s">
        <v>20</v>
      </c>
      <c r="E1500" s="1" t="s">
        <v>28</v>
      </c>
      <c r="F1500" s="1" t="s">
        <v>31</v>
      </c>
      <c r="G1500" s="1">
        <v>5</v>
      </c>
      <c r="H1500" s="1">
        <v>411</v>
      </c>
      <c r="I1500" s="1">
        <v>15</v>
      </c>
      <c r="J1500" s="4">
        <v>1746.75</v>
      </c>
      <c r="K1500" s="4">
        <v>1339.72</v>
      </c>
      <c r="L1500" s="4">
        <v>407.03</v>
      </c>
      <c r="M1500" s="1" t="str">
        <f>TEXT(Table1[[#This Row],[Order_Date]], "MMM")</f>
        <v>Feb</v>
      </c>
      <c r="N1500" s="1">
        <f>YEAR(Table1[[#This Row],[Order_Date]])</f>
        <v>2023</v>
      </c>
      <c r="O1500" s="7">
        <f>Table1[[#This Row],[Profit]]/Table1[[#This Row],[Total_Sales]]</f>
        <v>0.23302132531844852</v>
      </c>
    </row>
    <row r="1501" spans="1:15" x14ac:dyDescent="0.25">
      <c r="A1501" s="1">
        <v>1500</v>
      </c>
      <c r="B1501" s="2">
        <v>45168</v>
      </c>
      <c r="C1501" s="1" t="s">
        <v>25</v>
      </c>
      <c r="D1501" s="1" t="s">
        <v>22</v>
      </c>
      <c r="E1501" s="1" t="s">
        <v>44</v>
      </c>
      <c r="F1501" s="1" t="s">
        <v>40</v>
      </c>
      <c r="G1501" s="1">
        <v>7</v>
      </c>
      <c r="H1501" s="1">
        <v>477</v>
      </c>
      <c r="I1501" s="1">
        <v>15</v>
      </c>
      <c r="J1501" s="4">
        <v>2838.15</v>
      </c>
      <c r="K1501" s="4">
        <v>1836.55</v>
      </c>
      <c r="L1501" s="4">
        <v>1001.6</v>
      </c>
      <c r="M1501" s="1" t="str">
        <f>TEXT(Table1[[#This Row],[Order_Date]], "MMM")</f>
        <v>Aug</v>
      </c>
      <c r="N1501" s="1">
        <f>YEAR(Table1[[#This Row],[Order_Date]])</f>
        <v>2023</v>
      </c>
      <c r="O1501" s="7">
        <f>Table1[[#This Row],[Profit]]/Table1[[#This Row],[Total_Sales]]</f>
        <v>0.35290594225111427</v>
      </c>
    </row>
    <row r="1502" spans="1:15" x14ac:dyDescent="0.25">
      <c r="A1502" s="1">
        <v>1501</v>
      </c>
      <c r="B1502" s="2">
        <v>45121</v>
      </c>
      <c r="C1502" s="1" t="s">
        <v>19</v>
      </c>
      <c r="D1502" s="1" t="s">
        <v>32</v>
      </c>
      <c r="E1502" s="1" t="s">
        <v>34</v>
      </c>
      <c r="F1502" s="1" t="s">
        <v>24</v>
      </c>
      <c r="G1502" s="1">
        <v>8</v>
      </c>
      <c r="H1502" s="1">
        <v>571</v>
      </c>
      <c r="I1502" s="1">
        <v>0</v>
      </c>
      <c r="J1502" s="4">
        <v>4568</v>
      </c>
      <c r="K1502" s="4">
        <v>2737.47</v>
      </c>
      <c r="L1502" s="4">
        <v>1830.53</v>
      </c>
      <c r="M1502" s="1" t="str">
        <f>TEXT(Table1[[#This Row],[Order_Date]], "MMM")</f>
        <v>Jul</v>
      </c>
      <c r="N1502" s="1">
        <f>YEAR(Table1[[#This Row],[Order_Date]])</f>
        <v>2023</v>
      </c>
      <c r="O1502" s="7">
        <f>Table1[[#This Row],[Profit]]/Table1[[#This Row],[Total_Sales]]</f>
        <v>0.40072898423817865</v>
      </c>
    </row>
    <row r="1503" spans="1:15" x14ac:dyDescent="0.25">
      <c r="A1503" s="1">
        <v>1502</v>
      </c>
      <c r="B1503" s="2">
        <v>44978</v>
      </c>
      <c r="C1503" s="1" t="s">
        <v>19</v>
      </c>
      <c r="D1503" s="1" t="s">
        <v>26</v>
      </c>
      <c r="E1503" s="1" t="s">
        <v>27</v>
      </c>
      <c r="F1503" s="1" t="s">
        <v>24</v>
      </c>
      <c r="G1503" s="1">
        <v>2</v>
      </c>
      <c r="H1503" s="1">
        <v>641</v>
      </c>
      <c r="I1503" s="1">
        <v>10</v>
      </c>
      <c r="J1503" s="4">
        <v>1153.8</v>
      </c>
      <c r="K1503" s="4">
        <v>778.05</v>
      </c>
      <c r="L1503" s="4">
        <v>375.75</v>
      </c>
      <c r="M1503" s="1" t="str">
        <f>TEXT(Table1[[#This Row],[Order_Date]], "MMM")</f>
        <v>Feb</v>
      </c>
      <c r="N1503" s="1">
        <f>YEAR(Table1[[#This Row],[Order_Date]])</f>
        <v>2023</v>
      </c>
      <c r="O1503" s="7">
        <f>Table1[[#This Row],[Profit]]/Table1[[#This Row],[Total_Sales]]</f>
        <v>0.32566302652106083</v>
      </c>
    </row>
    <row r="1504" spans="1:15" x14ac:dyDescent="0.25">
      <c r="A1504" s="1">
        <v>1503</v>
      </c>
      <c r="B1504" s="2">
        <v>45523</v>
      </c>
      <c r="C1504" s="1" t="s">
        <v>25</v>
      </c>
      <c r="D1504" s="1" t="s">
        <v>20</v>
      </c>
      <c r="E1504" s="1" t="s">
        <v>43</v>
      </c>
      <c r="F1504" s="1" t="s">
        <v>18</v>
      </c>
      <c r="G1504" s="1">
        <v>10</v>
      </c>
      <c r="H1504" s="1">
        <v>876</v>
      </c>
      <c r="I1504" s="1">
        <v>5</v>
      </c>
      <c r="J1504" s="4">
        <v>8322</v>
      </c>
      <c r="K1504" s="4">
        <v>4247.92</v>
      </c>
      <c r="L1504" s="4">
        <v>4074.08</v>
      </c>
      <c r="M1504" s="1" t="str">
        <f>TEXT(Table1[[#This Row],[Order_Date]], "MMM")</f>
        <v>Aug</v>
      </c>
      <c r="N1504" s="1">
        <f>YEAR(Table1[[#This Row],[Order_Date]])</f>
        <v>2024</v>
      </c>
      <c r="O1504" s="7">
        <f>Table1[[#This Row],[Profit]]/Table1[[#This Row],[Total_Sales]]</f>
        <v>0.48955539533765918</v>
      </c>
    </row>
    <row r="1505" spans="1:15" x14ac:dyDescent="0.25">
      <c r="A1505" s="1">
        <v>1504</v>
      </c>
      <c r="B1505" s="2">
        <v>45339</v>
      </c>
      <c r="C1505" s="1" t="s">
        <v>25</v>
      </c>
      <c r="D1505" s="1" t="s">
        <v>13</v>
      </c>
      <c r="E1505" s="1" t="s">
        <v>38</v>
      </c>
      <c r="F1505" s="1" t="s">
        <v>18</v>
      </c>
      <c r="G1505" s="1">
        <v>6</v>
      </c>
      <c r="H1505" s="1">
        <v>867</v>
      </c>
      <c r="I1505" s="1">
        <v>0</v>
      </c>
      <c r="J1505" s="4">
        <v>5202</v>
      </c>
      <c r="K1505" s="4">
        <v>3190.98</v>
      </c>
      <c r="L1505" s="4">
        <v>2011.02</v>
      </c>
      <c r="M1505" s="1" t="str">
        <f>TEXT(Table1[[#This Row],[Order_Date]], "MMM")</f>
        <v>Feb</v>
      </c>
      <c r="N1505" s="1">
        <f>YEAR(Table1[[#This Row],[Order_Date]])</f>
        <v>2024</v>
      </c>
      <c r="O1505" s="7">
        <f>Table1[[#This Row],[Profit]]/Table1[[#This Row],[Total_Sales]]</f>
        <v>0.38658592848904266</v>
      </c>
    </row>
    <row r="1506" spans="1:15" x14ac:dyDescent="0.25">
      <c r="A1506" s="1">
        <v>1505</v>
      </c>
      <c r="B1506" s="2">
        <v>45588</v>
      </c>
      <c r="C1506" s="1" t="s">
        <v>19</v>
      </c>
      <c r="D1506" s="1" t="s">
        <v>26</v>
      </c>
      <c r="E1506" s="1" t="s">
        <v>37</v>
      </c>
      <c r="F1506" s="1" t="s">
        <v>40</v>
      </c>
      <c r="G1506" s="1">
        <v>1</v>
      </c>
      <c r="H1506" s="1">
        <v>977</v>
      </c>
      <c r="I1506" s="1">
        <v>15</v>
      </c>
      <c r="J1506" s="4">
        <v>830.45</v>
      </c>
      <c r="K1506" s="4">
        <v>609.5</v>
      </c>
      <c r="L1506" s="4">
        <v>220.95</v>
      </c>
      <c r="M1506" s="1" t="str">
        <f>TEXT(Table1[[#This Row],[Order_Date]], "MMM")</f>
        <v>Oct</v>
      </c>
      <c r="N1506" s="1">
        <f>YEAR(Table1[[#This Row],[Order_Date]])</f>
        <v>2024</v>
      </c>
      <c r="O1506" s="7">
        <f>Table1[[#This Row],[Profit]]/Table1[[#This Row],[Total_Sales]]</f>
        <v>0.26606056957071467</v>
      </c>
    </row>
    <row r="1507" spans="1:15" x14ac:dyDescent="0.25">
      <c r="A1507" s="1">
        <v>1506</v>
      </c>
      <c r="B1507" s="2">
        <v>45330</v>
      </c>
      <c r="C1507" s="1" t="s">
        <v>16</v>
      </c>
      <c r="D1507" s="1" t="s">
        <v>20</v>
      </c>
      <c r="E1507" s="1" t="s">
        <v>28</v>
      </c>
      <c r="F1507" s="1" t="s">
        <v>18</v>
      </c>
      <c r="G1507" s="1">
        <v>3</v>
      </c>
      <c r="H1507" s="1">
        <v>489</v>
      </c>
      <c r="I1507" s="1">
        <v>0</v>
      </c>
      <c r="J1507" s="4">
        <v>1467</v>
      </c>
      <c r="K1507" s="4">
        <v>1159.32</v>
      </c>
      <c r="L1507" s="4">
        <v>307.68</v>
      </c>
      <c r="M1507" s="1" t="str">
        <f>TEXT(Table1[[#This Row],[Order_Date]], "MMM")</f>
        <v>Feb</v>
      </c>
      <c r="N1507" s="1">
        <f>YEAR(Table1[[#This Row],[Order_Date]])</f>
        <v>2024</v>
      </c>
      <c r="O1507" s="7">
        <f>Table1[[#This Row],[Profit]]/Table1[[#This Row],[Total_Sales]]</f>
        <v>0.20973415132924336</v>
      </c>
    </row>
    <row r="1508" spans="1:15" x14ac:dyDescent="0.25">
      <c r="A1508" s="1">
        <v>1507</v>
      </c>
      <c r="B1508" s="2">
        <v>45259</v>
      </c>
      <c r="C1508" s="1" t="s">
        <v>25</v>
      </c>
      <c r="D1508" s="1" t="s">
        <v>20</v>
      </c>
      <c r="E1508" s="1" t="s">
        <v>43</v>
      </c>
      <c r="F1508" s="1" t="s">
        <v>31</v>
      </c>
      <c r="G1508" s="1">
        <v>4</v>
      </c>
      <c r="H1508" s="1">
        <v>75</v>
      </c>
      <c r="I1508" s="1">
        <v>5</v>
      </c>
      <c r="J1508" s="4">
        <v>285</v>
      </c>
      <c r="K1508" s="4">
        <v>145.78</v>
      </c>
      <c r="L1508" s="4">
        <v>139.22</v>
      </c>
      <c r="M1508" s="1" t="str">
        <f>TEXT(Table1[[#This Row],[Order_Date]], "MMM")</f>
        <v>Nov</v>
      </c>
      <c r="N1508" s="1">
        <f>YEAR(Table1[[#This Row],[Order_Date]])</f>
        <v>2023</v>
      </c>
      <c r="O1508" s="7">
        <f>Table1[[#This Row],[Profit]]/Table1[[#This Row],[Total_Sales]]</f>
        <v>0.48849122807017542</v>
      </c>
    </row>
    <row r="1509" spans="1:15" x14ac:dyDescent="0.25">
      <c r="A1509" s="1">
        <v>1508</v>
      </c>
      <c r="B1509" s="2">
        <v>45098</v>
      </c>
      <c r="C1509" s="1" t="s">
        <v>16</v>
      </c>
      <c r="D1509" s="1" t="s">
        <v>26</v>
      </c>
      <c r="E1509" s="1" t="s">
        <v>46</v>
      </c>
      <c r="F1509" s="1" t="s">
        <v>15</v>
      </c>
      <c r="G1509" s="1">
        <v>3</v>
      </c>
      <c r="H1509" s="1">
        <v>788</v>
      </c>
      <c r="I1509" s="1">
        <v>0</v>
      </c>
      <c r="J1509" s="4">
        <v>2364</v>
      </c>
      <c r="K1509" s="4">
        <v>1577.39</v>
      </c>
      <c r="L1509" s="4">
        <v>786.61</v>
      </c>
      <c r="M1509" s="1" t="str">
        <f>TEXT(Table1[[#This Row],[Order_Date]], "MMM")</f>
        <v>Jun</v>
      </c>
      <c r="N1509" s="1">
        <f>YEAR(Table1[[#This Row],[Order_Date]])</f>
        <v>2023</v>
      </c>
      <c r="O1509" s="7">
        <f>Table1[[#This Row],[Profit]]/Table1[[#This Row],[Total_Sales]]</f>
        <v>0.33274534686971236</v>
      </c>
    </row>
    <row r="1510" spans="1:15" x14ac:dyDescent="0.25">
      <c r="A1510" s="1">
        <v>1509</v>
      </c>
      <c r="B1510" s="2">
        <v>44963</v>
      </c>
      <c r="C1510" s="1" t="s">
        <v>16</v>
      </c>
      <c r="D1510" s="1" t="s">
        <v>20</v>
      </c>
      <c r="E1510" s="1" t="s">
        <v>21</v>
      </c>
      <c r="F1510" s="1" t="s">
        <v>15</v>
      </c>
      <c r="G1510" s="1">
        <v>6</v>
      </c>
      <c r="H1510" s="1">
        <v>999</v>
      </c>
      <c r="I1510" s="1">
        <v>5</v>
      </c>
      <c r="J1510" s="4">
        <v>5694.3</v>
      </c>
      <c r="K1510" s="4">
        <v>3914.51</v>
      </c>
      <c r="L1510" s="4">
        <v>1779.79</v>
      </c>
      <c r="M1510" s="1" t="str">
        <f>TEXT(Table1[[#This Row],[Order_Date]], "MMM")</f>
        <v>Feb</v>
      </c>
      <c r="N1510" s="1">
        <f>YEAR(Table1[[#This Row],[Order_Date]])</f>
        <v>2023</v>
      </c>
      <c r="O1510" s="7">
        <f>Table1[[#This Row],[Profit]]/Table1[[#This Row],[Total_Sales]]</f>
        <v>0.31255641606518797</v>
      </c>
    </row>
    <row r="1511" spans="1:15" x14ac:dyDescent="0.25">
      <c r="A1511" s="1">
        <v>1510</v>
      </c>
      <c r="B1511" s="2">
        <v>45633</v>
      </c>
      <c r="C1511" s="1" t="s">
        <v>25</v>
      </c>
      <c r="D1511" s="1" t="s">
        <v>26</v>
      </c>
      <c r="E1511" s="1" t="s">
        <v>27</v>
      </c>
      <c r="F1511" s="1" t="s">
        <v>31</v>
      </c>
      <c r="G1511" s="1">
        <v>10</v>
      </c>
      <c r="H1511" s="1">
        <v>18</v>
      </c>
      <c r="I1511" s="1">
        <v>10</v>
      </c>
      <c r="J1511" s="4">
        <v>162</v>
      </c>
      <c r="K1511" s="4">
        <v>121.63</v>
      </c>
      <c r="L1511" s="4">
        <v>40.369999999999997</v>
      </c>
      <c r="M1511" s="1" t="str">
        <f>TEXT(Table1[[#This Row],[Order_Date]], "MMM")</f>
        <v>Dec</v>
      </c>
      <c r="N1511" s="1">
        <f>YEAR(Table1[[#This Row],[Order_Date]])</f>
        <v>2024</v>
      </c>
      <c r="O1511" s="7">
        <f>Table1[[#This Row],[Profit]]/Table1[[#This Row],[Total_Sales]]</f>
        <v>0.24919753086419752</v>
      </c>
    </row>
    <row r="1512" spans="1:15" x14ac:dyDescent="0.25">
      <c r="A1512" s="1">
        <v>1511</v>
      </c>
      <c r="B1512" s="2">
        <v>45173</v>
      </c>
      <c r="C1512" s="1" t="s">
        <v>16</v>
      </c>
      <c r="D1512" s="1" t="s">
        <v>32</v>
      </c>
      <c r="E1512" s="1" t="s">
        <v>45</v>
      </c>
      <c r="F1512" s="1" t="s">
        <v>40</v>
      </c>
      <c r="G1512" s="1">
        <v>9</v>
      </c>
      <c r="H1512" s="1">
        <v>759</v>
      </c>
      <c r="I1512" s="1">
        <v>0</v>
      </c>
      <c r="J1512" s="4">
        <v>6831</v>
      </c>
      <c r="K1512" s="4">
        <v>4835.0200000000004</v>
      </c>
      <c r="L1512" s="4">
        <v>1995.98</v>
      </c>
      <c r="M1512" s="1" t="str">
        <f>TEXT(Table1[[#This Row],[Order_Date]], "MMM")</f>
        <v>Sep</v>
      </c>
      <c r="N1512" s="1">
        <f>YEAR(Table1[[#This Row],[Order_Date]])</f>
        <v>2023</v>
      </c>
      <c r="O1512" s="7">
        <f>Table1[[#This Row],[Profit]]/Table1[[#This Row],[Total_Sales]]</f>
        <v>0.29219440784658174</v>
      </c>
    </row>
    <row r="1513" spans="1:15" x14ac:dyDescent="0.25">
      <c r="A1513" s="1">
        <v>1512</v>
      </c>
      <c r="B1513" s="2">
        <v>45141</v>
      </c>
      <c r="C1513" s="1" t="s">
        <v>19</v>
      </c>
      <c r="D1513" s="1" t="s">
        <v>13</v>
      </c>
      <c r="E1513" s="1" t="s">
        <v>17</v>
      </c>
      <c r="F1513" s="1" t="s">
        <v>18</v>
      </c>
      <c r="G1513" s="1">
        <v>9</v>
      </c>
      <c r="H1513" s="1">
        <v>463</v>
      </c>
      <c r="I1513" s="1">
        <v>0</v>
      </c>
      <c r="J1513" s="4">
        <v>4167</v>
      </c>
      <c r="K1513" s="4">
        <v>2924.94</v>
      </c>
      <c r="L1513" s="4">
        <v>1242.06</v>
      </c>
      <c r="M1513" s="1" t="str">
        <f>TEXT(Table1[[#This Row],[Order_Date]], "MMM")</f>
        <v>Aug</v>
      </c>
      <c r="N1513" s="1">
        <f>YEAR(Table1[[#This Row],[Order_Date]])</f>
        <v>2023</v>
      </c>
      <c r="O1513" s="7">
        <f>Table1[[#This Row],[Profit]]/Table1[[#This Row],[Total_Sales]]</f>
        <v>0.29807055435565155</v>
      </c>
    </row>
    <row r="1514" spans="1:15" x14ac:dyDescent="0.25">
      <c r="A1514" s="1">
        <v>1513</v>
      </c>
      <c r="B1514" s="2">
        <v>45302</v>
      </c>
      <c r="C1514" s="1" t="s">
        <v>25</v>
      </c>
      <c r="D1514" s="1" t="s">
        <v>22</v>
      </c>
      <c r="E1514" s="1" t="s">
        <v>23</v>
      </c>
      <c r="F1514" s="1" t="s">
        <v>31</v>
      </c>
      <c r="G1514" s="1">
        <v>7</v>
      </c>
      <c r="H1514" s="1">
        <v>259</v>
      </c>
      <c r="I1514" s="1">
        <v>20</v>
      </c>
      <c r="J1514" s="4">
        <v>1450.4</v>
      </c>
      <c r="K1514" s="4">
        <v>1062.54</v>
      </c>
      <c r="L1514" s="4">
        <v>387.86</v>
      </c>
      <c r="M1514" s="1" t="str">
        <f>TEXT(Table1[[#This Row],[Order_Date]], "MMM")</f>
        <v>Jan</v>
      </c>
      <c r="N1514" s="1">
        <f>YEAR(Table1[[#This Row],[Order_Date]])</f>
        <v>2024</v>
      </c>
      <c r="O1514" s="7">
        <f>Table1[[#This Row],[Profit]]/Table1[[#This Row],[Total_Sales]]</f>
        <v>0.26741588527302812</v>
      </c>
    </row>
    <row r="1515" spans="1:15" x14ac:dyDescent="0.25">
      <c r="A1515" s="1">
        <v>1514</v>
      </c>
      <c r="B1515" s="2">
        <v>44949</v>
      </c>
      <c r="C1515" s="1" t="s">
        <v>25</v>
      </c>
      <c r="D1515" s="1" t="s">
        <v>20</v>
      </c>
      <c r="E1515" s="1" t="s">
        <v>21</v>
      </c>
      <c r="F1515" s="1" t="s">
        <v>31</v>
      </c>
      <c r="G1515" s="1">
        <v>8</v>
      </c>
      <c r="H1515" s="1">
        <v>558</v>
      </c>
      <c r="I1515" s="1">
        <v>15</v>
      </c>
      <c r="J1515" s="4">
        <v>3794.4</v>
      </c>
      <c r="K1515" s="4">
        <v>2355.41</v>
      </c>
      <c r="L1515" s="4">
        <v>1438.99</v>
      </c>
      <c r="M1515" s="1" t="str">
        <f>TEXT(Table1[[#This Row],[Order_Date]], "MMM")</f>
        <v>Jan</v>
      </c>
      <c r="N1515" s="1">
        <f>YEAR(Table1[[#This Row],[Order_Date]])</f>
        <v>2023</v>
      </c>
      <c r="O1515" s="7">
        <f>Table1[[#This Row],[Profit]]/Table1[[#This Row],[Total_Sales]]</f>
        <v>0.37924045962471009</v>
      </c>
    </row>
    <row r="1516" spans="1:15" x14ac:dyDescent="0.25">
      <c r="A1516" s="1">
        <v>1515</v>
      </c>
      <c r="B1516" s="2">
        <v>45116</v>
      </c>
      <c r="C1516" s="1" t="s">
        <v>12</v>
      </c>
      <c r="D1516" s="1" t="s">
        <v>32</v>
      </c>
      <c r="E1516" s="1" t="s">
        <v>45</v>
      </c>
      <c r="F1516" s="1" t="s">
        <v>35</v>
      </c>
      <c r="G1516" s="1">
        <v>1</v>
      </c>
      <c r="H1516" s="1">
        <v>296</v>
      </c>
      <c r="I1516" s="1">
        <v>5</v>
      </c>
      <c r="J1516" s="4">
        <v>281.2</v>
      </c>
      <c r="K1516" s="4">
        <v>143.16</v>
      </c>
      <c r="L1516" s="4">
        <v>138.04</v>
      </c>
      <c r="M1516" s="1" t="str">
        <f>TEXT(Table1[[#This Row],[Order_Date]], "MMM")</f>
        <v>Jul</v>
      </c>
      <c r="N1516" s="1">
        <f>YEAR(Table1[[#This Row],[Order_Date]])</f>
        <v>2023</v>
      </c>
      <c r="O1516" s="7">
        <f>Table1[[#This Row],[Profit]]/Table1[[#This Row],[Total_Sales]]</f>
        <v>0.49089615931721192</v>
      </c>
    </row>
    <row r="1517" spans="1:15" x14ac:dyDescent="0.25">
      <c r="A1517" s="1">
        <v>1516</v>
      </c>
      <c r="B1517" s="2">
        <v>45457</v>
      </c>
      <c r="C1517" s="1" t="s">
        <v>19</v>
      </c>
      <c r="D1517" s="1" t="s">
        <v>26</v>
      </c>
      <c r="E1517" s="1" t="s">
        <v>46</v>
      </c>
      <c r="F1517" s="1" t="s">
        <v>40</v>
      </c>
      <c r="G1517" s="1">
        <v>5</v>
      </c>
      <c r="H1517" s="1">
        <v>617</v>
      </c>
      <c r="I1517" s="1">
        <v>10</v>
      </c>
      <c r="J1517" s="4">
        <v>2776.5</v>
      </c>
      <c r="K1517" s="4">
        <v>2215.92</v>
      </c>
      <c r="L1517" s="4">
        <v>560.58000000000004</v>
      </c>
      <c r="M1517" s="1" t="str">
        <f>TEXT(Table1[[#This Row],[Order_Date]], "MMM")</f>
        <v>Jun</v>
      </c>
      <c r="N1517" s="1">
        <f>YEAR(Table1[[#This Row],[Order_Date]])</f>
        <v>2024</v>
      </c>
      <c r="O1517" s="7">
        <f>Table1[[#This Row],[Profit]]/Table1[[#This Row],[Total_Sales]]</f>
        <v>0.20190167477039439</v>
      </c>
    </row>
    <row r="1518" spans="1:15" x14ac:dyDescent="0.25">
      <c r="A1518" s="1">
        <v>1517</v>
      </c>
      <c r="B1518" s="2">
        <v>45225</v>
      </c>
      <c r="C1518" s="1" t="s">
        <v>19</v>
      </c>
      <c r="D1518" s="1" t="s">
        <v>22</v>
      </c>
      <c r="E1518" s="1" t="s">
        <v>44</v>
      </c>
      <c r="F1518" s="1" t="s">
        <v>40</v>
      </c>
      <c r="G1518" s="1">
        <v>3</v>
      </c>
      <c r="H1518" s="1">
        <v>217</v>
      </c>
      <c r="I1518" s="1">
        <v>10</v>
      </c>
      <c r="J1518" s="4">
        <v>585.9</v>
      </c>
      <c r="K1518" s="4">
        <v>309.12</v>
      </c>
      <c r="L1518" s="4">
        <v>276.77999999999997</v>
      </c>
      <c r="M1518" s="1" t="str">
        <f>TEXT(Table1[[#This Row],[Order_Date]], "MMM")</f>
        <v>Oct</v>
      </c>
      <c r="N1518" s="1">
        <f>YEAR(Table1[[#This Row],[Order_Date]])</f>
        <v>2023</v>
      </c>
      <c r="O1518" s="7">
        <f>Table1[[#This Row],[Profit]]/Table1[[#This Row],[Total_Sales]]</f>
        <v>0.47240143369175625</v>
      </c>
    </row>
    <row r="1519" spans="1:15" x14ac:dyDescent="0.25">
      <c r="A1519" s="1">
        <v>1518</v>
      </c>
      <c r="B1519" s="2">
        <v>45124</v>
      </c>
      <c r="C1519" s="1" t="s">
        <v>12</v>
      </c>
      <c r="D1519" s="1" t="s">
        <v>13</v>
      </c>
      <c r="E1519" s="1" t="s">
        <v>17</v>
      </c>
      <c r="F1519" s="1" t="s">
        <v>31</v>
      </c>
      <c r="G1519" s="1">
        <v>3</v>
      </c>
      <c r="H1519" s="1">
        <v>316</v>
      </c>
      <c r="I1519" s="1">
        <v>15</v>
      </c>
      <c r="J1519" s="4">
        <v>805.8</v>
      </c>
      <c r="K1519" s="4">
        <v>431.71</v>
      </c>
      <c r="L1519" s="4">
        <v>374.09</v>
      </c>
      <c r="M1519" s="1" t="str">
        <f>TEXT(Table1[[#This Row],[Order_Date]], "MMM")</f>
        <v>Jul</v>
      </c>
      <c r="N1519" s="1">
        <f>YEAR(Table1[[#This Row],[Order_Date]])</f>
        <v>2023</v>
      </c>
      <c r="O1519" s="7">
        <f>Table1[[#This Row],[Profit]]/Table1[[#This Row],[Total_Sales]]</f>
        <v>0.46424671134276496</v>
      </c>
    </row>
    <row r="1520" spans="1:15" x14ac:dyDescent="0.25">
      <c r="A1520" s="1">
        <v>1519</v>
      </c>
      <c r="B1520" s="2">
        <v>45629</v>
      </c>
      <c r="C1520" s="1" t="s">
        <v>19</v>
      </c>
      <c r="D1520" s="1" t="s">
        <v>26</v>
      </c>
      <c r="E1520" s="1" t="s">
        <v>27</v>
      </c>
      <c r="F1520" s="1" t="s">
        <v>18</v>
      </c>
      <c r="G1520" s="1">
        <v>7</v>
      </c>
      <c r="H1520" s="1">
        <v>50</v>
      </c>
      <c r="I1520" s="1">
        <v>20</v>
      </c>
      <c r="J1520" s="4">
        <v>280</v>
      </c>
      <c r="K1520" s="4">
        <v>223.92</v>
      </c>
      <c r="L1520" s="4">
        <v>56.08</v>
      </c>
      <c r="M1520" s="1" t="str">
        <f>TEXT(Table1[[#This Row],[Order_Date]], "MMM")</f>
        <v>Dec</v>
      </c>
      <c r="N1520" s="1">
        <f>YEAR(Table1[[#This Row],[Order_Date]])</f>
        <v>2024</v>
      </c>
      <c r="O1520" s="7">
        <f>Table1[[#This Row],[Profit]]/Table1[[#This Row],[Total_Sales]]</f>
        <v>0.20028571428571429</v>
      </c>
    </row>
    <row r="1521" spans="1:15" x14ac:dyDescent="0.25">
      <c r="A1521" s="1">
        <v>1520</v>
      </c>
      <c r="B1521" s="2">
        <v>45314</v>
      </c>
      <c r="C1521" s="1" t="s">
        <v>16</v>
      </c>
      <c r="D1521" s="1" t="s">
        <v>26</v>
      </c>
      <c r="E1521" s="1" t="s">
        <v>37</v>
      </c>
      <c r="F1521" s="1" t="s">
        <v>31</v>
      </c>
      <c r="G1521" s="1">
        <v>8</v>
      </c>
      <c r="H1521" s="1">
        <v>172</v>
      </c>
      <c r="I1521" s="1">
        <v>10</v>
      </c>
      <c r="J1521" s="4">
        <v>1238.4000000000001</v>
      </c>
      <c r="K1521" s="4">
        <v>659.83</v>
      </c>
      <c r="L1521" s="4">
        <v>578.57000000000005</v>
      </c>
      <c r="M1521" s="1" t="str">
        <f>TEXT(Table1[[#This Row],[Order_Date]], "MMM")</f>
        <v>Jan</v>
      </c>
      <c r="N1521" s="1">
        <f>YEAR(Table1[[#This Row],[Order_Date]])</f>
        <v>2024</v>
      </c>
      <c r="O1521" s="7">
        <f>Table1[[#This Row],[Profit]]/Table1[[#This Row],[Total_Sales]]</f>
        <v>0.46719153746770026</v>
      </c>
    </row>
    <row r="1522" spans="1:15" x14ac:dyDescent="0.25">
      <c r="A1522" s="1">
        <v>1521</v>
      </c>
      <c r="B1522" s="2">
        <v>45086</v>
      </c>
      <c r="C1522" s="1" t="s">
        <v>19</v>
      </c>
      <c r="D1522" s="1" t="s">
        <v>13</v>
      </c>
      <c r="E1522" s="1" t="s">
        <v>39</v>
      </c>
      <c r="F1522" s="1" t="s">
        <v>31</v>
      </c>
      <c r="G1522" s="1">
        <v>6</v>
      </c>
      <c r="H1522" s="1">
        <v>10</v>
      </c>
      <c r="I1522" s="1">
        <v>15</v>
      </c>
      <c r="J1522" s="4">
        <v>51</v>
      </c>
      <c r="K1522" s="4">
        <v>33.11</v>
      </c>
      <c r="L1522" s="4">
        <v>17.89</v>
      </c>
      <c r="M1522" s="1" t="str">
        <f>TEXT(Table1[[#This Row],[Order_Date]], "MMM")</f>
        <v>Jun</v>
      </c>
      <c r="N1522" s="1">
        <f>YEAR(Table1[[#This Row],[Order_Date]])</f>
        <v>2023</v>
      </c>
      <c r="O1522" s="7">
        <f>Table1[[#This Row],[Profit]]/Table1[[#This Row],[Total_Sales]]</f>
        <v>0.35078431372549018</v>
      </c>
    </row>
    <row r="1523" spans="1:15" x14ac:dyDescent="0.25">
      <c r="A1523" s="1">
        <v>1522</v>
      </c>
      <c r="B1523" s="2">
        <v>45645</v>
      </c>
      <c r="C1523" s="1" t="s">
        <v>16</v>
      </c>
      <c r="D1523" s="1" t="s">
        <v>20</v>
      </c>
      <c r="E1523" s="1" t="s">
        <v>43</v>
      </c>
      <c r="F1523" s="1" t="s">
        <v>31</v>
      </c>
      <c r="G1523" s="1">
        <v>5</v>
      </c>
      <c r="H1523" s="1">
        <v>223</v>
      </c>
      <c r="I1523" s="1">
        <v>5</v>
      </c>
      <c r="J1523" s="4">
        <v>1059.25</v>
      </c>
      <c r="K1523" s="4">
        <v>656.12</v>
      </c>
      <c r="L1523" s="4">
        <v>403.13</v>
      </c>
      <c r="M1523" s="1" t="str">
        <f>TEXT(Table1[[#This Row],[Order_Date]], "MMM")</f>
        <v>Dec</v>
      </c>
      <c r="N1523" s="1">
        <f>YEAR(Table1[[#This Row],[Order_Date]])</f>
        <v>2024</v>
      </c>
      <c r="O1523" s="7">
        <f>Table1[[#This Row],[Profit]]/Table1[[#This Row],[Total_Sales]]</f>
        <v>0.38058059948076467</v>
      </c>
    </row>
    <row r="1524" spans="1:15" x14ac:dyDescent="0.25">
      <c r="A1524" s="1">
        <v>1523</v>
      </c>
      <c r="B1524" s="2">
        <v>45078</v>
      </c>
      <c r="C1524" s="1" t="s">
        <v>12</v>
      </c>
      <c r="D1524" s="1" t="s">
        <v>32</v>
      </c>
      <c r="E1524" s="1" t="s">
        <v>45</v>
      </c>
      <c r="F1524" s="1" t="s">
        <v>15</v>
      </c>
      <c r="G1524" s="1">
        <v>4</v>
      </c>
      <c r="H1524" s="1">
        <v>301</v>
      </c>
      <c r="I1524" s="1">
        <v>5</v>
      </c>
      <c r="J1524" s="4">
        <v>1143.8</v>
      </c>
      <c r="K1524" s="4">
        <v>742.91</v>
      </c>
      <c r="L1524" s="4">
        <v>400.89</v>
      </c>
      <c r="M1524" s="1" t="str">
        <f>TEXT(Table1[[#This Row],[Order_Date]], "MMM")</f>
        <v>Jun</v>
      </c>
      <c r="N1524" s="1">
        <f>YEAR(Table1[[#This Row],[Order_Date]])</f>
        <v>2023</v>
      </c>
      <c r="O1524" s="7">
        <f>Table1[[#This Row],[Profit]]/Table1[[#This Row],[Total_Sales]]</f>
        <v>0.35048959608323133</v>
      </c>
    </row>
    <row r="1525" spans="1:15" x14ac:dyDescent="0.25">
      <c r="A1525" s="1">
        <v>1524</v>
      </c>
      <c r="B1525" s="2">
        <v>45410</v>
      </c>
      <c r="C1525" s="1" t="s">
        <v>25</v>
      </c>
      <c r="D1525" s="1" t="s">
        <v>20</v>
      </c>
      <c r="E1525" s="1" t="s">
        <v>30</v>
      </c>
      <c r="F1525" s="1" t="s">
        <v>15</v>
      </c>
      <c r="G1525" s="1">
        <v>6</v>
      </c>
      <c r="H1525" s="1">
        <v>817</v>
      </c>
      <c r="I1525" s="1">
        <v>5</v>
      </c>
      <c r="J1525" s="4">
        <v>4656.8999999999996</v>
      </c>
      <c r="K1525" s="4">
        <v>3346.74</v>
      </c>
      <c r="L1525" s="4">
        <v>1310.1600000000001</v>
      </c>
      <c r="M1525" s="1" t="str">
        <f>TEXT(Table1[[#This Row],[Order_Date]], "MMM")</f>
        <v>Apr</v>
      </c>
      <c r="N1525" s="1">
        <f>YEAR(Table1[[#This Row],[Order_Date]])</f>
        <v>2024</v>
      </c>
      <c r="O1525" s="7">
        <f>Table1[[#This Row],[Profit]]/Table1[[#This Row],[Total_Sales]]</f>
        <v>0.28133737035366879</v>
      </c>
    </row>
    <row r="1526" spans="1:15" x14ac:dyDescent="0.25">
      <c r="A1526" s="1">
        <v>1525</v>
      </c>
      <c r="B1526" s="2">
        <v>45164</v>
      </c>
      <c r="C1526" s="1" t="s">
        <v>19</v>
      </c>
      <c r="D1526" s="1" t="s">
        <v>13</v>
      </c>
      <c r="E1526" s="1" t="s">
        <v>39</v>
      </c>
      <c r="F1526" s="1" t="s">
        <v>24</v>
      </c>
      <c r="G1526" s="1">
        <v>9</v>
      </c>
      <c r="H1526" s="1">
        <v>430</v>
      </c>
      <c r="I1526" s="1">
        <v>15</v>
      </c>
      <c r="J1526" s="4">
        <v>3289.5</v>
      </c>
      <c r="K1526" s="4">
        <v>1770.81</v>
      </c>
      <c r="L1526" s="4">
        <v>1518.69</v>
      </c>
      <c r="M1526" s="1" t="str">
        <f>TEXT(Table1[[#This Row],[Order_Date]], "MMM")</f>
        <v>Aug</v>
      </c>
      <c r="N1526" s="1">
        <f>YEAR(Table1[[#This Row],[Order_Date]])</f>
        <v>2023</v>
      </c>
      <c r="O1526" s="7">
        <f>Table1[[#This Row],[Profit]]/Table1[[#This Row],[Total_Sales]]</f>
        <v>0.46167806657546739</v>
      </c>
    </row>
    <row r="1527" spans="1:15" x14ac:dyDescent="0.25">
      <c r="A1527" s="1">
        <v>1526</v>
      </c>
      <c r="B1527" s="2">
        <v>45048</v>
      </c>
      <c r="C1527" s="1" t="s">
        <v>16</v>
      </c>
      <c r="D1527" s="1" t="s">
        <v>20</v>
      </c>
      <c r="E1527" s="1" t="s">
        <v>28</v>
      </c>
      <c r="F1527" s="1" t="s">
        <v>18</v>
      </c>
      <c r="G1527" s="1">
        <v>10</v>
      </c>
      <c r="H1527" s="1">
        <v>575</v>
      </c>
      <c r="I1527" s="1">
        <v>20</v>
      </c>
      <c r="J1527" s="4">
        <v>4600</v>
      </c>
      <c r="K1527" s="4">
        <v>2375.39</v>
      </c>
      <c r="L1527" s="4">
        <v>2224.61</v>
      </c>
      <c r="M1527" s="1" t="str">
        <f>TEXT(Table1[[#This Row],[Order_Date]], "MMM")</f>
        <v>May</v>
      </c>
      <c r="N1527" s="1">
        <f>YEAR(Table1[[#This Row],[Order_Date]])</f>
        <v>2023</v>
      </c>
      <c r="O1527" s="7">
        <f>Table1[[#This Row],[Profit]]/Table1[[#This Row],[Total_Sales]]</f>
        <v>0.48361086956521743</v>
      </c>
    </row>
    <row r="1528" spans="1:15" x14ac:dyDescent="0.25">
      <c r="A1528" s="1">
        <v>1527</v>
      </c>
      <c r="B1528" s="2">
        <v>45272</v>
      </c>
      <c r="C1528" s="1" t="s">
        <v>19</v>
      </c>
      <c r="D1528" s="1" t="s">
        <v>32</v>
      </c>
      <c r="E1528" s="1" t="s">
        <v>34</v>
      </c>
      <c r="F1528" s="1" t="s">
        <v>15</v>
      </c>
      <c r="G1528" s="1">
        <v>9</v>
      </c>
      <c r="H1528" s="1">
        <v>840</v>
      </c>
      <c r="I1528" s="1">
        <v>15</v>
      </c>
      <c r="J1528" s="4">
        <v>6426</v>
      </c>
      <c r="K1528" s="4">
        <v>3659.7</v>
      </c>
      <c r="L1528" s="4">
        <v>2766.3</v>
      </c>
      <c r="M1528" s="1" t="str">
        <f>TEXT(Table1[[#This Row],[Order_Date]], "MMM")</f>
        <v>Dec</v>
      </c>
      <c r="N1528" s="1">
        <f>YEAR(Table1[[#This Row],[Order_Date]])</f>
        <v>2023</v>
      </c>
      <c r="O1528" s="7">
        <f>Table1[[#This Row],[Profit]]/Table1[[#This Row],[Total_Sales]]</f>
        <v>0.4304855275443511</v>
      </c>
    </row>
    <row r="1529" spans="1:15" x14ac:dyDescent="0.25">
      <c r="A1529" s="1">
        <v>1528</v>
      </c>
      <c r="B1529" s="2">
        <v>45300</v>
      </c>
      <c r="C1529" s="1" t="s">
        <v>16</v>
      </c>
      <c r="D1529" s="1" t="s">
        <v>13</v>
      </c>
      <c r="E1529" s="1" t="s">
        <v>14</v>
      </c>
      <c r="F1529" s="1" t="s">
        <v>15</v>
      </c>
      <c r="G1529" s="1">
        <v>10</v>
      </c>
      <c r="H1529" s="1">
        <v>134</v>
      </c>
      <c r="I1529" s="1">
        <v>15</v>
      </c>
      <c r="J1529" s="4">
        <v>1139</v>
      </c>
      <c r="K1529" s="4">
        <v>817.14</v>
      </c>
      <c r="L1529" s="4">
        <v>321.86</v>
      </c>
      <c r="M1529" s="1" t="str">
        <f>TEXT(Table1[[#This Row],[Order_Date]], "MMM")</f>
        <v>Jan</v>
      </c>
      <c r="N1529" s="1">
        <f>YEAR(Table1[[#This Row],[Order_Date]])</f>
        <v>2024</v>
      </c>
      <c r="O1529" s="7">
        <f>Table1[[#This Row],[Profit]]/Table1[[#This Row],[Total_Sales]]</f>
        <v>0.28258121158911326</v>
      </c>
    </row>
    <row r="1530" spans="1:15" x14ac:dyDescent="0.25">
      <c r="A1530" s="1">
        <v>1529</v>
      </c>
      <c r="B1530" s="2">
        <v>45450</v>
      </c>
      <c r="C1530" s="1" t="s">
        <v>16</v>
      </c>
      <c r="D1530" s="1" t="s">
        <v>32</v>
      </c>
      <c r="E1530" s="1" t="s">
        <v>41</v>
      </c>
      <c r="F1530" s="1" t="s">
        <v>18</v>
      </c>
      <c r="G1530" s="1">
        <v>1</v>
      </c>
      <c r="H1530" s="1">
        <v>287</v>
      </c>
      <c r="I1530" s="1">
        <v>5</v>
      </c>
      <c r="J1530" s="4">
        <v>272.64999999999998</v>
      </c>
      <c r="K1530" s="4">
        <v>200.11</v>
      </c>
      <c r="L1530" s="4">
        <v>72.540000000000006</v>
      </c>
      <c r="M1530" s="1" t="str">
        <f>TEXT(Table1[[#This Row],[Order_Date]], "MMM")</f>
        <v>Jun</v>
      </c>
      <c r="N1530" s="1">
        <f>YEAR(Table1[[#This Row],[Order_Date]])</f>
        <v>2024</v>
      </c>
      <c r="O1530" s="7">
        <f>Table1[[#This Row],[Profit]]/Table1[[#This Row],[Total_Sales]]</f>
        <v>0.26605538235833492</v>
      </c>
    </row>
    <row r="1531" spans="1:15" x14ac:dyDescent="0.25">
      <c r="A1531" s="1">
        <v>1530</v>
      </c>
      <c r="B1531" s="2">
        <v>45073</v>
      </c>
      <c r="C1531" s="1" t="s">
        <v>12</v>
      </c>
      <c r="D1531" s="1" t="s">
        <v>13</v>
      </c>
      <c r="E1531" s="1" t="s">
        <v>39</v>
      </c>
      <c r="F1531" s="1" t="s">
        <v>24</v>
      </c>
      <c r="G1531" s="1">
        <v>4</v>
      </c>
      <c r="H1531" s="1">
        <v>349</v>
      </c>
      <c r="I1531" s="1">
        <v>20</v>
      </c>
      <c r="J1531" s="4">
        <v>1116.8</v>
      </c>
      <c r="K1531" s="4">
        <v>731.84</v>
      </c>
      <c r="L1531" s="4">
        <v>384.96</v>
      </c>
      <c r="M1531" s="1" t="str">
        <f>TEXT(Table1[[#This Row],[Order_Date]], "MMM")</f>
        <v>May</v>
      </c>
      <c r="N1531" s="1">
        <f>YEAR(Table1[[#This Row],[Order_Date]])</f>
        <v>2023</v>
      </c>
      <c r="O1531" s="7">
        <f>Table1[[#This Row],[Profit]]/Table1[[#This Row],[Total_Sales]]</f>
        <v>0.34469914040114613</v>
      </c>
    </row>
    <row r="1532" spans="1:15" x14ac:dyDescent="0.25">
      <c r="A1532" s="1">
        <v>1531</v>
      </c>
      <c r="B1532" s="2">
        <v>45496</v>
      </c>
      <c r="C1532" s="1" t="s">
        <v>16</v>
      </c>
      <c r="D1532" s="1" t="s">
        <v>26</v>
      </c>
      <c r="E1532" s="1" t="s">
        <v>46</v>
      </c>
      <c r="F1532" s="1" t="s">
        <v>35</v>
      </c>
      <c r="G1532" s="1">
        <v>8</v>
      </c>
      <c r="H1532" s="1">
        <v>276</v>
      </c>
      <c r="I1532" s="1">
        <v>10</v>
      </c>
      <c r="J1532" s="4">
        <v>1987.2</v>
      </c>
      <c r="K1532" s="4">
        <v>1222.42</v>
      </c>
      <c r="L1532" s="4">
        <v>764.78</v>
      </c>
      <c r="M1532" s="1" t="str">
        <f>TEXT(Table1[[#This Row],[Order_Date]], "MMM")</f>
        <v>Jul</v>
      </c>
      <c r="N1532" s="1">
        <f>YEAR(Table1[[#This Row],[Order_Date]])</f>
        <v>2024</v>
      </c>
      <c r="O1532" s="7">
        <f>Table1[[#This Row],[Profit]]/Table1[[#This Row],[Total_Sales]]</f>
        <v>0.38485305958132043</v>
      </c>
    </row>
    <row r="1533" spans="1:15" x14ac:dyDescent="0.25">
      <c r="A1533" s="1">
        <v>1532</v>
      </c>
      <c r="B1533" s="2">
        <v>45059</v>
      </c>
      <c r="C1533" s="1" t="s">
        <v>16</v>
      </c>
      <c r="D1533" s="1" t="s">
        <v>22</v>
      </c>
      <c r="E1533" s="1" t="s">
        <v>23</v>
      </c>
      <c r="F1533" s="1" t="s">
        <v>40</v>
      </c>
      <c r="G1533" s="1">
        <v>2</v>
      </c>
      <c r="H1533" s="1">
        <v>274</v>
      </c>
      <c r="I1533" s="1">
        <v>15</v>
      </c>
      <c r="J1533" s="4">
        <v>465.8</v>
      </c>
      <c r="K1533" s="4">
        <v>275.64999999999998</v>
      </c>
      <c r="L1533" s="4">
        <v>190.15</v>
      </c>
      <c r="M1533" s="1" t="str">
        <f>TEXT(Table1[[#This Row],[Order_Date]], "MMM")</f>
        <v>May</v>
      </c>
      <c r="N1533" s="1">
        <f>YEAR(Table1[[#This Row],[Order_Date]])</f>
        <v>2023</v>
      </c>
      <c r="O1533" s="7">
        <f>Table1[[#This Row],[Profit]]/Table1[[#This Row],[Total_Sales]]</f>
        <v>0.40822241305281237</v>
      </c>
    </row>
    <row r="1534" spans="1:15" x14ac:dyDescent="0.25">
      <c r="A1534" s="1">
        <v>1533</v>
      </c>
      <c r="B1534" s="2">
        <v>45045</v>
      </c>
      <c r="C1534" s="1" t="s">
        <v>16</v>
      </c>
      <c r="D1534" s="1" t="s">
        <v>26</v>
      </c>
      <c r="E1534" s="1" t="s">
        <v>46</v>
      </c>
      <c r="F1534" s="1" t="s">
        <v>40</v>
      </c>
      <c r="G1534" s="1">
        <v>5</v>
      </c>
      <c r="H1534" s="1">
        <v>276</v>
      </c>
      <c r="I1534" s="1">
        <v>0</v>
      </c>
      <c r="J1534" s="4">
        <v>1380</v>
      </c>
      <c r="K1534" s="4">
        <v>817.28</v>
      </c>
      <c r="L1534" s="4">
        <v>562.72</v>
      </c>
      <c r="M1534" s="1" t="str">
        <f>TEXT(Table1[[#This Row],[Order_Date]], "MMM")</f>
        <v>Apr</v>
      </c>
      <c r="N1534" s="1">
        <f>YEAR(Table1[[#This Row],[Order_Date]])</f>
        <v>2023</v>
      </c>
      <c r="O1534" s="7">
        <f>Table1[[#This Row],[Profit]]/Table1[[#This Row],[Total_Sales]]</f>
        <v>0.407768115942029</v>
      </c>
    </row>
    <row r="1535" spans="1:15" x14ac:dyDescent="0.25">
      <c r="A1535" s="1">
        <v>1534</v>
      </c>
      <c r="B1535" s="2">
        <v>45448</v>
      </c>
      <c r="C1535" s="1" t="s">
        <v>16</v>
      </c>
      <c r="D1535" s="1" t="s">
        <v>32</v>
      </c>
      <c r="E1535" s="1" t="s">
        <v>33</v>
      </c>
      <c r="F1535" s="1" t="s">
        <v>24</v>
      </c>
      <c r="G1535" s="1">
        <v>9</v>
      </c>
      <c r="H1535" s="1">
        <v>456</v>
      </c>
      <c r="I1535" s="1">
        <v>15</v>
      </c>
      <c r="J1535" s="4">
        <v>3488.4</v>
      </c>
      <c r="K1535" s="4">
        <v>1787.71</v>
      </c>
      <c r="L1535" s="4">
        <v>1700.69</v>
      </c>
      <c r="M1535" s="1" t="str">
        <f>TEXT(Table1[[#This Row],[Order_Date]], "MMM")</f>
        <v>Jun</v>
      </c>
      <c r="N1535" s="1">
        <f>YEAR(Table1[[#This Row],[Order_Date]])</f>
        <v>2024</v>
      </c>
      <c r="O1535" s="7">
        <f>Table1[[#This Row],[Profit]]/Table1[[#This Row],[Total_Sales]]</f>
        <v>0.48752723311546842</v>
      </c>
    </row>
    <row r="1536" spans="1:15" x14ac:dyDescent="0.25">
      <c r="A1536" s="1">
        <v>1535</v>
      </c>
      <c r="B1536" s="2">
        <v>45088</v>
      </c>
      <c r="C1536" s="1" t="s">
        <v>25</v>
      </c>
      <c r="D1536" s="1" t="s">
        <v>32</v>
      </c>
      <c r="E1536" s="1" t="s">
        <v>45</v>
      </c>
      <c r="F1536" s="1" t="s">
        <v>24</v>
      </c>
      <c r="G1536" s="1">
        <v>4</v>
      </c>
      <c r="H1536" s="1">
        <v>560</v>
      </c>
      <c r="I1536" s="1">
        <v>20</v>
      </c>
      <c r="J1536" s="4">
        <v>1792</v>
      </c>
      <c r="K1536" s="4">
        <v>1353.48</v>
      </c>
      <c r="L1536" s="4">
        <v>438.52</v>
      </c>
      <c r="M1536" s="1" t="str">
        <f>TEXT(Table1[[#This Row],[Order_Date]], "MMM")</f>
        <v>Jun</v>
      </c>
      <c r="N1536" s="1">
        <f>YEAR(Table1[[#This Row],[Order_Date]])</f>
        <v>2023</v>
      </c>
      <c r="O1536" s="7">
        <f>Table1[[#This Row],[Profit]]/Table1[[#This Row],[Total_Sales]]</f>
        <v>0.24470982142857142</v>
      </c>
    </row>
    <row r="1537" spans="1:15" x14ac:dyDescent="0.25">
      <c r="A1537" s="1">
        <v>1536</v>
      </c>
      <c r="B1537" s="2">
        <v>45530</v>
      </c>
      <c r="C1537" s="1" t="s">
        <v>25</v>
      </c>
      <c r="D1537" s="1" t="s">
        <v>20</v>
      </c>
      <c r="E1537" s="1" t="s">
        <v>21</v>
      </c>
      <c r="F1537" s="1" t="s">
        <v>15</v>
      </c>
      <c r="G1537" s="1">
        <v>4</v>
      </c>
      <c r="H1537" s="1">
        <v>403</v>
      </c>
      <c r="I1537" s="1">
        <v>20</v>
      </c>
      <c r="J1537" s="4">
        <v>1289.5999999999999</v>
      </c>
      <c r="K1537" s="4">
        <v>664.78</v>
      </c>
      <c r="L1537" s="4">
        <v>624.82000000000005</v>
      </c>
      <c r="M1537" s="1" t="str">
        <f>TEXT(Table1[[#This Row],[Order_Date]], "MMM")</f>
        <v>Aug</v>
      </c>
      <c r="N1537" s="1">
        <f>YEAR(Table1[[#This Row],[Order_Date]])</f>
        <v>2024</v>
      </c>
      <c r="O1537" s="7">
        <f>Table1[[#This Row],[Profit]]/Table1[[#This Row],[Total_Sales]]</f>
        <v>0.48450682382134003</v>
      </c>
    </row>
    <row r="1538" spans="1:15" x14ac:dyDescent="0.25">
      <c r="A1538" s="1">
        <v>1537</v>
      </c>
      <c r="B1538" s="2">
        <v>45049</v>
      </c>
      <c r="C1538" s="1" t="s">
        <v>19</v>
      </c>
      <c r="D1538" s="1" t="s">
        <v>20</v>
      </c>
      <c r="E1538" s="1" t="s">
        <v>28</v>
      </c>
      <c r="F1538" s="1" t="s">
        <v>18</v>
      </c>
      <c r="G1538" s="1">
        <v>10</v>
      </c>
      <c r="H1538" s="1">
        <v>706</v>
      </c>
      <c r="I1538" s="1">
        <v>5</v>
      </c>
      <c r="J1538" s="4">
        <v>6707</v>
      </c>
      <c r="K1538" s="4">
        <v>5248.28</v>
      </c>
      <c r="L1538" s="4">
        <v>1458.72</v>
      </c>
      <c r="M1538" s="1" t="str">
        <f>TEXT(Table1[[#This Row],[Order_Date]], "MMM")</f>
        <v>May</v>
      </c>
      <c r="N1538" s="1">
        <f>YEAR(Table1[[#This Row],[Order_Date]])</f>
        <v>2023</v>
      </c>
      <c r="O1538" s="7">
        <f>Table1[[#This Row],[Profit]]/Table1[[#This Row],[Total_Sales]]</f>
        <v>0.21749217235723872</v>
      </c>
    </row>
    <row r="1539" spans="1:15" x14ac:dyDescent="0.25">
      <c r="A1539" s="1">
        <v>1538</v>
      </c>
      <c r="B1539" s="2">
        <v>44977</v>
      </c>
      <c r="C1539" s="1" t="s">
        <v>19</v>
      </c>
      <c r="D1539" s="1" t="s">
        <v>22</v>
      </c>
      <c r="E1539" s="1" t="s">
        <v>29</v>
      </c>
      <c r="F1539" s="1" t="s">
        <v>35</v>
      </c>
      <c r="G1539" s="1">
        <v>1</v>
      </c>
      <c r="H1539" s="1">
        <v>469</v>
      </c>
      <c r="I1539" s="1">
        <v>15</v>
      </c>
      <c r="J1539" s="4">
        <v>398.65</v>
      </c>
      <c r="K1539" s="4">
        <v>233.31</v>
      </c>
      <c r="L1539" s="4">
        <v>165.34</v>
      </c>
      <c r="M1539" s="1" t="str">
        <f>TEXT(Table1[[#This Row],[Order_Date]], "MMM")</f>
        <v>Feb</v>
      </c>
      <c r="N1539" s="1">
        <f>YEAR(Table1[[#This Row],[Order_Date]])</f>
        <v>2023</v>
      </c>
      <c r="O1539" s="7">
        <f>Table1[[#This Row],[Profit]]/Table1[[#This Row],[Total_Sales]]</f>
        <v>0.41474978050921862</v>
      </c>
    </row>
    <row r="1540" spans="1:15" x14ac:dyDescent="0.25">
      <c r="A1540" s="1">
        <v>1539</v>
      </c>
      <c r="B1540" s="2">
        <v>45271</v>
      </c>
      <c r="C1540" s="1" t="s">
        <v>12</v>
      </c>
      <c r="D1540" s="1" t="s">
        <v>32</v>
      </c>
      <c r="E1540" s="1" t="s">
        <v>41</v>
      </c>
      <c r="F1540" s="1" t="s">
        <v>15</v>
      </c>
      <c r="G1540" s="1">
        <v>5</v>
      </c>
      <c r="H1540" s="1">
        <v>62</v>
      </c>
      <c r="I1540" s="1">
        <v>5</v>
      </c>
      <c r="J1540" s="4">
        <v>294.5</v>
      </c>
      <c r="K1540" s="4">
        <v>164.83</v>
      </c>
      <c r="L1540" s="4">
        <v>129.66999999999999</v>
      </c>
      <c r="M1540" s="1" t="str">
        <f>TEXT(Table1[[#This Row],[Order_Date]], "MMM")</f>
        <v>Dec</v>
      </c>
      <c r="N1540" s="1">
        <f>YEAR(Table1[[#This Row],[Order_Date]])</f>
        <v>2023</v>
      </c>
      <c r="O1540" s="7">
        <f>Table1[[#This Row],[Profit]]/Table1[[#This Row],[Total_Sales]]</f>
        <v>0.44030560271646857</v>
      </c>
    </row>
    <row r="1541" spans="1:15" x14ac:dyDescent="0.25">
      <c r="A1541" s="1">
        <v>1540</v>
      </c>
      <c r="B1541" s="2">
        <v>45277</v>
      </c>
      <c r="C1541" s="1" t="s">
        <v>19</v>
      </c>
      <c r="D1541" s="1" t="s">
        <v>32</v>
      </c>
      <c r="E1541" s="1" t="s">
        <v>33</v>
      </c>
      <c r="F1541" s="1" t="s">
        <v>24</v>
      </c>
      <c r="G1541" s="1">
        <v>1</v>
      </c>
      <c r="H1541" s="1">
        <v>106</v>
      </c>
      <c r="I1541" s="1">
        <v>5</v>
      </c>
      <c r="J1541" s="4">
        <v>100.7</v>
      </c>
      <c r="K1541" s="4">
        <v>64.650000000000006</v>
      </c>
      <c r="L1541" s="4">
        <v>36.049999999999997</v>
      </c>
      <c r="M1541" s="1" t="str">
        <f>TEXT(Table1[[#This Row],[Order_Date]], "MMM")</f>
        <v>Dec</v>
      </c>
      <c r="N1541" s="1">
        <f>YEAR(Table1[[#This Row],[Order_Date]])</f>
        <v>2023</v>
      </c>
      <c r="O1541" s="7">
        <f>Table1[[#This Row],[Profit]]/Table1[[#This Row],[Total_Sales]]</f>
        <v>0.35799404170804366</v>
      </c>
    </row>
    <row r="1542" spans="1:15" x14ac:dyDescent="0.25">
      <c r="A1542" s="1">
        <v>1541</v>
      </c>
      <c r="B1542" s="2">
        <v>45179</v>
      </c>
      <c r="C1542" s="1" t="s">
        <v>19</v>
      </c>
      <c r="D1542" s="1" t="s">
        <v>26</v>
      </c>
      <c r="E1542" s="1" t="s">
        <v>46</v>
      </c>
      <c r="F1542" s="1" t="s">
        <v>15</v>
      </c>
      <c r="G1542" s="1">
        <v>1</v>
      </c>
      <c r="H1542" s="1">
        <v>389</v>
      </c>
      <c r="I1542" s="1">
        <v>15</v>
      </c>
      <c r="J1542" s="4">
        <v>330.65</v>
      </c>
      <c r="K1542" s="4">
        <v>222.42</v>
      </c>
      <c r="L1542" s="4">
        <v>108.23</v>
      </c>
      <c r="M1542" s="1" t="str">
        <f>TEXT(Table1[[#This Row],[Order_Date]], "MMM")</f>
        <v>Sep</v>
      </c>
      <c r="N1542" s="1">
        <f>YEAR(Table1[[#This Row],[Order_Date]])</f>
        <v>2023</v>
      </c>
      <c r="O1542" s="7">
        <f>Table1[[#This Row],[Profit]]/Table1[[#This Row],[Total_Sales]]</f>
        <v>0.32732496597610772</v>
      </c>
    </row>
    <row r="1543" spans="1:15" x14ac:dyDescent="0.25">
      <c r="A1543" s="1">
        <v>1542</v>
      </c>
      <c r="B1543" s="2">
        <v>45178</v>
      </c>
      <c r="C1543" s="1" t="s">
        <v>25</v>
      </c>
      <c r="D1543" s="1" t="s">
        <v>13</v>
      </c>
      <c r="E1543" s="1" t="s">
        <v>17</v>
      </c>
      <c r="F1543" s="1" t="s">
        <v>18</v>
      </c>
      <c r="G1543" s="1">
        <v>2</v>
      </c>
      <c r="H1543" s="1">
        <v>674</v>
      </c>
      <c r="I1543" s="1">
        <v>15</v>
      </c>
      <c r="J1543" s="4">
        <v>1145.8</v>
      </c>
      <c r="K1543" s="4">
        <v>832.98</v>
      </c>
      <c r="L1543" s="4">
        <v>312.82</v>
      </c>
      <c r="M1543" s="1" t="str">
        <f>TEXT(Table1[[#This Row],[Order_Date]], "MMM")</f>
        <v>Sep</v>
      </c>
      <c r="N1543" s="1">
        <f>YEAR(Table1[[#This Row],[Order_Date]])</f>
        <v>2023</v>
      </c>
      <c r="O1543" s="7">
        <f>Table1[[#This Row],[Profit]]/Table1[[#This Row],[Total_Sales]]</f>
        <v>0.27301448769418746</v>
      </c>
    </row>
    <row r="1544" spans="1:15" x14ac:dyDescent="0.25">
      <c r="A1544" s="1">
        <v>1543</v>
      </c>
      <c r="B1544" s="2">
        <v>45644</v>
      </c>
      <c r="C1544" s="1" t="s">
        <v>25</v>
      </c>
      <c r="D1544" s="1" t="s">
        <v>26</v>
      </c>
      <c r="E1544" s="1" t="s">
        <v>46</v>
      </c>
      <c r="F1544" s="1" t="s">
        <v>35</v>
      </c>
      <c r="G1544" s="1">
        <v>1</v>
      </c>
      <c r="H1544" s="1">
        <v>888</v>
      </c>
      <c r="I1544" s="1">
        <v>0</v>
      </c>
      <c r="J1544" s="4">
        <v>888</v>
      </c>
      <c r="K1544" s="4">
        <v>550.71</v>
      </c>
      <c r="L1544" s="4">
        <v>337.29</v>
      </c>
      <c r="M1544" s="1" t="str">
        <f>TEXT(Table1[[#This Row],[Order_Date]], "MMM")</f>
        <v>Dec</v>
      </c>
      <c r="N1544" s="1">
        <f>YEAR(Table1[[#This Row],[Order_Date]])</f>
        <v>2024</v>
      </c>
      <c r="O1544" s="7">
        <f>Table1[[#This Row],[Profit]]/Table1[[#This Row],[Total_Sales]]</f>
        <v>0.3798310810810811</v>
      </c>
    </row>
    <row r="1545" spans="1:15" x14ac:dyDescent="0.25">
      <c r="A1545" s="1">
        <v>1544</v>
      </c>
      <c r="B1545" s="2">
        <v>45182</v>
      </c>
      <c r="C1545" s="1" t="s">
        <v>25</v>
      </c>
      <c r="D1545" s="1" t="s">
        <v>26</v>
      </c>
      <c r="E1545" s="1" t="s">
        <v>46</v>
      </c>
      <c r="F1545" s="1" t="s">
        <v>31</v>
      </c>
      <c r="G1545" s="1">
        <v>10</v>
      </c>
      <c r="H1545" s="1">
        <v>482</v>
      </c>
      <c r="I1545" s="1">
        <v>20</v>
      </c>
      <c r="J1545" s="4">
        <v>3856</v>
      </c>
      <c r="K1545" s="4">
        <v>2201.11</v>
      </c>
      <c r="L1545" s="4">
        <v>1654.89</v>
      </c>
      <c r="M1545" s="1" t="str">
        <f>TEXT(Table1[[#This Row],[Order_Date]], "MMM")</f>
        <v>Sep</v>
      </c>
      <c r="N1545" s="1">
        <f>YEAR(Table1[[#This Row],[Order_Date]])</f>
        <v>2023</v>
      </c>
      <c r="O1545" s="7">
        <f>Table1[[#This Row],[Profit]]/Table1[[#This Row],[Total_Sales]]</f>
        <v>0.42917271784232369</v>
      </c>
    </row>
    <row r="1546" spans="1:15" x14ac:dyDescent="0.25">
      <c r="A1546" s="1">
        <v>1545</v>
      </c>
      <c r="B1546" s="2">
        <v>45514</v>
      </c>
      <c r="C1546" s="1" t="s">
        <v>16</v>
      </c>
      <c r="D1546" s="1" t="s">
        <v>26</v>
      </c>
      <c r="E1546" s="1" t="s">
        <v>37</v>
      </c>
      <c r="F1546" s="1" t="s">
        <v>35</v>
      </c>
      <c r="G1546" s="1">
        <v>2</v>
      </c>
      <c r="H1546" s="1">
        <v>543</v>
      </c>
      <c r="I1546" s="1">
        <v>15</v>
      </c>
      <c r="J1546" s="4">
        <v>923.1</v>
      </c>
      <c r="K1546" s="4">
        <v>726.98</v>
      </c>
      <c r="L1546" s="4">
        <v>196.12</v>
      </c>
      <c r="M1546" s="1" t="str">
        <f>TEXT(Table1[[#This Row],[Order_Date]], "MMM")</f>
        <v>Aug</v>
      </c>
      <c r="N1546" s="1">
        <f>YEAR(Table1[[#This Row],[Order_Date]])</f>
        <v>2024</v>
      </c>
      <c r="O1546" s="7">
        <f>Table1[[#This Row],[Profit]]/Table1[[#This Row],[Total_Sales]]</f>
        <v>0.21245802188278626</v>
      </c>
    </row>
    <row r="1547" spans="1:15" x14ac:dyDescent="0.25">
      <c r="A1547" s="1">
        <v>1546</v>
      </c>
      <c r="B1547" s="2">
        <v>45113</v>
      </c>
      <c r="C1547" s="1" t="s">
        <v>16</v>
      </c>
      <c r="D1547" s="1" t="s">
        <v>32</v>
      </c>
      <c r="E1547" s="1" t="s">
        <v>45</v>
      </c>
      <c r="F1547" s="1" t="s">
        <v>18</v>
      </c>
      <c r="G1547" s="1">
        <v>9</v>
      </c>
      <c r="H1547" s="1">
        <v>295</v>
      </c>
      <c r="I1547" s="1">
        <v>10</v>
      </c>
      <c r="J1547" s="4">
        <v>2389.5</v>
      </c>
      <c r="K1547" s="4">
        <v>1406.47</v>
      </c>
      <c r="L1547" s="4">
        <v>983.03</v>
      </c>
      <c r="M1547" s="1" t="str">
        <f>TEXT(Table1[[#This Row],[Order_Date]], "MMM")</f>
        <v>Jul</v>
      </c>
      <c r="N1547" s="1">
        <f>YEAR(Table1[[#This Row],[Order_Date]])</f>
        <v>2023</v>
      </c>
      <c r="O1547" s="7">
        <f>Table1[[#This Row],[Profit]]/Table1[[#This Row],[Total_Sales]]</f>
        <v>0.4113956894747855</v>
      </c>
    </row>
    <row r="1548" spans="1:15" x14ac:dyDescent="0.25">
      <c r="A1548" s="1">
        <v>1547</v>
      </c>
      <c r="B1548" s="2">
        <v>45342</v>
      </c>
      <c r="C1548" s="1" t="s">
        <v>16</v>
      </c>
      <c r="D1548" s="1" t="s">
        <v>20</v>
      </c>
      <c r="E1548" s="1" t="s">
        <v>43</v>
      </c>
      <c r="F1548" s="1" t="s">
        <v>40</v>
      </c>
      <c r="G1548" s="1">
        <v>6</v>
      </c>
      <c r="H1548" s="1">
        <v>358</v>
      </c>
      <c r="I1548" s="1">
        <v>15</v>
      </c>
      <c r="J1548" s="4">
        <v>1825.8</v>
      </c>
      <c r="K1548" s="4">
        <v>1400.18</v>
      </c>
      <c r="L1548" s="4">
        <v>425.62</v>
      </c>
      <c r="M1548" s="1" t="str">
        <f>TEXT(Table1[[#This Row],[Order_Date]], "MMM")</f>
        <v>Feb</v>
      </c>
      <c r="N1548" s="1">
        <f>YEAR(Table1[[#This Row],[Order_Date]])</f>
        <v>2024</v>
      </c>
      <c r="O1548" s="7">
        <f>Table1[[#This Row],[Profit]]/Table1[[#This Row],[Total_Sales]]</f>
        <v>0.23311425128710703</v>
      </c>
    </row>
    <row r="1549" spans="1:15" x14ac:dyDescent="0.25">
      <c r="A1549" s="1">
        <v>1548</v>
      </c>
      <c r="B1549" s="2">
        <v>45511</v>
      </c>
      <c r="C1549" s="1" t="s">
        <v>16</v>
      </c>
      <c r="D1549" s="1" t="s">
        <v>32</v>
      </c>
      <c r="E1549" s="1" t="s">
        <v>34</v>
      </c>
      <c r="F1549" s="1" t="s">
        <v>35</v>
      </c>
      <c r="G1549" s="1">
        <v>1</v>
      </c>
      <c r="H1549" s="1">
        <v>835</v>
      </c>
      <c r="I1549" s="1">
        <v>10</v>
      </c>
      <c r="J1549" s="4">
        <v>751.5</v>
      </c>
      <c r="K1549" s="4">
        <v>399.24</v>
      </c>
      <c r="L1549" s="4">
        <v>352.26</v>
      </c>
      <c r="M1549" s="1" t="str">
        <f>TEXT(Table1[[#This Row],[Order_Date]], "MMM")</f>
        <v>Aug</v>
      </c>
      <c r="N1549" s="1">
        <f>YEAR(Table1[[#This Row],[Order_Date]])</f>
        <v>2024</v>
      </c>
      <c r="O1549" s="7">
        <f>Table1[[#This Row],[Profit]]/Table1[[#This Row],[Total_Sales]]</f>
        <v>0.46874251497005986</v>
      </c>
    </row>
    <row r="1550" spans="1:15" x14ac:dyDescent="0.25">
      <c r="A1550" s="1">
        <v>1549</v>
      </c>
      <c r="B1550" s="2">
        <v>45344</v>
      </c>
      <c r="C1550" s="1" t="s">
        <v>19</v>
      </c>
      <c r="D1550" s="1" t="s">
        <v>32</v>
      </c>
      <c r="E1550" s="1" t="s">
        <v>45</v>
      </c>
      <c r="F1550" s="1" t="s">
        <v>15</v>
      </c>
      <c r="G1550" s="1">
        <v>1</v>
      </c>
      <c r="H1550" s="1">
        <v>928</v>
      </c>
      <c r="I1550" s="1">
        <v>5</v>
      </c>
      <c r="J1550" s="4">
        <v>881.6</v>
      </c>
      <c r="K1550" s="4">
        <v>492.5</v>
      </c>
      <c r="L1550" s="4">
        <v>389.1</v>
      </c>
      <c r="M1550" s="1" t="str">
        <f>TEXT(Table1[[#This Row],[Order_Date]], "MMM")</f>
        <v>Feb</v>
      </c>
      <c r="N1550" s="1">
        <f>YEAR(Table1[[#This Row],[Order_Date]])</f>
        <v>2024</v>
      </c>
      <c r="O1550" s="7">
        <f>Table1[[#This Row],[Profit]]/Table1[[#This Row],[Total_Sales]]</f>
        <v>0.44135662431941924</v>
      </c>
    </row>
    <row r="1551" spans="1:15" x14ac:dyDescent="0.25">
      <c r="A1551" s="1">
        <v>1550</v>
      </c>
      <c r="B1551" s="2">
        <v>45017</v>
      </c>
      <c r="C1551" s="1" t="s">
        <v>16</v>
      </c>
      <c r="D1551" s="1" t="s">
        <v>32</v>
      </c>
      <c r="E1551" s="1" t="s">
        <v>34</v>
      </c>
      <c r="F1551" s="1" t="s">
        <v>15</v>
      </c>
      <c r="G1551" s="1">
        <v>3</v>
      </c>
      <c r="H1551" s="1">
        <v>898</v>
      </c>
      <c r="I1551" s="1">
        <v>5</v>
      </c>
      <c r="J1551" s="4">
        <v>2559.3000000000002</v>
      </c>
      <c r="K1551" s="4">
        <v>1351.91</v>
      </c>
      <c r="L1551" s="4">
        <v>1207.3900000000001</v>
      </c>
      <c r="M1551" s="1" t="str">
        <f>TEXT(Table1[[#This Row],[Order_Date]], "MMM")</f>
        <v>Apr</v>
      </c>
      <c r="N1551" s="1">
        <f>YEAR(Table1[[#This Row],[Order_Date]])</f>
        <v>2023</v>
      </c>
      <c r="O1551" s="7">
        <f>Table1[[#This Row],[Profit]]/Table1[[#This Row],[Total_Sales]]</f>
        <v>0.47176571718829369</v>
      </c>
    </row>
    <row r="1552" spans="1:15" x14ac:dyDescent="0.25">
      <c r="A1552" s="1">
        <v>1551</v>
      </c>
      <c r="B1552" s="2">
        <v>45013</v>
      </c>
      <c r="C1552" s="1" t="s">
        <v>12</v>
      </c>
      <c r="D1552" s="1" t="s">
        <v>13</v>
      </c>
      <c r="E1552" s="1" t="s">
        <v>14</v>
      </c>
      <c r="F1552" s="1" t="s">
        <v>18</v>
      </c>
      <c r="G1552" s="1">
        <v>8</v>
      </c>
      <c r="H1552" s="1">
        <v>321</v>
      </c>
      <c r="I1552" s="1">
        <v>5</v>
      </c>
      <c r="J1552" s="4">
        <v>2439.6</v>
      </c>
      <c r="K1552" s="4">
        <v>1364.69</v>
      </c>
      <c r="L1552" s="4">
        <v>1074.9100000000001</v>
      </c>
      <c r="M1552" s="1" t="str">
        <f>TEXT(Table1[[#This Row],[Order_Date]], "MMM")</f>
        <v>Mar</v>
      </c>
      <c r="N1552" s="1">
        <f>YEAR(Table1[[#This Row],[Order_Date]])</f>
        <v>2023</v>
      </c>
      <c r="O1552" s="7">
        <f>Table1[[#This Row],[Profit]]/Table1[[#This Row],[Total_Sales]]</f>
        <v>0.44060911624856541</v>
      </c>
    </row>
    <row r="1553" spans="1:15" x14ac:dyDescent="0.25">
      <c r="A1553" s="1">
        <v>1552</v>
      </c>
      <c r="B1553" s="2">
        <v>45215</v>
      </c>
      <c r="C1553" s="1" t="s">
        <v>19</v>
      </c>
      <c r="D1553" s="1" t="s">
        <v>20</v>
      </c>
      <c r="E1553" s="1" t="s">
        <v>21</v>
      </c>
      <c r="F1553" s="1" t="s">
        <v>24</v>
      </c>
      <c r="G1553" s="1">
        <v>1</v>
      </c>
      <c r="H1553" s="1">
        <v>659</v>
      </c>
      <c r="I1553" s="1">
        <v>0</v>
      </c>
      <c r="J1553" s="4">
        <v>659</v>
      </c>
      <c r="K1553" s="4">
        <v>458.4</v>
      </c>
      <c r="L1553" s="4">
        <v>200.6</v>
      </c>
      <c r="M1553" s="1" t="str">
        <f>TEXT(Table1[[#This Row],[Order_Date]], "MMM")</f>
        <v>Oct</v>
      </c>
      <c r="N1553" s="1">
        <f>YEAR(Table1[[#This Row],[Order_Date]])</f>
        <v>2023</v>
      </c>
      <c r="O1553" s="7">
        <f>Table1[[#This Row],[Profit]]/Table1[[#This Row],[Total_Sales]]</f>
        <v>0.30440060698027316</v>
      </c>
    </row>
    <row r="1554" spans="1:15" x14ac:dyDescent="0.25">
      <c r="A1554" s="1">
        <v>1553</v>
      </c>
      <c r="B1554" s="2">
        <v>45226</v>
      </c>
      <c r="C1554" s="1" t="s">
        <v>25</v>
      </c>
      <c r="D1554" s="1" t="s">
        <v>26</v>
      </c>
      <c r="E1554" s="1" t="s">
        <v>37</v>
      </c>
      <c r="F1554" s="1" t="s">
        <v>35</v>
      </c>
      <c r="G1554" s="1">
        <v>9</v>
      </c>
      <c r="H1554" s="1">
        <v>725</v>
      </c>
      <c r="I1554" s="1">
        <v>0</v>
      </c>
      <c r="J1554" s="4">
        <v>6525</v>
      </c>
      <c r="K1554" s="4">
        <v>3821.35</v>
      </c>
      <c r="L1554" s="4">
        <v>2703.65</v>
      </c>
      <c r="M1554" s="1" t="str">
        <f>TEXT(Table1[[#This Row],[Order_Date]], "MMM")</f>
        <v>Oct</v>
      </c>
      <c r="N1554" s="1">
        <f>YEAR(Table1[[#This Row],[Order_Date]])</f>
        <v>2023</v>
      </c>
      <c r="O1554" s="7">
        <f>Table1[[#This Row],[Profit]]/Table1[[#This Row],[Total_Sales]]</f>
        <v>0.41435249042145594</v>
      </c>
    </row>
    <row r="1555" spans="1:15" x14ac:dyDescent="0.25">
      <c r="A1555" s="1">
        <v>1554</v>
      </c>
      <c r="B1555" s="2">
        <v>45408</v>
      </c>
      <c r="C1555" s="1" t="s">
        <v>25</v>
      </c>
      <c r="D1555" s="1" t="s">
        <v>32</v>
      </c>
      <c r="E1555" s="1" t="s">
        <v>45</v>
      </c>
      <c r="F1555" s="1" t="s">
        <v>35</v>
      </c>
      <c r="G1555" s="1">
        <v>1</v>
      </c>
      <c r="H1555" s="1">
        <v>639</v>
      </c>
      <c r="I1555" s="1">
        <v>5</v>
      </c>
      <c r="J1555" s="4">
        <v>607.04999999999995</v>
      </c>
      <c r="K1555" s="4">
        <v>469.99</v>
      </c>
      <c r="L1555" s="4">
        <v>137.06</v>
      </c>
      <c r="M1555" s="1" t="str">
        <f>TEXT(Table1[[#This Row],[Order_Date]], "MMM")</f>
        <v>Apr</v>
      </c>
      <c r="N1555" s="1">
        <f>YEAR(Table1[[#This Row],[Order_Date]])</f>
        <v>2024</v>
      </c>
      <c r="O1555" s="7">
        <f>Table1[[#This Row],[Profit]]/Table1[[#This Row],[Total_Sales]]</f>
        <v>0.22578041347500208</v>
      </c>
    </row>
    <row r="1556" spans="1:15" x14ac:dyDescent="0.25">
      <c r="A1556" s="1">
        <v>1555</v>
      </c>
      <c r="B1556" s="2">
        <v>45171</v>
      </c>
      <c r="C1556" s="1" t="s">
        <v>12</v>
      </c>
      <c r="D1556" s="1" t="s">
        <v>13</v>
      </c>
      <c r="E1556" s="1" t="s">
        <v>39</v>
      </c>
      <c r="F1556" s="1" t="s">
        <v>40</v>
      </c>
      <c r="G1556" s="1">
        <v>5</v>
      </c>
      <c r="H1556" s="1">
        <v>507</v>
      </c>
      <c r="I1556" s="1">
        <v>10</v>
      </c>
      <c r="J1556" s="4">
        <v>2281.5</v>
      </c>
      <c r="K1556" s="4">
        <v>1454.2</v>
      </c>
      <c r="L1556" s="4">
        <v>827.3</v>
      </c>
      <c r="M1556" s="1" t="str">
        <f>TEXT(Table1[[#This Row],[Order_Date]], "MMM")</f>
        <v>Sep</v>
      </c>
      <c r="N1556" s="1">
        <f>YEAR(Table1[[#This Row],[Order_Date]])</f>
        <v>2023</v>
      </c>
      <c r="O1556" s="7">
        <f>Table1[[#This Row],[Profit]]/Table1[[#This Row],[Total_Sales]]</f>
        <v>0.36261231645847031</v>
      </c>
    </row>
    <row r="1557" spans="1:15" x14ac:dyDescent="0.25">
      <c r="A1557" s="1">
        <v>1556</v>
      </c>
      <c r="B1557" s="2">
        <v>45239</v>
      </c>
      <c r="C1557" s="1" t="s">
        <v>19</v>
      </c>
      <c r="D1557" s="1" t="s">
        <v>20</v>
      </c>
      <c r="E1557" s="1" t="s">
        <v>28</v>
      </c>
      <c r="F1557" s="1" t="s">
        <v>18</v>
      </c>
      <c r="G1557" s="1">
        <v>8</v>
      </c>
      <c r="H1557" s="1">
        <v>351</v>
      </c>
      <c r="I1557" s="1">
        <v>0</v>
      </c>
      <c r="J1557" s="4">
        <v>2808</v>
      </c>
      <c r="K1557" s="4">
        <v>1410.91</v>
      </c>
      <c r="L1557" s="4">
        <v>1397.09</v>
      </c>
      <c r="M1557" s="1" t="str">
        <f>TEXT(Table1[[#This Row],[Order_Date]], "MMM")</f>
        <v>Nov</v>
      </c>
      <c r="N1557" s="1">
        <f>YEAR(Table1[[#This Row],[Order_Date]])</f>
        <v>2023</v>
      </c>
      <c r="O1557" s="7">
        <f>Table1[[#This Row],[Profit]]/Table1[[#This Row],[Total_Sales]]</f>
        <v>0.49753917378917378</v>
      </c>
    </row>
    <row r="1558" spans="1:15" x14ac:dyDescent="0.25">
      <c r="A1558" s="1">
        <v>1557</v>
      </c>
      <c r="B1558" s="2">
        <v>45530</v>
      </c>
      <c r="C1558" s="1" t="s">
        <v>16</v>
      </c>
      <c r="D1558" s="1" t="s">
        <v>26</v>
      </c>
      <c r="E1558" s="1" t="s">
        <v>37</v>
      </c>
      <c r="F1558" s="1" t="s">
        <v>18</v>
      </c>
      <c r="G1558" s="1">
        <v>6</v>
      </c>
      <c r="H1558" s="1">
        <v>502</v>
      </c>
      <c r="I1558" s="1">
        <v>15</v>
      </c>
      <c r="J1558" s="4">
        <v>2560.1999999999998</v>
      </c>
      <c r="K1558" s="4">
        <v>1397.41</v>
      </c>
      <c r="L1558" s="4">
        <v>1162.79</v>
      </c>
      <c r="M1558" s="1" t="str">
        <f>TEXT(Table1[[#This Row],[Order_Date]], "MMM")</f>
        <v>Aug</v>
      </c>
      <c r="N1558" s="1">
        <f>YEAR(Table1[[#This Row],[Order_Date]])</f>
        <v>2024</v>
      </c>
      <c r="O1558" s="7">
        <f>Table1[[#This Row],[Profit]]/Table1[[#This Row],[Total_Sales]]</f>
        <v>0.4541793609874229</v>
      </c>
    </row>
    <row r="1559" spans="1:15" x14ac:dyDescent="0.25">
      <c r="A1559" s="1">
        <v>1558</v>
      </c>
      <c r="B1559" s="2">
        <v>45475</v>
      </c>
      <c r="C1559" s="1" t="s">
        <v>25</v>
      </c>
      <c r="D1559" s="1" t="s">
        <v>26</v>
      </c>
      <c r="E1559" s="1" t="s">
        <v>42</v>
      </c>
      <c r="F1559" s="1" t="s">
        <v>31</v>
      </c>
      <c r="G1559" s="1">
        <v>5</v>
      </c>
      <c r="H1559" s="1">
        <v>363</v>
      </c>
      <c r="I1559" s="1">
        <v>5</v>
      </c>
      <c r="J1559" s="4">
        <v>1724.25</v>
      </c>
      <c r="K1559" s="4">
        <v>1319.36</v>
      </c>
      <c r="L1559" s="4">
        <v>404.89</v>
      </c>
      <c r="M1559" s="1" t="str">
        <f>TEXT(Table1[[#This Row],[Order_Date]], "MMM")</f>
        <v>Jul</v>
      </c>
      <c r="N1559" s="1">
        <f>YEAR(Table1[[#This Row],[Order_Date]])</f>
        <v>2024</v>
      </c>
      <c r="O1559" s="7">
        <f>Table1[[#This Row],[Profit]]/Table1[[#This Row],[Total_Sales]]</f>
        <v>0.23482093663911846</v>
      </c>
    </row>
    <row r="1560" spans="1:15" x14ac:dyDescent="0.25">
      <c r="A1560" s="1">
        <v>1559</v>
      </c>
      <c r="B1560" s="2">
        <v>45257</v>
      </c>
      <c r="C1560" s="1" t="s">
        <v>25</v>
      </c>
      <c r="D1560" s="1" t="s">
        <v>22</v>
      </c>
      <c r="E1560" s="1" t="s">
        <v>36</v>
      </c>
      <c r="F1560" s="1" t="s">
        <v>40</v>
      </c>
      <c r="G1560" s="1">
        <v>3</v>
      </c>
      <c r="H1560" s="1">
        <v>403</v>
      </c>
      <c r="I1560" s="1">
        <v>5</v>
      </c>
      <c r="J1560" s="4">
        <v>1148.55</v>
      </c>
      <c r="K1560" s="4">
        <v>591.6</v>
      </c>
      <c r="L1560" s="4">
        <v>556.95000000000005</v>
      </c>
      <c r="M1560" s="1" t="str">
        <f>TEXT(Table1[[#This Row],[Order_Date]], "MMM")</f>
        <v>Nov</v>
      </c>
      <c r="N1560" s="1">
        <f>YEAR(Table1[[#This Row],[Order_Date]])</f>
        <v>2023</v>
      </c>
      <c r="O1560" s="7">
        <f>Table1[[#This Row],[Profit]]/Table1[[#This Row],[Total_Sales]]</f>
        <v>0.48491576335379399</v>
      </c>
    </row>
    <row r="1561" spans="1:15" x14ac:dyDescent="0.25">
      <c r="A1561" s="1">
        <v>1560</v>
      </c>
      <c r="B1561" s="2">
        <v>45148</v>
      </c>
      <c r="C1561" s="1" t="s">
        <v>12</v>
      </c>
      <c r="D1561" s="1" t="s">
        <v>20</v>
      </c>
      <c r="E1561" s="1" t="s">
        <v>43</v>
      </c>
      <c r="F1561" s="1" t="s">
        <v>15</v>
      </c>
      <c r="G1561" s="1">
        <v>10</v>
      </c>
      <c r="H1561" s="1">
        <v>673</v>
      </c>
      <c r="I1561" s="1">
        <v>10</v>
      </c>
      <c r="J1561" s="4">
        <v>6057</v>
      </c>
      <c r="K1561" s="4">
        <v>4670.72</v>
      </c>
      <c r="L1561" s="4">
        <v>1386.28</v>
      </c>
      <c r="M1561" s="1" t="str">
        <f>TEXT(Table1[[#This Row],[Order_Date]], "MMM")</f>
        <v>Aug</v>
      </c>
      <c r="N1561" s="1">
        <f>YEAR(Table1[[#This Row],[Order_Date]])</f>
        <v>2023</v>
      </c>
      <c r="O1561" s="7">
        <f>Table1[[#This Row],[Profit]]/Table1[[#This Row],[Total_Sales]]</f>
        <v>0.228872379065544</v>
      </c>
    </row>
    <row r="1562" spans="1:15" x14ac:dyDescent="0.25">
      <c r="A1562" s="1">
        <v>1561</v>
      </c>
      <c r="B1562" s="2">
        <v>45157</v>
      </c>
      <c r="C1562" s="1" t="s">
        <v>16</v>
      </c>
      <c r="D1562" s="1" t="s">
        <v>26</v>
      </c>
      <c r="E1562" s="1" t="s">
        <v>46</v>
      </c>
      <c r="F1562" s="1" t="s">
        <v>18</v>
      </c>
      <c r="G1562" s="1">
        <v>7</v>
      </c>
      <c r="H1562" s="1">
        <v>435</v>
      </c>
      <c r="I1562" s="1">
        <v>10</v>
      </c>
      <c r="J1562" s="4">
        <v>2740.5</v>
      </c>
      <c r="K1562" s="4">
        <v>1961.03</v>
      </c>
      <c r="L1562" s="4">
        <v>779.47</v>
      </c>
      <c r="M1562" s="1" t="str">
        <f>TEXT(Table1[[#This Row],[Order_Date]], "MMM")</f>
        <v>Aug</v>
      </c>
      <c r="N1562" s="1">
        <f>YEAR(Table1[[#This Row],[Order_Date]])</f>
        <v>2023</v>
      </c>
      <c r="O1562" s="7">
        <f>Table1[[#This Row],[Profit]]/Table1[[#This Row],[Total_Sales]]</f>
        <v>0.28442619959861343</v>
      </c>
    </row>
    <row r="1563" spans="1:15" x14ac:dyDescent="0.25">
      <c r="A1563" s="1">
        <v>1562</v>
      </c>
      <c r="B1563" s="2">
        <v>45016</v>
      </c>
      <c r="C1563" s="1" t="s">
        <v>12</v>
      </c>
      <c r="D1563" s="1" t="s">
        <v>22</v>
      </c>
      <c r="E1563" s="1" t="s">
        <v>44</v>
      </c>
      <c r="F1563" s="1" t="s">
        <v>31</v>
      </c>
      <c r="G1563" s="1">
        <v>2</v>
      </c>
      <c r="H1563" s="1">
        <v>289</v>
      </c>
      <c r="I1563" s="1">
        <v>15</v>
      </c>
      <c r="J1563" s="4">
        <v>491.3</v>
      </c>
      <c r="K1563" s="4">
        <v>360.53</v>
      </c>
      <c r="L1563" s="4">
        <v>130.77000000000001</v>
      </c>
      <c r="M1563" s="1" t="str">
        <f>TEXT(Table1[[#This Row],[Order_Date]], "MMM")</f>
        <v>Mar</v>
      </c>
      <c r="N1563" s="1">
        <f>YEAR(Table1[[#This Row],[Order_Date]])</f>
        <v>2023</v>
      </c>
      <c r="O1563" s="7">
        <f>Table1[[#This Row],[Profit]]/Table1[[#This Row],[Total_Sales]]</f>
        <v>0.26617138204762875</v>
      </c>
    </row>
    <row r="1564" spans="1:15" x14ac:dyDescent="0.25">
      <c r="A1564" s="1">
        <v>1563</v>
      </c>
      <c r="B1564" s="2">
        <v>45251</v>
      </c>
      <c r="C1564" s="1" t="s">
        <v>16</v>
      </c>
      <c r="D1564" s="1" t="s">
        <v>26</v>
      </c>
      <c r="E1564" s="1" t="s">
        <v>42</v>
      </c>
      <c r="F1564" s="1" t="s">
        <v>31</v>
      </c>
      <c r="G1564" s="1">
        <v>10</v>
      </c>
      <c r="H1564" s="1">
        <v>115</v>
      </c>
      <c r="I1564" s="1">
        <v>5</v>
      </c>
      <c r="J1564" s="4">
        <v>1092.5</v>
      </c>
      <c r="K1564" s="4">
        <v>645.44000000000005</v>
      </c>
      <c r="L1564" s="4">
        <v>447.06</v>
      </c>
      <c r="M1564" s="1" t="str">
        <f>TEXT(Table1[[#This Row],[Order_Date]], "MMM")</f>
        <v>Nov</v>
      </c>
      <c r="N1564" s="1">
        <f>YEAR(Table1[[#This Row],[Order_Date]])</f>
        <v>2023</v>
      </c>
      <c r="O1564" s="7">
        <f>Table1[[#This Row],[Profit]]/Table1[[#This Row],[Total_Sales]]</f>
        <v>0.40920823798627004</v>
      </c>
    </row>
    <row r="1565" spans="1:15" x14ac:dyDescent="0.25">
      <c r="A1565" s="1">
        <v>1564</v>
      </c>
      <c r="B1565" s="2">
        <v>45603</v>
      </c>
      <c r="C1565" s="1" t="s">
        <v>19</v>
      </c>
      <c r="D1565" s="1" t="s">
        <v>26</v>
      </c>
      <c r="E1565" s="1" t="s">
        <v>37</v>
      </c>
      <c r="F1565" s="1" t="s">
        <v>18</v>
      </c>
      <c r="G1565" s="1">
        <v>4</v>
      </c>
      <c r="H1565" s="1">
        <v>376</v>
      </c>
      <c r="I1565" s="1">
        <v>0</v>
      </c>
      <c r="J1565" s="4">
        <v>1504</v>
      </c>
      <c r="K1565" s="4">
        <v>1189.92</v>
      </c>
      <c r="L1565" s="4">
        <v>314.08</v>
      </c>
      <c r="M1565" s="1" t="str">
        <f>TEXT(Table1[[#This Row],[Order_Date]], "MMM")</f>
        <v>Nov</v>
      </c>
      <c r="N1565" s="1">
        <f>YEAR(Table1[[#This Row],[Order_Date]])</f>
        <v>2024</v>
      </c>
      <c r="O1565" s="7">
        <f>Table1[[#This Row],[Profit]]/Table1[[#This Row],[Total_Sales]]</f>
        <v>0.20882978723404255</v>
      </c>
    </row>
    <row r="1566" spans="1:15" x14ac:dyDescent="0.25">
      <c r="A1566" s="1">
        <v>1565</v>
      </c>
      <c r="B1566" s="2">
        <v>45173</v>
      </c>
      <c r="C1566" s="1" t="s">
        <v>19</v>
      </c>
      <c r="D1566" s="1" t="s">
        <v>13</v>
      </c>
      <c r="E1566" s="1" t="s">
        <v>38</v>
      </c>
      <c r="F1566" s="1" t="s">
        <v>15</v>
      </c>
      <c r="G1566" s="1">
        <v>1</v>
      </c>
      <c r="H1566" s="1">
        <v>536</v>
      </c>
      <c r="I1566" s="1">
        <v>5</v>
      </c>
      <c r="J1566" s="4">
        <v>509.2</v>
      </c>
      <c r="K1566" s="4">
        <v>296.27</v>
      </c>
      <c r="L1566" s="4">
        <v>212.93</v>
      </c>
      <c r="M1566" s="1" t="str">
        <f>TEXT(Table1[[#This Row],[Order_Date]], "MMM")</f>
        <v>Sep</v>
      </c>
      <c r="N1566" s="1">
        <f>YEAR(Table1[[#This Row],[Order_Date]])</f>
        <v>2023</v>
      </c>
      <c r="O1566" s="7">
        <f>Table1[[#This Row],[Profit]]/Table1[[#This Row],[Total_Sales]]</f>
        <v>0.41816575019638652</v>
      </c>
    </row>
    <row r="1567" spans="1:15" x14ac:dyDescent="0.25">
      <c r="A1567" s="1">
        <v>1566</v>
      </c>
      <c r="B1567" s="2">
        <v>45055</v>
      </c>
      <c r="C1567" s="1" t="s">
        <v>16</v>
      </c>
      <c r="D1567" s="1" t="s">
        <v>13</v>
      </c>
      <c r="E1567" s="1" t="s">
        <v>38</v>
      </c>
      <c r="F1567" s="1" t="s">
        <v>24</v>
      </c>
      <c r="G1567" s="1">
        <v>1</v>
      </c>
      <c r="H1567" s="1">
        <v>333</v>
      </c>
      <c r="I1567" s="1">
        <v>0</v>
      </c>
      <c r="J1567" s="4">
        <v>333</v>
      </c>
      <c r="K1567" s="4">
        <v>189.83</v>
      </c>
      <c r="L1567" s="4">
        <v>143.16999999999999</v>
      </c>
      <c r="M1567" s="1" t="str">
        <f>TEXT(Table1[[#This Row],[Order_Date]], "MMM")</f>
        <v>May</v>
      </c>
      <c r="N1567" s="1">
        <f>YEAR(Table1[[#This Row],[Order_Date]])</f>
        <v>2023</v>
      </c>
      <c r="O1567" s="7">
        <f>Table1[[#This Row],[Profit]]/Table1[[#This Row],[Total_Sales]]</f>
        <v>0.4299399399399399</v>
      </c>
    </row>
    <row r="1568" spans="1:15" x14ac:dyDescent="0.25">
      <c r="A1568" s="1">
        <v>1567</v>
      </c>
      <c r="B1568" s="2">
        <v>45198</v>
      </c>
      <c r="C1568" s="1" t="s">
        <v>12</v>
      </c>
      <c r="D1568" s="1" t="s">
        <v>13</v>
      </c>
      <c r="E1568" s="1" t="s">
        <v>17</v>
      </c>
      <c r="F1568" s="1" t="s">
        <v>35</v>
      </c>
      <c r="G1568" s="1">
        <v>3</v>
      </c>
      <c r="H1568" s="1">
        <v>801</v>
      </c>
      <c r="I1568" s="1">
        <v>20</v>
      </c>
      <c r="J1568" s="4">
        <v>1922.4</v>
      </c>
      <c r="K1568" s="4">
        <v>1068.1400000000001</v>
      </c>
      <c r="L1568" s="4">
        <v>854.26</v>
      </c>
      <c r="M1568" s="1" t="str">
        <f>TEXT(Table1[[#This Row],[Order_Date]], "MMM")</f>
        <v>Sep</v>
      </c>
      <c r="N1568" s="1">
        <f>YEAR(Table1[[#This Row],[Order_Date]])</f>
        <v>2023</v>
      </c>
      <c r="O1568" s="7">
        <f>Table1[[#This Row],[Profit]]/Table1[[#This Row],[Total_Sales]]</f>
        <v>0.44437161880982101</v>
      </c>
    </row>
    <row r="1569" spans="1:15" x14ac:dyDescent="0.25">
      <c r="A1569" s="1">
        <v>1568</v>
      </c>
      <c r="B1569" s="2">
        <v>45012</v>
      </c>
      <c r="C1569" s="1" t="s">
        <v>16</v>
      </c>
      <c r="D1569" s="1" t="s">
        <v>26</v>
      </c>
      <c r="E1569" s="1" t="s">
        <v>37</v>
      </c>
      <c r="F1569" s="1" t="s">
        <v>18</v>
      </c>
      <c r="G1569" s="1">
        <v>10</v>
      </c>
      <c r="H1569" s="1">
        <v>72</v>
      </c>
      <c r="I1569" s="1">
        <v>20</v>
      </c>
      <c r="J1569" s="4">
        <v>576</v>
      </c>
      <c r="K1569" s="4">
        <v>316.11</v>
      </c>
      <c r="L1569" s="4">
        <v>259.89</v>
      </c>
      <c r="M1569" s="1" t="str">
        <f>TEXT(Table1[[#This Row],[Order_Date]], "MMM")</f>
        <v>Mar</v>
      </c>
      <c r="N1569" s="1">
        <f>YEAR(Table1[[#This Row],[Order_Date]])</f>
        <v>2023</v>
      </c>
      <c r="O1569" s="7">
        <f>Table1[[#This Row],[Profit]]/Table1[[#This Row],[Total_Sales]]</f>
        <v>0.45119791666666664</v>
      </c>
    </row>
    <row r="1570" spans="1:15" x14ac:dyDescent="0.25">
      <c r="A1570" s="1">
        <v>1569</v>
      </c>
      <c r="B1570" s="2">
        <v>44936</v>
      </c>
      <c r="C1570" s="1" t="s">
        <v>19</v>
      </c>
      <c r="D1570" s="1" t="s">
        <v>13</v>
      </c>
      <c r="E1570" s="1" t="s">
        <v>39</v>
      </c>
      <c r="F1570" s="1" t="s">
        <v>40</v>
      </c>
      <c r="G1570" s="1">
        <v>2</v>
      </c>
      <c r="H1570" s="1">
        <v>885</v>
      </c>
      <c r="I1570" s="1">
        <v>20</v>
      </c>
      <c r="J1570" s="4">
        <v>1416</v>
      </c>
      <c r="K1570" s="4">
        <v>1091.4000000000001</v>
      </c>
      <c r="L1570" s="4">
        <v>324.60000000000002</v>
      </c>
      <c r="M1570" s="1" t="str">
        <f>TEXT(Table1[[#This Row],[Order_Date]], "MMM")</f>
        <v>Jan</v>
      </c>
      <c r="N1570" s="1">
        <f>YEAR(Table1[[#This Row],[Order_Date]])</f>
        <v>2023</v>
      </c>
      <c r="O1570" s="7">
        <f>Table1[[#This Row],[Profit]]/Table1[[#This Row],[Total_Sales]]</f>
        <v>0.22923728813559324</v>
      </c>
    </row>
    <row r="1571" spans="1:15" x14ac:dyDescent="0.25">
      <c r="A1571" s="1">
        <v>1570</v>
      </c>
      <c r="B1571" s="2">
        <v>45337</v>
      </c>
      <c r="C1571" s="1" t="s">
        <v>19</v>
      </c>
      <c r="D1571" s="1" t="s">
        <v>32</v>
      </c>
      <c r="E1571" s="1" t="s">
        <v>41</v>
      </c>
      <c r="F1571" s="1" t="s">
        <v>40</v>
      </c>
      <c r="G1571" s="1">
        <v>6</v>
      </c>
      <c r="H1571" s="1">
        <v>959</v>
      </c>
      <c r="I1571" s="1">
        <v>20</v>
      </c>
      <c r="J1571" s="4">
        <v>4603.2</v>
      </c>
      <c r="K1571" s="4">
        <v>2603.1799999999998</v>
      </c>
      <c r="L1571" s="4">
        <v>2000.02</v>
      </c>
      <c r="M1571" s="1" t="str">
        <f>TEXT(Table1[[#This Row],[Order_Date]], "MMM")</f>
        <v>Feb</v>
      </c>
      <c r="N1571" s="1">
        <f>YEAR(Table1[[#This Row],[Order_Date]])</f>
        <v>2024</v>
      </c>
      <c r="O1571" s="7">
        <f>Table1[[#This Row],[Profit]]/Table1[[#This Row],[Total_Sales]]</f>
        <v>0.43448470629127567</v>
      </c>
    </row>
    <row r="1572" spans="1:15" x14ac:dyDescent="0.25">
      <c r="A1572" s="1">
        <v>1571</v>
      </c>
      <c r="B1572" s="2">
        <v>45196</v>
      </c>
      <c r="C1572" s="1" t="s">
        <v>19</v>
      </c>
      <c r="D1572" s="1" t="s">
        <v>32</v>
      </c>
      <c r="E1572" s="1" t="s">
        <v>33</v>
      </c>
      <c r="F1572" s="1" t="s">
        <v>31</v>
      </c>
      <c r="G1572" s="1">
        <v>5</v>
      </c>
      <c r="H1572" s="1">
        <v>608</v>
      </c>
      <c r="I1572" s="1">
        <v>20</v>
      </c>
      <c r="J1572" s="4">
        <v>2432</v>
      </c>
      <c r="K1572" s="4">
        <v>1579.73</v>
      </c>
      <c r="L1572" s="4">
        <v>852.27</v>
      </c>
      <c r="M1572" s="1" t="str">
        <f>TEXT(Table1[[#This Row],[Order_Date]], "MMM")</f>
        <v>Sep</v>
      </c>
      <c r="N1572" s="1">
        <f>YEAR(Table1[[#This Row],[Order_Date]])</f>
        <v>2023</v>
      </c>
      <c r="O1572" s="7">
        <f>Table1[[#This Row],[Profit]]/Table1[[#This Row],[Total_Sales]]</f>
        <v>0.35043996710526315</v>
      </c>
    </row>
    <row r="1573" spans="1:15" x14ac:dyDescent="0.25">
      <c r="A1573" s="1">
        <v>1572</v>
      </c>
      <c r="B1573" s="2">
        <v>45378</v>
      </c>
      <c r="C1573" s="1" t="s">
        <v>25</v>
      </c>
      <c r="D1573" s="1" t="s">
        <v>26</v>
      </c>
      <c r="E1573" s="1" t="s">
        <v>42</v>
      </c>
      <c r="F1573" s="1" t="s">
        <v>35</v>
      </c>
      <c r="G1573" s="1">
        <v>2</v>
      </c>
      <c r="H1573" s="1">
        <v>994</v>
      </c>
      <c r="I1573" s="1">
        <v>0</v>
      </c>
      <c r="J1573" s="4">
        <v>1988</v>
      </c>
      <c r="K1573" s="4">
        <v>1335.67</v>
      </c>
      <c r="L1573" s="4">
        <v>652.33000000000004</v>
      </c>
      <c r="M1573" s="1" t="str">
        <f>TEXT(Table1[[#This Row],[Order_Date]], "MMM")</f>
        <v>Mar</v>
      </c>
      <c r="N1573" s="1">
        <f>YEAR(Table1[[#This Row],[Order_Date]])</f>
        <v>2024</v>
      </c>
      <c r="O1573" s="7">
        <f>Table1[[#This Row],[Profit]]/Table1[[#This Row],[Total_Sales]]</f>
        <v>0.32813380281690141</v>
      </c>
    </row>
    <row r="1574" spans="1:15" x14ac:dyDescent="0.25">
      <c r="A1574" s="1">
        <v>1573</v>
      </c>
      <c r="B1574" s="2">
        <v>45495</v>
      </c>
      <c r="C1574" s="1" t="s">
        <v>16</v>
      </c>
      <c r="D1574" s="1" t="s">
        <v>13</v>
      </c>
      <c r="E1574" s="1" t="s">
        <v>14</v>
      </c>
      <c r="F1574" s="1" t="s">
        <v>31</v>
      </c>
      <c r="G1574" s="1">
        <v>10</v>
      </c>
      <c r="H1574" s="1">
        <v>868</v>
      </c>
      <c r="I1574" s="1">
        <v>0</v>
      </c>
      <c r="J1574" s="4">
        <v>8680</v>
      </c>
      <c r="K1574" s="4">
        <v>5248.23</v>
      </c>
      <c r="L1574" s="4">
        <v>3431.77</v>
      </c>
      <c r="M1574" s="1" t="str">
        <f>TEXT(Table1[[#This Row],[Order_Date]], "MMM")</f>
        <v>Jul</v>
      </c>
      <c r="N1574" s="1">
        <f>YEAR(Table1[[#This Row],[Order_Date]])</f>
        <v>2024</v>
      </c>
      <c r="O1574" s="7">
        <f>Table1[[#This Row],[Profit]]/Table1[[#This Row],[Total_Sales]]</f>
        <v>0.39536520737327191</v>
      </c>
    </row>
    <row r="1575" spans="1:15" x14ac:dyDescent="0.25">
      <c r="A1575" s="1">
        <v>1574</v>
      </c>
      <c r="B1575" s="2">
        <v>45169</v>
      </c>
      <c r="C1575" s="1" t="s">
        <v>16</v>
      </c>
      <c r="D1575" s="1" t="s">
        <v>13</v>
      </c>
      <c r="E1575" s="1" t="s">
        <v>14</v>
      </c>
      <c r="F1575" s="1" t="s">
        <v>18</v>
      </c>
      <c r="G1575" s="1">
        <v>9</v>
      </c>
      <c r="H1575" s="1">
        <v>192</v>
      </c>
      <c r="I1575" s="1">
        <v>0</v>
      </c>
      <c r="J1575" s="4">
        <v>1728</v>
      </c>
      <c r="K1575" s="4">
        <v>950.8</v>
      </c>
      <c r="L1575" s="4">
        <v>777.2</v>
      </c>
      <c r="M1575" s="1" t="str">
        <f>TEXT(Table1[[#This Row],[Order_Date]], "MMM")</f>
        <v>Aug</v>
      </c>
      <c r="N1575" s="1">
        <f>YEAR(Table1[[#This Row],[Order_Date]])</f>
        <v>2023</v>
      </c>
      <c r="O1575" s="7">
        <f>Table1[[#This Row],[Profit]]/Table1[[#This Row],[Total_Sales]]</f>
        <v>0.44976851851851857</v>
      </c>
    </row>
    <row r="1576" spans="1:15" x14ac:dyDescent="0.25">
      <c r="A1576" s="1">
        <v>1575</v>
      </c>
      <c r="B1576" s="2">
        <v>45395</v>
      </c>
      <c r="C1576" s="1" t="s">
        <v>12</v>
      </c>
      <c r="D1576" s="1" t="s">
        <v>13</v>
      </c>
      <c r="E1576" s="1" t="s">
        <v>38</v>
      </c>
      <c r="F1576" s="1" t="s">
        <v>40</v>
      </c>
      <c r="G1576" s="1">
        <v>2</v>
      </c>
      <c r="H1576" s="1">
        <v>118</v>
      </c>
      <c r="I1576" s="1">
        <v>0</v>
      </c>
      <c r="J1576" s="4">
        <v>236</v>
      </c>
      <c r="K1576" s="4">
        <v>180.35</v>
      </c>
      <c r="L1576" s="4">
        <v>55.65</v>
      </c>
      <c r="M1576" s="1" t="str">
        <f>TEXT(Table1[[#This Row],[Order_Date]], "MMM")</f>
        <v>Apr</v>
      </c>
      <c r="N1576" s="1">
        <f>YEAR(Table1[[#This Row],[Order_Date]])</f>
        <v>2024</v>
      </c>
      <c r="O1576" s="7">
        <f>Table1[[#This Row],[Profit]]/Table1[[#This Row],[Total_Sales]]</f>
        <v>0.2358050847457627</v>
      </c>
    </row>
    <row r="1577" spans="1:15" x14ac:dyDescent="0.25">
      <c r="A1577" s="1">
        <v>1576</v>
      </c>
      <c r="B1577" s="2">
        <v>45360</v>
      </c>
      <c r="C1577" s="1" t="s">
        <v>25</v>
      </c>
      <c r="D1577" s="1" t="s">
        <v>20</v>
      </c>
      <c r="E1577" s="1" t="s">
        <v>21</v>
      </c>
      <c r="F1577" s="1" t="s">
        <v>18</v>
      </c>
      <c r="G1577" s="1">
        <v>4</v>
      </c>
      <c r="H1577" s="1">
        <v>157</v>
      </c>
      <c r="I1577" s="1">
        <v>10</v>
      </c>
      <c r="J1577" s="4">
        <v>565.20000000000005</v>
      </c>
      <c r="K1577" s="4">
        <v>315.07</v>
      </c>
      <c r="L1577" s="4">
        <v>250.13</v>
      </c>
      <c r="M1577" s="1" t="str">
        <f>TEXT(Table1[[#This Row],[Order_Date]], "MMM")</f>
        <v>Mar</v>
      </c>
      <c r="N1577" s="1">
        <f>YEAR(Table1[[#This Row],[Order_Date]])</f>
        <v>2024</v>
      </c>
      <c r="O1577" s="7">
        <f>Table1[[#This Row],[Profit]]/Table1[[#This Row],[Total_Sales]]</f>
        <v>0.44255130927105446</v>
      </c>
    </row>
    <row r="1578" spans="1:15" x14ac:dyDescent="0.25">
      <c r="A1578" s="1">
        <v>1577</v>
      </c>
      <c r="B1578" s="2">
        <v>45062</v>
      </c>
      <c r="C1578" s="1" t="s">
        <v>19</v>
      </c>
      <c r="D1578" s="1" t="s">
        <v>20</v>
      </c>
      <c r="E1578" s="1" t="s">
        <v>30</v>
      </c>
      <c r="F1578" s="1" t="s">
        <v>24</v>
      </c>
      <c r="G1578" s="1">
        <v>1</v>
      </c>
      <c r="H1578" s="1">
        <v>523</v>
      </c>
      <c r="I1578" s="1">
        <v>20</v>
      </c>
      <c r="J1578" s="4">
        <v>418.4</v>
      </c>
      <c r="K1578" s="4">
        <v>249.21</v>
      </c>
      <c r="L1578" s="4">
        <v>169.19</v>
      </c>
      <c r="M1578" s="1" t="str">
        <f>TEXT(Table1[[#This Row],[Order_Date]], "MMM")</f>
        <v>May</v>
      </c>
      <c r="N1578" s="1">
        <f>YEAR(Table1[[#This Row],[Order_Date]])</f>
        <v>2023</v>
      </c>
      <c r="O1578" s="7">
        <f>Table1[[#This Row],[Profit]]/Table1[[#This Row],[Total_Sales]]</f>
        <v>0.40437380497131931</v>
      </c>
    </row>
    <row r="1579" spans="1:15" x14ac:dyDescent="0.25">
      <c r="A1579" s="1">
        <v>1578</v>
      </c>
      <c r="B1579" s="2">
        <v>45169</v>
      </c>
      <c r="C1579" s="1" t="s">
        <v>12</v>
      </c>
      <c r="D1579" s="1" t="s">
        <v>20</v>
      </c>
      <c r="E1579" s="1" t="s">
        <v>21</v>
      </c>
      <c r="F1579" s="1" t="s">
        <v>15</v>
      </c>
      <c r="G1579" s="1">
        <v>1</v>
      </c>
      <c r="H1579" s="1">
        <v>302</v>
      </c>
      <c r="I1579" s="1">
        <v>20</v>
      </c>
      <c r="J1579" s="4">
        <v>241.6</v>
      </c>
      <c r="K1579" s="4">
        <v>130.74</v>
      </c>
      <c r="L1579" s="4">
        <v>110.86</v>
      </c>
      <c r="M1579" s="1" t="str">
        <f>TEXT(Table1[[#This Row],[Order_Date]], "MMM")</f>
        <v>Aug</v>
      </c>
      <c r="N1579" s="1">
        <f>YEAR(Table1[[#This Row],[Order_Date]])</f>
        <v>2023</v>
      </c>
      <c r="O1579" s="7">
        <f>Table1[[#This Row],[Profit]]/Table1[[#This Row],[Total_Sales]]</f>
        <v>0.45885761589403973</v>
      </c>
    </row>
    <row r="1580" spans="1:15" x14ac:dyDescent="0.25">
      <c r="A1580" s="1">
        <v>1579</v>
      </c>
      <c r="B1580" s="2">
        <v>45524</v>
      </c>
      <c r="C1580" s="1" t="s">
        <v>19</v>
      </c>
      <c r="D1580" s="1" t="s">
        <v>20</v>
      </c>
      <c r="E1580" s="1" t="s">
        <v>21</v>
      </c>
      <c r="F1580" s="1" t="s">
        <v>31</v>
      </c>
      <c r="G1580" s="1">
        <v>8</v>
      </c>
      <c r="H1580" s="1">
        <v>63</v>
      </c>
      <c r="I1580" s="1">
        <v>20</v>
      </c>
      <c r="J1580" s="4">
        <v>403.2</v>
      </c>
      <c r="K1580" s="4">
        <v>216.77</v>
      </c>
      <c r="L1580" s="4">
        <v>186.43</v>
      </c>
      <c r="M1580" s="1" t="str">
        <f>TEXT(Table1[[#This Row],[Order_Date]], "MMM")</f>
        <v>Aug</v>
      </c>
      <c r="N1580" s="1">
        <f>YEAR(Table1[[#This Row],[Order_Date]])</f>
        <v>2024</v>
      </c>
      <c r="O1580" s="7">
        <f>Table1[[#This Row],[Profit]]/Table1[[#This Row],[Total_Sales]]</f>
        <v>0.46237599206349211</v>
      </c>
    </row>
    <row r="1581" spans="1:15" x14ac:dyDescent="0.25">
      <c r="A1581" s="1">
        <v>1580</v>
      </c>
      <c r="B1581" s="2">
        <v>44955</v>
      </c>
      <c r="C1581" s="1" t="s">
        <v>25</v>
      </c>
      <c r="D1581" s="1" t="s">
        <v>26</v>
      </c>
      <c r="E1581" s="1" t="s">
        <v>27</v>
      </c>
      <c r="F1581" s="1" t="s">
        <v>40</v>
      </c>
      <c r="G1581" s="1">
        <v>2</v>
      </c>
      <c r="H1581" s="1">
        <v>200</v>
      </c>
      <c r="I1581" s="1">
        <v>15</v>
      </c>
      <c r="J1581" s="4">
        <v>340</v>
      </c>
      <c r="K1581" s="4">
        <v>246.28</v>
      </c>
      <c r="L1581" s="4">
        <v>93.72</v>
      </c>
      <c r="M1581" s="1" t="str">
        <f>TEXT(Table1[[#This Row],[Order_Date]], "MMM")</f>
        <v>Jan</v>
      </c>
      <c r="N1581" s="1">
        <f>YEAR(Table1[[#This Row],[Order_Date]])</f>
        <v>2023</v>
      </c>
      <c r="O1581" s="7">
        <f>Table1[[#This Row],[Profit]]/Table1[[#This Row],[Total_Sales]]</f>
        <v>0.27564705882352941</v>
      </c>
    </row>
    <row r="1582" spans="1:15" x14ac:dyDescent="0.25">
      <c r="A1582" s="1">
        <v>1581</v>
      </c>
      <c r="B1582" s="2">
        <v>45298</v>
      </c>
      <c r="C1582" s="1" t="s">
        <v>16</v>
      </c>
      <c r="D1582" s="1" t="s">
        <v>26</v>
      </c>
      <c r="E1582" s="1" t="s">
        <v>37</v>
      </c>
      <c r="F1582" s="1" t="s">
        <v>15</v>
      </c>
      <c r="G1582" s="1">
        <v>2</v>
      </c>
      <c r="H1582" s="1">
        <v>38</v>
      </c>
      <c r="I1582" s="1">
        <v>15</v>
      </c>
      <c r="J1582" s="4">
        <v>64.599999999999994</v>
      </c>
      <c r="K1582" s="4">
        <v>40.72</v>
      </c>
      <c r="L1582" s="4">
        <v>23.88</v>
      </c>
      <c r="M1582" s="1" t="str">
        <f>TEXT(Table1[[#This Row],[Order_Date]], "MMM")</f>
        <v>Jan</v>
      </c>
      <c r="N1582" s="1">
        <f>YEAR(Table1[[#This Row],[Order_Date]])</f>
        <v>2024</v>
      </c>
      <c r="O1582" s="7">
        <f>Table1[[#This Row],[Profit]]/Table1[[#This Row],[Total_Sales]]</f>
        <v>0.36965944272445822</v>
      </c>
    </row>
    <row r="1583" spans="1:15" x14ac:dyDescent="0.25">
      <c r="A1583" s="1">
        <v>1582</v>
      </c>
      <c r="B1583" s="2">
        <v>45295</v>
      </c>
      <c r="C1583" s="1" t="s">
        <v>25</v>
      </c>
      <c r="D1583" s="1" t="s">
        <v>26</v>
      </c>
      <c r="E1583" s="1" t="s">
        <v>37</v>
      </c>
      <c r="F1583" s="1" t="s">
        <v>40</v>
      </c>
      <c r="G1583" s="1">
        <v>5</v>
      </c>
      <c r="H1583" s="1">
        <v>145</v>
      </c>
      <c r="I1583" s="1">
        <v>15</v>
      </c>
      <c r="J1583" s="4">
        <v>616.25</v>
      </c>
      <c r="K1583" s="4">
        <v>398.84</v>
      </c>
      <c r="L1583" s="4">
        <v>217.41</v>
      </c>
      <c r="M1583" s="1" t="str">
        <f>TEXT(Table1[[#This Row],[Order_Date]], "MMM")</f>
        <v>Jan</v>
      </c>
      <c r="N1583" s="1">
        <f>YEAR(Table1[[#This Row],[Order_Date]])</f>
        <v>2024</v>
      </c>
      <c r="O1583" s="7">
        <f>Table1[[#This Row],[Profit]]/Table1[[#This Row],[Total_Sales]]</f>
        <v>0.35279513184584177</v>
      </c>
    </row>
    <row r="1584" spans="1:15" x14ac:dyDescent="0.25">
      <c r="A1584" s="1">
        <v>1583</v>
      </c>
      <c r="B1584" s="2">
        <v>45460</v>
      </c>
      <c r="C1584" s="1" t="s">
        <v>25</v>
      </c>
      <c r="D1584" s="1" t="s">
        <v>13</v>
      </c>
      <c r="E1584" s="1" t="s">
        <v>17</v>
      </c>
      <c r="F1584" s="1" t="s">
        <v>24</v>
      </c>
      <c r="G1584" s="1">
        <v>5</v>
      </c>
      <c r="H1584" s="1">
        <v>392</v>
      </c>
      <c r="I1584" s="1">
        <v>0</v>
      </c>
      <c r="J1584" s="4">
        <v>1960</v>
      </c>
      <c r="K1584" s="4">
        <v>1444.03</v>
      </c>
      <c r="L1584" s="4">
        <v>515.97</v>
      </c>
      <c r="M1584" s="1" t="str">
        <f>TEXT(Table1[[#This Row],[Order_Date]], "MMM")</f>
        <v>Jun</v>
      </c>
      <c r="N1584" s="1">
        <f>YEAR(Table1[[#This Row],[Order_Date]])</f>
        <v>2024</v>
      </c>
      <c r="O1584" s="7">
        <f>Table1[[#This Row],[Profit]]/Table1[[#This Row],[Total_Sales]]</f>
        <v>0.26325000000000004</v>
      </c>
    </row>
    <row r="1585" spans="1:15" x14ac:dyDescent="0.25">
      <c r="A1585" s="1">
        <v>1584</v>
      </c>
      <c r="B1585" s="2">
        <v>45594</v>
      </c>
      <c r="C1585" s="1" t="s">
        <v>25</v>
      </c>
      <c r="D1585" s="1" t="s">
        <v>22</v>
      </c>
      <c r="E1585" s="1" t="s">
        <v>44</v>
      </c>
      <c r="F1585" s="1" t="s">
        <v>15</v>
      </c>
      <c r="G1585" s="1">
        <v>10</v>
      </c>
      <c r="H1585" s="1">
        <v>385</v>
      </c>
      <c r="I1585" s="1">
        <v>0</v>
      </c>
      <c r="J1585" s="4">
        <v>3850</v>
      </c>
      <c r="K1585" s="4">
        <v>2849.89</v>
      </c>
      <c r="L1585" s="4">
        <v>1000.11</v>
      </c>
      <c r="M1585" s="1" t="str">
        <f>TEXT(Table1[[#This Row],[Order_Date]], "MMM")</f>
        <v>Oct</v>
      </c>
      <c r="N1585" s="1">
        <f>YEAR(Table1[[#This Row],[Order_Date]])</f>
        <v>2024</v>
      </c>
      <c r="O1585" s="7">
        <f>Table1[[#This Row],[Profit]]/Table1[[#This Row],[Total_Sales]]</f>
        <v>0.25976883116883115</v>
      </c>
    </row>
    <row r="1586" spans="1:15" x14ac:dyDescent="0.25">
      <c r="A1586" s="1">
        <v>1585</v>
      </c>
      <c r="B1586" s="2">
        <v>45074</v>
      </c>
      <c r="C1586" s="1" t="s">
        <v>16</v>
      </c>
      <c r="D1586" s="1" t="s">
        <v>32</v>
      </c>
      <c r="E1586" s="1" t="s">
        <v>41</v>
      </c>
      <c r="F1586" s="1" t="s">
        <v>15</v>
      </c>
      <c r="G1586" s="1">
        <v>3</v>
      </c>
      <c r="H1586" s="1">
        <v>44</v>
      </c>
      <c r="I1586" s="1">
        <v>10</v>
      </c>
      <c r="J1586" s="4">
        <v>118.8</v>
      </c>
      <c r="K1586" s="4">
        <v>86.05</v>
      </c>
      <c r="L1586" s="4">
        <v>32.75</v>
      </c>
      <c r="M1586" s="1" t="str">
        <f>TEXT(Table1[[#This Row],[Order_Date]], "MMM")</f>
        <v>May</v>
      </c>
      <c r="N1586" s="1">
        <f>YEAR(Table1[[#This Row],[Order_Date]])</f>
        <v>2023</v>
      </c>
      <c r="O1586" s="7">
        <f>Table1[[#This Row],[Profit]]/Table1[[#This Row],[Total_Sales]]</f>
        <v>0.27567340067340068</v>
      </c>
    </row>
    <row r="1587" spans="1:15" x14ac:dyDescent="0.25">
      <c r="A1587" s="1">
        <v>1586</v>
      </c>
      <c r="B1587" s="2">
        <v>45234</v>
      </c>
      <c r="C1587" s="1" t="s">
        <v>25</v>
      </c>
      <c r="D1587" s="1" t="s">
        <v>26</v>
      </c>
      <c r="E1587" s="1" t="s">
        <v>46</v>
      </c>
      <c r="F1587" s="1" t="s">
        <v>18</v>
      </c>
      <c r="G1587" s="1">
        <v>6</v>
      </c>
      <c r="H1587" s="1">
        <v>409</v>
      </c>
      <c r="I1587" s="1">
        <v>15</v>
      </c>
      <c r="J1587" s="4">
        <v>2085.9</v>
      </c>
      <c r="K1587" s="4">
        <v>1496.23</v>
      </c>
      <c r="L1587" s="4">
        <v>589.66999999999996</v>
      </c>
      <c r="M1587" s="1" t="str">
        <f>TEXT(Table1[[#This Row],[Order_Date]], "MMM")</f>
        <v>Nov</v>
      </c>
      <c r="N1587" s="1">
        <f>YEAR(Table1[[#This Row],[Order_Date]])</f>
        <v>2023</v>
      </c>
      <c r="O1587" s="7">
        <f>Table1[[#This Row],[Profit]]/Table1[[#This Row],[Total_Sales]]</f>
        <v>0.2826933218275085</v>
      </c>
    </row>
    <row r="1588" spans="1:15" x14ac:dyDescent="0.25">
      <c r="A1588" s="1">
        <v>1587</v>
      </c>
      <c r="B1588" s="2">
        <v>45171</v>
      </c>
      <c r="C1588" s="1" t="s">
        <v>16</v>
      </c>
      <c r="D1588" s="1" t="s">
        <v>32</v>
      </c>
      <c r="E1588" s="1" t="s">
        <v>34</v>
      </c>
      <c r="F1588" s="1" t="s">
        <v>35</v>
      </c>
      <c r="G1588" s="1">
        <v>2</v>
      </c>
      <c r="H1588" s="1">
        <v>568</v>
      </c>
      <c r="I1588" s="1">
        <v>5</v>
      </c>
      <c r="J1588" s="4">
        <v>1079.2</v>
      </c>
      <c r="K1588" s="4">
        <v>641.62</v>
      </c>
      <c r="L1588" s="4">
        <v>437.58</v>
      </c>
      <c r="M1588" s="1" t="str">
        <f>TEXT(Table1[[#This Row],[Order_Date]], "MMM")</f>
        <v>Sep</v>
      </c>
      <c r="N1588" s="1">
        <f>YEAR(Table1[[#This Row],[Order_Date]])</f>
        <v>2023</v>
      </c>
      <c r="O1588" s="7">
        <f>Table1[[#This Row],[Profit]]/Table1[[#This Row],[Total_Sales]]</f>
        <v>0.4054670126019273</v>
      </c>
    </row>
    <row r="1589" spans="1:15" x14ac:dyDescent="0.25">
      <c r="A1589" s="1">
        <v>1588</v>
      </c>
      <c r="B1589" s="2">
        <v>45080</v>
      </c>
      <c r="C1589" s="1" t="s">
        <v>19</v>
      </c>
      <c r="D1589" s="1" t="s">
        <v>26</v>
      </c>
      <c r="E1589" s="1" t="s">
        <v>46</v>
      </c>
      <c r="F1589" s="1" t="s">
        <v>24</v>
      </c>
      <c r="G1589" s="1">
        <v>9</v>
      </c>
      <c r="H1589" s="1">
        <v>768</v>
      </c>
      <c r="I1589" s="1">
        <v>20</v>
      </c>
      <c r="J1589" s="4">
        <v>5529.6</v>
      </c>
      <c r="K1589" s="4">
        <v>3736.93</v>
      </c>
      <c r="L1589" s="4">
        <v>1792.67</v>
      </c>
      <c r="M1589" s="1" t="str">
        <f>TEXT(Table1[[#This Row],[Order_Date]], "MMM")</f>
        <v>Jun</v>
      </c>
      <c r="N1589" s="1">
        <f>YEAR(Table1[[#This Row],[Order_Date]])</f>
        <v>2023</v>
      </c>
      <c r="O1589" s="7">
        <f>Table1[[#This Row],[Profit]]/Table1[[#This Row],[Total_Sales]]</f>
        <v>0.32419524016203705</v>
      </c>
    </row>
    <row r="1590" spans="1:15" x14ac:dyDescent="0.25">
      <c r="A1590" s="1">
        <v>1589</v>
      </c>
      <c r="B1590" s="2">
        <v>45355</v>
      </c>
      <c r="C1590" s="1" t="s">
        <v>16</v>
      </c>
      <c r="D1590" s="1" t="s">
        <v>26</v>
      </c>
      <c r="E1590" s="1" t="s">
        <v>46</v>
      </c>
      <c r="F1590" s="1" t="s">
        <v>24</v>
      </c>
      <c r="G1590" s="1">
        <v>7</v>
      </c>
      <c r="H1590" s="1">
        <v>548</v>
      </c>
      <c r="I1590" s="1">
        <v>0</v>
      </c>
      <c r="J1590" s="4">
        <v>3836</v>
      </c>
      <c r="K1590" s="4">
        <v>2837.19</v>
      </c>
      <c r="L1590" s="4">
        <v>998.81</v>
      </c>
      <c r="M1590" s="1" t="str">
        <f>TEXT(Table1[[#This Row],[Order_Date]], "MMM")</f>
        <v>Mar</v>
      </c>
      <c r="N1590" s="1">
        <f>YEAR(Table1[[#This Row],[Order_Date]])</f>
        <v>2024</v>
      </c>
      <c r="O1590" s="7">
        <f>Table1[[#This Row],[Profit]]/Table1[[#This Row],[Total_Sales]]</f>
        <v>0.26037799791449423</v>
      </c>
    </row>
    <row r="1591" spans="1:15" x14ac:dyDescent="0.25">
      <c r="A1591" s="1">
        <v>1590</v>
      </c>
      <c r="B1591" s="2">
        <v>45646</v>
      </c>
      <c r="C1591" s="1" t="s">
        <v>25</v>
      </c>
      <c r="D1591" s="1" t="s">
        <v>26</v>
      </c>
      <c r="E1591" s="1" t="s">
        <v>46</v>
      </c>
      <c r="F1591" s="1" t="s">
        <v>24</v>
      </c>
      <c r="G1591" s="1">
        <v>6</v>
      </c>
      <c r="H1591" s="1">
        <v>542</v>
      </c>
      <c r="I1591" s="1">
        <v>10</v>
      </c>
      <c r="J1591" s="4">
        <v>2926.8</v>
      </c>
      <c r="K1591" s="4">
        <v>2166.36</v>
      </c>
      <c r="L1591" s="4">
        <v>760.44</v>
      </c>
      <c r="M1591" s="1" t="str">
        <f>TEXT(Table1[[#This Row],[Order_Date]], "MMM")</f>
        <v>Dec</v>
      </c>
      <c r="N1591" s="1">
        <f>YEAR(Table1[[#This Row],[Order_Date]])</f>
        <v>2024</v>
      </c>
      <c r="O1591" s="7">
        <f>Table1[[#This Row],[Profit]]/Table1[[#This Row],[Total_Sales]]</f>
        <v>0.25981959819598194</v>
      </c>
    </row>
    <row r="1592" spans="1:15" x14ac:dyDescent="0.25">
      <c r="A1592" s="1">
        <v>1591</v>
      </c>
      <c r="B1592" s="2">
        <v>45509</v>
      </c>
      <c r="C1592" s="1" t="s">
        <v>25</v>
      </c>
      <c r="D1592" s="1" t="s">
        <v>13</v>
      </c>
      <c r="E1592" s="1" t="s">
        <v>17</v>
      </c>
      <c r="F1592" s="1" t="s">
        <v>31</v>
      </c>
      <c r="G1592" s="1">
        <v>4</v>
      </c>
      <c r="H1592" s="1">
        <v>401</v>
      </c>
      <c r="I1592" s="1">
        <v>5</v>
      </c>
      <c r="J1592" s="4">
        <v>1523.8</v>
      </c>
      <c r="K1592" s="4">
        <v>1030.08</v>
      </c>
      <c r="L1592" s="4">
        <v>493.72</v>
      </c>
      <c r="M1592" s="1" t="str">
        <f>TEXT(Table1[[#This Row],[Order_Date]], "MMM")</f>
        <v>Aug</v>
      </c>
      <c r="N1592" s="1">
        <f>YEAR(Table1[[#This Row],[Order_Date]])</f>
        <v>2024</v>
      </c>
      <c r="O1592" s="7">
        <f>Table1[[#This Row],[Profit]]/Table1[[#This Row],[Total_Sales]]</f>
        <v>0.32400577503609401</v>
      </c>
    </row>
    <row r="1593" spans="1:15" x14ac:dyDescent="0.25">
      <c r="A1593" s="1">
        <v>1592</v>
      </c>
      <c r="B1593" s="2">
        <v>45045</v>
      </c>
      <c r="C1593" s="1" t="s">
        <v>16</v>
      </c>
      <c r="D1593" s="1" t="s">
        <v>13</v>
      </c>
      <c r="E1593" s="1" t="s">
        <v>17</v>
      </c>
      <c r="F1593" s="1" t="s">
        <v>24</v>
      </c>
      <c r="G1593" s="1">
        <v>5</v>
      </c>
      <c r="H1593" s="1">
        <v>335</v>
      </c>
      <c r="I1593" s="1">
        <v>0</v>
      </c>
      <c r="J1593" s="4">
        <v>1675</v>
      </c>
      <c r="K1593" s="4">
        <v>966.07</v>
      </c>
      <c r="L1593" s="4">
        <v>708.93</v>
      </c>
      <c r="M1593" s="1" t="str">
        <f>TEXT(Table1[[#This Row],[Order_Date]], "MMM")</f>
        <v>Apr</v>
      </c>
      <c r="N1593" s="1">
        <f>YEAR(Table1[[#This Row],[Order_Date]])</f>
        <v>2023</v>
      </c>
      <c r="O1593" s="7">
        <f>Table1[[#This Row],[Profit]]/Table1[[#This Row],[Total_Sales]]</f>
        <v>0.42324179104477611</v>
      </c>
    </row>
    <row r="1594" spans="1:15" x14ac:dyDescent="0.25">
      <c r="A1594" s="1">
        <v>1593</v>
      </c>
      <c r="B1594" s="2">
        <v>45142</v>
      </c>
      <c r="C1594" s="1" t="s">
        <v>12</v>
      </c>
      <c r="D1594" s="1" t="s">
        <v>32</v>
      </c>
      <c r="E1594" s="1" t="s">
        <v>41</v>
      </c>
      <c r="F1594" s="1" t="s">
        <v>35</v>
      </c>
      <c r="G1594" s="1">
        <v>7</v>
      </c>
      <c r="H1594" s="1">
        <v>425</v>
      </c>
      <c r="I1594" s="1">
        <v>15</v>
      </c>
      <c r="J1594" s="4">
        <v>2528.75</v>
      </c>
      <c r="K1594" s="4">
        <v>1411.97</v>
      </c>
      <c r="L1594" s="4">
        <v>1116.78</v>
      </c>
      <c r="M1594" s="1" t="str">
        <f>TEXT(Table1[[#This Row],[Order_Date]], "MMM")</f>
        <v>Aug</v>
      </c>
      <c r="N1594" s="1">
        <f>YEAR(Table1[[#This Row],[Order_Date]])</f>
        <v>2023</v>
      </c>
      <c r="O1594" s="7">
        <f>Table1[[#This Row],[Profit]]/Table1[[#This Row],[Total_Sales]]</f>
        <v>0.44163321799307959</v>
      </c>
    </row>
    <row r="1595" spans="1:15" x14ac:dyDescent="0.25">
      <c r="A1595" s="1">
        <v>1594</v>
      </c>
      <c r="B1595" s="2">
        <v>45563</v>
      </c>
      <c r="C1595" s="1" t="s">
        <v>12</v>
      </c>
      <c r="D1595" s="1" t="s">
        <v>20</v>
      </c>
      <c r="E1595" s="1" t="s">
        <v>21</v>
      </c>
      <c r="F1595" s="1" t="s">
        <v>35</v>
      </c>
      <c r="G1595" s="1">
        <v>6</v>
      </c>
      <c r="H1595" s="1">
        <v>671</v>
      </c>
      <c r="I1595" s="1">
        <v>0</v>
      </c>
      <c r="J1595" s="4">
        <v>4026</v>
      </c>
      <c r="K1595" s="4">
        <v>2381.7199999999998</v>
      </c>
      <c r="L1595" s="4">
        <v>1644.28</v>
      </c>
      <c r="M1595" s="1" t="str">
        <f>TEXT(Table1[[#This Row],[Order_Date]], "MMM")</f>
        <v>Sep</v>
      </c>
      <c r="N1595" s="1">
        <f>YEAR(Table1[[#This Row],[Order_Date]])</f>
        <v>2024</v>
      </c>
      <c r="O1595" s="7">
        <f>Table1[[#This Row],[Profit]]/Table1[[#This Row],[Total_Sales]]</f>
        <v>0.40841530054644809</v>
      </c>
    </row>
    <row r="1596" spans="1:15" x14ac:dyDescent="0.25">
      <c r="A1596" s="1">
        <v>1595</v>
      </c>
      <c r="B1596" s="2">
        <v>45211</v>
      </c>
      <c r="C1596" s="1" t="s">
        <v>12</v>
      </c>
      <c r="D1596" s="1" t="s">
        <v>22</v>
      </c>
      <c r="E1596" s="1" t="s">
        <v>36</v>
      </c>
      <c r="F1596" s="1" t="s">
        <v>31</v>
      </c>
      <c r="G1596" s="1">
        <v>3</v>
      </c>
      <c r="H1596" s="1">
        <v>819</v>
      </c>
      <c r="I1596" s="1">
        <v>5</v>
      </c>
      <c r="J1596" s="4">
        <v>2334.15</v>
      </c>
      <c r="K1596" s="4">
        <v>1740.01</v>
      </c>
      <c r="L1596" s="4">
        <v>594.14</v>
      </c>
      <c r="M1596" s="1" t="str">
        <f>TEXT(Table1[[#This Row],[Order_Date]], "MMM")</f>
        <v>Oct</v>
      </c>
      <c r="N1596" s="1">
        <f>YEAR(Table1[[#This Row],[Order_Date]])</f>
        <v>2023</v>
      </c>
      <c r="O1596" s="7">
        <f>Table1[[#This Row],[Profit]]/Table1[[#This Row],[Total_Sales]]</f>
        <v>0.25454233875286503</v>
      </c>
    </row>
    <row r="1597" spans="1:15" x14ac:dyDescent="0.25">
      <c r="A1597" s="1">
        <v>1596</v>
      </c>
      <c r="B1597" s="2">
        <v>45613</v>
      </c>
      <c r="C1597" s="1" t="s">
        <v>12</v>
      </c>
      <c r="D1597" s="1" t="s">
        <v>20</v>
      </c>
      <c r="E1597" s="1" t="s">
        <v>30</v>
      </c>
      <c r="F1597" s="1" t="s">
        <v>18</v>
      </c>
      <c r="G1597" s="1">
        <v>6</v>
      </c>
      <c r="H1597" s="1">
        <v>575</v>
      </c>
      <c r="I1597" s="1">
        <v>15</v>
      </c>
      <c r="J1597" s="4">
        <v>2932.5</v>
      </c>
      <c r="K1597" s="4">
        <v>1848.36</v>
      </c>
      <c r="L1597" s="4">
        <v>1084.1400000000001</v>
      </c>
      <c r="M1597" s="1" t="str">
        <f>TEXT(Table1[[#This Row],[Order_Date]], "MMM")</f>
        <v>Nov</v>
      </c>
      <c r="N1597" s="1">
        <f>YEAR(Table1[[#This Row],[Order_Date]])</f>
        <v>2024</v>
      </c>
      <c r="O1597" s="7">
        <f>Table1[[#This Row],[Profit]]/Table1[[#This Row],[Total_Sales]]</f>
        <v>0.36969820971867012</v>
      </c>
    </row>
    <row r="1598" spans="1:15" x14ac:dyDescent="0.25">
      <c r="A1598" s="1">
        <v>1597</v>
      </c>
      <c r="B1598" s="2">
        <v>45288</v>
      </c>
      <c r="C1598" s="1" t="s">
        <v>25</v>
      </c>
      <c r="D1598" s="1" t="s">
        <v>22</v>
      </c>
      <c r="E1598" s="1" t="s">
        <v>44</v>
      </c>
      <c r="F1598" s="1" t="s">
        <v>40</v>
      </c>
      <c r="G1598" s="1">
        <v>8</v>
      </c>
      <c r="H1598" s="1">
        <v>774</v>
      </c>
      <c r="I1598" s="1">
        <v>20</v>
      </c>
      <c r="J1598" s="4">
        <v>4953.6000000000004</v>
      </c>
      <c r="K1598" s="4">
        <v>3316.71</v>
      </c>
      <c r="L1598" s="4">
        <v>1636.89</v>
      </c>
      <c r="M1598" s="1" t="str">
        <f>TEXT(Table1[[#This Row],[Order_Date]], "MMM")</f>
        <v>Dec</v>
      </c>
      <c r="N1598" s="1">
        <f>YEAR(Table1[[#This Row],[Order_Date]])</f>
        <v>2023</v>
      </c>
      <c r="O1598" s="7">
        <f>Table1[[#This Row],[Profit]]/Table1[[#This Row],[Total_Sales]]</f>
        <v>0.33044452519379847</v>
      </c>
    </row>
    <row r="1599" spans="1:15" x14ac:dyDescent="0.25">
      <c r="A1599" s="1">
        <v>1598</v>
      </c>
      <c r="B1599" s="2">
        <v>45419</v>
      </c>
      <c r="C1599" s="1" t="s">
        <v>16</v>
      </c>
      <c r="D1599" s="1" t="s">
        <v>13</v>
      </c>
      <c r="E1599" s="1" t="s">
        <v>17</v>
      </c>
      <c r="F1599" s="1" t="s">
        <v>18</v>
      </c>
      <c r="G1599" s="1">
        <v>3</v>
      </c>
      <c r="H1599" s="1">
        <v>306</v>
      </c>
      <c r="I1599" s="1">
        <v>15</v>
      </c>
      <c r="J1599" s="4">
        <v>780.3</v>
      </c>
      <c r="K1599" s="4">
        <v>613.79</v>
      </c>
      <c r="L1599" s="4">
        <v>166.51</v>
      </c>
      <c r="M1599" s="1" t="str">
        <f>TEXT(Table1[[#This Row],[Order_Date]], "MMM")</f>
        <v>May</v>
      </c>
      <c r="N1599" s="1">
        <f>YEAR(Table1[[#This Row],[Order_Date]])</f>
        <v>2024</v>
      </c>
      <c r="O1599" s="7">
        <f>Table1[[#This Row],[Profit]]/Table1[[#This Row],[Total_Sales]]</f>
        <v>0.21339228501858259</v>
      </c>
    </row>
    <row r="1600" spans="1:15" x14ac:dyDescent="0.25">
      <c r="A1600" s="1">
        <v>1599</v>
      </c>
      <c r="B1600" s="2">
        <v>45394</v>
      </c>
      <c r="C1600" s="1" t="s">
        <v>16</v>
      </c>
      <c r="D1600" s="1" t="s">
        <v>13</v>
      </c>
      <c r="E1600" s="1" t="s">
        <v>38</v>
      </c>
      <c r="F1600" s="1" t="s">
        <v>31</v>
      </c>
      <c r="G1600" s="1">
        <v>8</v>
      </c>
      <c r="H1600" s="1">
        <v>492</v>
      </c>
      <c r="I1600" s="1">
        <v>15</v>
      </c>
      <c r="J1600" s="4">
        <v>3345.6</v>
      </c>
      <c r="K1600" s="4">
        <v>2091.61</v>
      </c>
      <c r="L1600" s="4">
        <v>1253.99</v>
      </c>
      <c r="M1600" s="1" t="str">
        <f>TEXT(Table1[[#This Row],[Order_Date]], "MMM")</f>
        <v>Apr</v>
      </c>
      <c r="N1600" s="1">
        <f>YEAR(Table1[[#This Row],[Order_Date]])</f>
        <v>2024</v>
      </c>
      <c r="O1600" s="7">
        <f>Table1[[#This Row],[Profit]]/Table1[[#This Row],[Total_Sales]]</f>
        <v>0.37481767097082735</v>
      </c>
    </row>
    <row r="1601" spans="1:15" x14ac:dyDescent="0.25">
      <c r="A1601" s="1">
        <v>1600</v>
      </c>
      <c r="B1601" s="2">
        <v>45212</v>
      </c>
      <c r="C1601" s="1" t="s">
        <v>16</v>
      </c>
      <c r="D1601" s="1" t="s">
        <v>13</v>
      </c>
      <c r="E1601" s="1" t="s">
        <v>17</v>
      </c>
      <c r="F1601" s="1" t="s">
        <v>24</v>
      </c>
      <c r="G1601" s="1">
        <v>1</v>
      </c>
      <c r="H1601" s="1">
        <v>600</v>
      </c>
      <c r="I1601" s="1">
        <v>5</v>
      </c>
      <c r="J1601" s="4">
        <v>570</v>
      </c>
      <c r="K1601" s="4">
        <v>443.06</v>
      </c>
      <c r="L1601" s="4">
        <v>126.94</v>
      </c>
      <c r="M1601" s="1" t="str">
        <f>TEXT(Table1[[#This Row],[Order_Date]], "MMM")</f>
        <v>Oct</v>
      </c>
      <c r="N1601" s="1">
        <f>YEAR(Table1[[#This Row],[Order_Date]])</f>
        <v>2023</v>
      </c>
      <c r="O1601" s="7">
        <f>Table1[[#This Row],[Profit]]/Table1[[#This Row],[Total_Sales]]</f>
        <v>0.2227017543859649</v>
      </c>
    </row>
    <row r="1602" spans="1:15" x14ac:dyDescent="0.25">
      <c r="A1602" s="1">
        <v>1601</v>
      </c>
      <c r="B1602" s="2">
        <v>45411</v>
      </c>
      <c r="C1602" s="1" t="s">
        <v>12</v>
      </c>
      <c r="D1602" s="1" t="s">
        <v>20</v>
      </c>
      <c r="E1602" s="1" t="s">
        <v>43</v>
      </c>
      <c r="F1602" s="1" t="s">
        <v>35</v>
      </c>
      <c r="G1602" s="1">
        <v>8</v>
      </c>
      <c r="H1602" s="1">
        <v>34</v>
      </c>
      <c r="I1602" s="1">
        <v>0</v>
      </c>
      <c r="J1602" s="4">
        <v>272</v>
      </c>
      <c r="K1602" s="4">
        <v>175.61</v>
      </c>
      <c r="L1602" s="4">
        <v>96.39</v>
      </c>
      <c r="M1602" s="1" t="str">
        <f>TEXT(Table1[[#This Row],[Order_Date]], "MMM")</f>
        <v>Apr</v>
      </c>
      <c r="N1602" s="1">
        <f>YEAR(Table1[[#This Row],[Order_Date]])</f>
        <v>2024</v>
      </c>
      <c r="O1602" s="7">
        <f>Table1[[#This Row],[Profit]]/Table1[[#This Row],[Total_Sales]]</f>
        <v>0.354375</v>
      </c>
    </row>
    <row r="1603" spans="1:15" x14ac:dyDescent="0.25">
      <c r="A1603" s="1">
        <v>1602</v>
      </c>
      <c r="B1603" s="2">
        <v>45468</v>
      </c>
      <c r="C1603" s="1" t="s">
        <v>16</v>
      </c>
      <c r="D1603" s="1" t="s">
        <v>32</v>
      </c>
      <c r="E1603" s="1" t="s">
        <v>45</v>
      </c>
      <c r="F1603" s="1" t="s">
        <v>24</v>
      </c>
      <c r="G1603" s="1">
        <v>6</v>
      </c>
      <c r="H1603" s="1">
        <v>371</v>
      </c>
      <c r="I1603" s="1">
        <v>5</v>
      </c>
      <c r="J1603" s="4">
        <v>2114.6999999999998</v>
      </c>
      <c r="K1603" s="4">
        <v>1140.2</v>
      </c>
      <c r="L1603" s="4">
        <v>974.5</v>
      </c>
      <c r="M1603" s="1" t="str">
        <f>TEXT(Table1[[#This Row],[Order_Date]], "MMM")</f>
        <v>Jun</v>
      </c>
      <c r="N1603" s="1">
        <f>YEAR(Table1[[#This Row],[Order_Date]])</f>
        <v>2024</v>
      </c>
      <c r="O1603" s="7">
        <f>Table1[[#This Row],[Profit]]/Table1[[#This Row],[Total_Sales]]</f>
        <v>0.46082186598571906</v>
      </c>
    </row>
    <row r="1604" spans="1:15" x14ac:dyDescent="0.25">
      <c r="A1604" s="1">
        <v>1603</v>
      </c>
      <c r="B1604" s="2">
        <v>45000</v>
      </c>
      <c r="C1604" s="1" t="s">
        <v>19</v>
      </c>
      <c r="D1604" s="1" t="s">
        <v>20</v>
      </c>
      <c r="E1604" s="1" t="s">
        <v>28</v>
      </c>
      <c r="F1604" s="1" t="s">
        <v>40</v>
      </c>
      <c r="G1604" s="1">
        <v>4</v>
      </c>
      <c r="H1604" s="1">
        <v>37</v>
      </c>
      <c r="I1604" s="1">
        <v>10</v>
      </c>
      <c r="J1604" s="4">
        <v>133.19999999999999</v>
      </c>
      <c r="K1604" s="4">
        <v>92.39</v>
      </c>
      <c r="L1604" s="4">
        <v>40.81</v>
      </c>
      <c r="M1604" s="1" t="str">
        <f>TEXT(Table1[[#This Row],[Order_Date]], "MMM")</f>
        <v>Mar</v>
      </c>
      <c r="N1604" s="1">
        <f>YEAR(Table1[[#This Row],[Order_Date]])</f>
        <v>2023</v>
      </c>
      <c r="O1604" s="7">
        <f>Table1[[#This Row],[Profit]]/Table1[[#This Row],[Total_Sales]]</f>
        <v>0.30638138138138143</v>
      </c>
    </row>
    <row r="1605" spans="1:15" x14ac:dyDescent="0.25">
      <c r="A1605" s="1">
        <v>1604</v>
      </c>
      <c r="B1605" s="2">
        <v>45517</v>
      </c>
      <c r="C1605" s="1" t="s">
        <v>19</v>
      </c>
      <c r="D1605" s="1" t="s">
        <v>13</v>
      </c>
      <c r="E1605" s="1" t="s">
        <v>39</v>
      </c>
      <c r="F1605" s="1" t="s">
        <v>15</v>
      </c>
      <c r="G1605" s="1">
        <v>3</v>
      </c>
      <c r="H1605" s="1">
        <v>675</v>
      </c>
      <c r="I1605" s="1">
        <v>5</v>
      </c>
      <c r="J1605" s="4">
        <v>1923.75</v>
      </c>
      <c r="K1605" s="4">
        <v>1391.11</v>
      </c>
      <c r="L1605" s="4">
        <v>532.64</v>
      </c>
      <c r="M1605" s="1" t="str">
        <f>TEXT(Table1[[#This Row],[Order_Date]], "MMM")</f>
        <v>Aug</v>
      </c>
      <c r="N1605" s="1">
        <f>YEAR(Table1[[#This Row],[Order_Date]])</f>
        <v>2024</v>
      </c>
      <c r="O1605" s="7">
        <f>Table1[[#This Row],[Profit]]/Table1[[#This Row],[Total_Sales]]</f>
        <v>0.27687589343729696</v>
      </c>
    </row>
    <row r="1606" spans="1:15" x14ac:dyDescent="0.25">
      <c r="A1606" s="1">
        <v>1605</v>
      </c>
      <c r="B1606" s="2">
        <v>45179</v>
      </c>
      <c r="C1606" s="1" t="s">
        <v>19</v>
      </c>
      <c r="D1606" s="1" t="s">
        <v>13</v>
      </c>
      <c r="E1606" s="1" t="s">
        <v>39</v>
      </c>
      <c r="F1606" s="1" t="s">
        <v>31</v>
      </c>
      <c r="G1606" s="1">
        <v>9</v>
      </c>
      <c r="H1606" s="1">
        <v>886</v>
      </c>
      <c r="I1606" s="1">
        <v>20</v>
      </c>
      <c r="J1606" s="4">
        <v>6379.2</v>
      </c>
      <c r="K1606" s="4">
        <v>4960.29</v>
      </c>
      <c r="L1606" s="4">
        <v>1418.91</v>
      </c>
      <c r="M1606" s="1" t="str">
        <f>TEXT(Table1[[#This Row],[Order_Date]], "MMM")</f>
        <v>Sep</v>
      </c>
      <c r="N1606" s="1">
        <f>YEAR(Table1[[#This Row],[Order_Date]])</f>
        <v>2023</v>
      </c>
      <c r="O1606" s="7">
        <f>Table1[[#This Row],[Profit]]/Table1[[#This Row],[Total_Sales]]</f>
        <v>0.22242757712565842</v>
      </c>
    </row>
    <row r="1607" spans="1:15" x14ac:dyDescent="0.25">
      <c r="A1607" s="1">
        <v>1606</v>
      </c>
      <c r="B1607" s="2">
        <v>45234</v>
      </c>
      <c r="C1607" s="1" t="s">
        <v>12</v>
      </c>
      <c r="D1607" s="1" t="s">
        <v>32</v>
      </c>
      <c r="E1607" s="1" t="s">
        <v>41</v>
      </c>
      <c r="F1607" s="1" t="s">
        <v>40</v>
      </c>
      <c r="G1607" s="1">
        <v>8</v>
      </c>
      <c r="H1607" s="1">
        <v>29</v>
      </c>
      <c r="I1607" s="1">
        <v>10</v>
      </c>
      <c r="J1607" s="4">
        <v>208.8</v>
      </c>
      <c r="K1607" s="4">
        <v>144.15</v>
      </c>
      <c r="L1607" s="4">
        <v>64.650000000000006</v>
      </c>
      <c r="M1607" s="1" t="str">
        <f>TEXT(Table1[[#This Row],[Order_Date]], "MMM")</f>
        <v>Nov</v>
      </c>
      <c r="N1607" s="1">
        <f>YEAR(Table1[[#This Row],[Order_Date]])</f>
        <v>2023</v>
      </c>
      <c r="O1607" s="7">
        <f>Table1[[#This Row],[Profit]]/Table1[[#This Row],[Total_Sales]]</f>
        <v>0.30962643678160923</v>
      </c>
    </row>
    <row r="1608" spans="1:15" x14ac:dyDescent="0.25">
      <c r="A1608" s="1">
        <v>1607</v>
      </c>
      <c r="B1608" s="2">
        <v>45429</v>
      </c>
      <c r="C1608" s="1" t="s">
        <v>25</v>
      </c>
      <c r="D1608" s="1" t="s">
        <v>13</v>
      </c>
      <c r="E1608" s="1" t="s">
        <v>17</v>
      </c>
      <c r="F1608" s="1" t="s">
        <v>31</v>
      </c>
      <c r="G1608" s="1">
        <v>8</v>
      </c>
      <c r="H1608" s="1">
        <v>405</v>
      </c>
      <c r="I1608" s="1">
        <v>5</v>
      </c>
      <c r="J1608" s="4">
        <v>3078</v>
      </c>
      <c r="K1608" s="4">
        <v>1623.77</v>
      </c>
      <c r="L1608" s="4">
        <v>1454.23</v>
      </c>
      <c r="M1608" s="1" t="str">
        <f>TEXT(Table1[[#This Row],[Order_Date]], "MMM")</f>
        <v>May</v>
      </c>
      <c r="N1608" s="1">
        <f>YEAR(Table1[[#This Row],[Order_Date]])</f>
        <v>2024</v>
      </c>
      <c r="O1608" s="7">
        <f>Table1[[#This Row],[Profit]]/Table1[[#This Row],[Total_Sales]]</f>
        <v>0.47245938921377517</v>
      </c>
    </row>
    <row r="1609" spans="1:15" x14ac:dyDescent="0.25">
      <c r="A1609" s="1">
        <v>1608</v>
      </c>
      <c r="B1609" s="2">
        <v>45066</v>
      </c>
      <c r="C1609" s="1" t="s">
        <v>19</v>
      </c>
      <c r="D1609" s="1" t="s">
        <v>26</v>
      </c>
      <c r="E1609" s="1" t="s">
        <v>42</v>
      </c>
      <c r="F1609" s="1" t="s">
        <v>31</v>
      </c>
      <c r="G1609" s="1">
        <v>2</v>
      </c>
      <c r="H1609" s="1">
        <v>15</v>
      </c>
      <c r="I1609" s="1">
        <v>10</v>
      </c>
      <c r="J1609" s="4">
        <v>27</v>
      </c>
      <c r="K1609" s="4">
        <v>19.37</v>
      </c>
      <c r="L1609" s="4">
        <v>7.63</v>
      </c>
      <c r="M1609" s="1" t="str">
        <f>TEXT(Table1[[#This Row],[Order_Date]], "MMM")</f>
        <v>May</v>
      </c>
      <c r="N1609" s="1">
        <f>YEAR(Table1[[#This Row],[Order_Date]])</f>
        <v>2023</v>
      </c>
      <c r="O1609" s="7">
        <f>Table1[[#This Row],[Profit]]/Table1[[#This Row],[Total_Sales]]</f>
        <v>0.28259259259259256</v>
      </c>
    </row>
    <row r="1610" spans="1:15" x14ac:dyDescent="0.25">
      <c r="A1610" s="1">
        <v>1609</v>
      </c>
      <c r="B1610" s="2">
        <v>45521</v>
      </c>
      <c r="C1610" s="1" t="s">
        <v>12</v>
      </c>
      <c r="D1610" s="1" t="s">
        <v>26</v>
      </c>
      <c r="E1610" s="1" t="s">
        <v>27</v>
      </c>
      <c r="F1610" s="1" t="s">
        <v>24</v>
      </c>
      <c r="G1610" s="1">
        <v>10</v>
      </c>
      <c r="H1610" s="1">
        <v>536</v>
      </c>
      <c r="I1610" s="1">
        <v>10</v>
      </c>
      <c r="J1610" s="4">
        <v>4824</v>
      </c>
      <c r="K1610" s="4">
        <v>2588.9299999999998</v>
      </c>
      <c r="L1610" s="4">
        <v>2235.0700000000002</v>
      </c>
      <c r="M1610" s="1" t="str">
        <f>TEXT(Table1[[#This Row],[Order_Date]], "MMM")</f>
        <v>Aug</v>
      </c>
      <c r="N1610" s="1">
        <f>YEAR(Table1[[#This Row],[Order_Date]])</f>
        <v>2024</v>
      </c>
      <c r="O1610" s="7">
        <f>Table1[[#This Row],[Profit]]/Table1[[#This Row],[Total_Sales]]</f>
        <v>0.46332296849087895</v>
      </c>
    </row>
    <row r="1611" spans="1:15" x14ac:dyDescent="0.25">
      <c r="A1611" s="1">
        <v>1610</v>
      </c>
      <c r="B1611" s="2">
        <v>45091</v>
      </c>
      <c r="C1611" s="1" t="s">
        <v>16</v>
      </c>
      <c r="D1611" s="1" t="s">
        <v>32</v>
      </c>
      <c r="E1611" s="1" t="s">
        <v>45</v>
      </c>
      <c r="F1611" s="1" t="s">
        <v>15</v>
      </c>
      <c r="G1611" s="1">
        <v>9</v>
      </c>
      <c r="H1611" s="1">
        <v>468</v>
      </c>
      <c r="I1611" s="1">
        <v>15</v>
      </c>
      <c r="J1611" s="4">
        <v>3580.2</v>
      </c>
      <c r="K1611" s="4">
        <v>2285.16</v>
      </c>
      <c r="L1611" s="4">
        <v>1295.04</v>
      </c>
      <c r="M1611" s="1" t="str">
        <f>TEXT(Table1[[#This Row],[Order_Date]], "MMM")</f>
        <v>Jun</v>
      </c>
      <c r="N1611" s="1">
        <f>YEAR(Table1[[#This Row],[Order_Date]])</f>
        <v>2023</v>
      </c>
      <c r="O1611" s="7">
        <f>Table1[[#This Row],[Profit]]/Table1[[#This Row],[Total_Sales]]</f>
        <v>0.36172280878163232</v>
      </c>
    </row>
    <row r="1612" spans="1:15" x14ac:dyDescent="0.25">
      <c r="A1612" s="1">
        <v>1611</v>
      </c>
      <c r="B1612" s="2">
        <v>45452</v>
      </c>
      <c r="C1612" s="1" t="s">
        <v>25</v>
      </c>
      <c r="D1612" s="1" t="s">
        <v>22</v>
      </c>
      <c r="E1612" s="1" t="s">
        <v>23</v>
      </c>
      <c r="F1612" s="1" t="s">
        <v>18</v>
      </c>
      <c r="G1612" s="1">
        <v>8</v>
      </c>
      <c r="H1612" s="1">
        <v>498</v>
      </c>
      <c r="I1612" s="1">
        <v>0</v>
      </c>
      <c r="J1612" s="4">
        <v>3984</v>
      </c>
      <c r="K1612" s="4">
        <v>2612.5100000000002</v>
      </c>
      <c r="L1612" s="4">
        <v>1371.49</v>
      </c>
      <c r="M1612" s="1" t="str">
        <f>TEXT(Table1[[#This Row],[Order_Date]], "MMM")</f>
        <v>Jun</v>
      </c>
      <c r="N1612" s="1">
        <f>YEAR(Table1[[#This Row],[Order_Date]])</f>
        <v>2024</v>
      </c>
      <c r="O1612" s="7">
        <f>Table1[[#This Row],[Profit]]/Table1[[#This Row],[Total_Sales]]</f>
        <v>0.34424949799196786</v>
      </c>
    </row>
    <row r="1613" spans="1:15" x14ac:dyDescent="0.25">
      <c r="A1613" s="1">
        <v>1612</v>
      </c>
      <c r="B1613" s="2">
        <v>45508</v>
      </c>
      <c r="C1613" s="1" t="s">
        <v>12</v>
      </c>
      <c r="D1613" s="1" t="s">
        <v>26</v>
      </c>
      <c r="E1613" s="1" t="s">
        <v>42</v>
      </c>
      <c r="F1613" s="1" t="s">
        <v>31</v>
      </c>
      <c r="G1613" s="1">
        <v>5</v>
      </c>
      <c r="H1613" s="1">
        <v>543</v>
      </c>
      <c r="I1613" s="1">
        <v>10</v>
      </c>
      <c r="J1613" s="4">
        <v>2443.5</v>
      </c>
      <c r="K1613" s="4">
        <v>1660.92</v>
      </c>
      <c r="L1613" s="4">
        <v>782.58</v>
      </c>
      <c r="M1613" s="1" t="str">
        <f>TEXT(Table1[[#This Row],[Order_Date]], "MMM")</f>
        <v>Aug</v>
      </c>
      <c r="N1613" s="1">
        <f>YEAR(Table1[[#This Row],[Order_Date]])</f>
        <v>2024</v>
      </c>
      <c r="O1613" s="7">
        <f>Table1[[#This Row],[Profit]]/Table1[[#This Row],[Total_Sales]]</f>
        <v>0.32027010435850217</v>
      </c>
    </row>
    <row r="1614" spans="1:15" x14ac:dyDescent="0.25">
      <c r="A1614" s="1">
        <v>1613</v>
      </c>
      <c r="B1614" s="2">
        <v>44967</v>
      </c>
      <c r="C1614" s="1" t="s">
        <v>19</v>
      </c>
      <c r="D1614" s="1" t="s">
        <v>13</v>
      </c>
      <c r="E1614" s="1" t="s">
        <v>17</v>
      </c>
      <c r="F1614" s="1" t="s">
        <v>40</v>
      </c>
      <c r="G1614" s="1">
        <v>1</v>
      </c>
      <c r="H1614" s="1">
        <v>823</v>
      </c>
      <c r="I1614" s="1">
        <v>10</v>
      </c>
      <c r="J1614" s="4">
        <v>740.7</v>
      </c>
      <c r="K1614" s="4">
        <v>421.08</v>
      </c>
      <c r="L1614" s="4">
        <v>319.62</v>
      </c>
      <c r="M1614" s="1" t="str">
        <f>TEXT(Table1[[#This Row],[Order_Date]], "MMM")</f>
        <v>Feb</v>
      </c>
      <c r="N1614" s="1">
        <f>YEAR(Table1[[#This Row],[Order_Date]])</f>
        <v>2023</v>
      </c>
      <c r="O1614" s="7">
        <f>Table1[[#This Row],[Profit]]/Table1[[#This Row],[Total_Sales]]</f>
        <v>0.43151073309031995</v>
      </c>
    </row>
    <row r="1615" spans="1:15" x14ac:dyDescent="0.25">
      <c r="A1615" s="1">
        <v>1614</v>
      </c>
      <c r="B1615" s="2">
        <v>45122</v>
      </c>
      <c r="C1615" s="1" t="s">
        <v>19</v>
      </c>
      <c r="D1615" s="1" t="s">
        <v>32</v>
      </c>
      <c r="E1615" s="1" t="s">
        <v>45</v>
      </c>
      <c r="F1615" s="1" t="s">
        <v>35</v>
      </c>
      <c r="G1615" s="1">
        <v>10</v>
      </c>
      <c r="H1615" s="1">
        <v>807</v>
      </c>
      <c r="I1615" s="1">
        <v>15</v>
      </c>
      <c r="J1615" s="4">
        <v>6859.5</v>
      </c>
      <c r="K1615" s="4">
        <v>4949.97</v>
      </c>
      <c r="L1615" s="4">
        <v>1909.53</v>
      </c>
      <c r="M1615" s="1" t="str">
        <f>TEXT(Table1[[#This Row],[Order_Date]], "MMM")</f>
        <v>Jul</v>
      </c>
      <c r="N1615" s="1">
        <f>YEAR(Table1[[#This Row],[Order_Date]])</f>
        <v>2023</v>
      </c>
      <c r="O1615" s="7">
        <f>Table1[[#This Row],[Profit]]/Table1[[#This Row],[Total_Sales]]</f>
        <v>0.27837743275748961</v>
      </c>
    </row>
    <row r="1616" spans="1:15" x14ac:dyDescent="0.25">
      <c r="A1616" s="1">
        <v>1615</v>
      </c>
      <c r="B1616" s="2">
        <v>45225</v>
      </c>
      <c r="C1616" s="1" t="s">
        <v>16</v>
      </c>
      <c r="D1616" s="1" t="s">
        <v>13</v>
      </c>
      <c r="E1616" s="1" t="s">
        <v>17</v>
      </c>
      <c r="F1616" s="1" t="s">
        <v>15</v>
      </c>
      <c r="G1616" s="1">
        <v>3</v>
      </c>
      <c r="H1616" s="1">
        <v>450</v>
      </c>
      <c r="I1616" s="1">
        <v>15</v>
      </c>
      <c r="J1616" s="4">
        <v>1147.5</v>
      </c>
      <c r="K1616" s="4">
        <v>846.92</v>
      </c>
      <c r="L1616" s="4">
        <v>300.58</v>
      </c>
      <c r="M1616" s="1" t="str">
        <f>TEXT(Table1[[#This Row],[Order_Date]], "MMM")</f>
        <v>Oct</v>
      </c>
      <c r="N1616" s="1">
        <f>YEAR(Table1[[#This Row],[Order_Date]])</f>
        <v>2023</v>
      </c>
      <c r="O1616" s="7">
        <f>Table1[[#This Row],[Profit]]/Table1[[#This Row],[Total_Sales]]</f>
        <v>0.26194335511982569</v>
      </c>
    </row>
    <row r="1617" spans="1:15" x14ac:dyDescent="0.25">
      <c r="A1617" s="1">
        <v>1616</v>
      </c>
      <c r="B1617" s="2">
        <v>45387</v>
      </c>
      <c r="C1617" s="1" t="s">
        <v>12</v>
      </c>
      <c r="D1617" s="1" t="s">
        <v>13</v>
      </c>
      <c r="E1617" s="1" t="s">
        <v>17</v>
      </c>
      <c r="F1617" s="1" t="s">
        <v>15</v>
      </c>
      <c r="G1617" s="1">
        <v>9</v>
      </c>
      <c r="H1617" s="1">
        <v>555</v>
      </c>
      <c r="I1617" s="1">
        <v>0</v>
      </c>
      <c r="J1617" s="4">
        <v>4995</v>
      </c>
      <c r="K1617" s="4">
        <v>3773.13</v>
      </c>
      <c r="L1617" s="4">
        <v>1221.8699999999999</v>
      </c>
      <c r="M1617" s="1" t="str">
        <f>TEXT(Table1[[#This Row],[Order_Date]], "MMM")</f>
        <v>Apr</v>
      </c>
      <c r="N1617" s="1">
        <f>YEAR(Table1[[#This Row],[Order_Date]])</f>
        <v>2024</v>
      </c>
      <c r="O1617" s="7">
        <f>Table1[[#This Row],[Profit]]/Table1[[#This Row],[Total_Sales]]</f>
        <v>0.24461861861861858</v>
      </c>
    </row>
    <row r="1618" spans="1:15" x14ac:dyDescent="0.25">
      <c r="A1618" s="1">
        <v>1617</v>
      </c>
      <c r="B1618" s="2">
        <v>45641</v>
      </c>
      <c r="C1618" s="1" t="s">
        <v>12</v>
      </c>
      <c r="D1618" s="1" t="s">
        <v>13</v>
      </c>
      <c r="E1618" s="1" t="s">
        <v>14</v>
      </c>
      <c r="F1618" s="1" t="s">
        <v>18</v>
      </c>
      <c r="G1618" s="1">
        <v>5</v>
      </c>
      <c r="H1618" s="1">
        <v>486</v>
      </c>
      <c r="I1618" s="1">
        <v>15</v>
      </c>
      <c r="J1618" s="4">
        <v>2065.5</v>
      </c>
      <c r="K1618" s="4">
        <v>1251.83</v>
      </c>
      <c r="L1618" s="4">
        <v>813.67</v>
      </c>
      <c r="M1618" s="1" t="str">
        <f>TEXT(Table1[[#This Row],[Order_Date]], "MMM")</f>
        <v>Dec</v>
      </c>
      <c r="N1618" s="1">
        <f>YEAR(Table1[[#This Row],[Order_Date]])</f>
        <v>2024</v>
      </c>
      <c r="O1618" s="7">
        <f>Table1[[#This Row],[Profit]]/Table1[[#This Row],[Total_Sales]]</f>
        <v>0.39393367223432579</v>
      </c>
    </row>
    <row r="1619" spans="1:15" x14ac:dyDescent="0.25">
      <c r="A1619" s="1">
        <v>1618</v>
      </c>
      <c r="B1619" s="2">
        <v>45140</v>
      </c>
      <c r="C1619" s="1" t="s">
        <v>19</v>
      </c>
      <c r="D1619" s="1" t="s">
        <v>13</v>
      </c>
      <c r="E1619" s="1" t="s">
        <v>39</v>
      </c>
      <c r="F1619" s="1" t="s">
        <v>18</v>
      </c>
      <c r="G1619" s="1">
        <v>4</v>
      </c>
      <c r="H1619" s="1">
        <v>76</v>
      </c>
      <c r="I1619" s="1">
        <v>15</v>
      </c>
      <c r="J1619" s="4">
        <v>258.39999999999998</v>
      </c>
      <c r="K1619" s="4">
        <v>151.06</v>
      </c>
      <c r="L1619" s="4">
        <v>107.34</v>
      </c>
      <c r="M1619" s="1" t="str">
        <f>TEXT(Table1[[#This Row],[Order_Date]], "MMM")</f>
        <v>Aug</v>
      </c>
      <c r="N1619" s="1">
        <f>YEAR(Table1[[#This Row],[Order_Date]])</f>
        <v>2023</v>
      </c>
      <c r="O1619" s="7">
        <f>Table1[[#This Row],[Profit]]/Table1[[#This Row],[Total_Sales]]</f>
        <v>0.41540247678018583</v>
      </c>
    </row>
    <row r="1620" spans="1:15" x14ac:dyDescent="0.25">
      <c r="A1620" s="1">
        <v>1619</v>
      </c>
      <c r="B1620" s="2">
        <v>45114</v>
      </c>
      <c r="C1620" s="1" t="s">
        <v>16</v>
      </c>
      <c r="D1620" s="1" t="s">
        <v>13</v>
      </c>
      <c r="E1620" s="1" t="s">
        <v>38</v>
      </c>
      <c r="F1620" s="1" t="s">
        <v>24</v>
      </c>
      <c r="G1620" s="1">
        <v>8</v>
      </c>
      <c r="H1620" s="1">
        <v>490</v>
      </c>
      <c r="I1620" s="1">
        <v>5</v>
      </c>
      <c r="J1620" s="4">
        <v>3724</v>
      </c>
      <c r="K1620" s="4">
        <v>2212.59</v>
      </c>
      <c r="L1620" s="4">
        <v>1511.41</v>
      </c>
      <c r="M1620" s="1" t="str">
        <f>TEXT(Table1[[#This Row],[Order_Date]], "MMM")</f>
        <v>Jul</v>
      </c>
      <c r="N1620" s="1">
        <f>YEAR(Table1[[#This Row],[Order_Date]])</f>
        <v>2023</v>
      </c>
      <c r="O1620" s="7">
        <f>Table1[[#This Row],[Profit]]/Table1[[#This Row],[Total_Sales]]</f>
        <v>0.40585660580021482</v>
      </c>
    </row>
    <row r="1621" spans="1:15" x14ac:dyDescent="0.25">
      <c r="A1621" s="1">
        <v>1620</v>
      </c>
      <c r="B1621" s="2">
        <v>44930</v>
      </c>
      <c r="C1621" s="1" t="s">
        <v>25</v>
      </c>
      <c r="D1621" s="1" t="s">
        <v>32</v>
      </c>
      <c r="E1621" s="1" t="s">
        <v>34</v>
      </c>
      <c r="F1621" s="1" t="s">
        <v>24</v>
      </c>
      <c r="G1621" s="1">
        <v>6</v>
      </c>
      <c r="H1621" s="1">
        <v>750</v>
      </c>
      <c r="I1621" s="1">
        <v>0</v>
      </c>
      <c r="J1621" s="4">
        <v>4500</v>
      </c>
      <c r="K1621" s="4">
        <v>3517.99</v>
      </c>
      <c r="L1621" s="4">
        <v>982.01</v>
      </c>
      <c r="M1621" s="1" t="str">
        <f>TEXT(Table1[[#This Row],[Order_Date]], "MMM")</f>
        <v>Jan</v>
      </c>
      <c r="N1621" s="1">
        <f>YEAR(Table1[[#This Row],[Order_Date]])</f>
        <v>2023</v>
      </c>
      <c r="O1621" s="7">
        <f>Table1[[#This Row],[Profit]]/Table1[[#This Row],[Total_Sales]]</f>
        <v>0.21822444444444444</v>
      </c>
    </row>
    <row r="1622" spans="1:15" x14ac:dyDescent="0.25">
      <c r="A1622" s="1">
        <v>1621</v>
      </c>
      <c r="B1622" s="2">
        <v>45166</v>
      </c>
      <c r="C1622" s="1" t="s">
        <v>19</v>
      </c>
      <c r="D1622" s="1" t="s">
        <v>22</v>
      </c>
      <c r="E1622" s="1" t="s">
        <v>36</v>
      </c>
      <c r="F1622" s="1" t="s">
        <v>35</v>
      </c>
      <c r="G1622" s="1">
        <v>9</v>
      </c>
      <c r="H1622" s="1">
        <v>408</v>
      </c>
      <c r="I1622" s="1">
        <v>5</v>
      </c>
      <c r="J1622" s="4">
        <v>3488.4</v>
      </c>
      <c r="K1622" s="4">
        <v>2318.7800000000002</v>
      </c>
      <c r="L1622" s="4">
        <v>1169.6199999999999</v>
      </c>
      <c r="M1622" s="1" t="str">
        <f>TEXT(Table1[[#This Row],[Order_Date]], "MMM")</f>
        <v>Aug</v>
      </c>
      <c r="N1622" s="1">
        <f>YEAR(Table1[[#This Row],[Order_Date]])</f>
        <v>2023</v>
      </c>
      <c r="O1622" s="7">
        <f>Table1[[#This Row],[Profit]]/Table1[[#This Row],[Total_Sales]]</f>
        <v>0.33528838435959174</v>
      </c>
    </row>
    <row r="1623" spans="1:15" x14ac:dyDescent="0.25">
      <c r="A1623" s="1">
        <v>1622</v>
      </c>
      <c r="B1623" s="2">
        <v>45320</v>
      </c>
      <c r="C1623" s="1" t="s">
        <v>25</v>
      </c>
      <c r="D1623" s="1" t="s">
        <v>20</v>
      </c>
      <c r="E1623" s="1" t="s">
        <v>43</v>
      </c>
      <c r="F1623" s="1" t="s">
        <v>40</v>
      </c>
      <c r="G1623" s="1">
        <v>4</v>
      </c>
      <c r="H1623" s="1">
        <v>961</v>
      </c>
      <c r="I1623" s="1">
        <v>5</v>
      </c>
      <c r="J1623" s="4">
        <v>3651.8</v>
      </c>
      <c r="K1623" s="4">
        <v>2507.31</v>
      </c>
      <c r="L1623" s="4">
        <v>1144.49</v>
      </c>
      <c r="M1623" s="1" t="str">
        <f>TEXT(Table1[[#This Row],[Order_Date]], "MMM")</f>
        <v>Jan</v>
      </c>
      <c r="N1623" s="1">
        <f>YEAR(Table1[[#This Row],[Order_Date]])</f>
        <v>2024</v>
      </c>
      <c r="O1623" s="7">
        <f>Table1[[#This Row],[Profit]]/Table1[[#This Row],[Total_Sales]]</f>
        <v>0.3134043485404458</v>
      </c>
    </row>
    <row r="1624" spans="1:15" x14ac:dyDescent="0.25">
      <c r="A1624" s="1">
        <v>1623</v>
      </c>
      <c r="B1624" s="2">
        <v>45191</v>
      </c>
      <c r="C1624" s="1" t="s">
        <v>12</v>
      </c>
      <c r="D1624" s="1" t="s">
        <v>13</v>
      </c>
      <c r="E1624" s="1" t="s">
        <v>38</v>
      </c>
      <c r="F1624" s="1" t="s">
        <v>31</v>
      </c>
      <c r="G1624" s="1">
        <v>5</v>
      </c>
      <c r="H1624" s="1">
        <v>324</v>
      </c>
      <c r="I1624" s="1">
        <v>5</v>
      </c>
      <c r="J1624" s="4">
        <v>1539</v>
      </c>
      <c r="K1624" s="4">
        <v>1189.6400000000001</v>
      </c>
      <c r="L1624" s="4">
        <v>349.36</v>
      </c>
      <c r="M1624" s="1" t="str">
        <f>TEXT(Table1[[#This Row],[Order_Date]], "MMM")</f>
        <v>Sep</v>
      </c>
      <c r="N1624" s="1">
        <f>YEAR(Table1[[#This Row],[Order_Date]])</f>
        <v>2023</v>
      </c>
      <c r="O1624" s="7">
        <f>Table1[[#This Row],[Profit]]/Table1[[#This Row],[Total_Sales]]</f>
        <v>0.2270045484080572</v>
      </c>
    </row>
    <row r="1625" spans="1:15" x14ac:dyDescent="0.25">
      <c r="A1625" s="1">
        <v>1624</v>
      </c>
      <c r="B1625" s="2">
        <v>44983</v>
      </c>
      <c r="C1625" s="1" t="s">
        <v>12</v>
      </c>
      <c r="D1625" s="1" t="s">
        <v>20</v>
      </c>
      <c r="E1625" s="1" t="s">
        <v>28</v>
      </c>
      <c r="F1625" s="1" t="s">
        <v>18</v>
      </c>
      <c r="G1625" s="1">
        <v>9</v>
      </c>
      <c r="H1625" s="1">
        <v>33</v>
      </c>
      <c r="I1625" s="1">
        <v>10</v>
      </c>
      <c r="J1625" s="4">
        <v>267.3</v>
      </c>
      <c r="K1625" s="4">
        <v>134.4</v>
      </c>
      <c r="L1625" s="4">
        <v>132.9</v>
      </c>
      <c r="M1625" s="1" t="str">
        <f>TEXT(Table1[[#This Row],[Order_Date]], "MMM")</f>
        <v>Feb</v>
      </c>
      <c r="N1625" s="1">
        <f>YEAR(Table1[[#This Row],[Order_Date]])</f>
        <v>2023</v>
      </c>
      <c r="O1625" s="7">
        <f>Table1[[#This Row],[Profit]]/Table1[[#This Row],[Total_Sales]]</f>
        <v>0.49719416386083054</v>
      </c>
    </row>
    <row r="1626" spans="1:15" x14ac:dyDescent="0.25">
      <c r="A1626" s="1">
        <v>1625</v>
      </c>
      <c r="B1626" s="2">
        <v>45099</v>
      </c>
      <c r="C1626" s="1" t="s">
        <v>25</v>
      </c>
      <c r="D1626" s="1" t="s">
        <v>26</v>
      </c>
      <c r="E1626" s="1" t="s">
        <v>37</v>
      </c>
      <c r="F1626" s="1" t="s">
        <v>15</v>
      </c>
      <c r="G1626" s="1">
        <v>9</v>
      </c>
      <c r="H1626" s="1">
        <v>183</v>
      </c>
      <c r="I1626" s="1">
        <v>10</v>
      </c>
      <c r="J1626" s="4">
        <v>1482.3</v>
      </c>
      <c r="K1626" s="4">
        <v>1149.68</v>
      </c>
      <c r="L1626" s="4">
        <v>332.62</v>
      </c>
      <c r="M1626" s="1" t="str">
        <f>TEXT(Table1[[#This Row],[Order_Date]], "MMM")</f>
        <v>Jun</v>
      </c>
      <c r="N1626" s="1">
        <f>YEAR(Table1[[#This Row],[Order_Date]])</f>
        <v>2023</v>
      </c>
      <c r="O1626" s="7">
        <f>Table1[[#This Row],[Profit]]/Table1[[#This Row],[Total_Sales]]</f>
        <v>0.22439452202658033</v>
      </c>
    </row>
    <row r="1627" spans="1:15" x14ac:dyDescent="0.25">
      <c r="A1627" s="1">
        <v>1626</v>
      </c>
      <c r="B1627" s="2">
        <v>45061</v>
      </c>
      <c r="C1627" s="1" t="s">
        <v>12</v>
      </c>
      <c r="D1627" s="1" t="s">
        <v>26</v>
      </c>
      <c r="E1627" s="1" t="s">
        <v>46</v>
      </c>
      <c r="F1627" s="1" t="s">
        <v>40</v>
      </c>
      <c r="G1627" s="1">
        <v>6</v>
      </c>
      <c r="H1627" s="1">
        <v>785</v>
      </c>
      <c r="I1627" s="1">
        <v>10</v>
      </c>
      <c r="J1627" s="4">
        <v>4239</v>
      </c>
      <c r="K1627" s="4">
        <v>3008.37</v>
      </c>
      <c r="L1627" s="4">
        <v>1230.6300000000001</v>
      </c>
      <c r="M1627" s="1" t="str">
        <f>TEXT(Table1[[#This Row],[Order_Date]], "MMM")</f>
        <v>May</v>
      </c>
      <c r="N1627" s="1">
        <f>YEAR(Table1[[#This Row],[Order_Date]])</f>
        <v>2023</v>
      </c>
      <c r="O1627" s="7">
        <f>Table1[[#This Row],[Profit]]/Table1[[#This Row],[Total_Sales]]</f>
        <v>0.29031139419674457</v>
      </c>
    </row>
    <row r="1628" spans="1:15" x14ac:dyDescent="0.25">
      <c r="A1628" s="1">
        <v>1627</v>
      </c>
      <c r="B1628" s="2">
        <v>45090</v>
      </c>
      <c r="C1628" s="1" t="s">
        <v>19</v>
      </c>
      <c r="D1628" s="1" t="s">
        <v>22</v>
      </c>
      <c r="E1628" s="1" t="s">
        <v>36</v>
      </c>
      <c r="F1628" s="1" t="s">
        <v>40</v>
      </c>
      <c r="G1628" s="1">
        <v>7</v>
      </c>
      <c r="H1628" s="1">
        <v>241</v>
      </c>
      <c r="I1628" s="1">
        <v>10</v>
      </c>
      <c r="J1628" s="4">
        <v>1518.3</v>
      </c>
      <c r="K1628" s="4">
        <v>1129.52</v>
      </c>
      <c r="L1628" s="4">
        <v>388.78</v>
      </c>
      <c r="M1628" s="1" t="str">
        <f>TEXT(Table1[[#This Row],[Order_Date]], "MMM")</f>
        <v>Jun</v>
      </c>
      <c r="N1628" s="1">
        <f>YEAR(Table1[[#This Row],[Order_Date]])</f>
        <v>2023</v>
      </c>
      <c r="O1628" s="7">
        <f>Table1[[#This Row],[Profit]]/Table1[[#This Row],[Total_Sales]]</f>
        <v>0.25606270170585521</v>
      </c>
    </row>
    <row r="1629" spans="1:15" x14ac:dyDescent="0.25">
      <c r="A1629" s="1">
        <v>1628</v>
      </c>
      <c r="B1629" s="2">
        <v>45013</v>
      </c>
      <c r="C1629" s="1" t="s">
        <v>19</v>
      </c>
      <c r="D1629" s="1" t="s">
        <v>26</v>
      </c>
      <c r="E1629" s="1" t="s">
        <v>46</v>
      </c>
      <c r="F1629" s="1" t="s">
        <v>18</v>
      </c>
      <c r="G1629" s="1">
        <v>9</v>
      </c>
      <c r="H1629" s="1">
        <v>679</v>
      </c>
      <c r="I1629" s="1">
        <v>0</v>
      </c>
      <c r="J1629" s="4">
        <v>6111</v>
      </c>
      <c r="K1629" s="4">
        <v>4339.38</v>
      </c>
      <c r="L1629" s="4">
        <v>1771.62</v>
      </c>
      <c r="M1629" s="1" t="str">
        <f>TEXT(Table1[[#This Row],[Order_Date]], "MMM")</f>
        <v>Mar</v>
      </c>
      <c r="N1629" s="1">
        <f>YEAR(Table1[[#This Row],[Order_Date]])</f>
        <v>2023</v>
      </c>
      <c r="O1629" s="7">
        <f>Table1[[#This Row],[Profit]]/Table1[[#This Row],[Total_Sales]]</f>
        <v>0.28990672557682867</v>
      </c>
    </row>
    <row r="1630" spans="1:15" x14ac:dyDescent="0.25">
      <c r="A1630" s="1">
        <v>1629</v>
      </c>
      <c r="B1630" s="2">
        <v>45056</v>
      </c>
      <c r="C1630" s="1" t="s">
        <v>12</v>
      </c>
      <c r="D1630" s="1" t="s">
        <v>22</v>
      </c>
      <c r="E1630" s="1" t="s">
        <v>36</v>
      </c>
      <c r="F1630" s="1" t="s">
        <v>15</v>
      </c>
      <c r="G1630" s="1">
        <v>8</v>
      </c>
      <c r="H1630" s="1">
        <v>968</v>
      </c>
      <c r="I1630" s="1">
        <v>0</v>
      </c>
      <c r="J1630" s="4">
        <v>7744</v>
      </c>
      <c r="K1630" s="4">
        <v>5699.49</v>
      </c>
      <c r="L1630" s="4">
        <v>2044.51</v>
      </c>
      <c r="M1630" s="1" t="str">
        <f>TEXT(Table1[[#This Row],[Order_Date]], "MMM")</f>
        <v>May</v>
      </c>
      <c r="N1630" s="1">
        <f>YEAR(Table1[[#This Row],[Order_Date]])</f>
        <v>2023</v>
      </c>
      <c r="O1630" s="7">
        <f>Table1[[#This Row],[Profit]]/Table1[[#This Row],[Total_Sales]]</f>
        <v>0.26401213842975207</v>
      </c>
    </row>
    <row r="1631" spans="1:15" x14ac:dyDescent="0.25">
      <c r="A1631" s="1">
        <v>1630</v>
      </c>
      <c r="B1631" s="2">
        <v>45652</v>
      </c>
      <c r="C1631" s="1" t="s">
        <v>25</v>
      </c>
      <c r="D1631" s="1" t="s">
        <v>26</v>
      </c>
      <c r="E1631" s="1" t="s">
        <v>37</v>
      </c>
      <c r="F1631" s="1" t="s">
        <v>24</v>
      </c>
      <c r="G1631" s="1">
        <v>10</v>
      </c>
      <c r="H1631" s="1">
        <v>968</v>
      </c>
      <c r="I1631" s="1">
        <v>20</v>
      </c>
      <c r="J1631" s="4">
        <v>7744</v>
      </c>
      <c r="K1631" s="4">
        <v>3876.17</v>
      </c>
      <c r="L1631" s="4">
        <v>3867.83</v>
      </c>
      <c r="M1631" s="1" t="str">
        <f>TEXT(Table1[[#This Row],[Order_Date]], "MMM")</f>
        <v>Dec</v>
      </c>
      <c r="N1631" s="1">
        <f>YEAR(Table1[[#This Row],[Order_Date]])</f>
        <v>2024</v>
      </c>
      <c r="O1631" s="7">
        <f>Table1[[#This Row],[Profit]]/Table1[[#This Row],[Total_Sales]]</f>
        <v>0.49946151859504129</v>
      </c>
    </row>
    <row r="1632" spans="1:15" x14ac:dyDescent="0.25">
      <c r="A1632" s="1">
        <v>1631</v>
      </c>
      <c r="B1632" s="2">
        <v>45251</v>
      </c>
      <c r="C1632" s="1" t="s">
        <v>16</v>
      </c>
      <c r="D1632" s="1" t="s">
        <v>26</v>
      </c>
      <c r="E1632" s="1" t="s">
        <v>27</v>
      </c>
      <c r="F1632" s="1" t="s">
        <v>18</v>
      </c>
      <c r="G1632" s="1">
        <v>10</v>
      </c>
      <c r="H1632" s="1">
        <v>96</v>
      </c>
      <c r="I1632" s="1">
        <v>20</v>
      </c>
      <c r="J1632" s="4">
        <v>768</v>
      </c>
      <c r="K1632" s="4">
        <v>528.65</v>
      </c>
      <c r="L1632" s="4">
        <v>239.35</v>
      </c>
      <c r="M1632" s="1" t="str">
        <f>TEXT(Table1[[#This Row],[Order_Date]], "MMM")</f>
        <v>Nov</v>
      </c>
      <c r="N1632" s="1">
        <f>YEAR(Table1[[#This Row],[Order_Date]])</f>
        <v>2023</v>
      </c>
      <c r="O1632" s="7">
        <f>Table1[[#This Row],[Profit]]/Table1[[#This Row],[Total_Sales]]</f>
        <v>0.31165364583333333</v>
      </c>
    </row>
    <row r="1633" spans="1:15" x14ac:dyDescent="0.25">
      <c r="A1633" s="1">
        <v>1632</v>
      </c>
      <c r="B1633" s="2">
        <v>45507</v>
      </c>
      <c r="C1633" s="1" t="s">
        <v>12</v>
      </c>
      <c r="D1633" s="1" t="s">
        <v>22</v>
      </c>
      <c r="E1633" s="1" t="s">
        <v>36</v>
      </c>
      <c r="F1633" s="1" t="s">
        <v>18</v>
      </c>
      <c r="G1633" s="1">
        <v>9</v>
      </c>
      <c r="H1633" s="1">
        <v>255</v>
      </c>
      <c r="I1633" s="1">
        <v>10</v>
      </c>
      <c r="J1633" s="4">
        <v>2065.5</v>
      </c>
      <c r="K1633" s="4">
        <v>1527.17</v>
      </c>
      <c r="L1633" s="4">
        <v>538.33000000000004</v>
      </c>
      <c r="M1633" s="1" t="str">
        <f>TEXT(Table1[[#This Row],[Order_Date]], "MMM")</f>
        <v>Aug</v>
      </c>
      <c r="N1633" s="1">
        <f>YEAR(Table1[[#This Row],[Order_Date]])</f>
        <v>2024</v>
      </c>
      <c r="O1633" s="7">
        <f>Table1[[#This Row],[Profit]]/Table1[[#This Row],[Total_Sales]]</f>
        <v>0.26062938755749215</v>
      </c>
    </row>
    <row r="1634" spans="1:15" x14ac:dyDescent="0.25">
      <c r="A1634" s="1">
        <v>1633</v>
      </c>
      <c r="B1634" s="2">
        <v>45256</v>
      </c>
      <c r="C1634" s="1" t="s">
        <v>19</v>
      </c>
      <c r="D1634" s="1" t="s">
        <v>32</v>
      </c>
      <c r="E1634" s="1" t="s">
        <v>34</v>
      </c>
      <c r="F1634" s="1" t="s">
        <v>31</v>
      </c>
      <c r="G1634" s="1">
        <v>2</v>
      </c>
      <c r="H1634" s="1">
        <v>716</v>
      </c>
      <c r="I1634" s="1">
        <v>20</v>
      </c>
      <c r="J1634" s="4">
        <v>1145.5999999999999</v>
      </c>
      <c r="K1634" s="4">
        <v>912.08</v>
      </c>
      <c r="L1634" s="4">
        <v>233.52</v>
      </c>
      <c r="M1634" s="1" t="str">
        <f>TEXT(Table1[[#This Row],[Order_Date]], "MMM")</f>
        <v>Nov</v>
      </c>
      <c r="N1634" s="1">
        <f>YEAR(Table1[[#This Row],[Order_Date]])</f>
        <v>2023</v>
      </c>
      <c r="O1634" s="7">
        <f>Table1[[#This Row],[Profit]]/Table1[[#This Row],[Total_Sales]]</f>
        <v>0.20384078212290505</v>
      </c>
    </row>
    <row r="1635" spans="1:15" x14ac:dyDescent="0.25">
      <c r="A1635" s="1">
        <v>1634</v>
      </c>
      <c r="B1635" s="2">
        <v>45160</v>
      </c>
      <c r="C1635" s="1" t="s">
        <v>19</v>
      </c>
      <c r="D1635" s="1" t="s">
        <v>22</v>
      </c>
      <c r="E1635" s="1" t="s">
        <v>44</v>
      </c>
      <c r="F1635" s="1" t="s">
        <v>31</v>
      </c>
      <c r="G1635" s="1">
        <v>2</v>
      </c>
      <c r="H1635" s="1">
        <v>865</v>
      </c>
      <c r="I1635" s="1">
        <v>5</v>
      </c>
      <c r="J1635" s="4">
        <v>1643.5</v>
      </c>
      <c r="K1635" s="4">
        <v>871.55</v>
      </c>
      <c r="L1635" s="4">
        <v>771.95</v>
      </c>
      <c r="M1635" s="1" t="str">
        <f>TEXT(Table1[[#This Row],[Order_Date]], "MMM")</f>
        <v>Aug</v>
      </c>
      <c r="N1635" s="1">
        <f>YEAR(Table1[[#This Row],[Order_Date]])</f>
        <v>2023</v>
      </c>
      <c r="O1635" s="7">
        <f>Table1[[#This Row],[Profit]]/Table1[[#This Row],[Total_Sales]]</f>
        <v>0.46969881350775788</v>
      </c>
    </row>
    <row r="1636" spans="1:15" x14ac:dyDescent="0.25">
      <c r="A1636" s="1">
        <v>1635</v>
      </c>
      <c r="B1636" s="2">
        <v>45415</v>
      </c>
      <c r="C1636" s="1" t="s">
        <v>25</v>
      </c>
      <c r="D1636" s="1" t="s">
        <v>32</v>
      </c>
      <c r="E1636" s="1" t="s">
        <v>33</v>
      </c>
      <c r="F1636" s="1" t="s">
        <v>40</v>
      </c>
      <c r="G1636" s="1">
        <v>2</v>
      </c>
      <c r="H1636" s="1">
        <v>442</v>
      </c>
      <c r="I1636" s="1">
        <v>10</v>
      </c>
      <c r="J1636" s="4">
        <v>795.6</v>
      </c>
      <c r="K1636" s="4">
        <v>447.92</v>
      </c>
      <c r="L1636" s="4">
        <v>347.68</v>
      </c>
      <c r="M1636" s="1" t="str">
        <f>TEXT(Table1[[#This Row],[Order_Date]], "MMM")</f>
        <v>May</v>
      </c>
      <c r="N1636" s="1">
        <f>YEAR(Table1[[#This Row],[Order_Date]])</f>
        <v>2024</v>
      </c>
      <c r="O1636" s="7">
        <f>Table1[[#This Row],[Profit]]/Table1[[#This Row],[Total_Sales]]</f>
        <v>0.43700351935646053</v>
      </c>
    </row>
    <row r="1637" spans="1:15" x14ac:dyDescent="0.25">
      <c r="A1637" s="1">
        <v>1636</v>
      </c>
      <c r="B1637" s="2">
        <v>44974</v>
      </c>
      <c r="C1637" s="1" t="s">
        <v>19</v>
      </c>
      <c r="D1637" s="1" t="s">
        <v>22</v>
      </c>
      <c r="E1637" s="1" t="s">
        <v>29</v>
      </c>
      <c r="F1637" s="1" t="s">
        <v>15</v>
      </c>
      <c r="G1637" s="1">
        <v>1</v>
      </c>
      <c r="H1637" s="1">
        <v>11</v>
      </c>
      <c r="I1637" s="1">
        <v>0</v>
      </c>
      <c r="J1637" s="4">
        <v>11</v>
      </c>
      <c r="K1637" s="4">
        <v>8.4499999999999993</v>
      </c>
      <c r="L1637" s="4">
        <v>2.5499999999999998</v>
      </c>
      <c r="M1637" s="1" t="str">
        <f>TEXT(Table1[[#This Row],[Order_Date]], "MMM")</f>
        <v>Feb</v>
      </c>
      <c r="N1637" s="1">
        <f>YEAR(Table1[[#This Row],[Order_Date]])</f>
        <v>2023</v>
      </c>
      <c r="O1637" s="7">
        <f>Table1[[#This Row],[Profit]]/Table1[[#This Row],[Total_Sales]]</f>
        <v>0.23181818181818181</v>
      </c>
    </row>
    <row r="1638" spans="1:15" x14ac:dyDescent="0.25">
      <c r="A1638" s="1">
        <v>1637</v>
      </c>
      <c r="B1638" s="2">
        <v>45087</v>
      </c>
      <c r="C1638" s="1" t="s">
        <v>19</v>
      </c>
      <c r="D1638" s="1" t="s">
        <v>13</v>
      </c>
      <c r="E1638" s="1" t="s">
        <v>38</v>
      </c>
      <c r="F1638" s="1" t="s">
        <v>40</v>
      </c>
      <c r="G1638" s="1">
        <v>2</v>
      </c>
      <c r="H1638" s="1">
        <v>833</v>
      </c>
      <c r="I1638" s="1">
        <v>5</v>
      </c>
      <c r="J1638" s="4">
        <v>1582.7</v>
      </c>
      <c r="K1638" s="4">
        <v>1225.1500000000001</v>
      </c>
      <c r="L1638" s="4">
        <v>357.55</v>
      </c>
      <c r="M1638" s="1" t="str">
        <f>TEXT(Table1[[#This Row],[Order_Date]], "MMM")</f>
        <v>Jun</v>
      </c>
      <c r="N1638" s="1">
        <f>YEAR(Table1[[#This Row],[Order_Date]])</f>
        <v>2023</v>
      </c>
      <c r="O1638" s="7">
        <f>Table1[[#This Row],[Profit]]/Table1[[#This Row],[Total_Sales]]</f>
        <v>0.22591141719845834</v>
      </c>
    </row>
    <row r="1639" spans="1:15" x14ac:dyDescent="0.25">
      <c r="A1639" s="1">
        <v>1638</v>
      </c>
      <c r="B1639" s="2">
        <v>45501</v>
      </c>
      <c r="C1639" s="1" t="s">
        <v>12</v>
      </c>
      <c r="D1639" s="1" t="s">
        <v>26</v>
      </c>
      <c r="E1639" s="1" t="s">
        <v>46</v>
      </c>
      <c r="F1639" s="1" t="s">
        <v>35</v>
      </c>
      <c r="G1639" s="1">
        <v>6</v>
      </c>
      <c r="H1639" s="1">
        <v>762</v>
      </c>
      <c r="I1639" s="1">
        <v>10</v>
      </c>
      <c r="J1639" s="4">
        <v>4114.8</v>
      </c>
      <c r="K1639" s="4">
        <v>3203.81</v>
      </c>
      <c r="L1639" s="4">
        <v>910.99</v>
      </c>
      <c r="M1639" s="1" t="str">
        <f>TEXT(Table1[[#This Row],[Order_Date]], "MMM")</f>
        <v>Jul</v>
      </c>
      <c r="N1639" s="1">
        <f>YEAR(Table1[[#This Row],[Order_Date]])</f>
        <v>2024</v>
      </c>
      <c r="O1639" s="7">
        <f>Table1[[#This Row],[Profit]]/Table1[[#This Row],[Total_Sales]]</f>
        <v>0.22139350636725963</v>
      </c>
    </row>
    <row r="1640" spans="1:15" x14ac:dyDescent="0.25">
      <c r="A1640" s="1">
        <v>1639</v>
      </c>
      <c r="B1640" s="2">
        <v>45195</v>
      </c>
      <c r="C1640" s="1" t="s">
        <v>12</v>
      </c>
      <c r="D1640" s="1" t="s">
        <v>26</v>
      </c>
      <c r="E1640" s="1" t="s">
        <v>27</v>
      </c>
      <c r="F1640" s="1" t="s">
        <v>15</v>
      </c>
      <c r="G1640" s="1">
        <v>1</v>
      </c>
      <c r="H1640" s="1">
        <v>125</v>
      </c>
      <c r="I1640" s="1">
        <v>20</v>
      </c>
      <c r="J1640" s="4">
        <v>100</v>
      </c>
      <c r="K1640" s="4">
        <v>54.77</v>
      </c>
      <c r="L1640" s="4">
        <v>45.23</v>
      </c>
      <c r="M1640" s="1" t="str">
        <f>TEXT(Table1[[#This Row],[Order_Date]], "MMM")</f>
        <v>Sep</v>
      </c>
      <c r="N1640" s="1">
        <f>YEAR(Table1[[#This Row],[Order_Date]])</f>
        <v>2023</v>
      </c>
      <c r="O1640" s="7">
        <f>Table1[[#This Row],[Profit]]/Table1[[#This Row],[Total_Sales]]</f>
        <v>0.45229999999999998</v>
      </c>
    </row>
    <row r="1641" spans="1:15" x14ac:dyDescent="0.25">
      <c r="A1641" s="1">
        <v>1640</v>
      </c>
      <c r="B1641" s="2">
        <v>45504</v>
      </c>
      <c r="C1641" s="1" t="s">
        <v>12</v>
      </c>
      <c r="D1641" s="1" t="s">
        <v>32</v>
      </c>
      <c r="E1641" s="1" t="s">
        <v>33</v>
      </c>
      <c r="F1641" s="1" t="s">
        <v>40</v>
      </c>
      <c r="G1641" s="1">
        <v>3</v>
      </c>
      <c r="H1641" s="1">
        <v>718</v>
      </c>
      <c r="I1641" s="1">
        <v>5</v>
      </c>
      <c r="J1641" s="4">
        <v>2046.3</v>
      </c>
      <c r="K1641" s="4">
        <v>1314.48</v>
      </c>
      <c r="L1641" s="4">
        <v>731.82</v>
      </c>
      <c r="M1641" s="1" t="str">
        <f>TEXT(Table1[[#This Row],[Order_Date]], "MMM")</f>
        <v>Jul</v>
      </c>
      <c r="N1641" s="1">
        <f>YEAR(Table1[[#This Row],[Order_Date]])</f>
        <v>2024</v>
      </c>
      <c r="O1641" s="7">
        <f>Table1[[#This Row],[Profit]]/Table1[[#This Row],[Total_Sales]]</f>
        <v>0.35763084591702099</v>
      </c>
    </row>
    <row r="1642" spans="1:15" x14ac:dyDescent="0.25">
      <c r="A1642" s="1">
        <v>1641</v>
      </c>
      <c r="B1642" s="2">
        <v>45582</v>
      </c>
      <c r="C1642" s="1" t="s">
        <v>16</v>
      </c>
      <c r="D1642" s="1" t="s">
        <v>22</v>
      </c>
      <c r="E1642" s="1" t="s">
        <v>23</v>
      </c>
      <c r="F1642" s="1" t="s">
        <v>35</v>
      </c>
      <c r="G1642" s="1">
        <v>6</v>
      </c>
      <c r="H1642" s="1">
        <v>349</v>
      </c>
      <c r="I1642" s="1">
        <v>20</v>
      </c>
      <c r="J1642" s="4">
        <v>1675.2</v>
      </c>
      <c r="K1642" s="4">
        <v>1069.33</v>
      </c>
      <c r="L1642" s="4">
        <v>605.87</v>
      </c>
      <c r="M1642" s="1" t="str">
        <f>TEXT(Table1[[#This Row],[Order_Date]], "MMM")</f>
        <v>Oct</v>
      </c>
      <c r="N1642" s="1">
        <f>YEAR(Table1[[#This Row],[Order_Date]])</f>
        <v>2024</v>
      </c>
      <c r="O1642" s="7">
        <f>Table1[[#This Row],[Profit]]/Table1[[#This Row],[Total_Sales]]</f>
        <v>0.36167024832855776</v>
      </c>
    </row>
    <row r="1643" spans="1:15" x14ac:dyDescent="0.25">
      <c r="A1643" s="1">
        <v>1642</v>
      </c>
      <c r="B1643" s="2">
        <v>45224</v>
      </c>
      <c r="C1643" s="1" t="s">
        <v>25</v>
      </c>
      <c r="D1643" s="1" t="s">
        <v>22</v>
      </c>
      <c r="E1643" s="1" t="s">
        <v>23</v>
      </c>
      <c r="F1643" s="1" t="s">
        <v>40</v>
      </c>
      <c r="G1643" s="1">
        <v>2</v>
      </c>
      <c r="H1643" s="1">
        <v>304</v>
      </c>
      <c r="I1643" s="1">
        <v>5</v>
      </c>
      <c r="J1643" s="4">
        <v>577.6</v>
      </c>
      <c r="K1643" s="4">
        <v>437</v>
      </c>
      <c r="L1643" s="4">
        <v>140.6</v>
      </c>
      <c r="M1643" s="1" t="str">
        <f>TEXT(Table1[[#This Row],[Order_Date]], "MMM")</f>
        <v>Oct</v>
      </c>
      <c r="N1643" s="1">
        <f>YEAR(Table1[[#This Row],[Order_Date]])</f>
        <v>2023</v>
      </c>
      <c r="O1643" s="7">
        <f>Table1[[#This Row],[Profit]]/Table1[[#This Row],[Total_Sales]]</f>
        <v>0.24342105263157893</v>
      </c>
    </row>
    <row r="1644" spans="1:15" x14ac:dyDescent="0.25">
      <c r="A1644" s="1">
        <v>1643</v>
      </c>
      <c r="B1644" s="2">
        <v>44978</v>
      </c>
      <c r="C1644" s="1" t="s">
        <v>12</v>
      </c>
      <c r="D1644" s="1" t="s">
        <v>22</v>
      </c>
      <c r="E1644" s="1" t="s">
        <v>36</v>
      </c>
      <c r="F1644" s="1" t="s">
        <v>35</v>
      </c>
      <c r="G1644" s="1">
        <v>10</v>
      </c>
      <c r="H1644" s="1">
        <v>574</v>
      </c>
      <c r="I1644" s="1">
        <v>5</v>
      </c>
      <c r="J1644" s="4">
        <v>5453</v>
      </c>
      <c r="K1644" s="4">
        <v>3933.71</v>
      </c>
      <c r="L1644" s="4">
        <v>1519.29</v>
      </c>
      <c r="M1644" s="1" t="str">
        <f>TEXT(Table1[[#This Row],[Order_Date]], "MMM")</f>
        <v>Feb</v>
      </c>
      <c r="N1644" s="1">
        <f>YEAR(Table1[[#This Row],[Order_Date]])</f>
        <v>2023</v>
      </c>
      <c r="O1644" s="7">
        <f>Table1[[#This Row],[Profit]]/Table1[[#This Row],[Total_Sales]]</f>
        <v>0.27861544104162844</v>
      </c>
    </row>
    <row r="1645" spans="1:15" x14ac:dyDescent="0.25">
      <c r="A1645" s="1">
        <v>1644</v>
      </c>
      <c r="B1645" s="2">
        <v>45512</v>
      </c>
      <c r="C1645" s="1" t="s">
        <v>16</v>
      </c>
      <c r="D1645" s="1" t="s">
        <v>26</v>
      </c>
      <c r="E1645" s="1" t="s">
        <v>42</v>
      </c>
      <c r="F1645" s="1" t="s">
        <v>40</v>
      </c>
      <c r="G1645" s="1">
        <v>4</v>
      </c>
      <c r="H1645" s="1">
        <v>842</v>
      </c>
      <c r="I1645" s="1">
        <v>10</v>
      </c>
      <c r="J1645" s="4">
        <v>3031.2</v>
      </c>
      <c r="K1645" s="4">
        <v>2029.11</v>
      </c>
      <c r="L1645" s="4">
        <v>1002.09</v>
      </c>
      <c r="M1645" s="1" t="str">
        <f>TEXT(Table1[[#This Row],[Order_Date]], "MMM")</f>
        <v>Aug</v>
      </c>
      <c r="N1645" s="1">
        <f>YEAR(Table1[[#This Row],[Order_Date]])</f>
        <v>2024</v>
      </c>
      <c r="O1645" s="7">
        <f>Table1[[#This Row],[Profit]]/Table1[[#This Row],[Total_Sales]]</f>
        <v>0.33059184481393511</v>
      </c>
    </row>
    <row r="1646" spans="1:15" x14ac:dyDescent="0.25">
      <c r="A1646" s="1">
        <v>1645</v>
      </c>
      <c r="B1646" s="2">
        <v>44992</v>
      </c>
      <c r="C1646" s="1" t="s">
        <v>25</v>
      </c>
      <c r="D1646" s="1" t="s">
        <v>32</v>
      </c>
      <c r="E1646" s="1" t="s">
        <v>45</v>
      </c>
      <c r="F1646" s="1" t="s">
        <v>18</v>
      </c>
      <c r="G1646" s="1">
        <v>2</v>
      </c>
      <c r="H1646" s="1">
        <v>580</v>
      </c>
      <c r="I1646" s="1">
        <v>5</v>
      </c>
      <c r="J1646" s="4">
        <v>1102</v>
      </c>
      <c r="K1646" s="4">
        <v>875.91</v>
      </c>
      <c r="L1646" s="4">
        <v>226.09</v>
      </c>
      <c r="M1646" s="1" t="str">
        <f>TEXT(Table1[[#This Row],[Order_Date]], "MMM")</f>
        <v>Mar</v>
      </c>
      <c r="N1646" s="1">
        <f>YEAR(Table1[[#This Row],[Order_Date]])</f>
        <v>2023</v>
      </c>
      <c r="O1646" s="7">
        <f>Table1[[#This Row],[Profit]]/Table1[[#This Row],[Total_Sales]]</f>
        <v>0.20516333938294012</v>
      </c>
    </row>
    <row r="1647" spans="1:15" x14ac:dyDescent="0.25">
      <c r="A1647" s="1">
        <v>1646</v>
      </c>
      <c r="B1647" s="2">
        <v>45372</v>
      </c>
      <c r="C1647" s="1" t="s">
        <v>12</v>
      </c>
      <c r="D1647" s="1" t="s">
        <v>13</v>
      </c>
      <c r="E1647" s="1" t="s">
        <v>39</v>
      </c>
      <c r="F1647" s="1" t="s">
        <v>31</v>
      </c>
      <c r="G1647" s="1">
        <v>8</v>
      </c>
      <c r="H1647" s="1">
        <v>927</v>
      </c>
      <c r="I1647" s="1">
        <v>0</v>
      </c>
      <c r="J1647" s="4">
        <v>7416</v>
      </c>
      <c r="K1647" s="4">
        <v>5211.79</v>
      </c>
      <c r="L1647" s="4">
        <v>2204.21</v>
      </c>
      <c r="M1647" s="1" t="str">
        <f>TEXT(Table1[[#This Row],[Order_Date]], "MMM")</f>
        <v>Mar</v>
      </c>
      <c r="N1647" s="1">
        <f>YEAR(Table1[[#This Row],[Order_Date]])</f>
        <v>2024</v>
      </c>
      <c r="O1647" s="7">
        <f>Table1[[#This Row],[Profit]]/Table1[[#This Row],[Total_Sales]]</f>
        <v>0.29722357065803667</v>
      </c>
    </row>
    <row r="1648" spans="1:15" x14ac:dyDescent="0.25">
      <c r="A1648" s="1">
        <v>1647</v>
      </c>
      <c r="B1648" s="2">
        <v>44953</v>
      </c>
      <c r="C1648" s="1" t="s">
        <v>25</v>
      </c>
      <c r="D1648" s="1" t="s">
        <v>13</v>
      </c>
      <c r="E1648" s="1" t="s">
        <v>38</v>
      </c>
      <c r="F1648" s="1" t="s">
        <v>18</v>
      </c>
      <c r="G1648" s="1">
        <v>8</v>
      </c>
      <c r="H1648" s="1">
        <v>786</v>
      </c>
      <c r="I1648" s="1">
        <v>5</v>
      </c>
      <c r="J1648" s="4">
        <v>5973.6</v>
      </c>
      <c r="K1648" s="4">
        <v>3798.61</v>
      </c>
      <c r="L1648" s="4">
        <v>2174.9899999999998</v>
      </c>
      <c r="M1648" s="1" t="str">
        <f>TEXT(Table1[[#This Row],[Order_Date]], "MMM")</f>
        <v>Jan</v>
      </c>
      <c r="N1648" s="1">
        <f>YEAR(Table1[[#This Row],[Order_Date]])</f>
        <v>2023</v>
      </c>
      <c r="O1648" s="7">
        <f>Table1[[#This Row],[Profit]]/Table1[[#This Row],[Total_Sales]]</f>
        <v>0.36410037498325964</v>
      </c>
    </row>
    <row r="1649" spans="1:15" x14ac:dyDescent="0.25">
      <c r="A1649" s="1">
        <v>1648</v>
      </c>
      <c r="B1649" s="2">
        <v>45424</v>
      </c>
      <c r="C1649" s="1" t="s">
        <v>19</v>
      </c>
      <c r="D1649" s="1" t="s">
        <v>22</v>
      </c>
      <c r="E1649" s="1" t="s">
        <v>36</v>
      </c>
      <c r="F1649" s="1" t="s">
        <v>35</v>
      </c>
      <c r="G1649" s="1">
        <v>5</v>
      </c>
      <c r="H1649" s="1">
        <v>852</v>
      </c>
      <c r="I1649" s="1">
        <v>5</v>
      </c>
      <c r="J1649" s="4">
        <v>4047</v>
      </c>
      <c r="K1649" s="4">
        <v>2278.92</v>
      </c>
      <c r="L1649" s="4">
        <v>1768.08</v>
      </c>
      <c r="M1649" s="1" t="str">
        <f>TEXT(Table1[[#This Row],[Order_Date]], "MMM")</f>
        <v>May</v>
      </c>
      <c r="N1649" s="1">
        <f>YEAR(Table1[[#This Row],[Order_Date]])</f>
        <v>2024</v>
      </c>
      <c r="O1649" s="7">
        <f>Table1[[#This Row],[Profit]]/Table1[[#This Row],[Total_Sales]]</f>
        <v>0.43688658265381763</v>
      </c>
    </row>
    <row r="1650" spans="1:15" x14ac:dyDescent="0.25">
      <c r="A1650" s="1">
        <v>1649</v>
      </c>
      <c r="B1650" s="2">
        <v>45091</v>
      </c>
      <c r="C1650" s="1" t="s">
        <v>16</v>
      </c>
      <c r="D1650" s="1" t="s">
        <v>13</v>
      </c>
      <c r="E1650" s="1" t="s">
        <v>38</v>
      </c>
      <c r="F1650" s="1" t="s">
        <v>18</v>
      </c>
      <c r="G1650" s="1">
        <v>2</v>
      </c>
      <c r="H1650" s="1">
        <v>48</v>
      </c>
      <c r="I1650" s="1">
        <v>0</v>
      </c>
      <c r="J1650" s="4">
        <v>96</v>
      </c>
      <c r="K1650" s="4">
        <v>62.23</v>
      </c>
      <c r="L1650" s="4">
        <v>33.770000000000003</v>
      </c>
      <c r="M1650" s="1" t="str">
        <f>TEXT(Table1[[#This Row],[Order_Date]], "MMM")</f>
        <v>Jun</v>
      </c>
      <c r="N1650" s="1">
        <f>YEAR(Table1[[#This Row],[Order_Date]])</f>
        <v>2023</v>
      </c>
      <c r="O1650" s="7">
        <f>Table1[[#This Row],[Profit]]/Table1[[#This Row],[Total_Sales]]</f>
        <v>0.35177083333333337</v>
      </c>
    </row>
    <row r="1651" spans="1:15" x14ac:dyDescent="0.25">
      <c r="A1651" s="1">
        <v>1650</v>
      </c>
      <c r="B1651" s="2">
        <v>45357</v>
      </c>
      <c r="C1651" s="1" t="s">
        <v>25</v>
      </c>
      <c r="D1651" s="1" t="s">
        <v>22</v>
      </c>
      <c r="E1651" s="1" t="s">
        <v>36</v>
      </c>
      <c r="F1651" s="1" t="s">
        <v>24</v>
      </c>
      <c r="G1651" s="1">
        <v>4</v>
      </c>
      <c r="H1651" s="1">
        <v>936</v>
      </c>
      <c r="I1651" s="1">
        <v>0</v>
      </c>
      <c r="J1651" s="4">
        <v>3744</v>
      </c>
      <c r="K1651" s="4">
        <v>2865.17</v>
      </c>
      <c r="L1651" s="4">
        <v>878.83</v>
      </c>
      <c r="M1651" s="1" t="str">
        <f>TEXT(Table1[[#This Row],[Order_Date]], "MMM")</f>
        <v>Mar</v>
      </c>
      <c r="N1651" s="1">
        <f>YEAR(Table1[[#This Row],[Order_Date]])</f>
        <v>2024</v>
      </c>
      <c r="O1651" s="7">
        <f>Table1[[#This Row],[Profit]]/Table1[[#This Row],[Total_Sales]]</f>
        <v>0.23473023504273505</v>
      </c>
    </row>
    <row r="1652" spans="1:15" x14ac:dyDescent="0.25">
      <c r="A1652" s="1">
        <v>1651</v>
      </c>
      <c r="B1652" s="2">
        <v>45479</v>
      </c>
      <c r="C1652" s="1" t="s">
        <v>16</v>
      </c>
      <c r="D1652" s="1" t="s">
        <v>13</v>
      </c>
      <c r="E1652" s="1" t="s">
        <v>17</v>
      </c>
      <c r="F1652" s="1" t="s">
        <v>18</v>
      </c>
      <c r="G1652" s="1">
        <v>1</v>
      </c>
      <c r="H1652" s="1">
        <v>425</v>
      </c>
      <c r="I1652" s="1">
        <v>15</v>
      </c>
      <c r="J1652" s="4">
        <v>361.25</v>
      </c>
      <c r="K1652" s="4">
        <v>233.93</v>
      </c>
      <c r="L1652" s="4">
        <v>127.32</v>
      </c>
      <c r="M1652" s="1" t="str">
        <f>TEXT(Table1[[#This Row],[Order_Date]], "MMM")</f>
        <v>Jul</v>
      </c>
      <c r="N1652" s="1">
        <f>YEAR(Table1[[#This Row],[Order_Date]])</f>
        <v>2024</v>
      </c>
      <c r="O1652" s="7">
        <f>Table1[[#This Row],[Profit]]/Table1[[#This Row],[Total_Sales]]</f>
        <v>0.35244290657439442</v>
      </c>
    </row>
    <row r="1653" spans="1:15" x14ac:dyDescent="0.25">
      <c r="A1653" s="1">
        <v>1652</v>
      </c>
      <c r="B1653" s="2">
        <v>45606</v>
      </c>
      <c r="C1653" s="1" t="s">
        <v>19</v>
      </c>
      <c r="D1653" s="1" t="s">
        <v>13</v>
      </c>
      <c r="E1653" s="1" t="s">
        <v>38</v>
      </c>
      <c r="F1653" s="1" t="s">
        <v>40</v>
      </c>
      <c r="G1653" s="1">
        <v>4</v>
      </c>
      <c r="H1653" s="1">
        <v>346</v>
      </c>
      <c r="I1653" s="1">
        <v>20</v>
      </c>
      <c r="J1653" s="4">
        <v>1107.2</v>
      </c>
      <c r="K1653" s="4">
        <v>884.38</v>
      </c>
      <c r="L1653" s="4">
        <v>222.82</v>
      </c>
      <c r="M1653" s="1" t="str">
        <f>TEXT(Table1[[#This Row],[Order_Date]], "MMM")</f>
        <v>Nov</v>
      </c>
      <c r="N1653" s="1">
        <f>YEAR(Table1[[#This Row],[Order_Date]])</f>
        <v>2024</v>
      </c>
      <c r="O1653" s="7">
        <f>Table1[[#This Row],[Profit]]/Table1[[#This Row],[Total_Sales]]</f>
        <v>0.20124638728323699</v>
      </c>
    </row>
    <row r="1654" spans="1:15" x14ac:dyDescent="0.25">
      <c r="A1654" s="1">
        <v>1653</v>
      </c>
      <c r="B1654" s="2">
        <v>45363</v>
      </c>
      <c r="C1654" s="1" t="s">
        <v>16</v>
      </c>
      <c r="D1654" s="1" t="s">
        <v>26</v>
      </c>
      <c r="E1654" s="1" t="s">
        <v>27</v>
      </c>
      <c r="F1654" s="1" t="s">
        <v>31</v>
      </c>
      <c r="G1654" s="1">
        <v>6</v>
      </c>
      <c r="H1654" s="1">
        <v>754</v>
      </c>
      <c r="I1654" s="1">
        <v>0</v>
      </c>
      <c r="J1654" s="4">
        <v>4524</v>
      </c>
      <c r="K1654" s="4">
        <v>2907.54</v>
      </c>
      <c r="L1654" s="4">
        <v>1616.46</v>
      </c>
      <c r="M1654" s="1" t="str">
        <f>TEXT(Table1[[#This Row],[Order_Date]], "MMM")</f>
        <v>Mar</v>
      </c>
      <c r="N1654" s="1">
        <f>YEAR(Table1[[#This Row],[Order_Date]])</f>
        <v>2024</v>
      </c>
      <c r="O1654" s="7">
        <f>Table1[[#This Row],[Profit]]/Table1[[#This Row],[Total_Sales]]</f>
        <v>0.35730769230769233</v>
      </c>
    </row>
    <row r="1655" spans="1:15" x14ac:dyDescent="0.25">
      <c r="A1655" s="1">
        <v>1654</v>
      </c>
      <c r="B1655" s="2">
        <v>45575</v>
      </c>
      <c r="C1655" s="1" t="s">
        <v>12</v>
      </c>
      <c r="D1655" s="1" t="s">
        <v>26</v>
      </c>
      <c r="E1655" s="1" t="s">
        <v>27</v>
      </c>
      <c r="F1655" s="1" t="s">
        <v>35</v>
      </c>
      <c r="G1655" s="1">
        <v>5</v>
      </c>
      <c r="H1655" s="1">
        <v>119</v>
      </c>
      <c r="I1655" s="1">
        <v>0</v>
      </c>
      <c r="J1655" s="4">
        <v>595</v>
      </c>
      <c r="K1655" s="4">
        <v>402.97</v>
      </c>
      <c r="L1655" s="4">
        <v>192.03</v>
      </c>
      <c r="M1655" s="1" t="str">
        <f>TEXT(Table1[[#This Row],[Order_Date]], "MMM")</f>
        <v>Oct</v>
      </c>
      <c r="N1655" s="1">
        <f>YEAR(Table1[[#This Row],[Order_Date]])</f>
        <v>2024</v>
      </c>
      <c r="O1655" s="7">
        <f>Table1[[#This Row],[Profit]]/Table1[[#This Row],[Total_Sales]]</f>
        <v>0.32273949579831934</v>
      </c>
    </row>
    <row r="1656" spans="1:15" x14ac:dyDescent="0.25">
      <c r="A1656" s="1">
        <v>1655</v>
      </c>
      <c r="B1656" s="2">
        <v>45237</v>
      </c>
      <c r="C1656" s="1" t="s">
        <v>12</v>
      </c>
      <c r="D1656" s="1" t="s">
        <v>20</v>
      </c>
      <c r="E1656" s="1" t="s">
        <v>21</v>
      </c>
      <c r="F1656" s="1" t="s">
        <v>15</v>
      </c>
      <c r="G1656" s="1">
        <v>1</v>
      </c>
      <c r="H1656" s="1">
        <v>290</v>
      </c>
      <c r="I1656" s="1">
        <v>20</v>
      </c>
      <c r="J1656" s="4">
        <v>232</v>
      </c>
      <c r="K1656" s="4">
        <v>124.66</v>
      </c>
      <c r="L1656" s="4">
        <v>107.34</v>
      </c>
      <c r="M1656" s="1" t="str">
        <f>TEXT(Table1[[#This Row],[Order_Date]], "MMM")</f>
        <v>Nov</v>
      </c>
      <c r="N1656" s="1">
        <f>YEAR(Table1[[#This Row],[Order_Date]])</f>
        <v>2023</v>
      </c>
      <c r="O1656" s="7">
        <f>Table1[[#This Row],[Profit]]/Table1[[#This Row],[Total_Sales]]</f>
        <v>0.46267241379310348</v>
      </c>
    </row>
    <row r="1657" spans="1:15" x14ac:dyDescent="0.25">
      <c r="A1657" s="1">
        <v>1656</v>
      </c>
      <c r="B1657" s="2">
        <v>45549</v>
      </c>
      <c r="C1657" s="1" t="s">
        <v>16</v>
      </c>
      <c r="D1657" s="1" t="s">
        <v>32</v>
      </c>
      <c r="E1657" s="1" t="s">
        <v>34</v>
      </c>
      <c r="F1657" s="1" t="s">
        <v>31</v>
      </c>
      <c r="G1657" s="1">
        <v>10</v>
      </c>
      <c r="H1657" s="1">
        <v>867</v>
      </c>
      <c r="I1657" s="1">
        <v>15</v>
      </c>
      <c r="J1657" s="4">
        <v>7369.5</v>
      </c>
      <c r="K1657" s="4">
        <v>3867.68</v>
      </c>
      <c r="L1657" s="4">
        <v>3501.82</v>
      </c>
      <c r="M1657" s="1" t="str">
        <f>TEXT(Table1[[#This Row],[Order_Date]], "MMM")</f>
        <v>Sep</v>
      </c>
      <c r="N1657" s="1">
        <f>YEAR(Table1[[#This Row],[Order_Date]])</f>
        <v>2024</v>
      </c>
      <c r="O1657" s="7">
        <f>Table1[[#This Row],[Profit]]/Table1[[#This Row],[Total_Sales]]</f>
        <v>0.47517742044914851</v>
      </c>
    </row>
    <row r="1658" spans="1:15" x14ac:dyDescent="0.25">
      <c r="A1658" s="1">
        <v>1657</v>
      </c>
      <c r="B1658" s="2">
        <v>45433</v>
      </c>
      <c r="C1658" s="1" t="s">
        <v>12</v>
      </c>
      <c r="D1658" s="1" t="s">
        <v>13</v>
      </c>
      <c r="E1658" s="1" t="s">
        <v>14</v>
      </c>
      <c r="F1658" s="1" t="s">
        <v>31</v>
      </c>
      <c r="G1658" s="1">
        <v>2</v>
      </c>
      <c r="H1658" s="1">
        <v>652</v>
      </c>
      <c r="I1658" s="1">
        <v>0</v>
      </c>
      <c r="J1658" s="4">
        <v>1304</v>
      </c>
      <c r="K1658" s="4">
        <v>1019.46</v>
      </c>
      <c r="L1658" s="4">
        <v>284.54000000000002</v>
      </c>
      <c r="M1658" s="1" t="str">
        <f>TEXT(Table1[[#This Row],[Order_Date]], "MMM")</f>
        <v>May</v>
      </c>
      <c r="N1658" s="1">
        <f>YEAR(Table1[[#This Row],[Order_Date]])</f>
        <v>2024</v>
      </c>
      <c r="O1658" s="7">
        <f>Table1[[#This Row],[Profit]]/Table1[[#This Row],[Total_Sales]]</f>
        <v>0.21820552147239267</v>
      </c>
    </row>
    <row r="1659" spans="1:15" x14ac:dyDescent="0.25">
      <c r="A1659" s="1">
        <v>1658</v>
      </c>
      <c r="B1659" s="2">
        <v>45076</v>
      </c>
      <c r="C1659" s="1" t="s">
        <v>12</v>
      </c>
      <c r="D1659" s="1" t="s">
        <v>32</v>
      </c>
      <c r="E1659" s="1" t="s">
        <v>33</v>
      </c>
      <c r="F1659" s="1" t="s">
        <v>31</v>
      </c>
      <c r="G1659" s="1">
        <v>2</v>
      </c>
      <c r="H1659" s="1">
        <v>681</v>
      </c>
      <c r="I1659" s="1">
        <v>15</v>
      </c>
      <c r="J1659" s="4">
        <v>1157.7</v>
      </c>
      <c r="K1659" s="4">
        <v>586.64</v>
      </c>
      <c r="L1659" s="4">
        <v>571.05999999999995</v>
      </c>
      <c r="M1659" s="1" t="str">
        <f>TEXT(Table1[[#This Row],[Order_Date]], "MMM")</f>
        <v>May</v>
      </c>
      <c r="N1659" s="1">
        <f>YEAR(Table1[[#This Row],[Order_Date]])</f>
        <v>2023</v>
      </c>
      <c r="O1659" s="7">
        <f>Table1[[#This Row],[Profit]]/Table1[[#This Row],[Total_Sales]]</f>
        <v>0.4932711410555411</v>
      </c>
    </row>
    <row r="1660" spans="1:15" x14ac:dyDescent="0.25">
      <c r="A1660" s="1">
        <v>1659</v>
      </c>
      <c r="B1660" s="2">
        <v>45586</v>
      </c>
      <c r="C1660" s="1" t="s">
        <v>19</v>
      </c>
      <c r="D1660" s="1" t="s">
        <v>32</v>
      </c>
      <c r="E1660" s="1" t="s">
        <v>33</v>
      </c>
      <c r="F1660" s="1" t="s">
        <v>15</v>
      </c>
      <c r="G1660" s="1">
        <v>3</v>
      </c>
      <c r="H1660" s="1">
        <v>465</v>
      </c>
      <c r="I1660" s="1">
        <v>0</v>
      </c>
      <c r="J1660" s="4">
        <v>1395</v>
      </c>
      <c r="K1660" s="4">
        <v>1104.8699999999999</v>
      </c>
      <c r="L1660" s="4">
        <v>290.13</v>
      </c>
      <c r="M1660" s="1" t="str">
        <f>TEXT(Table1[[#This Row],[Order_Date]], "MMM")</f>
        <v>Oct</v>
      </c>
      <c r="N1660" s="1">
        <f>YEAR(Table1[[#This Row],[Order_Date]])</f>
        <v>2024</v>
      </c>
      <c r="O1660" s="7">
        <f>Table1[[#This Row],[Profit]]/Table1[[#This Row],[Total_Sales]]</f>
        <v>0.20797849462365592</v>
      </c>
    </row>
    <row r="1661" spans="1:15" x14ac:dyDescent="0.25">
      <c r="A1661" s="1">
        <v>1660</v>
      </c>
      <c r="B1661" s="2">
        <v>45105</v>
      </c>
      <c r="C1661" s="1" t="s">
        <v>16</v>
      </c>
      <c r="D1661" s="1" t="s">
        <v>22</v>
      </c>
      <c r="E1661" s="1" t="s">
        <v>23</v>
      </c>
      <c r="F1661" s="1" t="s">
        <v>35</v>
      </c>
      <c r="G1661" s="1">
        <v>3</v>
      </c>
      <c r="H1661" s="1">
        <v>714</v>
      </c>
      <c r="I1661" s="1">
        <v>20</v>
      </c>
      <c r="J1661" s="4">
        <v>1713.6</v>
      </c>
      <c r="K1661" s="4">
        <v>933.04</v>
      </c>
      <c r="L1661" s="4">
        <v>780.56</v>
      </c>
      <c r="M1661" s="1" t="str">
        <f>TEXT(Table1[[#This Row],[Order_Date]], "MMM")</f>
        <v>Jun</v>
      </c>
      <c r="N1661" s="1">
        <f>YEAR(Table1[[#This Row],[Order_Date]])</f>
        <v>2023</v>
      </c>
      <c r="O1661" s="7">
        <f>Table1[[#This Row],[Profit]]/Table1[[#This Row],[Total_Sales]]</f>
        <v>0.45550887021475256</v>
      </c>
    </row>
    <row r="1662" spans="1:15" x14ac:dyDescent="0.25">
      <c r="A1662" s="1">
        <v>1661</v>
      </c>
      <c r="B1662" s="2">
        <v>45538</v>
      </c>
      <c r="C1662" s="1" t="s">
        <v>12</v>
      </c>
      <c r="D1662" s="1" t="s">
        <v>22</v>
      </c>
      <c r="E1662" s="1" t="s">
        <v>23</v>
      </c>
      <c r="F1662" s="1" t="s">
        <v>35</v>
      </c>
      <c r="G1662" s="1">
        <v>4</v>
      </c>
      <c r="H1662" s="1">
        <v>511</v>
      </c>
      <c r="I1662" s="1">
        <v>20</v>
      </c>
      <c r="J1662" s="4">
        <v>1635.2</v>
      </c>
      <c r="K1662" s="4">
        <v>876.61</v>
      </c>
      <c r="L1662" s="4">
        <v>758.59</v>
      </c>
      <c r="M1662" s="1" t="str">
        <f>TEXT(Table1[[#This Row],[Order_Date]], "MMM")</f>
        <v>Sep</v>
      </c>
      <c r="N1662" s="1">
        <f>YEAR(Table1[[#This Row],[Order_Date]])</f>
        <v>2024</v>
      </c>
      <c r="O1662" s="7">
        <f>Table1[[#This Row],[Profit]]/Table1[[#This Row],[Total_Sales]]</f>
        <v>0.46391267123287672</v>
      </c>
    </row>
    <row r="1663" spans="1:15" x14ac:dyDescent="0.25">
      <c r="A1663" s="1">
        <v>1662</v>
      </c>
      <c r="B1663" s="2">
        <v>45624</v>
      </c>
      <c r="C1663" s="1" t="s">
        <v>19</v>
      </c>
      <c r="D1663" s="1" t="s">
        <v>20</v>
      </c>
      <c r="E1663" s="1" t="s">
        <v>28</v>
      </c>
      <c r="F1663" s="1" t="s">
        <v>40</v>
      </c>
      <c r="G1663" s="1">
        <v>6</v>
      </c>
      <c r="H1663" s="1">
        <v>637</v>
      </c>
      <c r="I1663" s="1">
        <v>20</v>
      </c>
      <c r="J1663" s="4">
        <v>3057.6</v>
      </c>
      <c r="K1663" s="4">
        <v>1810.26</v>
      </c>
      <c r="L1663" s="4">
        <v>1247.3399999999999</v>
      </c>
      <c r="M1663" s="1" t="str">
        <f>TEXT(Table1[[#This Row],[Order_Date]], "MMM")</f>
        <v>Nov</v>
      </c>
      <c r="N1663" s="1">
        <f>YEAR(Table1[[#This Row],[Order_Date]])</f>
        <v>2024</v>
      </c>
      <c r="O1663" s="7">
        <f>Table1[[#This Row],[Profit]]/Table1[[#This Row],[Total_Sales]]</f>
        <v>0.40794740973312399</v>
      </c>
    </row>
    <row r="1664" spans="1:15" x14ac:dyDescent="0.25">
      <c r="A1664" s="1">
        <v>1663</v>
      </c>
      <c r="B1664" s="2">
        <v>45472</v>
      </c>
      <c r="C1664" s="1" t="s">
        <v>19</v>
      </c>
      <c r="D1664" s="1" t="s">
        <v>32</v>
      </c>
      <c r="E1664" s="1" t="s">
        <v>45</v>
      </c>
      <c r="F1664" s="1" t="s">
        <v>35</v>
      </c>
      <c r="G1664" s="1">
        <v>5</v>
      </c>
      <c r="H1664" s="1">
        <v>56</v>
      </c>
      <c r="I1664" s="1">
        <v>15</v>
      </c>
      <c r="J1664" s="4">
        <v>238</v>
      </c>
      <c r="K1664" s="4">
        <v>178.77</v>
      </c>
      <c r="L1664" s="4">
        <v>59.23</v>
      </c>
      <c r="M1664" s="1" t="str">
        <f>TEXT(Table1[[#This Row],[Order_Date]], "MMM")</f>
        <v>Jun</v>
      </c>
      <c r="N1664" s="1">
        <f>YEAR(Table1[[#This Row],[Order_Date]])</f>
        <v>2024</v>
      </c>
      <c r="O1664" s="7">
        <f>Table1[[#This Row],[Profit]]/Table1[[#This Row],[Total_Sales]]</f>
        <v>0.24886554621848739</v>
      </c>
    </row>
    <row r="1665" spans="1:15" x14ac:dyDescent="0.25">
      <c r="A1665" s="1">
        <v>1664</v>
      </c>
      <c r="B1665" s="2">
        <v>44991</v>
      </c>
      <c r="C1665" s="1" t="s">
        <v>16</v>
      </c>
      <c r="D1665" s="1" t="s">
        <v>20</v>
      </c>
      <c r="E1665" s="1" t="s">
        <v>28</v>
      </c>
      <c r="F1665" s="1" t="s">
        <v>18</v>
      </c>
      <c r="G1665" s="1">
        <v>5</v>
      </c>
      <c r="H1665" s="1">
        <v>594</v>
      </c>
      <c r="I1665" s="1">
        <v>20</v>
      </c>
      <c r="J1665" s="4">
        <v>2376</v>
      </c>
      <c r="K1665" s="4">
        <v>1349.79</v>
      </c>
      <c r="L1665" s="4">
        <v>1026.21</v>
      </c>
      <c r="M1665" s="1" t="str">
        <f>TEXT(Table1[[#This Row],[Order_Date]], "MMM")</f>
        <v>Mar</v>
      </c>
      <c r="N1665" s="1">
        <f>YEAR(Table1[[#This Row],[Order_Date]])</f>
        <v>2023</v>
      </c>
      <c r="O1665" s="7">
        <f>Table1[[#This Row],[Profit]]/Table1[[#This Row],[Total_Sales]]</f>
        <v>0.43190656565656566</v>
      </c>
    </row>
    <row r="1666" spans="1:15" x14ac:dyDescent="0.25">
      <c r="A1666" s="1">
        <v>1665</v>
      </c>
      <c r="B1666" s="2">
        <v>44953</v>
      </c>
      <c r="C1666" s="1" t="s">
        <v>16</v>
      </c>
      <c r="D1666" s="1" t="s">
        <v>32</v>
      </c>
      <c r="E1666" s="1" t="s">
        <v>33</v>
      </c>
      <c r="F1666" s="1" t="s">
        <v>15</v>
      </c>
      <c r="G1666" s="1">
        <v>3</v>
      </c>
      <c r="H1666" s="1">
        <v>705</v>
      </c>
      <c r="I1666" s="1">
        <v>0</v>
      </c>
      <c r="J1666" s="4">
        <v>2115</v>
      </c>
      <c r="K1666" s="4">
        <v>1090.74</v>
      </c>
      <c r="L1666" s="4">
        <v>1024.26</v>
      </c>
      <c r="M1666" s="1" t="str">
        <f>TEXT(Table1[[#This Row],[Order_Date]], "MMM")</f>
        <v>Jan</v>
      </c>
      <c r="N1666" s="1">
        <f>YEAR(Table1[[#This Row],[Order_Date]])</f>
        <v>2023</v>
      </c>
      <c r="O1666" s="7">
        <f>Table1[[#This Row],[Profit]]/Table1[[#This Row],[Total_Sales]]</f>
        <v>0.48428368794326243</v>
      </c>
    </row>
    <row r="1667" spans="1:15" x14ac:dyDescent="0.25">
      <c r="A1667" s="1">
        <v>1666</v>
      </c>
      <c r="B1667" s="2">
        <v>45401</v>
      </c>
      <c r="C1667" s="1" t="s">
        <v>25</v>
      </c>
      <c r="D1667" s="1" t="s">
        <v>32</v>
      </c>
      <c r="E1667" s="1" t="s">
        <v>41</v>
      </c>
      <c r="F1667" s="1" t="s">
        <v>18</v>
      </c>
      <c r="G1667" s="1">
        <v>10</v>
      </c>
      <c r="H1667" s="1">
        <v>269</v>
      </c>
      <c r="I1667" s="1">
        <v>15</v>
      </c>
      <c r="J1667" s="4">
        <v>2286.5</v>
      </c>
      <c r="K1667" s="4">
        <v>1659.04</v>
      </c>
      <c r="L1667" s="4">
        <v>627.46</v>
      </c>
      <c r="M1667" s="1" t="str">
        <f>TEXT(Table1[[#This Row],[Order_Date]], "MMM")</f>
        <v>Apr</v>
      </c>
      <c r="N1667" s="1">
        <f>YEAR(Table1[[#This Row],[Order_Date]])</f>
        <v>2024</v>
      </c>
      <c r="O1667" s="7">
        <f>Table1[[#This Row],[Profit]]/Table1[[#This Row],[Total_Sales]]</f>
        <v>0.27441941832495081</v>
      </c>
    </row>
    <row r="1668" spans="1:15" x14ac:dyDescent="0.25">
      <c r="A1668" s="1">
        <v>1667</v>
      </c>
      <c r="B1668" s="2">
        <v>45510</v>
      </c>
      <c r="C1668" s="1" t="s">
        <v>12</v>
      </c>
      <c r="D1668" s="1" t="s">
        <v>13</v>
      </c>
      <c r="E1668" s="1" t="s">
        <v>39</v>
      </c>
      <c r="F1668" s="1" t="s">
        <v>31</v>
      </c>
      <c r="G1668" s="1">
        <v>4</v>
      </c>
      <c r="H1668" s="1">
        <v>149</v>
      </c>
      <c r="I1668" s="1">
        <v>15</v>
      </c>
      <c r="J1668" s="4">
        <v>506.6</v>
      </c>
      <c r="K1668" s="4">
        <v>324.22000000000003</v>
      </c>
      <c r="L1668" s="4">
        <v>182.38</v>
      </c>
      <c r="M1668" s="1" t="str">
        <f>TEXT(Table1[[#This Row],[Order_Date]], "MMM")</f>
        <v>Aug</v>
      </c>
      <c r="N1668" s="1">
        <f>YEAR(Table1[[#This Row],[Order_Date]])</f>
        <v>2024</v>
      </c>
      <c r="O1668" s="7">
        <f>Table1[[#This Row],[Profit]]/Table1[[#This Row],[Total_Sales]]</f>
        <v>0.36000789577575992</v>
      </c>
    </row>
    <row r="1669" spans="1:15" x14ac:dyDescent="0.25">
      <c r="A1669" s="1">
        <v>1668</v>
      </c>
      <c r="B1669" s="2">
        <v>45399</v>
      </c>
      <c r="C1669" s="1" t="s">
        <v>16</v>
      </c>
      <c r="D1669" s="1" t="s">
        <v>22</v>
      </c>
      <c r="E1669" s="1" t="s">
        <v>29</v>
      </c>
      <c r="F1669" s="1" t="s">
        <v>15</v>
      </c>
      <c r="G1669" s="1">
        <v>9</v>
      </c>
      <c r="H1669" s="1">
        <v>252</v>
      </c>
      <c r="I1669" s="1">
        <v>10</v>
      </c>
      <c r="J1669" s="4">
        <v>2041.2</v>
      </c>
      <c r="K1669" s="4">
        <v>1544.24</v>
      </c>
      <c r="L1669" s="4">
        <v>496.96</v>
      </c>
      <c r="M1669" s="1" t="str">
        <f>TEXT(Table1[[#This Row],[Order_Date]], "MMM")</f>
        <v>Apr</v>
      </c>
      <c r="N1669" s="1">
        <f>YEAR(Table1[[#This Row],[Order_Date]])</f>
        <v>2024</v>
      </c>
      <c r="O1669" s="7">
        <f>Table1[[#This Row],[Profit]]/Table1[[#This Row],[Total_Sales]]</f>
        <v>0.24346462864981383</v>
      </c>
    </row>
    <row r="1670" spans="1:15" x14ac:dyDescent="0.25">
      <c r="A1670" s="1">
        <v>1669</v>
      </c>
      <c r="B1670" s="2">
        <v>45112</v>
      </c>
      <c r="C1670" s="1" t="s">
        <v>16</v>
      </c>
      <c r="D1670" s="1" t="s">
        <v>26</v>
      </c>
      <c r="E1670" s="1" t="s">
        <v>46</v>
      </c>
      <c r="F1670" s="1" t="s">
        <v>40</v>
      </c>
      <c r="G1670" s="1">
        <v>10</v>
      </c>
      <c r="H1670" s="1">
        <v>841</v>
      </c>
      <c r="I1670" s="1">
        <v>10</v>
      </c>
      <c r="J1670" s="4">
        <v>7569</v>
      </c>
      <c r="K1670" s="4">
        <v>3939.25</v>
      </c>
      <c r="L1670" s="4">
        <v>3629.75</v>
      </c>
      <c r="M1670" s="1" t="str">
        <f>TEXT(Table1[[#This Row],[Order_Date]], "MMM")</f>
        <v>Jul</v>
      </c>
      <c r="N1670" s="1">
        <f>YEAR(Table1[[#This Row],[Order_Date]])</f>
        <v>2023</v>
      </c>
      <c r="O1670" s="7">
        <f>Table1[[#This Row],[Profit]]/Table1[[#This Row],[Total_Sales]]</f>
        <v>0.47955476284846082</v>
      </c>
    </row>
    <row r="1671" spans="1:15" x14ac:dyDescent="0.25">
      <c r="A1671" s="1">
        <v>1670</v>
      </c>
      <c r="B1671" s="2">
        <v>45623</v>
      </c>
      <c r="C1671" s="1" t="s">
        <v>25</v>
      </c>
      <c r="D1671" s="1" t="s">
        <v>20</v>
      </c>
      <c r="E1671" s="1" t="s">
        <v>30</v>
      </c>
      <c r="F1671" s="1" t="s">
        <v>35</v>
      </c>
      <c r="G1671" s="1">
        <v>3</v>
      </c>
      <c r="H1671" s="1">
        <v>159</v>
      </c>
      <c r="I1671" s="1">
        <v>0</v>
      </c>
      <c r="J1671" s="4">
        <v>477</v>
      </c>
      <c r="K1671" s="4">
        <v>245.14</v>
      </c>
      <c r="L1671" s="4">
        <v>231.86</v>
      </c>
      <c r="M1671" s="1" t="str">
        <f>TEXT(Table1[[#This Row],[Order_Date]], "MMM")</f>
        <v>Nov</v>
      </c>
      <c r="N1671" s="1">
        <f>YEAR(Table1[[#This Row],[Order_Date]])</f>
        <v>2024</v>
      </c>
      <c r="O1671" s="7">
        <f>Table1[[#This Row],[Profit]]/Table1[[#This Row],[Total_Sales]]</f>
        <v>0.48607966457023066</v>
      </c>
    </row>
    <row r="1672" spans="1:15" x14ac:dyDescent="0.25">
      <c r="A1672" s="1">
        <v>1671</v>
      </c>
      <c r="B1672" s="2">
        <v>45442</v>
      </c>
      <c r="C1672" s="1" t="s">
        <v>16</v>
      </c>
      <c r="D1672" s="1" t="s">
        <v>20</v>
      </c>
      <c r="E1672" s="1" t="s">
        <v>28</v>
      </c>
      <c r="F1672" s="1" t="s">
        <v>40</v>
      </c>
      <c r="G1672" s="1">
        <v>6</v>
      </c>
      <c r="H1672" s="1">
        <v>803</v>
      </c>
      <c r="I1672" s="1">
        <v>10</v>
      </c>
      <c r="J1672" s="4">
        <v>4336.2</v>
      </c>
      <c r="K1672" s="4">
        <v>2999.83</v>
      </c>
      <c r="L1672" s="4">
        <v>1336.37</v>
      </c>
      <c r="M1672" s="1" t="str">
        <f>TEXT(Table1[[#This Row],[Order_Date]], "MMM")</f>
        <v>May</v>
      </c>
      <c r="N1672" s="1">
        <f>YEAR(Table1[[#This Row],[Order_Date]])</f>
        <v>2024</v>
      </c>
      <c r="O1672" s="7">
        <f>Table1[[#This Row],[Profit]]/Table1[[#This Row],[Total_Sales]]</f>
        <v>0.30818919791522531</v>
      </c>
    </row>
    <row r="1673" spans="1:15" x14ac:dyDescent="0.25">
      <c r="A1673" s="1">
        <v>1672</v>
      </c>
      <c r="B1673" s="2">
        <v>45480</v>
      </c>
      <c r="C1673" s="1" t="s">
        <v>19</v>
      </c>
      <c r="D1673" s="1" t="s">
        <v>13</v>
      </c>
      <c r="E1673" s="1" t="s">
        <v>14</v>
      </c>
      <c r="F1673" s="1" t="s">
        <v>24</v>
      </c>
      <c r="G1673" s="1">
        <v>10</v>
      </c>
      <c r="H1673" s="1">
        <v>486</v>
      </c>
      <c r="I1673" s="1">
        <v>10</v>
      </c>
      <c r="J1673" s="4">
        <v>4374</v>
      </c>
      <c r="K1673" s="4">
        <v>3087.3</v>
      </c>
      <c r="L1673" s="4">
        <v>1286.7</v>
      </c>
      <c r="M1673" s="1" t="str">
        <f>TEXT(Table1[[#This Row],[Order_Date]], "MMM")</f>
        <v>Jul</v>
      </c>
      <c r="N1673" s="1">
        <f>YEAR(Table1[[#This Row],[Order_Date]])</f>
        <v>2024</v>
      </c>
      <c r="O1673" s="7">
        <f>Table1[[#This Row],[Profit]]/Table1[[#This Row],[Total_Sales]]</f>
        <v>0.29417009602194788</v>
      </c>
    </row>
    <row r="1674" spans="1:15" x14ac:dyDescent="0.25">
      <c r="A1674" s="1">
        <v>1673</v>
      </c>
      <c r="B1674" s="2">
        <v>45142</v>
      </c>
      <c r="C1674" s="1" t="s">
        <v>12</v>
      </c>
      <c r="D1674" s="1" t="s">
        <v>13</v>
      </c>
      <c r="E1674" s="1" t="s">
        <v>38</v>
      </c>
      <c r="F1674" s="1" t="s">
        <v>40</v>
      </c>
      <c r="G1674" s="1">
        <v>9</v>
      </c>
      <c r="H1674" s="1">
        <v>68</v>
      </c>
      <c r="I1674" s="1">
        <v>10</v>
      </c>
      <c r="J1674" s="4">
        <v>550.79999999999995</v>
      </c>
      <c r="K1674" s="4">
        <v>343</v>
      </c>
      <c r="L1674" s="4">
        <v>207.8</v>
      </c>
      <c r="M1674" s="1" t="str">
        <f>TEXT(Table1[[#This Row],[Order_Date]], "MMM")</f>
        <v>Aug</v>
      </c>
      <c r="N1674" s="1">
        <f>YEAR(Table1[[#This Row],[Order_Date]])</f>
        <v>2023</v>
      </c>
      <c r="O1674" s="7">
        <f>Table1[[#This Row],[Profit]]/Table1[[#This Row],[Total_Sales]]</f>
        <v>0.3772694262890342</v>
      </c>
    </row>
    <row r="1675" spans="1:15" x14ac:dyDescent="0.25">
      <c r="A1675" s="1">
        <v>1674</v>
      </c>
      <c r="B1675" s="2">
        <v>45303</v>
      </c>
      <c r="C1675" s="1" t="s">
        <v>12</v>
      </c>
      <c r="D1675" s="1" t="s">
        <v>26</v>
      </c>
      <c r="E1675" s="1" t="s">
        <v>42</v>
      </c>
      <c r="F1675" s="1" t="s">
        <v>35</v>
      </c>
      <c r="G1675" s="1">
        <v>5</v>
      </c>
      <c r="H1675" s="1">
        <v>572</v>
      </c>
      <c r="I1675" s="1">
        <v>10</v>
      </c>
      <c r="J1675" s="4">
        <v>2574</v>
      </c>
      <c r="K1675" s="4">
        <v>1760.17</v>
      </c>
      <c r="L1675" s="4">
        <v>813.83</v>
      </c>
      <c r="M1675" s="1" t="str">
        <f>TEXT(Table1[[#This Row],[Order_Date]], "MMM")</f>
        <v>Jan</v>
      </c>
      <c r="N1675" s="1">
        <f>YEAR(Table1[[#This Row],[Order_Date]])</f>
        <v>2024</v>
      </c>
      <c r="O1675" s="7">
        <f>Table1[[#This Row],[Profit]]/Table1[[#This Row],[Total_Sales]]</f>
        <v>0.31617327117327121</v>
      </c>
    </row>
    <row r="1676" spans="1:15" x14ac:dyDescent="0.25">
      <c r="A1676" s="1">
        <v>1675</v>
      </c>
      <c r="B1676" s="2">
        <v>45500</v>
      </c>
      <c r="C1676" s="1" t="s">
        <v>12</v>
      </c>
      <c r="D1676" s="1" t="s">
        <v>26</v>
      </c>
      <c r="E1676" s="1" t="s">
        <v>46</v>
      </c>
      <c r="F1676" s="1" t="s">
        <v>15</v>
      </c>
      <c r="G1676" s="1">
        <v>9</v>
      </c>
      <c r="H1676" s="1">
        <v>49</v>
      </c>
      <c r="I1676" s="1">
        <v>15</v>
      </c>
      <c r="J1676" s="4">
        <v>374.85</v>
      </c>
      <c r="K1676" s="4">
        <v>271.07</v>
      </c>
      <c r="L1676" s="4">
        <v>103.78</v>
      </c>
      <c r="M1676" s="1" t="str">
        <f>TEXT(Table1[[#This Row],[Order_Date]], "MMM")</f>
        <v>Jul</v>
      </c>
      <c r="N1676" s="1">
        <f>YEAR(Table1[[#This Row],[Order_Date]])</f>
        <v>2024</v>
      </c>
      <c r="O1676" s="7">
        <f>Table1[[#This Row],[Profit]]/Table1[[#This Row],[Total_Sales]]</f>
        <v>0.27685740963051886</v>
      </c>
    </row>
    <row r="1677" spans="1:15" x14ac:dyDescent="0.25">
      <c r="A1677" s="1">
        <v>1676</v>
      </c>
      <c r="B1677" s="2">
        <v>45130</v>
      </c>
      <c r="C1677" s="1" t="s">
        <v>12</v>
      </c>
      <c r="D1677" s="1" t="s">
        <v>20</v>
      </c>
      <c r="E1677" s="1" t="s">
        <v>43</v>
      </c>
      <c r="F1677" s="1" t="s">
        <v>35</v>
      </c>
      <c r="G1677" s="1">
        <v>6</v>
      </c>
      <c r="H1677" s="1">
        <v>137</v>
      </c>
      <c r="I1677" s="1">
        <v>15</v>
      </c>
      <c r="J1677" s="4">
        <v>698.7</v>
      </c>
      <c r="K1677" s="4">
        <v>420.13</v>
      </c>
      <c r="L1677" s="4">
        <v>278.57</v>
      </c>
      <c r="M1677" s="1" t="str">
        <f>TEXT(Table1[[#This Row],[Order_Date]], "MMM")</f>
        <v>Jul</v>
      </c>
      <c r="N1677" s="1">
        <f>YEAR(Table1[[#This Row],[Order_Date]])</f>
        <v>2023</v>
      </c>
      <c r="O1677" s="7">
        <f>Table1[[#This Row],[Profit]]/Table1[[#This Row],[Total_Sales]]</f>
        <v>0.39869758122226989</v>
      </c>
    </row>
    <row r="1678" spans="1:15" x14ac:dyDescent="0.25">
      <c r="A1678" s="1">
        <v>1677</v>
      </c>
      <c r="B1678" s="2">
        <v>45018</v>
      </c>
      <c r="C1678" s="1" t="s">
        <v>19</v>
      </c>
      <c r="D1678" s="1" t="s">
        <v>20</v>
      </c>
      <c r="E1678" s="1" t="s">
        <v>30</v>
      </c>
      <c r="F1678" s="1" t="s">
        <v>40</v>
      </c>
      <c r="G1678" s="1">
        <v>2</v>
      </c>
      <c r="H1678" s="1">
        <v>430</v>
      </c>
      <c r="I1678" s="1">
        <v>0</v>
      </c>
      <c r="J1678" s="4">
        <v>860</v>
      </c>
      <c r="K1678" s="4">
        <v>453.02</v>
      </c>
      <c r="L1678" s="4">
        <v>406.98</v>
      </c>
      <c r="M1678" s="1" t="str">
        <f>TEXT(Table1[[#This Row],[Order_Date]], "MMM")</f>
        <v>Apr</v>
      </c>
      <c r="N1678" s="1">
        <f>YEAR(Table1[[#This Row],[Order_Date]])</f>
        <v>2023</v>
      </c>
      <c r="O1678" s="7">
        <f>Table1[[#This Row],[Profit]]/Table1[[#This Row],[Total_Sales]]</f>
        <v>0.47323255813953491</v>
      </c>
    </row>
    <row r="1679" spans="1:15" x14ac:dyDescent="0.25">
      <c r="A1679" s="1">
        <v>1678</v>
      </c>
      <c r="B1679" s="2">
        <v>45614</v>
      </c>
      <c r="C1679" s="1" t="s">
        <v>19</v>
      </c>
      <c r="D1679" s="1" t="s">
        <v>22</v>
      </c>
      <c r="E1679" s="1" t="s">
        <v>23</v>
      </c>
      <c r="F1679" s="1" t="s">
        <v>15</v>
      </c>
      <c r="G1679" s="1">
        <v>1</v>
      </c>
      <c r="H1679" s="1">
        <v>931</v>
      </c>
      <c r="I1679" s="1">
        <v>20</v>
      </c>
      <c r="J1679" s="4">
        <v>744.8</v>
      </c>
      <c r="K1679" s="4">
        <v>502.16</v>
      </c>
      <c r="L1679" s="4">
        <v>242.64</v>
      </c>
      <c r="M1679" s="1" t="str">
        <f>TEXT(Table1[[#This Row],[Order_Date]], "MMM")</f>
        <v>Nov</v>
      </c>
      <c r="N1679" s="1">
        <f>YEAR(Table1[[#This Row],[Order_Date]])</f>
        <v>2024</v>
      </c>
      <c r="O1679" s="7">
        <f>Table1[[#This Row],[Profit]]/Table1[[#This Row],[Total_Sales]]</f>
        <v>0.32577873254564982</v>
      </c>
    </row>
    <row r="1680" spans="1:15" x14ac:dyDescent="0.25">
      <c r="A1680" s="1">
        <v>1679</v>
      </c>
      <c r="B1680" s="2">
        <v>44936</v>
      </c>
      <c r="C1680" s="1" t="s">
        <v>25</v>
      </c>
      <c r="D1680" s="1" t="s">
        <v>20</v>
      </c>
      <c r="E1680" s="1" t="s">
        <v>43</v>
      </c>
      <c r="F1680" s="1" t="s">
        <v>35</v>
      </c>
      <c r="G1680" s="1">
        <v>7</v>
      </c>
      <c r="H1680" s="1">
        <v>659</v>
      </c>
      <c r="I1680" s="1">
        <v>10</v>
      </c>
      <c r="J1680" s="4">
        <v>4151.7</v>
      </c>
      <c r="K1680" s="4">
        <v>2438.85</v>
      </c>
      <c r="L1680" s="4">
        <v>1712.85</v>
      </c>
      <c r="M1680" s="1" t="str">
        <f>TEXT(Table1[[#This Row],[Order_Date]], "MMM")</f>
        <v>Jan</v>
      </c>
      <c r="N1680" s="1">
        <f>YEAR(Table1[[#This Row],[Order_Date]])</f>
        <v>2023</v>
      </c>
      <c r="O1680" s="7">
        <f>Table1[[#This Row],[Profit]]/Table1[[#This Row],[Total_Sales]]</f>
        <v>0.41256593684514775</v>
      </c>
    </row>
    <row r="1681" spans="1:15" x14ac:dyDescent="0.25">
      <c r="A1681" s="1">
        <v>1680</v>
      </c>
      <c r="B1681" s="2">
        <v>45017</v>
      </c>
      <c r="C1681" s="1" t="s">
        <v>25</v>
      </c>
      <c r="D1681" s="1" t="s">
        <v>13</v>
      </c>
      <c r="E1681" s="1" t="s">
        <v>17</v>
      </c>
      <c r="F1681" s="1" t="s">
        <v>31</v>
      </c>
      <c r="G1681" s="1">
        <v>9</v>
      </c>
      <c r="H1681" s="1">
        <v>181</v>
      </c>
      <c r="I1681" s="1">
        <v>15</v>
      </c>
      <c r="J1681" s="4">
        <v>1384.65</v>
      </c>
      <c r="K1681" s="4">
        <v>1031.3599999999999</v>
      </c>
      <c r="L1681" s="4">
        <v>353.29</v>
      </c>
      <c r="M1681" s="1" t="str">
        <f>TEXT(Table1[[#This Row],[Order_Date]], "MMM")</f>
        <v>Apr</v>
      </c>
      <c r="N1681" s="1">
        <f>YEAR(Table1[[#This Row],[Order_Date]])</f>
        <v>2023</v>
      </c>
      <c r="O1681" s="7">
        <f>Table1[[#This Row],[Profit]]/Table1[[#This Row],[Total_Sales]]</f>
        <v>0.25514751020113385</v>
      </c>
    </row>
    <row r="1682" spans="1:15" x14ac:dyDescent="0.25">
      <c r="A1682" s="1">
        <v>1681</v>
      </c>
      <c r="B1682" s="2">
        <v>45346</v>
      </c>
      <c r="C1682" s="1" t="s">
        <v>12</v>
      </c>
      <c r="D1682" s="1" t="s">
        <v>26</v>
      </c>
      <c r="E1682" s="1" t="s">
        <v>37</v>
      </c>
      <c r="F1682" s="1" t="s">
        <v>18</v>
      </c>
      <c r="G1682" s="1">
        <v>7</v>
      </c>
      <c r="H1682" s="1">
        <v>633</v>
      </c>
      <c r="I1682" s="1">
        <v>0</v>
      </c>
      <c r="J1682" s="4">
        <v>4431</v>
      </c>
      <c r="K1682" s="4">
        <v>2954.94</v>
      </c>
      <c r="L1682" s="4">
        <v>1476.06</v>
      </c>
      <c r="M1682" s="1" t="str">
        <f>TEXT(Table1[[#This Row],[Order_Date]], "MMM")</f>
        <v>Feb</v>
      </c>
      <c r="N1682" s="1">
        <f>YEAR(Table1[[#This Row],[Order_Date]])</f>
        <v>2024</v>
      </c>
      <c r="O1682" s="7">
        <f>Table1[[#This Row],[Profit]]/Table1[[#This Row],[Total_Sales]]</f>
        <v>0.33312119160460391</v>
      </c>
    </row>
    <row r="1683" spans="1:15" x14ac:dyDescent="0.25">
      <c r="A1683" s="1">
        <v>1682</v>
      </c>
      <c r="B1683" s="2">
        <v>45357</v>
      </c>
      <c r="C1683" s="1" t="s">
        <v>16</v>
      </c>
      <c r="D1683" s="1" t="s">
        <v>13</v>
      </c>
      <c r="E1683" s="1" t="s">
        <v>38</v>
      </c>
      <c r="F1683" s="1" t="s">
        <v>18</v>
      </c>
      <c r="G1683" s="1">
        <v>1</v>
      </c>
      <c r="H1683" s="1">
        <v>592</v>
      </c>
      <c r="I1683" s="1">
        <v>15</v>
      </c>
      <c r="J1683" s="4">
        <v>503.2</v>
      </c>
      <c r="K1683" s="4">
        <v>347.91</v>
      </c>
      <c r="L1683" s="4">
        <v>155.29</v>
      </c>
      <c r="M1683" s="1" t="str">
        <f>TEXT(Table1[[#This Row],[Order_Date]], "MMM")</f>
        <v>Mar</v>
      </c>
      <c r="N1683" s="1">
        <f>YEAR(Table1[[#This Row],[Order_Date]])</f>
        <v>2024</v>
      </c>
      <c r="O1683" s="7">
        <f>Table1[[#This Row],[Profit]]/Table1[[#This Row],[Total_Sales]]</f>
        <v>0.30860492845786963</v>
      </c>
    </row>
    <row r="1684" spans="1:15" x14ac:dyDescent="0.25">
      <c r="A1684" s="1">
        <v>1683</v>
      </c>
      <c r="B1684" s="2">
        <v>45026</v>
      </c>
      <c r="C1684" s="1" t="s">
        <v>16</v>
      </c>
      <c r="D1684" s="1" t="s">
        <v>20</v>
      </c>
      <c r="E1684" s="1" t="s">
        <v>28</v>
      </c>
      <c r="F1684" s="1" t="s">
        <v>31</v>
      </c>
      <c r="G1684" s="1">
        <v>6</v>
      </c>
      <c r="H1684" s="1">
        <v>52</v>
      </c>
      <c r="I1684" s="1">
        <v>5</v>
      </c>
      <c r="J1684" s="4">
        <v>296.39999999999998</v>
      </c>
      <c r="K1684" s="4">
        <v>182.84</v>
      </c>
      <c r="L1684" s="4">
        <v>113.56</v>
      </c>
      <c r="M1684" s="1" t="str">
        <f>TEXT(Table1[[#This Row],[Order_Date]], "MMM")</f>
        <v>Apr</v>
      </c>
      <c r="N1684" s="1">
        <f>YEAR(Table1[[#This Row],[Order_Date]])</f>
        <v>2023</v>
      </c>
      <c r="O1684" s="7">
        <f>Table1[[#This Row],[Profit]]/Table1[[#This Row],[Total_Sales]]</f>
        <v>0.38313090418353579</v>
      </c>
    </row>
    <row r="1685" spans="1:15" x14ac:dyDescent="0.25">
      <c r="A1685" s="1">
        <v>1684</v>
      </c>
      <c r="B1685" s="2">
        <v>45511</v>
      </c>
      <c r="C1685" s="1" t="s">
        <v>16</v>
      </c>
      <c r="D1685" s="1" t="s">
        <v>13</v>
      </c>
      <c r="E1685" s="1" t="s">
        <v>14</v>
      </c>
      <c r="F1685" s="1" t="s">
        <v>31</v>
      </c>
      <c r="G1685" s="1">
        <v>9</v>
      </c>
      <c r="H1685" s="1">
        <v>951</v>
      </c>
      <c r="I1685" s="1">
        <v>5</v>
      </c>
      <c r="J1685" s="4">
        <v>8131.05</v>
      </c>
      <c r="K1685" s="4">
        <v>5040.58</v>
      </c>
      <c r="L1685" s="4">
        <v>3090.47</v>
      </c>
      <c r="M1685" s="1" t="str">
        <f>TEXT(Table1[[#This Row],[Order_Date]], "MMM")</f>
        <v>Aug</v>
      </c>
      <c r="N1685" s="1">
        <f>YEAR(Table1[[#This Row],[Order_Date]])</f>
        <v>2024</v>
      </c>
      <c r="O1685" s="7">
        <f>Table1[[#This Row],[Profit]]/Table1[[#This Row],[Total_Sales]]</f>
        <v>0.38008252316736457</v>
      </c>
    </row>
    <row r="1686" spans="1:15" x14ac:dyDescent="0.25">
      <c r="A1686" s="1">
        <v>1685</v>
      </c>
      <c r="B1686" s="2">
        <v>45590</v>
      </c>
      <c r="C1686" s="1" t="s">
        <v>16</v>
      </c>
      <c r="D1686" s="1" t="s">
        <v>32</v>
      </c>
      <c r="E1686" s="1" t="s">
        <v>34</v>
      </c>
      <c r="F1686" s="1" t="s">
        <v>18</v>
      </c>
      <c r="G1686" s="1">
        <v>4</v>
      </c>
      <c r="H1686" s="1">
        <v>170</v>
      </c>
      <c r="I1686" s="1">
        <v>0</v>
      </c>
      <c r="J1686" s="4">
        <v>680</v>
      </c>
      <c r="K1686" s="4">
        <v>439.26</v>
      </c>
      <c r="L1686" s="4">
        <v>240.74</v>
      </c>
      <c r="M1686" s="1" t="str">
        <f>TEXT(Table1[[#This Row],[Order_Date]], "MMM")</f>
        <v>Oct</v>
      </c>
      <c r="N1686" s="1">
        <f>YEAR(Table1[[#This Row],[Order_Date]])</f>
        <v>2024</v>
      </c>
      <c r="O1686" s="7">
        <f>Table1[[#This Row],[Profit]]/Table1[[#This Row],[Total_Sales]]</f>
        <v>0.35402941176470587</v>
      </c>
    </row>
    <row r="1687" spans="1:15" x14ac:dyDescent="0.25">
      <c r="A1687" s="1">
        <v>1686</v>
      </c>
      <c r="B1687" s="2">
        <v>45354</v>
      </c>
      <c r="C1687" s="1" t="s">
        <v>19</v>
      </c>
      <c r="D1687" s="1" t="s">
        <v>22</v>
      </c>
      <c r="E1687" s="1" t="s">
        <v>23</v>
      </c>
      <c r="F1687" s="1" t="s">
        <v>18</v>
      </c>
      <c r="G1687" s="1">
        <v>5</v>
      </c>
      <c r="H1687" s="1">
        <v>501</v>
      </c>
      <c r="I1687" s="1">
        <v>0</v>
      </c>
      <c r="J1687" s="4">
        <v>2505</v>
      </c>
      <c r="K1687" s="4">
        <v>1419.08</v>
      </c>
      <c r="L1687" s="4">
        <v>1085.92</v>
      </c>
      <c r="M1687" s="1" t="str">
        <f>TEXT(Table1[[#This Row],[Order_Date]], "MMM")</f>
        <v>Mar</v>
      </c>
      <c r="N1687" s="1">
        <f>YEAR(Table1[[#This Row],[Order_Date]])</f>
        <v>2024</v>
      </c>
      <c r="O1687" s="7">
        <f>Table1[[#This Row],[Profit]]/Table1[[#This Row],[Total_Sales]]</f>
        <v>0.43350099800399206</v>
      </c>
    </row>
    <row r="1688" spans="1:15" x14ac:dyDescent="0.25">
      <c r="A1688" s="1">
        <v>1687</v>
      </c>
      <c r="B1688" s="2">
        <v>45212</v>
      </c>
      <c r="C1688" s="1" t="s">
        <v>16</v>
      </c>
      <c r="D1688" s="1" t="s">
        <v>26</v>
      </c>
      <c r="E1688" s="1" t="s">
        <v>27</v>
      </c>
      <c r="F1688" s="1" t="s">
        <v>15</v>
      </c>
      <c r="G1688" s="1">
        <v>7</v>
      </c>
      <c r="H1688" s="1">
        <v>321</v>
      </c>
      <c r="I1688" s="1">
        <v>5</v>
      </c>
      <c r="J1688" s="4">
        <v>2134.65</v>
      </c>
      <c r="K1688" s="4">
        <v>1259.4100000000001</v>
      </c>
      <c r="L1688" s="4">
        <v>875.24</v>
      </c>
      <c r="M1688" s="1" t="str">
        <f>TEXT(Table1[[#This Row],[Order_Date]], "MMM")</f>
        <v>Oct</v>
      </c>
      <c r="N1688" s="1">
        <f>YEAR(Table1[[#This Row],[Order_Date]])</f>
        <v>2023</v>
      </c>
      <c r="O1688" s="7">
        <f>Table1[[#This Row],[Profit]]/Table1[[#This Row],[Total_Sales]]</f>
        <v>0.41001569343920546</v>
      </c>
    </row>
    <row r="1689" spans="1:15" x14ac:dyDescent="0.25">
      <c r="A1689" s="1">
        <v>1688</v>
      </c>
      <c r="B1689" s="2">
        <v>44968</v>
      </c>
      <c r="C1689" s="1" t="s">
        <v>16</v>
      </c>
      <c r="D1689" s="1" t="s">
        <v>13</v>
      </c>
      <c r="E1689" s="1" t="s">
        <v>17</v>
      </c>
      <c r="F1689" s="1" t="s">
        <v>15</v>
      </c>
      <c r="G1689" s="1">
        <v>6</v>
      </c>
      <c r="H1689" s="1">
        <v>760</v>
      </c>
      <c r="I1689" s="1">
        <v>20</v>
      </c>
      <c r="J1689" s="4">
        <v>3648</v>
      </c>
      <c r="K1689" s="4">
        <v>2617.14</v>
      </c>
      <c r="L1689" s="4">
        <v>1030.8599999999999</v>
      </c>
      <c r="M1689" s="1" t="str">
        <f>TEXT(Table1[[#This Row],[Order_Date]], "MMM")</f>
        <v>Feb</v>
      </c>
      <c r="N1689" s="1">
        <f>YEAR(Table1[[#This Row],[Order_Date]])</f>
        <v>2023</v>
      </c>
      <c r="O1689" s="7">
        <f>Table1[[#This Row],[Profit]]/Table1[[#This Row],[Total_Sales]]</f>
        <v>0.28258223684210526</v>
      </c>
    </row>
    <row r="1690" spans="1:15" x14ac:dyDescent="0.25">
      <c r="A1690" s="1">
        <v>1689</v>
      </c>
      <c r="B1690" s="2">
        <v>45488</v>
      </c>
      <c r="C1690" s="1" t="s">
        <v>16</v>
      </c>
      <c r="D1690" s="1" t="s">
        <v>20</v>
      </c>
      <c r="E1690" s="1" t="s">
        <v>28</v>
      </c>
      <c r="F1690" s="1" t="s">
        <v>31</v>
      </c>
      <c r="G1690" s="1">
        <v>2</v>
      </c>
      <c r="H1690" s="1">
        <v>304</v>
      </c>
      <c r="I1690" s="1">
        <v>0</v>
      </c>
      <c r="J1690" s="4">
        <v>608</v>
      </c>
      <c r="K1690" s="4">
        <v>434.35</v>
      </c>
      <c r="L1690" s="4">
        <v>173.65</v>
      </c>
      <c r="M1690" s="1" t="str">
        <f>TEXT(Table1[[#This Row],[Order_Date]], "MMM")</f>
        <v>Jul</v>
      </c>
      <c r="N1690" s="1">
        <f>YEAR(Table1[[#This Row],[Order_Date]])</f>
        <v>2024</v>
      </c>
      <c r="O1690" s="7">
        <f>Table1[[#This Row],[Profit]]/Table1[[#This Row],[Total_Sales]]</f>
        <v>0.28560855263157897</v>
      </c>
    </row>
    <row r="1691" spans="1:15" x14ac:dyDescent="0.25">
      <c r="A1691" s="1">
        <v>1690</v>
      </c>
      <c r="B1691" s="2">
        <v>45374</v>
      </c>
      <c r="C1691" s="1" t="s">
        <v>12</v>
      </c>
      <c r="D1691" s="1" t="s">
        <v>22</v>
      </c>
      <c r="E1691" s="1" t="s">
        <v>44</v>
      </c>
      <c r="F1691" s="1" t="s">
        <v>15</v>
      </c>
      <c r="G1691" s="1">
        <v>1</v>
      </c>
      <c r="H1691" s="1">
        <v>455</v>
      </c>
      <c r="I1691" s="1">
        <v>5</v>
      </c>
      <c r="J1691" s="4">
        <v>432.25</v>
      </c>
      <c r="K1691" s="4">
        <v>274.04000000000002</v>
      </c>
      <c r="L1691" s="4">
        <v>158.21</v>
      </c>
      <c r="M1691" s="1" t="str">
        <f>TEXT(Table1[[#This Row],[Order_Date]], "MMM")</f>
        <v>Mar</v>
      </c>
      <c r="N1691" s="1">
        <f>YEAR(Table1[[#This Row],[Order_Date]])</f>
        <v>2024</v>
      </c>
      <c r="O1691" s="7">
        <f>Table1[[#This Row],[Profit]]/Table1[[#This Row],[Total_Sales]]</f>
        <v>0.36601503759398496</v>
      </c>
    </row>
    <row r="1692" spans="1:15" x14ac:dyDescent="0.25">
      <c r="A1692" s="1">
        <v>1691</v>
      </c>
      <c r="B1692" s="2">
        <v>45169</v>
      </c>
      <c r="C1692" s="1" t="s">
        <v>12</v>
      </c>
      <c r="D1692" s="1" t="s">
        <v>26</v>
      </c>
      <c r="E1692" s="1" t="s">
        <v>27</v>
      </c>
      <c r="F1692" s="1" t="s">
        <v>18</v>
      </c>
      <c r="G1692" s="1">
        <v>7</v>
      </c>
      <c r="H1692" s="1">
        <v>790</v>
      </c>
      <c r="I1692" s="1">
        <v>10</v>
      </c>
      <c r="J1692" s="4">
        <v>4977</v>
      </c>
      <c r="K1692" s="4">
        <v>2882.34</v>
      </c>
      <c r="L1692" s="4">
        <v>2094.66</v>
      </c>
      <c r="M1692" s="1" t="str">
        <f>TEXT(Table1[[#This Row],[Order_Date]], "MMM")</f>
        <v>Aug</v>
      </c>
      <c r="N1692" s="1">
        <f>YEAR(Table1[[#This Row],[Order_Date]])</f>
        <v>2023</v>
      </c>
      <c r="O1692" s="7">
        <f>Table1[[#This Row],[Profit]]/Table1[[#This Row],[Total_Sales]]</f>
        <v>0.42086799276672693</v>
      </c>
    </row>
    <row r="1693" spans="1:15" x14ac:dyDescent="0.25">
      <c r="A1693" s="1">
        <v>1692</v>
      </c>
      <c r="B1693" s="2">
        <v>45626</v>
      </c>
      <c r="C1693" s="1" t="s">
        <v>25</v>
      </c>
      <c r="D1693" s="1" t="s">
        <v>20</v>
      </c>
      <c r="E1693" s="1" t="s">
        <v>28</v>
      </c>
      <c r="F1693" s="1" t="s">
        <v>31</v>
      </c>
      <c r="G1693" s="1">
        <v>4</v>
      </c>
      <c r="H1693" s="1">
        <v>228</v>
      </c>
      <c r="I1693" s="1">
        <v>10</v>
      </c>
      <c r="J1693" s="4">
        <v>820.8</v>
      </c>
      <c r="K1693" s="4">
        <v>483.88</v>
      </c>
      <c r="L1693" s="4">
        <v>336.92</v>
      </c>
      <c r="M1693" s="1" t="str">
        <f>TEXT(Table1[[#This Row],[Order_Date]], "MMM")</f>
        <v>Nov</v>
      </c>
      <c r="N1693" s="1">
        <f>YEAR(Table1[[#This Row],[Order_Date]])</f>
        <v>2024</v>
      </c>
      <c r="O1693" s="7">
        <f>Table1[[#This Row],[Profit]]/Table1[[#This Row],[Total_Sales]]</f>
        <v>0.41047758284600394</v>
      </c>
    </row>
    <row r="1694" spans="1:15" x14ac:dyDescent="0.25">
      <c r="A1694" s="1">
        <v>1693</v>
      </c>
      <c r="B1694" s="2">
        <v>45639</v>
      </c>
      <c r="C1694" s="1" t="s">
        <v>25</v>
      </c>
      <c r="D1694" s="1" t="s">
        <v>26</v>
      </c>
      <c r="E1694" s="1" t="s">
        <v>37</v>
      </c>
      <c r="F1694" s="1" t="s">
        <v>15</v>
      </c>
      <c r="G1694" s="1">
        <v>6</v>
      </c>
      <c r="H1694" s="1">
        <v>34</v>
      </c>
      <c r="I1694" s="1">
        <v>5</v>
      </c>
      <c r="J1694" s="4">
        <v>193.8</v>
      </c>
      <c r="K1694" s="4">
        <v>121.87</v>
      </c>
      <c r="L1694" s="4">
        <v>71.930000000000007</v>
      </c>
      <c r="M1694" s="1" t="str">
        <f>TEXT(Table1[[#This Row],[Order_Date]], "MMM")</f>
        <v>Dec</v>
      </c>
      <c r="N1694" s="1">
        <f>YEAR(Table1[[#This Row],[Order_Date]])</f>
        <v>2024</v>
      </c>
      <c r="O1694" s="7">
        <f>Table1[[#This Row],[Profit]]/Table1[[#This Row],[Total_Sales]]</f>
        <v>0.37115583075335401</v>
      </c>
    </row>
    <row r="1695" spans="1:15" x14ac:dyDescent="0.25">
      <c r="A1695" s="1">
        <v>1694</v>
      </c>
      <c r="B1695" s="2">
        <v>45473</v>
      </c>
      <c r="C1695" s="1" t="s">
        <v>25</v>
      </c>
      <c r="D1695" s="1" t="s">
        <v>32</v>
      </c>
      <c r="E1695" s="1" t="s">
        <v>45</v>
      </c>
      <c r="F1695" s="1" t="s">
        <v>24</v>
      </c>
      <c r="G1695" s="1">
        <v>8</v>
      </c>
      <c r="H1695" s="1">
        <v>214</v>
      </c>
      <c r="I1695" s="1">
        <v>15</v>
      </c>
      <c r="J1695" s="4">
        <v>1455.2</v>
      </c>
      <c r="K1695" s="4">
        <v>808.45</v>
      </c>
      <c r="L1695" s="4">
        <v>646.75</v>
      </c>
      <c r="M1695" s="1" t="str">
        <f>TEXT(Table1[[#This Row],[Order_Date]], "MMM")</f>
        <v>Jun</v>
      </c>
      <c r="N1695" s="1">
        <f>YEAR(Table1[[#This Row],[Order_Date]])</f>
        <v>2024</v>
      </c>
      <c r="O1695" s="7">
        <f>Table1[[#This Row],[Profit]]/Table1[[#This Row],[Total_Sales]]</f>
        <v>0.44444062671797691</v>
      </c>
    </row>
    <row r="1696" spans="1:15" x14ac:dyDescent="0.25">
      <c r="A1696" s="1">
        <v>1695</v>
      </c>
      <c r="B1696" s="2">
        <v>45030</v>
      </c>
      <c r="C1696" s="1" t="s">
        <v>12</v>
      </c>
      <c r="D1696" s="1" t="s">
        <v>22</v>
      </c>
      <c r="E1696" s="1" t="s">
        <v>36</v>
      </c>
      <c r="F1696" s="1" t="s">
        <v>18</v>
      </c>
      <c r="G1696" s="1">
        <v>9</v>
      </c>
      <c r="H1696" s="1">
        <v>944</v>
      </c>
      <c r="I1696" s="1">
        <v>10</v>
      </c>
      <c r="J1696" s="4">
        <v>7646.4</v>
      </c>
      <c r="K1696" s="4">
        <v>5424.43</v>
      </c>
      <c r="L1696" s="4">
        <v>2221.9699999999998</v>
      </c>
      <c r="M1696" s="1" t="str">
        <f>TEXT(Table1[[#This Row],[Order_Date]], "MMM")</f>
        <v>Apr</v>
      </c>
      <c r="N1696" s="1">
        <f>YEAR(Table1[[#This Row],[Order_Date]])</f>
        <v>2023</v>
      </c>
      <c r="O1696" s="7">
        <f>Table1[[#This Row],[Profit]]/Table1[[#This Row],[Total_Sales]]</f>
        <v>0.29059034316802679</v>
      </c>
    </row>
    <row r="1697" spans="1:15" x14ac:dyDescent="0.25">
      <c r="A1697" s="1">
        <v>1696</v>
      </c>
      <c r="B1697" s="2">
        <v>45519</v>
      </c>
      <c r="C1697" s="1" t="s">
        <v>19</v>
      </c>
      <c r="D1697" s="1" t="s">
        <v>20</v>
      </c>
      <c r="E1697" s="1" t="s">
        <v>28</v>
      </c>
      <c r="F1697" s="1" t="s">
        <v>18</v>
      </c>
      <c r="G1697" s="1">
        <v>9</v>
      </c>
      <c r="H1697" s="1">
        <v>659</v>
      </c>
      <c r="I1697" s="1">
        <v>10</v>
      </c>
      <c r="J1697" s="4">
        <v>5337.9</v>
      </c>
      <c r="K1697" s="4">
        <v>2719.49</v>
      </c>
      <c r="L1697" s="4">
        <v>2618.41</v>
      </c>
      <c r="M1697" s="1" t="str">
        <f>TEXT(Table1[[#This Row],[Order_Date]], "MMM")</f>
        <v>Aug</v>
      </c>
      <c r="N1697" s="1">
        <f>YEAR(Table1[[#This Row],[Order_Date]])</f>
        <v>2024</v>
      </c>
      <c r="O1697" s="7">
        <f>Table1[[#This Row],[Profit]]/Table1[[#This Row],[Total_Sales]]</f>
        <v>0.49053185709736041</v>
      </c>
    </row>
    <row r="1698" spans="1:15" x14ac:dyDescent="0.25">
      <c r="A1698" s="1">
        <v>1697</v>
      </c>
      <c r="B1698" s="2">
        <v>45008</v>
      </c>
      <c r="C1698" s="1" t="s">
        <v>12</v>
      </c>
      <c r="D1698" s="1" t="s">
        <v>26</v>
      </c>
      <c r="E1698" s="1" t="s">
        <v>42</v>
      </c>
      <c r="F1698" s="1" t="s">
        <v>31</v>
      </c>
      <c r="G1698" s="1">
        <v>1</v>
      </c>
      <c r="H1698" s="1">
        <v>536</v>
      </c>
      <c r="I1698" s="1">
        <v>20</v>
      </c>
      <c r="J1698" s="4">
        <v>428.8</v>
      </c>
      <c r="K1698" s="4">
        <v>229.82</v>
      </c>
      <c r="L1698" s="4">
        <v>198.98</v>
      </c>
      <c r="M1698" s="1" t="str">
        <f>TEXT(Table1[[#This Row],[Order_Date]], "MMM")</f>
        <v>Mar</v>
      </c>
      <c r="N1698" s="1">
        <f>YEAR(Table1[[#This Row],[Order_Date]])</f>
        <v>2023</v>
      </c>
      <c r="O1698" s="7">
        <f>Table1[[#This Row],[Profit]]/Table1[[#This Row],[Total_Sales]]</f>
        <v>0.46403917910447756</v>
      </c>
    </row>
    <row r="1699" spans="1:15" x14ac:dyDescent="0.25">
      <c r="A1699" s="1">
        <v>1698</v>
      </c>
      <c r="B1699" s="2">
        <v>45531</v>
      </c>
      <c r="C1699" s="1" t="s">
        <v>12</v>
      </c>
      <c r="D1699" s="1" t="s">
        <v>13</v>
      </c>
      <c r="E1699" s="1" t="s">
        <v>39</v>
      </c>
      <c r="F1699" s="1" t="s">
        <v>18</v>
      </c>
      <c r="G1699" s="1">
        <v>10</v>
      </c>
      <c r="H1699" s="1">
        <v>976</v>
      </c>
      <c r="I1699" s="1">
        <v>5</v>
      </c>
      <c r="J1699" s="4">
        <v>9272</v>
      </c>
      <c r="K1699" s="4">
        <v>6369.27</v>
      </c>
      <c r="L1699" s="4">
        <v>2902.73</v>
      </c>
      <c r="M1699" s="1" t="str">
        <f>TEXT(Table1[[#This Row],[Order_Date]], "MMM")</f>
        <v>Aug</v>
      </c>
      <c r="N1699" s="1">
        <f>YEAR(Table1[[#This Row],[Order_Date]])</f>
        <v>2024</v>
      </c>
      <c r="O1699" s="7">
        <f>Table1[[#This Row],[Profit]]/Table1[[#This Row],[Total_Sales]]</f>
        <v>0.31306406384814495</v>
      </c>
    </row>
    <row r="1700" spans="1:15" x14ac:dyDescent="0.25">
      <c r="A1700" s="1">
        <v>1699</v>
      </c>
      <c r="B1700" s="2">
        <v>45005</v>
      </c>
      <c r="C1700" s="1" t="s">
        <v>12</v>
      </c>
      <c r="D1700" s="1" t="s">
        <v>13</v>
      </c>
      <c r="E1700" s="1" t="s">
        <v>17</v>
      </c>
      <c r="F1700" s="1" t="s">
        <v>15</v>
      </c>
      <c r="G1700" s="1">
        <v>9</v>
      </c>
      <c r="H1700" s="1">
        <v>141</v>
      </c>
      <c r="I1700" s="1">
        <v>20</v>
      </c>
      <c r="J1700" s="4">
        <v>1015.2</v>
      </c>
      <c r="K1700" s="4">
        <v>755.4</v>
      </c>
      <c r="L1700" s="4">
        <v>259.8</v>
      </c>
      <c r="M1700" s="1" t="str">
        <f>TEXT(Table1[[#This Row],[Order_Date]], "MMM")</f>
        <v>Mar</v>
      </c>
      <c r="N1700" s="1">
        <f>YEAR(Table1[[#This Row],[Order_Date]])</f>
        <v>2023</v>
      </c>
      <c r="O1700" s="7">
        <f>Table1[[#This Row],[Profit]]/Table1[[#This Row],[Total_Sales]]</f>
        <v>0.25591016548463358</v>
      </c>
    </row>
    <row r="1701" spans="1:15" x14ac:dyDescent="0.25">
      <c r="A1701" s="1">
        <v>1700</v>
      </c>
      <c r="B1701" s="2">
        <v>45255</v>
      </c>
      <c r="C1701" s="1" t="s">
        <v>12</v>
      </c>
      <c r="D1701" s="1" t="s">
        <v>32</v>
      </c>
      <c r="E1701" s="1" t="s">
        <v>41</v>
      </c>
      <c r="F1701" s="1" t="s">
        <v>24</v>
      </c>
      <c r="G1701" s="1">
        <v>8</v>
      </c>
      <c r="H1701" s="1">
        <v>274</v>
      </c>
      <c r="I1701" s="1">
        <v>15</v>
      </c>
      <c r="J1701" s="4">
        <v>1863.2</v>
      </c>
      <c r="K1701" s="4">
        <v>1346.68</v>
      </c>
      <c r="L1701" s="4">
        <v>516.52</v>
      </c>
      <c r="M1701" s="1" t="str">
        <f>TEXT(Table1[[#This Row],[Order_Date]], "MMM")</f>
        <v>Nov</v>
      </c>
      <c r="N1701" s="1">
        <f>YEAR(Table1[[#This Row],[Order_Date]])</f>
        <v>2023</v>
      </c>
      <c r="O1701" s="7">
        <f>Table1[[#This Row],[Profit]]/Table1[[#This Row],[Total_Sales]]</f>
        <v>0.27722198368398454</v>
      </c>
    </row>
    <row r="1702" spans="1:15" x14ac:dyDescent="0.25">
      <c r="A1702" s="1">
        <v>1701</v>
      </c>
      <c r="B1702" s="2">
        <v>45019</v>
      </c>
      <c r="C1702" s="1" t="s">
        <v>19</v>
      </c>
      <c r="D1702" s="1" t="s">
        <v>20</v>
      </c>
      <c r="E1702" s="1" t="s">
        <v>21</v>
      </c>
      <c r="F1702" s="1" t="s">
        <v>31</v>
      </c>
      <c r="G1702" s="1">
        <v>2</v>
      </c>
      <c r="H1702" s="1">
        <v>663</v>
      </c>
      <c r="I1702" s="1">
        <v>0</v>
      </c>
      <c r="J1702" s="4">
        <v>1326</v>
      </c>
      <c r="K1702" s="4">
        <v>1011.77</v>
      </c>
      <c r="L1702" s="4">
        <v>314.23</v>
      </c>
      <c r="M1702" s="1" t="str">
        <f>TEXT(Table1[[#This Row],[Order_Date]], "MMM")</f>
        <v>Apr</v>
      </c>
      <c r="N1702" s="1">
        <f>YEAR(Table1[[#This Row],[Order_Date]])</f>
        <v>2023</v>
      </c>
      <c r="O1702" s="7">
        <f>Table1[[#This Row],[Profit]]/Table1[[#This Row],[Total_Sales]]</f>
        <v>0.23697586726998493</v>
      </c>
    </row>
    <row r="1703" spans="1:15" x14ac:dyDescent="0.25">
      <c r="A1703" s="1">
        <v>1702</v>
      </c>
      <c r="B1703" s="2">
        <v>45041</v>
      </c>
      <c r="C1703" s="1" t="s">
        <v>12</v>
      </c>
      <c r="D1703" s="1" t="s">
        <v>32</v>
      </c>
      <c r="E1703" s="1" t="s">
        <v>34</v>
      </c>
      <c r="F1703" s="1" t="s">
        <v>31</v>
      </c>
      <c r="G1703" s="1">
        <v>6</v>
      </c>
      <c r="H1703" s="1">
        <v>544</v>
      </c>
      <c r="I1703" s="1">
        <v>20</v>
      </c>
      <c r="J1703" s="4">
        <v>2611.1999999999998</v>
      </c>
      <c r="K1703" s="4">
        <v>1780.34</v>
      </c>
      <c r="L1703" s="4">
        <v>830.86</v>
      </c>
      <c r="M1703" s="1" t="str">
        <f>TEXT(Table1[[#This Row],[Order_Date]], "MMM")</f>
        <v>Apr</v>
      </c>
      <c r="N1703" s="1">
        <f>YEAR(Table1[[#This Row],[Order_Date]])</f>
        <v>2023</v>
      </c>
      <c r="O1703" s="7">
        <f>Table1[[#This Row],[Profit]]/Table1[[#This Row],[Total_Sales]]</f>
        <v>0.31819087009803926</v>
      </c>
    </row>
    <row r="1704" spans="1:15" x14ac:dyDescent="0.25">
      <c r="A1704" s="1">
        <v>1703</v>
      </c>
      <c r="B1704" s="2">
        <v>45381</v>
      </c>
      <c r="C1704" s="1" t="s">
        <v>12</v>
      </c>
      <c r="D1704" s="1" t="s">
        <v>20</v>
      </c>
      <c r="E1704" s="1" t="s">
        <v>21</v>
      </c>
      <c r="F1704" s="1" t="s">
        <v>40</v>
      </c>
      <c r="G1704" s="1">
        <v>8</v>
      </c>
      <c r="H1704" s="1">
        <v>411</v>
      </c>
      <c r="I1704" s="1">
        <v>20</v>
      </c>
      <c r="J1704" s="4">
        <v>2630.4</v>
      </c>
      <c r="K1704" s="4">
        <v>1620.27</v>
      </c>
      <c r="L1704" s="4">
        <v>1010.13</v>
      </c>
      <c r="M1704" s="1" t="str">
        <f>TEXT(Table1[[#This Row],[Order_Date]], "MMM")</f>
        <v>Mar</v>
      </c>
      <c r="N1704" s="1">
        <f>YEAR(Table1[[#This Row],[Order_Date]])</f>
        <v>2024</v>
      </c>
      <c r="O1704" s="7">
        <f>Table1[[#This Row],[Profit]]/Table1[[#This Row],[Total_Sales]]</f>
        <v>0.3840214416058394</v>
      </c>
    </row>
    <row r="1705" spans="1:15" x14ac:dyDescent="0.25">
      <c r="A1705" s="1">
        <v>1704</v>
      </c>
      <c r="B1705" s="2">
        <v>45129</v>
      </c>
      <c r="C1705" s="1" t="s">
        <v>16</v>
      </c>
      <c r="D1705" s="1" t="s">
        <v>13</v>
      </c>
      <c r="E1705" s="1" t="s">
        <v>14</v>
      </c>
      <c r="F1705" s="1" t="s">
        <v>31</v>
      </c>
      <c r="G1705" s="1">
        <v>3</v>
      </c>
      <c r="H1705" s="1">
        <v>520</v>
      </c>
      <c r="I1705" s="1">
        <v>0</v>
      </c>
      <c r="J1705" s="4">
        <v>1560</v>
      </c>
      <c r="K1705" s="4">
        <v>862.85</v>
      </c>
      <c r="L1705" s="4">
        <v>697.15</v>
      </c>
      <c r="M1705" s="1" t="str">
        <f>TEXT(Table1[[#This Row],[Order_Date]], "MMM")</f>
        <v>Jul</v>
      </c>
      <c r="N1705" s="1">
        <f>YEAR(Table1[[#This Row],[Order_Date]])</f>
        <v>2023</v>
      </c>
      <c r="O1705" s="7">
        <f>Table1[[#This Row],[Profit]]/Table1[[#This Row],[Total_Sales]]</f>
        <v>0.44689102564102562</v>
      </c>
    </row>
    <row r="1706" spans="1:15" x14ac:dyDescent="0.25">
      <c r="A1706" s="1">
        <v>1705</v>
      </c>
      <c r="B1706" s="2">
        <v>45024</v>
      </c>
      <c r="C1706" s="1" t="s">
        <v>12</v>
      </c>
      <c r="D1706" s="1" t="s">
        <v>32</v>
      </c>
      <c r="E1706" s="1" t="s">
        <v>41</v>
      </c>
      <c r="F1706" s="1" t="s">
        <v>18</v>
      </c>
      <c r="G1706" s="1">
        <v>3</v>
      </c>
      <c r="H1706" s="1">
        <v>498</v>
      </c>
      <c r="I1706" s="1">
        <v>5</v>
      </c>
      <c r="J1706" s="4">
        <v>1419.3</v>
      </c>
      <c r="K1706" s="4">
        <v>1021.66</v>
      </c>
      <c r="L1706" s="4">
        <v>397.64</v>
      </c>
      <c r="M1706" s="1" t="str">
        <f>TEXT(Table1[[#This Row],[Order_Date]], "MMM")</f>
        <v>Apr</v>
      </c>
      <c r="N1706" s="1">
        <f>YEAR(Table1[[#This Row],[Order_Date]])</f>
        <v>2023</v>
      </c>
      <c r="O1706" s="7">
        <f>Table1[[#This Row],[Profit]]/Table1[[#This Row],[Total_Sales]]</f>
        <v>0.28016627915169451</v>
      </c>
    </row>
    <row r="1707" spans="1:15" x14ac:dyDescent="0.25">
      <c r="A1707" s="1">
        <v>1706</v>
      </c>
      <c r="B1707" s="2">
        <v>45399</v>
      </c>
      <c r="C1707" s="1" t="s">
        <v>25</v>
      </c>
      <c r="D1707" s="1" t="s">
        <v>13</v>
      </c>
      <c r="E1707" s="1" t="s">
        <v>17</v>
      </c>
      <c r="F1707" s="1" t="s">
        <v>24</v>
      </c>
      <c r="G1707" s="1">
        <v>2</v>
      </c>
      <c r="H1707" s="1">
        <v>653</v>
      </c>
      <c r="I1707" s="1">
        <v>0</v>
      </c>
      <c r="J1707" s="4">
        <v>1306</v>
      </c>
      <c r="K1707" s="4">
        <v>879.65</v>
      </c>
      <c r="L1707" s="4">
        <v>426.35</v>
      </c>
      <c r="M1707" s="1" t="str">
        <f>TEXT(Table1[[#This Row],[Order_Date]], "MMM")</f>
        <v>Apr</v>
      </c>
      <c r="N1707" s="1">
        <f>YEAR(Table1[[#This Row],[Order_Date]])</f>
        <v>2024</v>
      </c>
      <c r="O1707" s="7">
        <f>Table1[[#This Row],[Profit]]/Table1[[#This Row],[Total_Sales]]</f>
        <v>0.32645482388973968</v>
      </c>
    </row>
    <row r="1708" spans="1:15" x14ac:dyDescent="0.25">
      <c r="A1708" s="1">
        <v>1707</v>
      </c>
      <c r="B1708" s="2">
        <v>45484</v>
      </c>
      <c r="C1708" s="1" t="s">
        <v>16</v>
      </c>
      <c r="D1708" s="1" t="s">
        <v>20</v>
      </c>
      <c r="E1708" s="1" t="s">
        <v>30</v>
      </c>
      <c r="F1708" s="1" t="s">
        <v>35</v>
      </c>
      <c r="G1708" s="1">
        <v>1</v>
      </c>
      <c r="H1708" s="1">
        <v>935</v>
      </c>
      <c r="I1708" s="1">
        <v>5</v>
      </c>
      <c r="J1708" s="4">
        <v>888.25</v>
      </c>
      <c r="K1708" s="4">
        <v>668.12</v>
      </c>
      <c r="L1708" s="4">
        <v>220.13</v>
      </c>
      <c r="M1708" s="1" t="str">
        <f>TEXT(Table1[[#This Row],[Order_Date]], "MMM")</f>
        <v>Jul</v>
      </c>
      <c r="N1708" s="1">
        <f>YEAR(Table1[[#This Row],[Order_Date]])</f>
        <v>2024</v>
      </c>
      <c r="O1708" s="7">
        <f>Table1[[#This Row],[Profit]]/Table1[[#This Row],[Total_Sales]]</f>
        <v>0.24782437376864622</v>
      </c>
    </row>
    <row r="1709" spans="1:15" x14ac:dyDescent="0.25">
      <c r="A1709" s="1">
        <v>1708</v>
      </c>
      <c r="B1709" s="2">
        <v>45051</v>
      </c>
      <c r="C1709" s="1" t="s">
        <v>16</v>
      </c>
      <c r="D1709" s="1" t="s">
        <v>26</v>
      </c>
      <c r="E1709" s="1" t="s">
        <v>37</v>
      </c>
      <c r="F1709" s="1" t="s">
        <v>31</v>
      </c>
      <c r="G1709" s="1">
        <v>7</v>
      </c>
      <c r="H1709" s="1">
        <v>237</v>
      </c>
      <c r="I1709" s="1">
        <v>10</v>
      </c>
      <c r="J1709" s="4">
        <v>1493.1</v>
      </c>
      <c r="K1709" s="4">
        <v>896.17</v>
      </c>
      <c r="L1709" s="4">
        <v>596.92999999999995</v>
      </c>
      <c r="M1709" s="1" t="str">
        <f>TEXT(Table1[[#This Row],[Order_Date]], "MMM")</f>
        <v>May</v>
      </c>
      <c r="N1709" s="1">
        <f>YEAR(Table1[[#This Row],[Order_Date]])</f>
        <v>2023</v>
      </c>
      <c r="O1709" s="7">
        <f>Table1[[#This Row],[Profit]]/Table1[[#This Row],[Total_Sales]]</f>
        <v>0.39979237827339092</v>
      </c>
    </row>
    <row r="1710" spans="1:15" x14ac:dyDescent="0.25">
      <c r="A1710" s="1">
        <v>1709</v>
      </c>
      <c r="B1710" s="2">
        <v>45026</v>
      </c>
      <c r="C1710" s="1" t="s">
        <v>12</v>
      </c>
      <c r="D1710" s="1" t="s">
        <v>20</v>
      </c>
      <c r="E1710" s="1" t="s">
        <v>21</v>
      </c>
      <c r="F1710" s="1" t="s">
        <v>40</v>
      </c>
      <c r="G1710" s="1">
        <v>8</v>
      </c>
      <c r="H1710" s="1">
        <v>155</v>
      </c>
      <c r="I1710" s="1">
        <v>5</v>
      </c>
      <c r="J1710" s="4">
        <v>1178</v>
      </c>
      <c r="K1710" s="4">
        <v>848.35</v>
      </c>
      <c r="L1710" s="4">
        <v>329.65</v>
      </c>
      <c r="M1710" s="1" t="str">
        <f>TEXT(Table1[[#This Row],[Order_Date]], "MMM")</f>
        <v>Apr</v>
      </c>
      <c r="N1710" s="1">
        <f>YEAR(Table1[[#This Row],[Order_Date]])</f>
        <v>2023</v>
      </c>
      <c r="O1710" s="7">
        <f>Table1[[#This Row],[Profit]]/Table1[[#This Row],[Total_Sales]]</f>
        <v>0.27983870967741936</v>
      </c>
    </row>
    <row r="1711" spans="1:15" x14ac:dyDescent="0.25">
      <c r="A1711" s="1">
        <v>1710</v>
      </c>
      <c r="B1711" s="2">
        <v>45257</v>
      </c>
      <c r="C1711" s="1" t="s">
        <v>12</v>
      </c>
      <c r="D1711" s="1" t="s">
        <v>13</v>
      </c>
      <c r="E1711" s="1" t="s">
        <v>14</v>
      </c>
      <c r="F1711" s="1" t="s">
        <v>31</v>
      </c>
      <c r="G1711" s="1">
        <v>7</v>
      </c>
      <c r="H1711" s="1">
        <v>68</v>
      </c>
      <c r="I1711" s="1">
        <v>10</v>
      </c>
      <c r="J1711" s="4">
        <v>428.4</v>
      </c>
      <c r="K1711" s="4">
        <v>256.23</v>
      </c>
      <c r="L1711" s="4">
        <v>172.17</v>
      </c>
      <c r="M1711" s="1" t="str">
        <f>TEXT(Table1[[#This Row],[Order_Date]], "MMM")</f>
        <v>Nov</v>
      </c>
      <c r="N1711" s="1">
        <f>YEAR(Table1[[#This Row],[Order_Date]])</f>
        <v>2023</v>
      </c>
      <c r="O1711" s="7">
        <f>Table1[[#This Row],[Profit]]/Table1[[#This Row],[Total_Sales]]</f>
        <v>0.40189075630252102</v>
      </c>
    </row>
    <row r="1712" spans="1:15" x14ac:dyDescent="0.25">
      <c r="A1712" s="1">
        <v>1711</v>
      </c>
      <c r="B1712" s="2">
        <v>45058</v>
      </c>
      <c r="C1712" s="1" t="s">
        <v>25</v>
      </c>
      <c r="D1712" s="1" t="s">
        <v>20</v>
      </c>
      <c r="E1712" s="1" t="s">
        <v>30</v>
      </c>
      <c r="F1712" s="1" t="s">
        <v>15</v>
      </c>
      <c r="G1712" s="1">
        <v>7</v>
      </c>
      <c r="H1712" s="1">
        <v>112</v>
      </c>
      <c r="I1712" s="1">
        <v>5</v>
      </c>
      <c r="J1712" s="4">
        <v>744.8</v>
      </c>
      <c r="K1712" s="4">
        <v>444.73</v>
      </c>
      <c r="L1712" s="4">
        <v>300.07</v>
      </c>
      <c r="M1712" s="1" t="str">
        <f>TEXT(Table1[[#This Row],[Order_Date]], "MMM")</f>
        <v>May</v>
      </c>
      <c r="N1712" s="1">
        <f>YEAR(Table1[[#This Row],[Order_Date]])</f>
        <v>2023</v>
      </c>
      <c r="O1712" s="7">
        <f>Table1[[#This Row],[Profit]]/Table1[[#This Row],[Total_Sales]]</f>
        <v>0.40288668098818475</v>
      </c>
    </row>
    <row r="1713" spans="1:15" x14ac:dyDescent="0.25">
      <c r="A1713" s="1">
        <v>1712</v>
      </c>
      <c r="B1713" s="2">
        <v>45617</v>
      </c>
      <c r="C1713" s="1" t="s">
        <v>19</v>
      </c>
      <c r="D1713" s="1" t="s">
        <v>13</v>
      </c>
      <c r="E1713" s="1" t="s">
        <v>17</v>
      </c>
      <c r="F1713" s="1" t="s">
        <v>18</v>
      </c>
      <c r="G1713" s="1">
        <v>4</v>
      </c>
      <c r="H1713" s="1">
        <v>20</v>
      </c>
      <c r="I1713" s="1">
        <v>0</v>
      </c>
      <c r="J1713" s="4">
        <v>80</v>
      </c>
      <c r="K1713" s="4">
        <v>60.88</v>
      </c>
      <c r="L1713" s="4">
        <v>19.12</v>
      </c>
      <c r="M1713" s="1" t="str">
        <f>TEXT(Table1[[#This Row],[Order_Date]], "MMM")</f>
        <v>Nov</v>
      </c>
      <c r="N1713" s="1">
        <f>YEAR(Table1[[#This Row],[Order_Date]])</f>
        <v>2024</v>
      </c>
      <c r="O1713" s="7">
        <f>Table1[[#This Row],[Profit]]/Table1[[#This Row],[Total_Sales]]</f>
        <v>0.23900000000000002</v>
      </c>
    </row>
    <row r="1714" spans="1:15" x14ac:dyDescent="0.25">
      <c r="A1714" s="1">
        <v>1713</v>
      </c>
      <c r="B1714" s="2">
        <v>44944</v>
      </c>
      <c r="C1714" s="1" t="s">
        <v>16</v>
      </c>
      <c r="D1714" s="1" t="s">
        <v>20</v>
      </c>
      <c r="E1714" s="1" t="s">
        <v>43</v>
      </c>
      <c r="F1714" s="1" t="s">
        <v>24</v>
      </c>
      <c r="G1714" s="1">
        <v>7</v>
      </c>
      <c r="H1714" s="1">
        <v>994</v>
      </c>
      <c r="I1714" s="1">
        <v>10</v>
      </c>
      <c r="J1714" s="4">
        <v>6262.2</v>
      </c>
      <c r="K1714" s="4">
        <v>3293.92</v>
      </c>
      <c r="L1714" s="4">
        <v>2968.28</v>
      </c>
      <c r="M1714" s="1" t="str">
        <f>TEXT(Table1[[#This Row],[Order_Date]], "MMM")</f>
        <v>Jan</v>
      </c>
      <c r="N1714" s="1">
        <f>YEAR(Table1[[#This Row],[Order_Date]])</f>
        <v>2023</v>
      </c>
      <c r="O1714" s="7">
        <f>Table1[[#This Row],[Profit]]/Table1[[#This Row],[Total_Sales]]</f>
        <v>0.47399955287279233</v>
      </c>
    </row>
    <row r="1715" spans="1:15" x14ac:dyDescent="0.25">
      <c r="A1715" s="1">
        <v>1714</v>
      </c>
      <c r="B1715" s="2">
        <v>45614</v>
      </c>
      <c r="C1715" s="1" t="s">
        <v>19</v>
      </c>
      <c r="D1715" s="1" t="s">
        <v>26</v>
      </c>
      <c r="E1715" s="1" t="s">
        <v>42</v>
      </c>
      <c r="F1715" s="1" t="s">
        <v>35</v>
      </c>
      <c r="G1715" s="1">
        <v>8</v>
      </c>
      <c r="H1715" s="1">
        <v>28</v>
      </c>
      <c r="I1715" s="1">
        <v>10</v>
      </c>
      <c r="J1715" s="4">
        <v>201.6</v>
      </c>
      <c r="K1715" s="4">
        <v>116.8</v>
      </c>
      <c r="L1715" s="4">
        <v>84.8</v>
      </c>
      <c r="M1715" s="1" t="str">
        <f>TEXT(Table1[[#This Row],[Order_Date]], "MMM")</f>
        <v>Nov</v>
      </c>
      <c r="N1715" s="1">
        <f>YEAR(Table1[[#This Row],[Order_Date]])</f>
        <v>2024</v>
      </c>
      <c r="O1715" s="7">
        <f>Table1[[#This Row],[Profit]]/Table1[[#This Row],[Total_Sales]]</f>
        <v>0.42063492063492064</v>
      </c>
    </row>
    <row r="1716" spans="1:15" x14ac:dyDescent="0.25">
      <c r="A1716" s="1">
        <v>1715</v>
      </c>
      <c r="B1716" s="2">
        <v>45032</v>
      </c>
      <c r="C1716" s="1" t="s">
        <v>25</v>
      </c>
      <c r="D1716" s="1" t="s">
        <v>13</v>
      </c>
      <c r="E1716" s="1" t="s">
        <v>39</v>
      </c>
      <c r="F1716" s="1" t="s">
        <v>35</v>
      </c>
      <c r="G1716" s="1">
        <v>6</v>
      </c>
      <c r="H1716" s="1">
        <v>626</v>
      </c>
      <c r="I1716" s="1">
        <v>15</v>
      </c>
      <c r="J1716" s="4">
        <v>3192.6</v>
      </c>
      <c r="K1716" s="4">
        <v>1667.2</v>
      </c>
      <c r="L1716" s="4">
        <v>1525.4</v>
      </c>
      <c r="M1716" s="1" t="str">
        <f>TEXT(Table1[[#This Row],[Order_Date]], "MMM")</f>
        <v>Apr</v>
      </c>
      <c r="N1716" s="1">
        <f>YEAR(Table1[[#This Row],[Order_Date]])</f>
        <v>2023</v>
      </c>
      <c r="O1716" s="7">
        <f>Table1[[#This Row],[Profit]]/Table1[[#This Row],[Total_Sales]]</f>
        <v>0.47779239491323688</v>
      </c>
    </row>
    <row r="1717" spans="1:15" x14ac:dyDescent="0.25">
      <c r="A1717" s="1">
        <v>1716</v>
      </c>
      <c r="B1717" s="2">
        <v>45272</v>
      </c>
      <c r="C1717" s="1" t="s">
        <v>12</v>
      </c>
      <c r="D1717" s="1" t="s">
        <v>13</v>
      </c>
      <c r="E1717" s="1" t="s">
        <v>39</v>
      </c>
      <c r="F1717" s="1" t="s">
        <v>31</v>
      </c>
      <c r="G1717" s="1">
        <v>10</v>
      </c>
      <c r="H1717" s="1">
        <v>179</v>
      </c>
      <c r="I1717" s="1">
        <v>20</v>
      </c>
      <c r="J1717" s="4">
        <v>1432</v>
      </c>
      <c r="K1717" s="4">
        <v>776.04</v>
      </c>
      <c r="L1717" s="4">
        <v>655.96</v>
      </c>
      <c r="M1717" s="1" t="str">
        <f>TEXT(Table1[[#This Row],[Order_Date]], "MMM")</f>
        <v>Dec</v>
      </c>
      <c r="N1717" s="1">
        <f>YEAR(Table1[[#This Row],[Order_Date]])</f>
        <v>2023</v>
      </c>
      <c r="O1717" s="7">
        <f>Table1[[#This Row],[Profit]]/Table1[[#This Row],[Total_Sales]]</f>
        <v>0.45807262569832402</v>
      </c>
    </row>
    <row r="1718" spans="1:15" x14ac:dyDescent="0.25">
      <c r="A1718" s="1">
        <v>1717</v>
      </c>
      <c r="B1718" s="2">
        <v>45439</v>
      </c>
      <c r="C1718" s="1" t="s">
        <v>16</v>
      </c>
      <c r="D1718" s="1" t="s">
        <v>26</v>
      </c>
      <c r="E1718" s="1" t="s">
        <v>46</v>
      </c>
      <c r="F1718" s="1" t="s">
        <v>35</v>
      </c>
      <c r="G1718" s="1">
        <v>6</v>
      </c>
      <c r="H1718" s="1">
        <v>940</v>
      </c>
      <c r="I1718" s="1">
        <v>20</v>
      </c>
      <c r="J1718" s="4">
        <v>4512</v>
      </c>
      <c r="K1718" s="4">
        <v>2530.1999999999998</v>
      </c>
      <c r="L1718" s="4">
        <v>1981.8</v>
      </c>
      <c r="M1718" s="1" t="str">
        <f>TEXT(Table1[[#This Row],[Order_Date]], "MMM")</f>
        <v>May</v>
      </c>
      <c r="N1718" s="1">
        <f>YEAR(Table1[[#This Row],[Order_Date]])</f>
        <v>2024</v>
      </c>
      <c r="O1718" s="7">
        <f>Table1[[#This Row],[Profit]]/Table1[[#This Row],[Total_Sales]]</f>
        <v>0.43922872340425528</v>
      </c>
    </row>
    <row r="1719" spans="1:15" x14ac:dyDescent="0.25">
      <c r="A1719" s="1">
        <v>1718</v>
      </c>
      <c r="B1719" s="2">
        <v>45372</v>
      </c>
      <c r="C1719" s="1" t="s">
        <v>25</v>
      </c>
      <c r="D1719" s="1" t="s">
        <v>13</v>
      </c>
      <c r="E1719" s="1" t="s">
        <v>38</v>
      </c>
      <c r="F1719" s="1" t="s">
        <v>15</v>
      </c>
      <c r="G1719" s="1">
        <v>3</v>
      </c>
      <c r="H1719" s="1">
        <v>424</v>
      </c>
      <c r="I1719" s="1">
        <v>5</v>
      </c>
      <c r="J1719" s="4">
        <v>1208.4000000000001</v>
      </c>
      <c r="K1719" s="4">
        <v>932.97</v>
      </c>
      <c r="L1719" s="4">
        <v>275.43</v>
      </c>
      <c r="M1719" s="1" t="str">
        <f>TEXT(Table1[[#This Row],[Order_Date]], "MMM")</f>
        <v>Mar</v>
      </c>
      <c r="N1719" s="1">
        <f>YEAR(Table1[[#This Row],[Order_Date]])</f>
        <v>2024</v>
      </c>
      <c r="O1719" s="7">
        <f>Table1[[#This Row],[Profit]]/Table1[[#This Row],[Total_Sales]]</f>
        <v>0.22792949354518371</v>
      </c>
    </row>
    <row r="1720" spans="1:15" x14ac:dyDescent="0.25">
      <c r="A1720" s="1">
        <v>1719</v>
      </c>
      <c r="B1720" s="2">
        <v>45386</v>
      </c>
      <c r="C1720" s="1" t="s">
        <v>16</v>
      </c>
      <c r="D1720" s="1" t="s">
        <v>26</v>
      </c>
      <c r="E1720" s="1" t="s">
        <v>27</v>
      </c>
      <c r="F1720" s="1" t="s">
        <v>40</v>
      </c>
      <c r="G1720" s="1">
        <v>3</v>
      </c>
      <c r="H1720" s="1">
        <v>189</v>
      </c>
      <c r="I1720" s="1">
        <v>5</v>
      </c>
      <c r="J1720" s="4">
        <v>538.65</v>
      </c>
      <c r="K1720" s="4">
        <v>335.46</v>
      </c>
      <c r="L1720" s="4">
        <v>203.19</v>
      </c>
      <c r="M1720" s="1" t="str">
        <f>TEXT(Table1[[#This Row],[Order_Date]], "MMM")</f>
        <v>Apr</v>
      </c>
      <c r="N1720" s="1">
        <f>YEAR(Table1[[#This Row],[Order_Date]])</f>
        <v>2024</v>
      </c>
      <c r="O1720" s="7">
        <f>Table1[[#This Row],[Profit]]/Table1[[#This Row],[Total_Sales]]</f>
        <v>0.37722082985240879</v>
      </c>
    </row>
    <row r="1721" spans="1:15" x14ac:dyDescent="0.25">
      <c r="A1721" s="1">
        <v>1720</v>
      </c>
      <c r="B1721" s="2">
        <v>45262</v>
      </c>
      <c r="C1721" s="1" t="s">
        <v>16</v>
      </c>
      <c r="D1721" s="1" t="s">
        <v>26</v>
      </c>
      <c r="E1721" s="1" t="s">
        <v>27</v>
      </c>
      <c r="F1721" s="1" t="s">
        <v>40</v>
      </c>
      <c r="G1721" s="1">
        <v>8</v>
      </c>
      <c r="H1721" s="1">
        <v>246</v>
      </c>
      <c r="I1721" s="1">
        <v>10</v>
      </c>
      <c r="J1721" s="4">
        <v>1771.2</v>
      </c>
      <c r="K1721" s="4">
        <v>984.91</v>
      </c>
      <c r="L1721" s="4">
        <v>786.29</v>
      </c>
      <c r="M1721" s="1" t="str">
        <f>TEXT(Table1[[#This Row],[Order_Date]], "MMM")</f>
        <v>Dec</v>
      </c>
      <c r="N1721" s="1">
        <f>YEAR(Table1[[#This Row],[Order_Date]])</f>
        <v>2023</v>
      </c>
      <c r="O1721" s="7">
        <f>Table1[[#This Row],[Profit]]/Table1[[#This Row],[Total_Sales]]</f>
        <v>0.44393066847335139</v>
      </c>
    </row>
    <row r="1722" spans="1:15" x14ac:dyDescent="0.25">
      <c r="A1722" s="1">
        <v>1721</v>
      </c>
      <c r="B1722" s="2">
        <v>45064</v>
      </c>
      <c r="C1722" s="1" t="s">
        <v>19</v>
      </c>
      <c r="D1722" s="1" t="s">
        <v>22</v>
      </c>
      <c r="E1722" s="1" t="s">
        <v>23</v>
      </c>
      <c r="F1722" s="1" t="s">
        <v>31</v>
      </c>
      <c r="G1722" s="1">
        <v>1</v>
      </c>
      <c r="H1722" s="1">
        <v>470</v>
      </c>
      <c r="I1722" s="1">
        <v>0</v>
      </c>
      <c r="J1722" s="4">
        <v>470</v>
      </c>
      <c r="K1722" s="4">
        <v>371.68</v>
      </c>
      <c r="L1722" s="4">
        <v>98.32</v>
      </c>
      <c r="M1722" s="1" t="str">
        <f>TEXT(Table1[[#This Row],[Order_Date]], "MMM")</f>
        <v>May</v>
      </c>
      <c r="N1722" s="1">
        <f>YEAR(Table1[[#This Row],[Order_Date]])</f>
        <v>2023</v>
      </c>
      <c r="O1722" s="7">
        <f>Table1[[#This Row],[Profit]]/Table1[[#This Row],[Total_Sales]]</f>
        <v>0.20919148936170212</v>
      </c>
    </row>
    <row r="1723" spans="1:15" x14ac:dyDescent="0.25">
      <c r="A1723" s="1">
        <v>1722</v>
      </c>
      <c r="B1723" s="2">
        <v>45613</v>
      </c>
      <c r="C1723" s="1" t="s">
        <v>25</v>
      </c>
      <c r="D1723" s="1" t="s">
        <v>20</v>
      </c>
      <c r="E1723" s="1" t="s">
        <v>21</v>
      </c>
      <c r="F1723" s="1" t="s">
        <v>24</v>
      </c>
      <c r="G1723" s="1">
        <v>10</v>
      </c>
      <c r="H1723" s="1">
        <v>913</v>
      </c>
      <c r="I1723" s="1">
        <v>0</v>
      </c>
      <c r="J1723" s="4">
        <v>9130</v>
      </c>
      <c r="K1723" s="4">
        <v>4794.6400000000003</v>
      </c>
      <c r="L1723" s="4">
        <v>4335.3599999999997</v>
      </c>
      <c r="M1723" s="1" t="str">
        <f>TEXT(Table1[[#This Row],[Order_Date]], "MMM")</f>
        <v>Nov</v>
      </c>
      <c r="N1723" s="1">
        <f>YEAR(Table1[[#This Row],[Order_Date]])</f>
        <v>2024</v>
      </c>
      <c r="O1723" s="7">
        <f>Table1[[#This Row],[Profit]]/Table1[[#This Row],[Total_Sales]]</f>
        <v>0.47484775465498352</v>
      </c>
    </row>
    <row r="1724" spans="1:15" x14ac:dyDescent="0.25">
      <c r="A1724" s="1">
        <v>1723</v>
      </c>
      <c r="B1724" s="2">
        <v>45577</v>
      </c>
      <c r="C1724" s="1" t="s">
        <v>16</v>
      </c>
      <c r="D1724" s="1" t="s">
        <v>26</v>
      </c>
      <c r="E1724" s="1" t="s">
        <v>27</v>
      </c>
      <c r="F1724" s="1" t="s">
        <v>15</v>
      </c>
      <c r="G1724" s="1">
        <v>5</v>
      </c>
      <c r="H1724" s="1">
        <v>735</v>
      </c>
      <c r="I1724" s="1">
        <v>0</v>
      </c>
      <c r="J1724" s="4">
        <v>3675</v>
      </c>
      <c r="K1724" s="4">
        <v>2295.69</v>
      </c>
      <c r="L1724" s="4">
        <v>1379.31</v>
      </c>
      <c r="M1724" s="1" t="str">
        <f>TEXT(Table1[[#This Row],[Order_Date]], "MMM")</f>
        <v>Oct</v>
      </c>
      <c r="N1724" s="1">
        <f>YEAR(Table1[[#This Row],[Order_Date]])</f>
        <v>2024</v>
      </c>
      <c r="O1724" s="7">
        <f>Table1[[#This Row],[Profit]]/Table1[[#This Row],[Total_Sales]]</f>
        <v>0.37532244897959183</v>
      </c>
    </row>
    <row r="1725" spans="1:15" x14ac:dyDescent="0.25">
      <c r="A1725" s="1">
        <v>1724</v>
      </c>
      <c r="B1725" s="2">
        <v>45093</v>
      </c>
      <c r="C1725" s="1" t="s">
        <v>16</v>
      </c>
      <c r="D1725" s="1" t="s">
        <v>20</v>
      </c>
      <c r="E1725" s="1" t="s">
        <v>43</v>
      </c>
      <c r="F1725" s="1" t="s">
        <v>24</v>
      </c>
      <c r="G1725" s="1">
        <v>4</v>
      </c>
      <c r="H1725" s="1">
        <v>404</v>
      </c>
      <c r="I1725" s="1">
        <v>10</v>
      </c>
      <c r="J1725" s="4">
        <v>1454.4</v>
      </c>
      <c r="K1725" s="4">
        <v>843.36</v>
      </c>
      <c r="L1725" s="4">
        <v>611.04</v>
      </c>
      <c r="M1725" s="1" t="str">
        <f>TEXT(Table1[[#This Row],[Order_Date]], "MMM")</f>
        <v>Jun</v>
      </c>
      <c r="N1725" s="1">
        <f>YEAR(Table1[[#This Row],[Order_Date]])</f>
        <v>2023</v>
      </c>
      <c r="O1725" s="7">
        <f>Table1[[#This Row],[Profit]]/Table1[[#This Row],[Total_Sales]]</f>
        <v>0.4201320132013201</v>
      </c>
    </row>
    <row r="1726" spans="1:15" x14ac:dyDescent="0.25">
      <c r="A1726" s="1">
        <v>1725</v>
      </c>
      <c r="B1726" s="2">
        <v>44989</v>
      </c>
      <c r="C1726" s="1" t="s">
        <v>25</v>
      </c>
      <c r="D1726" s="1" t="s">
        <v>20</v>
      </c>
      <c r="E1726" s="1" t="s">
        <v>30</v>
      </c>
      <c r="F1726" s="1" t="s">
        <v>35</v>
      </c>
      <c r="G1726" s="1">
        <v>6</v>
      </c>
      <c r="H1726" s="1">
        <v>17</v>
      </c>
      <c r="I1726" s="1">
        <v>10</v>
      </c>
      <c r="J1726" s="4">
        <v>91.8</v>
      </c>
      <c r="K1726" s="4">
        <v>58.85</v>
      </c>
      <c r="L1726" s="4">
        <v>32.950000000000003</v>
      </c>
      <c r="M1726" s="1" t="str">
        <f>TEXT(Table1[[#This Row],[Order_Date]], "MMM")</f>
        <v>Mar</v>
      </c>
      <c r="N1726" s="1">
        <f>YEAR(Table1[[#This Row],[Order_Date]])</f>
        <v>2023</v>
      </c>
      <c r="O1726" s="7">
        <f>Table1[[#This Row],[Profit]]/Table1[[#This Row],[Total_Sales]]</f>
        <v>0.35893246187363836</v>
      </c>
    </row>
    <row r="1727" spans="1:15" x14ac:dyDescent="0.25">
      <c r="A1727" s="1">
        <v>1726</v>
      </c>
      <c r="B1727" s="2">
        <v>45436</v>
      </c>
      <c r="C1727" s="1" t="s">
        <v>19</v>
      </c>
      <c r="D1727" s="1" t="s">
        <v>26</v>
      </c>
      <c r="E1727" s="1" t="s">
        <v>37</v>
      </c>
      <c r="F1727" s="1" t="s">
        <v>18</v>
      </c>
      <c r="G1727" s="1">
        <v>9</v>
      </c>
      <c r="H1727" s="1">
        <v>885</v>
      </c>
      <c r="I1727" s="1">
        <v>0</v>
      </c>
      <c r="J1727" s="4">
        <v>7965</v>
      </c>
      <c r="K1727" s="4">
        <v>4908.68</v>
      </c>
      <c r="L1727" s="4">
        <v>3056.32</v>
      </c>
      <c r="M1727" s="1" t="str">
        <f>TEXT(Table1[[#This Row],[Order_Date]], "MMM")</f>
        <v>May</v>
      </c>
      <c r="N1727" s="1">
        <f>YEAR(Table1[[#This Row],[Order_Date]])</f>
        <v>2024</v>
      </c>
      <c r="O1727" s="7">
        <f>Table1[[#This Row],[Profit]]/Table1[[#This Row],[Total_Sales]]</f>
        <v>0.38371876961707474</v>
      </c>
    </row>
    <row r="1728" spans="1:15" x14ac:dyDescent="0.25">
      <c r="A1728" s="1">
        <v>1727</v>
      </c>
      <c r="B1728" s="2">
        <v>45377</v>
      </c>
      <c r="C1728" s="1" t="s">
        <v>25</v>
      </c>
      <c r="D1728" s="1" t="s">
        <v>13</v>
      </c>
      <c r="E1728" s="1" t="s">
        <v>38</v>
      </c>
      <c r="F1728" s="1" t="s">
        <v>15</v>
      </c>
      <c r="G1728" s="1">
        <v>9</v>
      </c>
      <c r="H1728" s="1">
        <v>265</v>
      </c>
      <c r="I1728" s="1">
        <v>5</v>
      </c>
      <c r="J1728" s="4">
        <v>2265.75</v>
      </c>
      <c r="K1728" s="4">
        <v>1609.64</v>
      </c>
      <c r="L1728" s="4">
        <v>656.11</v>
      </c>
      <c r="M1728" s="1" t="str">
        <f>TEXT(Table1[[#This Row],[Order_Date]], "MMM")</f>
        <v>Mar</v>
      </c>
      <c r="N1728" s="1">
        <f>YEAR(Table1[[#This Row],[Order_Date]])</f>
        <v>2024</v>
      </c>
      <c r="O1728" s="7">
        <f>Table1[[#This Row],[Profit]]/Table1[[#This Row],[Total_Sales]]</f>
        <v>0.28957740262606202</v>
      </c>
    </row>
    <row r="1729" spans="1:15" x14ac:dyDescent="0.25">
      <c r="A1729" s="1">
        <v>1728</v>
      </c>
      <c r="B1729" s="2">
        <v>45381</v>
      </c>
      <c r="C1729" s="1" t="s">
        <v>16</v>
      </c>
      <c r="D1729" s="1" t="s">
        <v>20</v>
      </c>
      <c r="E1729" s="1" t="s">
        <v>21</v>
      </c>
      <c r="F1729" s="1" t="s">
        <v>18</v>
      </c>
      <c r="G1729" s="1">
        <v>2</v>
      </c>
      <c r="H1729" s="1">
        <v>484</v>
      </c>
      <c r="I1729" s="1">
        <v>20</v>
      </c>
      <c r="J1729" s="4">
        <v>774.4</v>
      </c>
      <c r="K1729" s="4">
        <v>523.29999999999995</v>
      </c>
      <c r="L1729" s="4">
        <v>251.1</v>
      </c>
      <c r="M1729" s="1" t="str">
        <f>TEXT(Table1[[#This Row],[Order_Date]], "MMM")</f>
        <v>Mar</v>
      </c>
      <c r="N1729" s="1">
        <f>YEAR(Table1[[#This Row],[Order_Date]])</f>
        <v>2024</v>
      </c>
      <c r="O1729" s="7">
        <f>Table1[[#This Row],[Profit]]/Table1[[#This Row],[Total_Sales]]</f>
        <v>0.32425103305785125</v>
      </c>
    </row>
    <row r="1730" spans="1:15" x14ac:dyDescent="0.25">
      <c r="A1730" s="1">
        <v>1729</v>
      </c>
      <c r="B1730" s="2">
        <v>45035</v>
      </c>
      <c r="C1730" s="1" t="s">
        <v>12</v>
      </c>
      <c r="D1730" s="1" t="s">
        <v>32</v>
      </c>
      <c r="E1730" s="1" t="s">
        <v>33</v>
      </c>
      <c r="F1730" s="1" t="s">
        <v>24</v>
      </c>
      <c r="G1730" s="1">
        <v>5</v>
      </c>
      <c r="H1730" s="1">
        <v>853</v>
      </c>
      <c r="I1730" s="1">
        <v>5</v>
      </c>
      <c r="J1730" s="4">
        <v>4051.75</v>
      </c>
      <c r="K1730" s="4">
        <v>2257.88</v>
      </c>
      <c r="L1730" s="4">
        <v>1793.87</v>
      </c>
      <c r="M1730" s="1" t="str">
        <f>TEXT(Table1[[#This Row],[Order_Date]], "MMM")</f>
        <v>Apr</v>
      </c>
      <c r="N1730" s="1">
        <f>YEAR(Table1[[#This Row],[Order_Date]])</f>
        <v>2023</v>
      </c>
      <c r="O1730" s="7">
        <f>Table1[[#This Row],[Profit]]/Table1[[#This Row],[Total_Sales]]</f>
        <v>0.44273955698155115</v>
      </c>
    </row>
    <row r="1731" spans="1:15" x14ac:dyDescent="0.25">
      <c r="A1731" s="1">
        <v>1730</v>
      </c>
      <c r="B1731" s="2">
        <v>45455</v>
      </c>
      <c r="C1731" s="1" t="s">
        <v>16</v>
      </c>
      <c r="D1731" s="1" t="s">
        <v>20</v>
      </c>
      <c r="E1731" s="1" t="s">
        <v>21</v>
      </c>
      <c r="F1731" s="1" t="s">
        <v>18</v>
      </c>
      <c r="G1731" s="1">
        <v>7</v>
      </c>
      <c r="H1731" s="1">
        <v>742</v>
      </c>
      <c r="I1731" s="1">
        <v>20</v>
      </c>
      <c r="J1731" s="4">
        <v>4155.2</v>
      </c>
      <c r="K1731" s="4">
        <v>2429.9</v>
      </c>
      <c r="L1731" s="4">
        <v>1725.3</v>
      </c>
      <c r="M1731" s="1" t="str">
        <f>TEXT(Table1[[#This Row],[Order_Date]], "MMM")</f>
        <v>Jun</v>
      </c>
      <c r="N1731" s="1">
        <f>YEAR(Table1[[#This Row],[Order_Date]])</f>
        <v>2024</v>
      </c>
      <c r="O1731" s="7">
        <f>Table1[[#This Row],[Profit]]/Table1[[#This Row],[Total_Sales]]</f>
        <v>0.41521467077396995</v>
      </c>
    </row>
    <row r="1732" spans="1:15" x14ac:dyDescent="0.25">
      <c r="A1732" s="1">
        <v>1731</v>
      </c>
      <c r="B1732" s="2">
        <v>45063</v>
      </c>
      <c r="C1732" s="1" t="s">
        <v>12</v>
      </c>
      <c r="D1732" s="1" t="s">
        <v>13</v>
      </c>
      <c r="E1732" s="1" t="s">
        <v>17</v>
      </c>
      <c r="F1732" s="1" t="s">
        <v>24</v>
      </c>
      <c r="G1732" s="1">
        <v>9</v>
      </c>
      <c r="H1732" s="1">
        <v>19</v>
      </c>
      <c r="I1732" s="1">
        <v>10</v>
      </c>
      <c r="J1732" s="4">
        <v>153.9</v>
      </c>
      <c r="K1732" s="4">
        <v>102.3</v>
      </c>
      <c r="L1732" s="4">
        <v>51.6</v>
      </c>
      <c r="M1732" s="1" t="str">
        <f>TEXT(Table1[[#This Row],[Order_Date]], "MMM")</f>
        <v>May</v>
      </c>
      <c r="N1732" s="1">
        <f>YEAR(Table1[[#This Row],[Order_Date]])</f>
        <v>2023</v>
      </c>
      <c r="O1732" s="7">
        <f>Table1[[#This Row],[Profit]]/Table1[[#This Row],[Total_Sales]]</f>
        <v>0.33528265107212474</v>
      </c>
    </row>
    <row r="1733" spans="1:15" x14ac:dyDescent="0.25">
      <c r="A1733" s="1">
        <v>1732</v>
      </c>
      <c r="B1733" s="2">
        <v>45300</v>
      </c>
      <c r="C1733" s="1" t="s">
        <v>12</v>
      </c>
      <c r="D1733" s="1" t="s">
        <v>20</v>
      </c>
      <c r="E1733" s="1" t="s">
        <v>43</v>
      </c>
      <c r="F1733" s="1" t="s">
        <v>40</v>
      </c>
      <c r="G1733" s="1">
        <v>7</v>
      </c>
      <c r="H1733" s="1">
        <v>206</v>
      </c>
      <c r="I1733" s="1">
        <v>20</v>
      </c>
      <c r="J1733" s="4">
        <v>1153.5999999999999</v>
      </c>
      <c r="K1733" s="4">
        <v>676.71</v>
      </c>
      <c r="L1733" s="4">
        <v>476.89</v>
      </c>
      <c r="M1733" s="1" t="str">
        <f>TEXT(Table1[[#This Row],[Order_Date]], "MMM")</f>
        <v>Jan</v>
      </c>
      <c r="N1733" s="1">
        <f>YEAR(Table1[[#This Row],[Order_Date]])</f>
        <v>2024</v>
      </c>
      <c r="O1733" s="7">
        <f>Table1[[#This Row],[Profit]]/Table1[[#This Row],[Total_Sales]]</f>
        <v>0.41339285714285717</v>
      </c>
    </row>
    <row r="1734" spans="1:15" x14ac:dyDescent="0.25">
      <c r="A1734" s="1">
        <v>1733</v>
      </c>
      <c r="B1734" s="2">
        <v>45281</v>
      </c>
      <c r="C1734" s="1" t="s">
        <v>16</v>
      </c>
      <c r="D1734" s="1" t="s">
        <v>22</v>
      </c>
      <c r="E1734" s="1" t="s">
        <v>36</v>
      </c>
      <c r="F1734" s="1" t="s">
        <v>15</v>
      </c>
      <c r="G1734" s="1">
        <v>9</v>
      </c>
      <c r="H1734" s="1">
        <v>585</v>
      </c>
      <c r="I1734" s="1">
        <v>0</v>
      </c>
      <c r="J1734" s="4">
        <v>5265</v>
      </c>
      <c r="K1734" s="4">
        <v>4106.54</v>
      </c>
      <c r="L1734" s="4">
        <v>1158.46</v>
      </c>
      <c r="M1734" s="1" t="str">
        <f>TEXT(Table1[[#This Row],[Order_Date]], "MMM")</f>
        <v>Dec</v>
      </c>
      <c r="N1734" s="1">
        <f>YEAR(Table1[[#This Row],[Order_Date]])</f>
        <v>2023</v>
      </c>
      <c r="O1734" s="7">
        <f>Table1[[#This Row],[Profit]]/Table1[[#This Row],[Total_Sales]]</f>
        <v>0.22003038936372271</v>
      </c>
    </row>
    <row r="1735" spans="1:15" x14ac:dyDescent="0.25">
      <c r="A1735" s="1">
        <v>1734</v>
      </c>
      <c r="B1735" s="2">
        <v>45629</v>
      </c>
      <c r="C1735" s="1" t="s">
        <v>16</v>
      </c>
      <c r="D1735" s="1" t="s">
        <v>32</v>
      </c>
      <c r="E1735" s="1" t="s">
        <v>45</v>
      </c>
      <c r="F1735" s="1" t="s">
        <v>31</v>
      </c>
      <c r="G1735" s="1">
        <v>3</v>
      </c>
      <c r="H1735" s="1">
        <v>404</v>
      </c>
      <c r="I1735" s="1">
        <v>15</v>
      </c>
      <c r="J1735" s="4">
        <v>1030.2</v>
      </c>
      <c r="K1735" s="4">
        <v>643.22</v>
      </c>
      <c r="L1735" s="4">
        <v>386.98</v>
      </c>
      <c r="M1735" s="1" t="str">
        <f>TEXT(Table1[[#This Row],[Order_Date]], "MMM")</f>
        <v>Dec</v>
      </c>
      <c r="N1735" s="1">
        <f>YEAR(Table1[[#This Row],[Order_Date]])</f>
        <v>2024</v>
      </c>
      <c r="O1735" s="7">
        <f>Table1[[#This Row],[Profit]]/Table1[[#This Row],[Total_Sales]]</f>
        <v>0.37563579887400506</v>
      </c>
    </row>
    <row r="1736" spans="1:15" x14ac:dyDescent="0.25">
      <c r="A1736" s="1">
        <v>1735</v>
      </c>
      <c r="B1736" s="2">
        <v>45606</v>
      </c>
      <c r="C1736" s="1" t="s">
        <v>16</v>
      </c>
      <c r="D1736" s="1" t="s">
        <v>26</v>
      </c>
      <c r="E1736" s="1" t="s">
        <v>42</v>
      </c>
      <c r="F1736" s="1" t="s">
        <v>15</v>
      </c>
      <c r="G1736" s="1">
        <v>10</v>
      </c>
      <c r="H1736" s="1">
        <v>359</v>
      </c>
      <c r="I1736" s="1">
        <v>5</v>
      </c>
      <c r="J1736" s="4">
        <v>3410.5</v>
      </c>
      <c r="K1736" s="4">
        <v>1812.27</v>
      </c>
      <c r="L1736" s="4">
        <v>1598.23</v>
      </c>
      <c r="M1736" s="1" t="str">
        <f>TEXT(Table1[[#This Row],[Order_Date]], "MMM")</f>
        <v>Nov</v>
      </c>
      <c r="N1736" s="1">
        <f>YEAR(Table1[[#This Row],[Order_Date]])</f>
        <v>2024</v>
      </c>
      <c r="O1736" s="7">
        <f>Table1[[#This Row],[Profit]]/Table1[[#This Row],[Total_Sales]]</f>
        <v>0.46862043688608707</v>
      </c>
    </row>
    <row r="1737" spans="1:15" x14ac:dyDescent="0.25">
      <c r="A1737" s="1">
        <v>1736</v>
      </c>
      <c r="B1737" s="2">
        <v>45613</v>
      </c>
      <c r="C1737" s="1" t="s">
        <v>25</v>
      </c>
      <c r="D1737" s="1" t="s">
        <v>22</v>
      </c>
      <c r="E1737" s="1" t="s">
        <v>23</v>
      </c>
      <c r="F1737" s="1" t="s">
        <v>31</v>
      </c>
      <c r="G1737" s="1">
        <v>9</v>
      </c>
      <c r="H1737" s="1">
        <v>152</v>
      </c>
      <c r="I1737" s="1">
        <v>15</v>
      </c>
      <c r="J1737" s="4">
        <v>1162.8</v>
      </c>
      <c r="K1737" s="4">
        <v>880.47</v>
      </c>
      <c r="L1737" s="4">
        <v>282.33</v>
      </c>
      <c r="M1737" s="1" t="str">
        <f>TEXT(Table1[[#This Row],[Order_Date]], "MMM")</f>
        <v>Nov</v>
      </c>
      <c r="N1737" s="1">
        <f>YEAR(Table1[[#This Row],[Order_Date]])</f>
        <v>2024</v>
      </c>
      <c r="O1737" s="7">
        <f>Table1[[#This Row],[Profit]]/Table1[[#This Row],[Total_Sales]]</f>
        <v>0.24280185758513931</v>
      </c>
    </row>
    <row r="1738" spans="1:15" x14ac:dyDescent="0.25">
      <c r="A1738" s="1">
        <v>1737</v>
      </c>
      <c r="B1738" s="2">
        <v>45466</v>
      </c>
      <c r="C1738" s="1" t="s">
        <v>12</v>
      </c>
      <c r="D1738" s="1" t="s">
        <v>13</v>
      </c>
      <c r="E1738" s="1" t="s">
        <v>17</v>
      </c>
      <c r="F1738" s="1" t="s">
        <v>18</v>
      </c>
      <c r="G1738" s="1">
        <v>6</v>
      </c>
      <c r="H1738" s="1">
        <v>553</v>
      </c>
      <c r="I1738" s="1">
        <v>20</v>
      </c>
      <c r="J1738" s="4">
        <v>2654.4</v>
      </c>
      <c r="K1738" s="4">
        <v>1955.61</v>
      </c>
      <c r="L1738" s="4">
        <v>698.79</v>
      </c>
      <c r="M1738" s="1" t="str">
        <f>TEXT(Table1[[#This Row],[Order_Date]], "MMM")</f>
        <v>Jun</v>
      </c>
      <c r="N1738" s="1">
        <f>YEAR(Table1[[#This Row],[Order_Date]])</f>
        <v>2024</v>
      </c>
      <c r="O1738" s="7">
        <f>Table1[[#This Row],[Profit]]/Table1[[#This Row],[Total_Sales]]</f>
        <v>0.26325723327305606</v>
      </c>
    </row>
    <row r="1739" spans="1:15" x14ac:dyDescent="0.25">
      <c r="A1739" s="1">
        <v>1738</v>
      </c>
      <c r="B1739" s="2">
        <v>45236</v>
      </c>
      <c r="C1739" s="1" t="s">
        <v>16</v>
      </c>
      <c r="D1739" s="1" t="s">
        <v>26</v>
      </c>
      <c r="E1739" s="1" t="s">
        <v>37</v>
      </c>
      <c r="F1739" s="1" t="s">
        <v>40</v>
      </c>
      <c r="G1739" s="1">
        <v>4</v>
      </c>
      <c r="H1739" s="1">
        <v>385</v>
      </c>
      <c r="I1739" s="1">
        <v>5</v>
      </c>
      <c r="J1739" s="4">
        <v>1463</v>
      </c>
      <c r="K1739" s="4">
        <v>994.35</v>
      </c>
      <c r="L1739" s="4">
        <v>468.65</v>
      </c>
      <c r="M1739" s="1" t="str">
        <f>TEXT(Table1[[#This Row],[Order_Date]], "MMM")</f>
        <v>Nov</v>
      </c>
      <c r="N1739" s="1">
        <f>YEAR(Table1[[#This Row],[Order_Date]])</f>
        <v>2023</v>
      </c>
      <c r="O1739" s="7">
        <f>Table1[[#This Row],[Profit]]/Table1[[#This Row],[Total_Sales]]</f>
        <v>0.32033492822966508</v>
      </c>
    </row>
    <row r="1740" spans="1:15" x14ac:dyDescent="0.25">
      <c r="A1740" s="1">
        <v>1739</v>
      </c>
      <c r="B1740" s="2">
        <v>45000</v>
      </c>
      <c r="C1740" s="1" t="s">
        <v>19</v>
      </c>
      <c r="D1740" s="1" t="s">
        <v>20</v>
      </c>
      <c r="E1740" s="1" t="s">
        <v>21</v>
      </c>
      <c r="F1740" s="1" t="s">
        <v>18</v>
      </c>
      <c r="G1740" s="1">
        <v>7</v>
      </c>
      <c r="H1740" s="1">
        <v>15</v>
      </c>
      <c r="I1740" s="1">
        <v>20</v>
      </c>
      <c r="J1740" s="4">
        <v>84</v>
      </c>
      <c r="K1740" s="4">
        <v>54.48</v>
      </c>
      <c r="L1740" s="4">
        <v>29.52</v>
      </c>
      <c r="M1740" s="1" t="str">
        <f>TEXT(Table1[[#This Row],[Order_Date]], "MMM")</f>
        <v>Mar</v>
      </c>
      <c r="N1740" s="1">
        <f>YEAR(Table1[[#This Row],[Order_Date]])</f>
        <v>2023</v>
      </c>
      <c r="O1740" s="7">
        <f>Table1[[#This Row],[Profit]]/Table1[[#This Row],[Total_Sales]]</f>
        <v>0.35142857142857142</v>
      </c>
    </row>
    <row r="1741" spans="1:15" x14ac:dyDescent="0.25">
      <c r="A1741" s="1">
        <v>1740</v>
      </c>
      <c r="B1741" s="2">
        <v>45517</v>
      </c>
      <c r="C1741" s="1" t="s">
        <v>12</v>
      </c>
      <c r="D1741" s="1" t="s">
        <v>13</v>
      </c>
      <c r="E1741" s="1" t="s">
        <v>39</v>
      </c>
      <c r="F1741" s="1" t="s">
        <v>40</v>
      </c>
      <c r="G1741" s="1">
        <v>5</v>
      </c>
      <c r="H1741" s="1">
        <v>554</v>
      </c>
      <c r="I1741" s="1">
        <v>0</v>
      </c>
      <c r="J1741" s="4">
        <v>2770</v>
      </c>
      <c r="K1741" s="4">
        <v>1609.72</v>
      </c>
      <c r="L1741" s="4">
        <v>1160.28</v>
      </c>
      <c r="M1741" s="1" t="str">
        <f>TEXT(Table1[[#This Row],[Order_Date]], "MMM")</f>
        <v>Aug</v>
      </c>
      <c r="N1741" s="1">
        <f>YEAR(Table1[[#This Row],[Order_Date]])</f>
        <v>2024</v>
      </c>
      <c r="O1741" s="7">
        <f>Table1[[#This Row],[Profit]]/Table1[[#This Row],[Total_Sales]]</f>
        <v>0.41887364620938627</v>
      </c>
    </row>
    <row r="1742" spans="1:15" x14ac:dyDescent="0.25">
      <c r="A1742" s="1">
        <v>1741</v>
      </c>
      <c r="B1742" s="2">
        <v>45270</v>
      </c>
      <c r="C1742" s="1" t="s">
        <v>16</v>
      </c>
      <c r="D1742" s="1" t="s">
        <v>32</v>
      </c>
      <c r="E1742" s="1" t="s">
        <v>34</v>
      </c>
      <c r="F1742" s="1" t="s">
        <v>24</v>
      </c>
      <c r="G1742" s="1">
        <v>9</v>
      </c>
      <c r="H1742" s="1">
        <v>680</v>
      </c>
      <c r="I1742" s="1">
        <v>10</v>
      </c>
      <c r="J1742" s="4">
        <v>5508</v>
      </c>
      <c r="K1742" s="4">
        <v>4307.28</v>
      </c>
      <c r="L1742" s="4">
        <v>1200.72</v>
      </c>
      <c r="M1742" s="1" t="str">
        <f>TEXT(Table1[[#This Row],[Order_Date]], "MMM")</f>
        <v>Dec</v>
      </c>
      <c r="N1742" s="1">
        <f>YEAR(Table1[[#This Row],[Order_Date]])</f>
        <v>2023</v>
      </c>
      <c r="O1742" s="7">
        <f>Table1[[#This Row],[Profit]]/Table1[[#This Row],[Total_Sales]]</f>
        <v>0.21799564270152505</v>
      </c>
    </row>
    <row r="1743" spans="1:15" x14ac:dyDescent="0.25">
      <c r="A1743" s="1">
        <v>1742</v>
      </c>
      <c r="B1743" s="2">
        <v>45008</v>
      </c>
      <c r="C1743" s="1" t="s">
        <v>12</v>
      </c>
      <c r="D1743" s="1" t="s">
        <v>22</v>
      </c>
      <c r="E1743" s="1" t="s">
        <v>36</v>
      </c>
      <c r="F1743" s="1" t="s">
        <v>18</v>
      </c>
      <c r="G1743" s="1">
        <v>7</v>
      </c>
      <c r="H1743" s="1">
        <v>238</v>
      </c>
      <c r="I1743" s="1">
        <v>5</v>
      </c>
      <c r="J1743" s="4">
        <v>1582.7</v>
      </c>
      <c r="K1743" s="4">
        <v>880.25</v>
      </c>
      <c r="L1743" s="4">
        <v>702.45</v>
      </c>
      <c r="M1743" s="1" t="str">
        <f>TEXT(Table1[[#This Row],[Order_Date]], "MMM")</f>
        <v>Mar</v>
      </c>
      <c r="N1743" s="1">
        <f>YEAR(Table1[[#This Row],[Order_Date]])</f>
        <v>2023</v>
      </c>
      <c r="O1743" s="7">
        <f>Table1[[#This Row],[Profit]]/Table1[[#This Row],[Total_Sales]]</f>
        <v>0.44383016364440514</v>
      </c>
    </row>
    <row r="1744" spans="1:15" x14ac:dyDescent="0.25">
      <c r="A1744" s="1">
        <v>1743</v>
      </c>
      <c r="B1744" s="2">
        <v>45476</v>
      </c>
      <c r="C1744" s="1" t="s">
        <v>19</v>
      </c>
      <c r="D1744" s="1" t="s">
        <v>13</v>
      </c>
      <c r="E1744" s="1" t="s">
        <v>14</v>
      </c>
      <c r="F1744" s="1" t="s">
        <v>31</v>
      </c>
      <c r="G1744" s="1">
        <v>9</v>
      </c>
      <c r="H1744" s="1">
        <v>844</v>
      </c>
      <c r="I1744" s="1">
        <v>5</v>
      </c>
      <c r="J1744" s="4">
        <v>7216.2</v>
      </c>
      <c r="K1744" s="4">
        <v>5714.21</v>
      </c>
      <c r="L1744" s="4">
        <v>1501.99</v>
      </c>
      <c r="M1744" s="1" t="str">
        <f>TEXT(Table1[[#This Row],[Order_Date]], "MMM")</f>
        <v>Jul</v>
      </c>
      <c r="N1744" s="1">
        <f>YEAR(Table1[[#This Row],[Order_Date]])</f>
        <v>2024</v>
      </c>
      <c r="O1744" s="7">
        <f>Table1[[#This Row],[Profit]]/Table1[[#This Row],[Total_Sales]]</f>
        <v>0.20814140406308029</v>
      </c>
    </row>
    <row r="1745" spans="1:15" x14ac:dyDescent="0.25">
      <c r="A1745" s="1">
        <v>1744</v>
      </c>
      <c r="B1745" s="2">
        <v>45278</v>
      </c>
      <c r="C1745" s="1" t="s">
        <v>12</v>
      </c>
      <c r="D1745" s="1" t="s">
        <v>20</v>
      </c>
      <c r="E1745" s="1" t="s">
        <v>21</v>
      </c>
      <c r="F1745" s="1" t="s">
        <v>15</v>
      </c>
      <c r="G1745" s="1">
        <v>10</v>
      </c>
      <c r="H1745" s="1">
        <v>186</v>
      </c>
      <c r="I1745" s="1">
        <v>10</v>
      </c>
      <c r="J1745" s="4">
        <v>1674</v>
      </c>
      <c r="K1745" s="4">
        <v>1169.26</v>
      </c>
      <c r="L1745" s="4">
        <v>504.74</v>
      </c>
      <c r="M1745" s="1" t="str">
        <f>TEXT(Table1[[#This Row],[Order_Date]], "MMM")</f>
        <v>Dec</v>
      </c>
      <c r="N1745" s="1">
        <f>YEAR(Table1[[#This Row],[Order_Date]])</f>
        <v>2023</v>
      </c>
      <c r="O1745" s="7">
        <f>Table1[[#This Row],[Profit]]/Table1[[#This Row],[Total_Sales]]</f>
        <v>0.30151732377538831</v>
      </c>
    </row>
    <row r="1746" spans="1:15" x14ac:dyDescent="0.25">
      <c r="A1746" s="1">
        <v>1745</v>
      </c>
      <c r="B1746" s="2">
        <v>44964</v>
      </c>
      <c r="C1746" s="1" t="s">
        <v>12</v>
      </c>
      <c r="D1746" s="1" t="s">
        <v>13</v>
      </c>
      <c r="E1746" s="1" t="s">
        <v>39</v>
      </c>
      <c r="F1746" s="1" t="s">
        <v>18</v>
      </c>
      <c r="G1746" s="1">
        <v>10</v>
      </c>
      <c r="H1746" s="1">
        <v>648</v>
      </c>
      <c r="I1746" s="1">
        <v>0</v>
      </c>
      <c r="J1746" s="4">
        <v>6480</v>
      </c>
      <c r="K1746" s="4">
        <v>4466.8100000000004</v>
      </c>
      <c r="L1746" s="4">
        <v>2013.19</v>
      </c>
      <c r="M1746" s="1" t="str">
        <f>TEXT(Table1[[#This Row],[Order_Date]], "MMM")</f>
        <v>Feb</v>
      </c>
      <c r="N1746" s="1">
        <f>YEAR(Table1[[#This Row],[Order_Date]])</f>
        <v>2023</v>
      </c>
      <c r="O1746" s="7">
        <f>Table1[[#This Row],[Profit]]/Table1[[#This Row],[Total_Sales]]</f>
        <v>0.31067746913580246</v>
      </c>
    </row>
    <row r="1747" spans="1:15" x14ac:dyDescent="0.25">
      <c r="A1747" s="1">
        <v>1746</v>
      </c>
      <c r="B1747" s="2">
        <v>45183</v>
      </c>
      <c r="C1747" s="1" t="s">
        <v>16</v>
      </c>
      <c r="D1747" s="1" t="s">
        <v>13</v>
      </c>
      <c r="E1747" s="1" t="s">
        <v>38</v>
      </c>
      <c r="F1747" s="1" t="s">
        <v>15</v>
      </c>
      <c r="G1747" s="1">
        <v>9</v>
      </c>
      <c r="H1747" s="1">
        <v>959</v>
      </c>
      <c r="I1747" s="1">
        <v>5</v>
      </c>
      <c r="J1747" s="4">
        <v>8199.4500000000007</v>
      </c>
      <c r="K1747" s="4">
        <v>4781.38</v>
      </c>
      <c r="L1747" s="4">
        <v>3418.07</v>
      </c>
      <c r="M1747" s="1" t="str">
        <f>TEXT(Table1[[#This Row],[Order_Date]], "MMM")</f>
        <v>Sep</v>
      </c>
      <c r="N1747" s="1">
        <f>YEAR(Table1[[#This Row],[Order_Date]])</f>
        <v>2023</v>
      </c>
      <c r="O1747" s="7">
        <f>Table1[[#This Row],[Profit]]/Table1[[#This Row],[Total_Sales]]</f>
        <v>0.41686576538670272</v>
      </c>
    </row>
    <row r="1748" spans="1:15" x14ac:dyDescent="0.25">
      <c r="A1748" s="1">
        <v>1747</v>
      </c>
      <c r="B1748" s="2">
        <v>44954</v>
      </c>
      <c r="C1748" s="1" t="s">
        <v>19</v>
      </c>
      <c r="D1748" s="1" t="s">
        <v>26</v>
      </c>
      <c r="E1748" s="1" t="s">
        <v>46</v>
      </c>
      <c r="F1748" s="1" t="s">
        <v>31</v>
      </c>
      <c r="G1748" s="1">
        <v>1</v>
      </c>
      <c r="H1748" s="1">
        <v>78</v>
      </c>
      <c r="I1748" s="1">
        <v>10</v>
      </c>
      <c r="J1748" s="4">
        <v>70.2</v>
      </c>
      <c r="K1748" s="4">
        <v>36.130000000000003</v>
      </c>
      <c r="L1748" s="4">
        <v>34.07</v>
      </c>
      <c r="M1748" s="1" t="str">
        <f>TEXT(Table1[[#This Row],[Order_Date]], "MMM")</f>
        <v>Jan</v>
      </c>
      <c r="N1748" s="1">
        <f>YEAR(Table1[[#This Row],[Order_Date]])</f>
        <v>2023</v>
      </c>
      <c r="O1748" s="7">
        <f>Table1[[#This Row],[Profit]]/Table1[[#This Row],[Total_Sales]]</f>
        <v>0.48532763532763529</v>
      </c>
    </row>
    <row r="1749" spans="1:15" x14ac:dyDescent="0.25">
      <c r="A1749" s="1">
        <v>1748</v>
      </c>
      <c r="B1749" s="2">
        <v>45399</v>
      </c>
      <c r="C1749" s="1" t="s">
        <v>12</v>
      </c>
      <c r="D1749" s="1" t="s">
        <v>32</v>
      </c>
      <c r="E1749" s="1" t="s">
        <v>34</v>
      </c>
      <c r="F1749" s="1" t="s">
        <v>35</v>
      </c>
      <c r="G1749" s="1">
        <v>6</v>
      </c>
      <c r="H1749" s="1">
        <v>69</v>
      </c>
      <c r="I1749" s="1">
        <v>5</v>
      </c>
      <c r="J1749" s="4">
        <v>393.3</v>
      </c>
      <c r="K1749" s="4">
        <v>251.66</v>
      </c>
      <c r="L1749" s="4">
        <v>141.63999999999999</v>
      </c>
      <c r="M1749" s="1" t="str">
        <f>TEXT(Table1[[#This Row],[Order_Date]], "MMM")</f>
        <v>Apr</v>
      </c>
      <c r="N1749" s="1">
        <f>YEAR(Table1[[#This Row],[Order_Date]])</f>
        <v>2024</v>
      </c>
      <c r="O1749" s="7">
        <f>Table1[[#This Row],[Profit]]/Table1[[#This Row],[Total_Sales]]</f>
        <v>0.3601322145944571</v>
      </c>
    </row>
    <row r="1750" spans="1:15" x14ac:dyDescent="0.25">
      <c r="A1750" s="1">
        <v>1749</v>
      </c>
      <c r="B1750" s="2">
        <v>45506</v>
      </c>
      <c r="C1750" s="1" t="s">
        <v>25</v>
      </c>
      <c r="D1750" s="1" t="s">
        <v>26</v>
      </c>
      <c r="E1750" s="1" t="s">
        <v>42</v>
      </c>
      <c r="F1750" s="1" t="s">
        <v>24</v>
      </c>
      <c r="G1750" s="1">
        <v>8</v>
      </c>
      <c r="H1750" s="1">
        <v>688</v>
      </c>
      <c r="I1750" s="1">
        <v>10</v>
      </c>
      <c r="J1750" s="4">
        <v>4953.6000000000004</v>
      </c>
      <c r="K1750" s="4">
        <v>3176.2</v>
      </c>
      <c r="L1750" s="4">
        <v>1777.4</v>
      </c>
      <c r="M1750" s="1" t="str">
        <f>TEXT(Table1[[#This Row],[Order_Date]], "MMM")</f>
        <v>Aug</v>
      </c>
      <c r="N1750" s="1">
        <f>YEAR(Table1[[#This Row],[Order_Date]])</f>
        <v>2024</v>
      </c>
      <c r="O1750" s="7">
        <f>Table1[[#This Row],[Profit]]/Table1[[#This Row],[Total_Sales]]</f>
        <v>0.35880975452196384</v>
      </c>
    </row>
    <row r="1751" spans="1:15" x14ac:dyDescent="0.25">
      <c r="A1751" s="1">
        <v>1750</v>
      </c>
      <c r="B1751" s="2">
        <v>45210</v>
      </c>
      <c r="C1751" s="1" t="s">
        <v>19</v>
      </c>
      <c r="D1751" s="1" t="s">
        <v>20</v>
      </c>
      <c r="E1751" s="1" t="s">
        <v>28</v>
      </c>
      <c r="F1751" s="1" t="s">
        <v>31</v>
      </c>
      <c r="G1751" s="1">
        <v>6</v>
      </c>
      <c r="H1751" s="1">
        <v>917</v>
      </c>
      <c r="I1751" s="1">
        <v>15</v>
      </c>
      <c r="J1751" s="4">
        <v>4676.7</v>
      </c>
      <c r="K1751" s="4">
        <v>2993.33</v>
      </c>
      <c r="L1751" s="4">
        <v>1683.37</v>
      </c>
      <c r="M1751" s="1" t="str">
        <f>TEXT(Table1[[#This Row],[Order_Date]], "MMM")</f>
        <v>Oct</v>
      </c>
      <c r="N1751" s="1">
        <f>YEAR(Table1[[#This Row],[Order_Date]])</f>
        <v>2023</v>
      </c>
      <c r="O1751" s="7">
        <f>Table1[[#This Row],[Profit]]/Table1[[#This Row],[Total_Sales]]</f>
        <v>0.35994825411080461</v>
      </c>
    </row>
    <row r="1752" spans="1:15" x14ac:dyDescent="0.25">
      <c r="A1752" s="1">
        <v>1751</v>
      </c>
      <c r="B1752" s="2">
        <v>44952</v>
      </c>
      <c r="C1752" s="1" t="s">
        <v>25</v>
      </c>
      <c r="D1752" s="1" t="s">
        <v>13</v>
      </c>
      <c r="E1752" s="1" t="s">
        <v>17</v>
      </c>
      <c r="F1752" s="1" t="s">
        <v>18</v>
      </c>
      <c r="G1752" s="1">
        <v>6</v>
      </c>
      <c r="H1752" s="1">
        <v>676</v>
      </c>
      <c r="I1752" s="1">
        <v>5</v>
      </c>
      <c r="J1752" s="4">
        <v>3853.2</v>
      </c>
      <c r="K1752" s="4">
        <v>2517.5500000000002</v>
      </c>
      <c r="L1752" s="4">
        <v>1335.65</v>
      </c>
      <c r="M1752" s="1" t="str">
        <f>TEXT(Table1[[#This Row],[Order_Date]], "MMM")</f>
        <v>Jan</v>
      </c>
      <c r="N1752" s="1">
        <f>YEAR(Table1[[#This Row],[Order_Date]])</f>
        <v>2023</v>
      </c>
      <c r="O1752" s="7">
        <f>Table1[[#This Row],[Profit]]/Table1[[#This Row],[Total_Sales]]</f>
        <v>0.34663396657323786</v>
      </c>
    </row>
    <row r="1753" spans="1:15" x14ac:dyDescent="0.25">
      <c r="A1753" s="1">
        <v>1752</v>
      </c>
      <c r="B1753" s="2">
        <v>45132</v>
      </c>
      <c r="C1753" s="1" t="s">
        <v>25</v>
      </c>
      <c r="D1753" s="1" t="s">
        <v>13</v>
      </c>
      <c r="E1753" s="1" t="s">
        <v>17</v>
      </c>
      <c r="F1753" s="1" t="s">
        <v>24</v>
      </c>
      <c r="G1753" s="1">
        <v>3</v>
      </c>
      <c r="H1753" s="1">
        <v>998</v>
      </c>
      <c r="I1753" s="1">
        <v>0</v>
      </c>
      <c r="J1753" s="4">
        <v>2994</v>
      </c>
      <c r="K1753" s="4">
        <v>2286.81</v>
      </c>
      <c r="L1753" s="4">
        <v>707.19</v>
      </c>
      <c r="M1753" s="1" t="str">
        <f>TEXT(Table1[[#This Row],[Order_Date]], "MMM")</f>
        <v>Jul</v>
      </c>
      <c r="N1753" s="1">
        <f>YEAR(Table1[[#This Row],[Order_Date]])</f>
        <v>2023</v>
      </c>
      <c r="O1753" s="7">
        <f>Table1[[#This Row],[Profit]]/Table1[[#This Row],[Total_Sales]]</f>
        <v>0.23620240480961927</v>
      </c>
    </row>
    <row r="1754" spans="1:15" x14ac:dyDescent="0.25">
      <c r="A1754" s="1">
        <v>1753</v>
      </c>
      <c r="B1754" s="2">
        <v>45011</v>
      </c>
      <c r="C1754" s="1" t="s">
        <v>12</v>
      </c>
      <c r="D1754" s="1" t="s">
        <v>26</v>
      </c>
      <c r="E1754" s="1" t="s">
        <v>27</v>
      </c>
      <c r="F1754" s="1" t="s">
        <v>15</v>
      </c>
      <c r="G1754" s="1">
        <v>7</v>
      </c>
      <c r="H1754" s="1">
        <v>887</v>
      </c>
      <c r="I1754" s="1">
        <v>0</v>
      </c>
      <c r="J1754" s="4">
        <v>6209</v>
      </c>
      <c r="K1754" s="4">
        <v>4583.37</v>
      </c>
      <c r="L1754" s="4">
        <v>1625.63</v>
      </c>
      <c r="M1754" s="1" t="str">
        <f>TEXT(Table1[[#This Row],[Order_Date]], "MMM")</f>
        <v>Mar</v>
      </c>
      <c r="N1754" s="1">
        <f>YEAR(Table1[[#This Row],[Order_Date]])</f>
        <v>2023</v>
      </c>
      <c r="O1754" s="7">
        <f>Table1[[#This Row],[Profit]]/Table1[[#This Row],[Total_Sales]]</f>
        <v>0.26181832823320988</v>
      </c>
    </row>
    <row r="1755" spans="1:15" x14ac:dyDescent="0.25">
      <c r="A1755" s="1">
        <v>1754</v>
      </c>
      <c r="B1755" s="2">
        <v>44997</v>
      </c>
      <c r="C1755" s="1" t="s">
        <v>16</v>
      </c>
      <c r="D1755" s="1" t="s">
        <v>22</v>
      </c>
      <c r="E1755" s="1" t="s">
        <v>23</v>
      </c>
      <c r="F1755" s="1" t="s">
        <v>31</v>
      </c>
      <c r="G1755" s="1">
        <v>1</v>
      </c>
      <c r="H1755" s="1">
        <v>486</v>
      </c>
      <c r="I1755" s="1">
        <v>10</v>
      </c>
      <c r="J1755" s="4">
        <v>437.4</v>
      </c>
      <c r="K1755" s="4">
        <v>347.54</v>
      </c>
      <c r="L1755" s="4">
        <v>89.86</v>
      </c>
      <c r="M1755" s="1" t="str">
        <f>TEXT(Table1[[#This Row],[Order_Date]], "MMM")</f>
        <v>Mar</v>
      </c>
      <c r="N1755" s="1">
        <f>YEAR(Table1[[#This Row],[Order_Date]])</f>
        <v>2023</v>
      </c>
      <c r="O1755" s="7">
        <f>Table1[[#This Row],[Profit]]/Table1[[#This Row],[Total_Sales]]</f>
        <v>0.20544124371284866</v>
      </c>
    </row>
    <row r="1756" spans="1:15" x14ac:dyDescent="0.25">
      <c r="A1756" s="1">
        <v>1755</v>
      </c>
      <c r="B1756" s="2">
        <v>45354</v>
      </c>
      <c r="C1756" s="1" t="s">
        <v>19</v>
      </c>
      <c r="D1756" s="1" t="s">
        <v>13</v>
      </c>
      <c r="E1756" s="1" t="s">
        <v>14</v>
      </c>
      <c r="F1756" s="1" t="s">
        <v>35</v>
      </c>
      <c r="G1756" s="1">
        <v>9</v>
      </c>
      <c r="H1756" s="1">
        <v>940</v>
      </c>
      <c r="I1756" s="1">
        <v>20</v>
      </c>
      <c r="J1756" s="4">
        <v>6768</v>
      </c>
      <c r="K1756" s="4">
        <v>4928.26</v>
      </c>
      <c r="L1756" s="4">
        <v>1839.74</v>
      </c>
      <c r="M1756" s="1" t="str">
        <f>TEXT(Table1[[#This Row],[Order_Date]], "MMM")</f>
        <v>Mar</v>
      </c>
      <c r="N1756" s="1">
        <f>YEAR(Table1[[#This Row],[Order_Date]])</f>
        <v>2024</v>
      </c>
      <c r="O1756" s="7">
        <f>Table1[[#This Row],[Profit]]/Table1[[#This Row],[Total_Sales]]</f>
        <v>0.27182919621749407</v>
      </c>
    </row>
    <row r="1757" spans="1:15" x14ac:dyDescent="0.25">
      <c r="A1757" s="1">
        <v>1756</v>
      </c>
      <c r="B1757" s="2">
        <v>45616</v>
      </c>
      <c r="C1757" s="1" t="s">
        <v>16</v>
      </c>
      <c r="D1757" s="1" t="s">
        <v>26</v>
      </c>
      <c r="E1757" s="1" t="s">
        <v>37</v>
      </c>
      <c r="F1757" s="1" t="s">
        <v>35</v>
      </c>
      <c r="G1757" s="1">
        <v>7</v>
      </c>
      <c r="H1757" s="1">
        <v>975</v>
      </c>
      <c r="I1757" s="1">
        <v>10</v>
      </c>
      <c r="J1757" s="4">
        <v>6142.5</v>
      </c>
      <c r="K1757" s="4">
        <v>4265.53</v>
      </c>
      <c r="L1757" s="4">
        <v>1876.97</v>
      </c>
      <c r="M1757" s="1" t="str">
        <f>TEXT(Table1[[#This Row],[Order_Date]], "MMM")</f>
        <v>Nov</v>
      </c>
      <c r="N1757" s="1">
        <f>YEAR(Table1[[#This Row],[Order_Date]])</f>
        <v>2024</v>
      </c>
      <c r="O1757" s="7">
        <f>Table1[[#This Row],[Profit]]/Table1[[#This Row],[Total_Sales]]</f>
        <v>0.30557102157102156</v>
      </c>
    </row>
    <row r="1758" spans="1:15" x14ac:dyDescent="0.25">
      <c r="A1758" s="1">
        <v>1757</v>
      </c>
      <c r="B1758" s="2">
        <v>45486</v>
      </c>
      <c r="C1758" s="1" t="s">
        <v>19</v>
      </c>
      <c r="D1758" s="1" t="s">
        <v>26</v>
      </c>
      <c r="E1758" s="1" t="s">
        <v>42</v>
      </c>
      <c r="F1758" s="1" t="s">
        <v>15</v>
      </c>
      <c r="G1758" s="1">
        <v>7</v>
      </c>
      <c r="H1758" s="1">
        <v>633</v>
      </c>
      <c r="I1758" s="1">
        <v>0</v>
      </c>
      <c r="J1758" s="4">
        <v>4431</v>
      </c>
      <c r="K1758" s="4">
        <v>2375.3000000000002</v>
      </c>
      <c r="L1758" s="4">
        <v>2055.6999999999998</v>
      </c>
      <c r="M1758" s="1" t="str">
        <f>TEXT(Table1[[#This Row],[Order_Date]], "MMM")</f>
        <v>Jul</v>
      </c>
      <c r="N1758" s="1">
        <f>YEAR(Table1[[#This Row],[Order_Date]])</f>
        <v>2024</v>
      </c>
      <c r="O1758" s="7">
        <f>Table1[[#This Row],[Profit]]/Table1[[#This Row],[Total_Sales]]</f>
        <v>0.46393590611600088</v>
      </c>
    </row>
    <row r="1759" spans="1:15" x14ac:dyDescent="0.25">
      <c r="A1759" s="1">
        <v>1758</v>
      </c>
      <c r="B1759" s="2">
        <v>44935</v>
      </c>
      <c r="C1759" s="1" t="s">
        <v>25</v>
      </c>
      <c r="D1759" s="1" t="s">
        <v>20</v>
      </c>
      <c r="E1759" s="1" t="s">
        <v>28</v>
      </c>
      <c r="F1759" s="1" t="s">
        <v>18</v>
      </c>
      <c r="G1759" s="1">
        <v>5</v>
      </c>
      <c r="H1759" s="1">
        <v>97</v>
      </c>
      <c r="I1759" s="1">
        <v>20</v>
      </c>
      <c r="J1759" s="4">
        <v>388</v>
      </c>
      <c r="K1759" s="4">
        <v>282.87</v>
      </c>
      <c r="L1759" s="4">
        <v>105.13</v>
      </c>
      <c r="M1759" s="1" t="str">
        <f>TEXT(Table1[[#This Row],[Order_Date]], "MMM")</f>
        <v>Jan</v>
      </c>
      <c r="N1759" s="1">
        <f>YEAR(Table1[[#This Row],[Order_Date]])</f>
        <v>2023</v>
      </c>
      <c r="O1759" s="7">
        <f>Table1[[#This Row],[Profit]]/Table1[[#This Row],[Total_Sales]]</f>
        <v>0.27095360824742265</v>
      </c>
    </row>
    <row r="1760" spans="1:15" x14ac:dyDescent="0.25">
      <c r="A1760" s="1">
        <v>1759</v>
      </c>
      <c r="B1760" s="2">
        <v>45244</v>
      </c>
      <c r="C1760" s="1" t="s">
        <v>25</v>
      </c>
      <c r="D1760" s="1" t="s">
        <v>22</v>
      </c>
      <c r="E1760" s="1" t="s">
        <v>36</v>
      </c>
      <c r="F1760" s="1" t="s">
        <v>15</v>
      </c>
      <c r="G1760" s="1">
        <v>10</v>
      </c>
      <c r="H1760" s="1">
        <v>464</v>
      </c>
      <c r="I1760" s="1">
        <v>0</v>
      </c>
      <c r="J1760" s="4">
        <v>4640</v>
      </c>
      <c r="K1760" s="4">
        <v>3404.65</v>
      </c>
      <c r="L1760" s="4">
        <v>1235.3499999999999</v>
      </c>
      <c r="M1760" s="1" t="str">
        <f>TEXT(Table1[[#This Row],[Order_Date]], "MMM")</f>
        <v>Nov</v>
      </c>
      <c r="N1760" s="1">
        <f>YEAR(Table1[[#This Row],[Order_Date]])</f>
        <v>2023</v>
      </c>
      <c r="O1760" s="7">
        <f>Table1[[#This Row],[Profit]]/Table1[[#This Row],[Total_Sales]]</f>
        <v>0.266239224137931</v>
      </c>
    </row>
    <row r="1761" spans="1:15" x14ac:dyDescent="0.25">
      <c r="A1761" s="1">
        <v>1760</v>
      </c>
      <c r="B1761" s="2">
        <v>45335</v>
      </c>
      <c r="C1761" s="1" t="s">
        <v>25</v>
      </c>
      <c r="D1761" s="1" t="s">
        <v>13</v>
      </c>
      <c r="E1761" s="1" t="s">
        <v>38</v>
      </c>
      <c r="F1761" s="1" t="s">
        <v>35</v>
      </c>
      <c r="G1761" s="1">
        <v>8</v>
      </c>
      <c r="H1761" s="1">
        <v>469</v>
      </c>
      <c r="I1761" s="1">
        <v>10</v>
      </c>
      <c r="J1761" s="4">
        <v>3376.8</v>
      </c>
      <c r="K1761" s="4">
        <v>2156.86</v>
      </c>
      <c r="L1761" s="4">
        <v>1219.94</v>
      </c>
      <c r="M1761" s="1" t="str">
        <f>TEXT(Table1[[#This Row],[Order_Date]], "MMM")</f>
        <v>Feb</v>
      </c>
      <c r="N1761" s="1">
        <f>YEAR(Table1[[#This Row],[Order_Date]])</f>
        <v>2024</v>
      </c>
      <c r="O1761" s="7">
        <f>Table1[[#This Row],[Profit]]/Table1[[#This Row],[Total_Sales]]</f>
        <v>0.36127102582326465</v>
      </c>
    </row>
    <row r="1762" spans="1:15" x14ac:dyDescent="0.25">
      <c r="A1762" s="1">
        <v>1761</v>
      </c>
      <c r="B1762" s="2">
        <v>45145</v>
      </c>
      <c r="C1762" s="1" t="s">
        <v>16</v>
      </c>
      <c r="D1762" s="1" t="s">
        <v>13</v>
      </c>
      <c r="E1762" s="1" t="s">
        <v>17</v>
      </c>
      <c r="F1762" s="1" t="s">
        <v>35</v>
      </c>
      <c r="G1762" s="1">
        <v>8</v>
      </c>
      <c r="H1762" s="1">
        <v>343</v>
      </c>
      <c r="I1762" s="1">
        <v>15</v>
      </c>
      <c r="J1762" s="4">
        <v>2332.4</v>
      </c>
      <c r="K1762" s="4">
        <v>1179.58</v>
      </c>
      <c r="L1762" s="4">
        <v>1152.82</v>
      </c>
      <c r="M1762" s="1" t="str">
        <f>TEXT(Table1[[#This Row],[Order_Date]], "MMM")</f>
        <v>Aug</v>
      </c>
      <c r="N1762" s="1">
        <f>YEAR(Table1[[#This Row],[Order_Date]])</f>
        <v>2023</v>
      </c>
      <c r="O1762" s="7">
        <f>Table1[[#This Row],[Profit]]/Table1[[#This Row],[Total_Sales]]</f>
        <v>0.49426341965357568</v>
      </c>
    </row>
    <row r="1763" spans="1:15" x14ac:dyDescent="0.25">
      <c r="A1763" s="1">
        <v>1762</v>
      </c>
      <c r="B1763" s="2">
        <v>45479</v>
      </c>
      <c r="C1763" s="1" t="s">
        <v>16</v>
      </c>
      <c r="D1763" s="1" t="s">
        <v>13</v>
      </c>
      <c r="E1763" s="1" t="s">
        <v>14</v>
      </c>
      <c r="F1763" s="1" t="s">
        <v>40</v>
      </c>
      <c r="G1763" s="1">
        <v>5</v>
      </c>
      <c r="H1763" s="1">
        <v>615</v>
      </c>
      <c r="I1763" s="1">
        <v>5</v>
      </c>
      <c r="J1763" s="4">
        <v>2921.25</v>
      </c>
      <c r="K1763" s="4">
        <v>1943.44</v>
      </c>
      <c r="L1763" s="4">
        <v>977.81</v>
      </c>
      <c r="M1763" s="1" t="str">
        <f>TEXT(Table1[[#This Row],[Order_Date]], "MMM")</f>
        <v>Jul</v>
      </c>
      <c r="N1763" s="1">
        <f>YEAR(Table1[[#This Row],[Order_Date]])</f>
        <v>2024</v>
      </c>
      <c r="O1763" s="7">
        <f>Table1[[#This Row],[Profit]]/Table1[[#This Row],[Total_Sales]]</f>
        <v>0.33472314933675651</v>
      </c>
    </row>
    <row r="1764" spans="1:15" x14ac:dyDescent="0.25">
      <c r="A1764" s="1">
        <v>1763</v>
      </c>
      <c r="B1764" s="2">
        <v>45482</v>
      </c>
      <c r="C1764" s="1" t="s">
        <v>19</v>
      </c>
      <c r="D1764" s="1" t="s">
        <v>20</v>
      </c>
      <c r="E1764" s="1" t="s">
        <v>43</v>
      </c>
      <c r="F1764" s="1" t="s">
        <v>31</v>
      </c>
      <c r="G1764" s="1">
        <v>1</v>
      </c>
      <c r="H1764" s="1">
        <v>618</v>
      </c>
      <c r="I1764" s="1">
        <v>10</v>
      </c>
      <c r="J1764" s="4">
        <v>556.20000000000005</v>
      </c>
      <c r="K1764" s="4">
        <v>431.27</v>
      </c>
      <c r="L1764" s="4">
        <v>124.93</v>
      </c>
      <c r="M1764" s="1" t="str">
        <f>TEXT(Table1[[#This Row],[Order_Date]], "MMM")</f>
        <v>Jul</v>
      </c>
      <c r="N1764" s="1">
        <f>YEAR(Table1[[#This Row],[Order_Date]])</f>
        <v>2024</v>
      </c>
      <c r="O1764" s="7">
        <f>Table1[[#This Row],[Profit]]/Table1[[#This Row],[Total_Sales]]</f>
        <v>0.22461344839985617</v>
      </c>
    </row>
    <row r="1765" spans="1:15" x14ac:dyDescent="0.25">
      <c r="A1765" s="1">
        <v>1764</v>
      </c>
      <c r="B1765" s="2">
        <v>45592</v>
      </c>
      <c r="C1765" s="1" t="s">
        <v>12</v>
      </c>
      <c r="D1765" s="1" t="s">
        <v>26</v>
      </c>
      <c r="E1765" s="1" t="s">
        <v>42</v>
      </c>
      <c r="F1765" s="1" t="s">
        <v>40</v>
      </c>
      <c r="G1765" s="1">
        <v>4</v>
      </c>
      <c r="H1765" s="1">
        <v>976</v>
      </c>
      <c r="I1765" s="1">
        <v>10</v>
      </c>
      <c r="J1765" s="4">
        <v>3513.6</v>
      </c>
      <c r="K1765" s="4">
        <v>2271</v>
      </c>
      <c r="L1765" s="4">
        <v>1242.5999999999999</v>
      </c>
      <c r="M1765" s="1" t="str">
        <f>TEXT(Table1[[#This Row],[Order_Date]], "MMM")</f>
        <v>Oct</v>
      </c>
      <c r="N1765" s="1">
        <f>YEAR(Table1[[#This Row],[Order_Date]])</f>
        <v>2024</v>
      </c>
      <c r="O1765" s="7">
        <f>Table1[[#This Row],[Profit]]/Table1[[#This Row],[Total_Sales]]</f>
        <v>0.35365437158469942</v>
      </c>
    </row>
    <row r="1766" spans="1:15" x14ac:dyDescent="0.25">
      <c r="A1766" s="1">
        <v>1765</v>
      </c>
      <c r="B1766" s="2">
        <v>45150</v>
      </c>
      <c r="C1766" s="1" t="s">
        <v>25</v>
      </c>
      <c r="D1766" s="1" t="s">
        <v>22</v>
      </c>
      <c r="E1766" s="1" t="s">
        <v>23</v>
      </c>
      <c r="F1766" s="1" t="s">
        <v>35</v>
      </c>
      <c r="G1766" s="1">
        <v>9</v>
      </c>
      <c r="H1766" s="1">
        <v>743</v>
      </c>
      <c r="I1766" s="1">
        <v>5</v>
      </c>
      <c r="J1766" s="4">
        <v>6352.65</v>
      </c>
      <c r="K1766" s="4">
        <v>4213.54</v>
      </c>
      <c r="L1766" s="4">
        <v>2139.11</v>
      </c>
      <c r="M1766" s="1" t="str">
        <f>TEXT(Table1[[#This Row],[Order_Date]], "MMM")</f>
        <v>Aug</v>
      </c>
      <c r="N1766" s="1">
        <f>YEAR(Table1[[#This Row],[Order_Date]])</f>
        <v>2023</v>
      </c>
      <c r="O1766" s="7">
        <f>Table1[[#This Row],[Profit]]/Table1[[#This Row],[Total_Sales]]</f>
        <v>0.33672719258891964</v>
      </c>
    </row>
    <row r="1767" spans="1:15" x14ac:dyDescent="0.25">
      <c r="A1767" s="1">
        <v>1766</v>
      </c>
      <c r="B1767" s="2">
        <v>45329</v>
      </c>
      <c r="C1767" s="1" t="s">
        <v>19</v>
      </c>
      <c r="D1767" s="1" t="s">
        <v>22</v>
      </c>
      <c r="E1767" s="1" t="s">
        <v>23</v>
      </c>
      <c r="F1767" s="1" t="s">
        <v>40</v>
      </c>
      <c r="G1767" s="1">
        <v>10</v>
      </c>
      <c r="H1767" s="1">
        <v>72</v>
      </c>
      <c r="I1767" s="1">
        <v>0</v>
      </c>
      <c r="J1767" s="4">
        <v>720</v>
      </c>
      <c r="K1767" s="4">
        <v>413.37</v>
      </c>
      <c r="L1767" s="4">
        <v>306.63</v>
      </c>
      <c r="M1767" s="1" t="str">
        <f>TEXT(Table1[[#This Row],[Order_Date]], "MMM")</f>
        <v>Feb</v>
      </c>
      <c r="N1767" s="1">
        <f>YEAR(Table1[[#This Row],[Order_Date]])</f>
        <v>2024</v>
      </c>
      <c r="O1767" s="7">
        <f>Table1[[#This Row],[Profit]]/Table1[[#This Row],[Total_Sales]]</f>
        <v>0.425875</v>
      </c>
    </row>
    <row r="1768" spans="1:15" x14ac:dyDescent="0.25">
      <c r="A1768" s="1">
        <v>1767</v>
      </c>
      <c r="B1768" s="2">
        <v>45442</v>
      </c>
      <c r="C1768" s="1" t="s">
        <v>16</v>
      </c>
      <c r="D1768" s="1" t="s">
        <v>13</v>
      </c>
      <c r="E1768" s="1" t="s">
        <v>17</v>
      </c>
      <c r="F1768" s="1" t="s">
        <v>15</v>
      </c>
      <c r="G1768" s="1">
        <v>5</v>
      </c>
      <c r="H1768" s="1">
        <v>405</v>
      </c>
      <c r="I1768" s="1">
        <v>0</v>
      </c>
      <c r="J1768" s="4">
        <v>2025</v>
      </c>
      <c r="K1768" s="4">
        <v>1185.96</v>
      </c>
      <c r="L1768" s="4">
        <v>839.04</v>
      </c>
      <c r="M1768" s="1" t="str">
        <f>TEXT(Table1[[#This Row],[Order_Date]], "MMM")</f>
        <v>May</v>
      </c>
      <c r="N1768" s="1">
        <f>YEAR(Table1[[#This Row],[Order_Date]])</f>
        <v>2024</v>
      </c>
      <c r="O1768" s="7">
        <f>Table1[[#This Row],[Profit]]/Table1[[#This Row],[Total_Sales]]</f>
        <v>0.41434074074074073</v>
      </c>
    </row>
    <row r="1769" spans="1:15" x14ac:dyDescent="0.25">
      <c r="A1769" s="1">
        <v>1768</v>
      </c>
      <c r="B1769" s="2">
        <v>45423</v>
      </c>
      <c r="C1769" s="1" t="s">
        <v>16</v>
      </c>
      <c r="D1769" s="1" t="s">
        <v>20</v>
      </c>
      <c r="E1769" s="1" t="s">
        <v>28</v>
      </c>
      <c r="F1769" s="1" t="s">
        <v>24</v>
      </c>
      <c r="G1769" s="1">
        <v>8</v>
      </c>
      <c r="H1769" s="1">
        <v>484</v>
      </c>
      <c r="I1769" s="1">
        <v>15</v>
      </c>
      <c r="J1769" s="4">
        <v>3291.2</v>
      </c>
      <c r="K1769" s="4">
        <v>2316.9699999999998</v>
      </c>
      <c r="L1769" s="4">
        <v>974.23</v>
      </c>
      <c r="M1769" s="1" t="str">
        <f>TEXT(Table1[[#This Row],[Order_Date]], "MMM")</f>
        <v>May</v>
      </c>
      <c r="N1769" s="1">
        <f>YEAR(Table1[[#This Row],[Order_Date]])</f>
        <v>2024</v>
      </c>
      <c r="O1769" s="7">
        <f>Table1[[#This Row],[Profit]]/Table1[[#This Row],[Total_Sales]]</f>
        <v>0.29601057365094802</v>
      </c>
    </row>
    <row r="1770" spans="1:15" x14ac:dyDescent="0.25">
      <c r="A1770" s="1">
        <v>1769</v>
      </c>
      <c r="B1770" s="2">
        <v>45160</v>
      </c>
      <c r="C1770" s="1" t="s">
        <v>12</v>
      </c>
      <c r="D1770" s="1" t="s">
        <v>26</v>
      </c>
      <c r="E1770" s="1" t="s">
        <v>37</v>
      </c>
      <c r="F1770" s="1" t="s">
        <v>31</v>
      </c>
      <c r="G1770" s="1">
        <v>3</v>
      </c>
      <c r="H1770" s="1">
        <v>211</v>
      </c>
      <c r="I1770" s="1">
        <v>20</v>
      </c>
      <c r="J1770" s="4">
        <v>506.4</v>
      </c>
      <c r="K1770" s="4">
        <v>305.68</v>
      </c>
      <c r="L1770" s="4">
        <v>200.72</v>
      </c>
      <c r="M1770" s="1" t="str">
        <f>TEXT(Table1[[#This Row],[Order_Date]], "MMM")</f>
        <v>Aug</v>
      </c>
      <c r="N1770" s="1">
        <f>YEAR(Table1[[#This Row],[Order_Date]])</f>
        <v>2023</v>
      </c>
      <c r="O1770" s="7">
        <f>Table1[[#This Row],[Profit]]/Table1[[#This Row],[Total_Sales]]</f>
        <v>0.39636650868878359</v>
      </c>
    </row>
    <row r="1771" spans="1:15" x14ac:dyDescent="0.25">
      <c r="A1771" s="1">
        <v>1770</v>
      </c>
      <c r="B1771" s="2">
        <v>45445</v>
      </c>
      <c r="C1771" s="1" t="s">
        <v>25</v>
      </c>
      <c r="D1771" s="1" t="s">
        <v>32</v>
      </c>
      <c r="E1771" s="1" t="s">
        <v>33</v>
      </c>
      <c r="F1771" s="1" t="s">
        <v>18</v>
      </c>
      <c r="G1771" s="1">
        <v>1</v>
      </c>
      <c r="H1771" s="1">
        <v>158</v>
      </c>
      <c r="I1771" s="1">
        <v>10</v>
      </c>
      <c r="J1771" s="4">
        <v>142.19999999999999</v>
      </c>
      <c r="K1771" s="4">
        <v>99.01</v>
      </c>
      <c r="L1771" s="4">
        <v>43.19</v>
      </c>
      <c r="M1771" s="1" t="str">
        <f>TEXT(Table1[[#This Row],[Order_Date]], "MMM")</f>
        <v>Jun</v>
      </c>
      <c r="N1771" s="1">
        <f>YEAR(Table1[[#This Row],[Order_Date]])</f>
        <v>2024</v>
      </c>
      <c r="O1771" s="7">
        <f>Table1[[#This Row],[Profit]]/Table1[[#This Row],[Total_Sales]]</f>
        <v>0.30372714486638536</v>
      </c>
    </row>
    <row r="1772" spans="1:15" x14ac:dyDescent="0.25">
      <c r="A1772" s="1">
        <v>1771</v>
      </c>
      <c r="B1772" s="2">
        <v>45436</v>
      </c>
      <c r="C1772" s="1" t="s">
        <v>19</v>
      </c>
      <c r="D1772" s="1" t="s">
        <v>32</v>
      </c>
      <c r="E1772" s="1" t="s">
        <v>45</v>
      </c>
      <c r="F1772" s="1" t="s">
        <v>24</v>
      </c>
      <c r="G1772" s="1">
        <v>8</v>
      </c>
      <c r="H1772" s="1">
        <v>264</v>
      </c>
      <c r="I1772" s="1">
        <v>0</v>
      </c>
      <c r="J1772" s="4">
        <v>2112</v>
      </c>
      <c r="K1772" s="4">
        <v>1467.26</v>
      </c>
      <c r="L1772" s="4">
        <v>644.74</v>
      </c>
      <c r="M1772" s="1" t="str">
        <f>TEXT(Table1[[#This Row],[Order_Date]], "MMM")</f>
        <v>May</v>
      </c>
      <c r="N1772" s="1">
        <f>YEAR(Table1[[#This Row],[Order_Date]])</f>
        <v>2024</v>
      </c>
      <c r="O1772" s="7">
        <f>Table1[[#This Row],[Profit]]/Table1[[#This Row],[Total_Sales]]</f>
        <v>0.30527462121212123</v>
      </c>
    </row>
    <row r="1773" spans="1:15" x14ac:dyDescent="0.25">
      <c r="A1773" s="1">
        <v>1772</v>
      </c>
      <c r="B1773" s="2">
        <v>45630</v>
      </c>
      <c r="C1773" s="1" t="s">
        <v>16</v>
      </c>
      <c r="D1773" s="1" t="s">
        <v>22</v>
      </c>
      <c r="E1773" s="1" t="s">
        <v>44</v>
      </c>
      <c r="F1773" s="1" t="s">
        <v>35</v>
      </c>
      <c r="G1773" s="1">
        <v>5</v>
      </c>
      <c r="H1773" s="1">
        <v>559</v>
      </c>
      <c r="I1773" s="1">
        <v>0</v>
      </c>
      <c r="J1773" s="4">
        <v>2795</v>
      </c>
      <c r="K1773" s="4">
        <v>1774.17</v>
      </c>
      <c r="L1773" s="4">
        <v>1020.83</v>
      </c>
      <c r="M1773" s="1" t="str">
        <f>TEXT(Table1[[#This Row],[Order_Date]], "MMM")</f>
        <v>Dec</v>
      </c>
      <c r="N1773" s="1">
        <f>YEAR(Table1[[#This Row],[Order_Date]])</f>
        <v>2024</v>
      </c>
      <c r="O1773" s="7">
        <f>Table1[[#This Row],[Profit]]/Table1[[#This Row],[Total_Sales]]</f>
        <v>0.36523434704830054</v>
      </c>
    </row>
    <row r="1774" spans="1:15" x14ac:dyDescent="0.25">
      <c r="A1774" s="1">
        <v>1773</v>
      </c>
      <c r="B1774" s="2">
        <v>45433</v>
      </c>
      <c r="C1774" s="1" t="s">
        <v>12</v>
      </c>
      <c r="D1774" s="1" t="s">
        <v>22</v>
      </c>
      <c r="E1774" s="1" t="s">
        <v>36</v>
      </c>
      <c r="F1774" s="1" t="s">
        <v>24</v>
      </c>
      <c r="G1774" s="1">
        <v>1</v>
      </c>
      <c r="H1774" s="1">
        <v>886</v>
      </c>
      <c r="I1774" s="1">
        <v>0</v>
      </c>
      <c r="J1774" s="4">
        <v>886</v>
      </c>
      <c r="K1774" s="4">
        <v>615.91999999999996</v>
      </c>
      <c r="L1774" s="4">
        <v>270.08</v>
      </c>
      <c r="M1774" s="1" t="str">
        <f>TEXT(Table1[[#This Row],[Order_Date]], "MMM")</f>
        <v>May</v>
      </c>
      <c r="N1774" s="1">
        <f>YEAR(Table1[[#This Row],[Order_Date]])</f>
        <v>2024</v>
      </c>
      <c r="O1774" s="7">
        <f>Table1[[#This Row],[Profit]]/Table1[[#This Row],[Total_Sales]]</f>
        <v>0.30483069977426636</v>
      </c>
    </row>
    <row r="1775" spans="1:15" x14ac:dyDescent="0.25">
      <c r="A1775" s="1">
        <v>1774</v>
      </c>
      <c r="B1775" s="2">
        <v>45236</v>
      </c>
      <c r="C1775" s="1" t="s">
        <v>19</v>
      </c>
      <c r="D1775" s="1" t="s">
        <v>22</v>
      </c>
      <c r="E1775" s="1" t="s">
        <v>44</v>
      </c>
      <c r="F1775" s="1" t="s">
        <v>15</v>
      </c>
      <c r="G1775" s="1">
        <v>3</v>
      </c>
      <c r="H1775" s="1">
        <v>201</v>
      </c>
      <c r="I1775" s="1">
        <v>20</v>
      </c>
      <c r="J1775" s="4">
        <v>482.4</v>
      </c>
      <c r="K1775" s="4">
        <v>318.98</v>
      </c>
      <c r="L1775" s="4">
        <v>163.41999999999999</v>
      </c>
      <c r="M1775" s="1" t="str">
        <f>TEXT(Table1[[#This Row],[Order_Date]], "MMM")</f>
        <v>Nov</v>
      </c>
      <c r="N1775" s="1">
        <f>YEAR(Table1[[#This Row],[Order_Date]])</f>
        <v>2023</v>
      </c>
      <c r="O1775" s="7">
        <f>Table1[[#This Row],[Profit]]/Table1[[#This Row],[Total_Sales]]</f>
        <v>0.33876451077943615</v>
      </c>
    </row>
    <row r="1776" spans="1:15" x14ac:dyDescent="0.25">
      <c r="A1776" s="1">
        <v>1775</v>
      </c>
      <c r="B1776" s="2">
        <v>45362</v>
      </c>
      <c r="C1776" s="1" t="s">
        <v>25</v>
      </c>
      <c r="D1776" s="1" t="s">
        <v>20</v>
      </c>
      <c r="E1776" s="1" t="s">
        <v>43</v>
      </c>
      <c r="F1776" s="1" t="s">
        <v>35</v>
      </c>
      <c r="G1776" s="1">
        <v>6</v>
      </c>
      <c r="H1776" s="1">
        <v>236</v>
      </c>
      <c r="I1776" s="1">
        <v>15</v>
      </c>
      <c r="J1776" s="4">
        <v>1203.5999999999999</v>
      </c>
      <c r="K1776" s="4">
        <v>679.71</v>
      </c>
      <c r="L1776" s="4">
        <v>523.89</v>
      </c>
      <c r="M1776" s="1" t="str">
        <f>TEXT(Table1[[#This Row],[Order_Date]], "MMM")</f>
        <v>Mar</v>
      </c>
      <c r="N1776" s="1">
        <f>YEAR(Table1[[#This Row],[Order_Date]])</f>
        <v>2024</v>
      </c>
      <c r="O1776" s="7">
        <f>Table1[[#This Row],[Profit]]/Table1[[#This Row],[Total_Sales]]</f>
        <v>0.43526919242273182</v>
      </c>
    </row>
    <row r="1777" spans="1:15" x14ac:dyDescent="0.25">
      <c r="A1777" s="1">
        <v>1776</v>
      </c>
      <c r="B1777" s="2">
        <v>45603</v>
      </c>
      <c r="C1777" s="1" t="s">
        <v>25</v>
      </c>
      <c r="D1777" s="1" t="s">
        <v>26</v>
      </c>
      <c r="E1777" s="1" t="s">
        <v>37</v>
      </c>
      <c r="F1777" s="1" t="s">
        <v>31</v>
      </c>
      <c r="G1777" s="1">
        <v>8</v>
      </c>
      <c r="H1777" s="1">
        <v>960</v>
      </c>
      <c r="I1777" s="1">
        <v>10</v>
      </c>
      <c r="J1777" s="4">
        <v>6912</v>
      </c>
      <c r="K1777" s="4">
        <v>3968.06</v>
      </c>
      <c r="L1777" s="4">
        <v>2943.94</v>
      </c>
      <c r="M1777" s="1" t="str">
        <f>TEXT(Table1[[#This Row],[Order_Date]], "MMM")</f>
        <v>Nov</v>
      </c>
      <c r="N1777" s="1">
        <f>YEAR(Table1[[#This Row],[Order_Date]])</f>
        <v>2024</v>
      </c>
      <c r="O1777" s="7">
        <f>Table1[[#This Row],[Profit]]/Table1[[#This Row],[Total_Sales]]</f>
        <v>0.4259172453703704</v>
      </c>
    </row>
    <row r="1778" spans="1:15" x14ac:dyDescent="0.25">
      <c r="A1778" s="1">
        <v>1777</v>
      </c>
      <c r="B1778" s="2">
        <v>45130</v>
      </c>
      <c r="C1778" s="1" t="s">
        <v>16</v>
      </c>
      <c r="D1778" s="1" t="s">
        <v>32</v>
      </c>
      <c r="E1778" s="1" t="s">
        <v>45</v>
      </c>
      <c r="F1778" s="1" t="s">
        <v>24</v>
      </c>
      <c r="G1778" s="1">
        <v>9</v>
      </c>
      <c r="H1778" s="1">
        <v>539</v>
      </c>
      <c r="I1778" s="1">
        <v>10</v>
      </c>
      <c r="J1778" s="4">
        <v>4365.8999999999996</v>
      </c>
      <c r="K1778" s="4">
        <v>3039.94</v>
      </c>
      <c r="L1778" s="4">
        <v>1325.96</v>
      </c>
      <c r="M1778" s="1" t="str">
        <f>TEXT(Table1[[#This Row],[Order_Date]], "MMM")</f>
        <v>Jul</v>
      </c>
      <c r="N1778" s="1">
        <f>YEAR(Table1[[#This Row],[Order_Date]])</f>
        <v>2023</v>
      </c>
      <c r="O1778" s="7">
        <f>Table1[[#This Row],[Profit]]/Table1[[#This Row],[Total_Sales]]</f>
        <v>0.30370828466066563</v>
      </c>
    </row>
    <row r="1779" spans="1:15" x14ac:dyDescent="0.25">
      <c r="A1779" s="1">
        <v>1778</v>
      </c>
      <c r="B1779" s="2">
        <v>45189</v>
      </c>
      <c r="C1779" s="1" t="s">
        <v>19</v>
      </c>
      <c r="D1779" s="1" t="s">
        <v>13</v>
      </c>
      <c r="E1779" s="1" t="s">
        <v>14</v>
      </c>
      <c r="F1779" s="1" t="s">
        <v>31</v>
      </c>
      <c r="G1779" s="1">
        <v>2</v>
      </c>
      <c r="H1779" s="1">
        <v>481</v>
      </c>
      <c r="I1779" s="1">
        <v>5</v>
      </c>
      <c r="J1779" s="4">
        <v>913.9</v>
      </c>
      <c r="K1779" s="4">
        <v>665.16</v>
      </c>
      <c r="L1779" s="4">
        <v>248.74</v>
      </c>
      <c r="M1779" s="1" t="str">
        <f>TEXT(Table1[[#This Row],[Order_Date]], "MMM")</f>
        <v>Sep</v>
      </c>
      <c r="N1779" s="1">
        <f>YEAR(Table1[[#This Row],[Order_Date]])</f>
        <v>2023</v>
      </c>
      <c r="O1779" s="7">
        <f>Table1[[#This Row],[Profit]]/Table1[[#This Row],[Total_Sales]]</f>
        <v>0.27217419848998797</v>
      </c>
    </row>
    <row r="1780" spans="1:15" x14ac:dyDescent="0.25">
      <c r="A1780" s="1">
        <v>1779</v>
      </c>
      <c r="B1780" s="2">
        <v>45371</v>
      </c>
      <c r="C1780" s="1" t="s">
        <v>25</v>
      </c>
      <c r="D1780" s="1" t="s">
        <v>20</v>
      </c>
      <c r="E1780" s="1" t="s">
        <v>30</v>
      </c>
      <c r="F1780" s="1" t="s">
        <v>18</v>
      </c>
      <c r="G1780" s="1">
        <v>1</v>
      </c>
      <c r="H1780" s="1">
        <v>389</v>
      </c>
      <c r="I1780" s="1">
        <v>15</v>
      </c>
      <c r="J1780" s="4">
        <v>330.65</v>
      </c>
      <c r="K1780" s="4">
        <v>203.74</v>
      </c>
      <c r="L1780" s="4">
        <v>126.91</v>
      </c>
      <c r="M1780" s="1" t="str">
        <f>TEXT(Table1[[#This Row],[Order_Date]], "MMM")</f>
        <v>Mar</v>
      </c>
      <c r="N1780" s="1">
        <f>YEAR(Table1[[#This Row],[Order_Date]])</f>
        <v>2024</v>
      </c>
      <c r="O1780" s="7">
        <f>Table1[[#This Row],[Profit]]/Table1[[#This Row],[Total_Sales]]</f>
        <v>0.38381974897928323</v>
      </c>
    </row>
    <row r="1781" spans="1:15" x14ac:dyDescent="0.25">
      <c r="A1781" s="1">
        <v>1780</v>
      </c>
      <c r="B1781" s="2">
        <v>45128</v>
      </c>
      <c r="C1781" s="1" t="s">
        <v>12</v>
      </c>
      <c r="D1781" s="1" t="s">
        <v>32</v>
      </c>
      <c r="E1781" s="1" t="s">
        <v>34</v>
      </c>
      <c r="F1781" s="1" t="s">
        <v>31</v>
      </c>
      <c r="G1781" s="1">
        <v>1</v>
      </c>
      <c r="H1781" s="1">
        <v>891</v>
      </c>
      <c r="I1781" s="1">
        <v>10</v>
      </c>
      <c r="J1781" s="4">
        <v>801.9</v>
      </c>
      <c r="K1781" s="4">
        <v>565.29999999999995</v>
      </c>
      <c r="L1781" s="4">
        <v>236.6</v>
      </c>
      <c r="M1781" s="1" t="str">
        <f>TEXT(Table1[[#This Row],[Order_Date]], "MMM")</f>
        <v>Jul</v>
      </c>
      <c r="N1781" s="1">
        <f>YEAR(Table1[[#This Row],[Order_Date]])</f>
        <v>2023</v>
      </c>
      <c r="O1781" s="7">
        <f>Table1[[#This Row],[Profit]]/Table1[[#This Row],[Total_Sales]]</f>
        <v>0.29504925801222098</v>
      </c>
    </row>
    <row r="1782" spans="1:15" x14ac:dyDescent="0.25">
      <c r="A1782" s="1">
        <v>1781</v>
      </c>
      <c r="B1782" s="2">
        <v>45122</v>
      </c>
      <c r="C1782" s="1" t="s">
        <v>25</v>
      </c>
      <c r="D1782" s="1" t="s">
        <v>32</v>
      </c>
      <c r="E1782" s="1" t="s">
        <v>45</v>
      </c>
      <c r="F1782" s="1" t="s">
        <v>24</v>
      </c>
      <c r="G1782" s="1">
        <v>9</v>
      </c>
      <c r="H1782" s="1">
        <v>764</v>
      </c>
      <c r="I1782" s="1">
        <v>10</v>
      </c>
      <c r="J1782" s="4">
        <v>6188.4</v>
      </c>
      <c r="K1782" s="4">
        <v>3185.27</v>
      </c>
      <c r="L1782" s="4">
        <v>3003.13</v>
      </c>
      <c r="M1782" s="1" t="str">
        <f>TEXT(Table1[[#This Row],[Order_Date]], "MMM")</f>
        <v>Jul</v>
      </c>
      <c r="N1782" s="1">
        <f>YEAR(Table1[[#This Row],[Order_Date]])</f>
        <v>2023</v>
      </c>
      <c r="O1782" s="7">
        <f>Table1[[#This Row],[Profit]]/Table1[[#This Row],[Total_Sales]]</f>
        <v>0.4852837567060953</v>
      </c>
    </row>
    <row r="1783" spans="1:15" x14ac:dyDescent="0.25">
      <c r="A1783" s="1">
        <v>1782</v>
      </c>
      <c r="B1783" s="2">
        <v>45342</v>
      </c>
      <c r="C1783" s="1" t="s">
        <v>25</v>
      </c>
      <c r="D1783" s="1" t="s">
        <v>20</v>
      </c>
      <c r="E1783" s="1" t="s">
        <v>21</v>
      </c>
      <c r="F1783" s="1" t="s">
        <v>15</v>
      </c>
      <c r="G1783" s="1">
        <v>10</v>
      </c>
      <c r="H1783" s="1">
        <v>798</v>
      </c>
      <c r="I1783" s="1">
        <v>15</v>
      </c>
      <c r="J1783" s="4">
        <v>6783</v>
      </c>
      <c r="K1783" s="4">
        <v>3408.4</v>
      </c>
      <c r="L1783" s="4">
        <v>3374.6</v>
      </c>
      <c r="M1783" s="1" t="str">
        <f>TEXT(Table1[[#This Row],[Order_Date]], "MMM")</f>
        <v>Feb</v>
      </c>
      <c r="N1783" s="1">
        <f>YEAR(Table1[[#This Row],[Order_Date]])</f>
        <v>2024</v>
      </c>
      <c r="O1783" s="7">
        <f>Table1[[#This Row],[Profit]]/Table1[[#This Row],[Total_Sales]]</f>
        <v>0.49750847707504053</v>
      </c>
    </row>
    <row r="1784" spans="1:15" x14ac:dyDescent="0.25">
      <c r="A1784" s="1">
        <v>1783</v>
      </c>
      <c r="B1784" s="2">
        <v>45619</v>
      </c>
      <c r="C1784" s="1" t="s">
        <v>25</v>
      </c>
      <c r="D1784" s="1" t="s">
        <v>26</v>
      </c>
      <c r="E1784" s="1" t="s">
        <v>42</v>
      </c>
      <c r="F1784" s="1" t="s">
        <v>35</v>
      </c>
      <c r="G1784" s="1">
        <v>9</v>
      </c>
      <c r="H1784" s="1">
        <v>810</v>
      </c>
      <c r="I1784" s="1">
        <v>10</v>
      </c>
      <c r="J1784" s="4">
        <v>6561</v>
      </c>
      <c r="K1784" s="4">
        <v>3417.46</v>
      </c>
      <c r="L1784" s="4">
        <v>3143.54</v>
      </c>
      <c r="M1784" s="1" t="str">
        <f>TEXT(Table1[[#This Row],[Order_Date]], "MMM")</f>
        <v>Nov</v>
      </c>
      <c r="N1784" s="1">
        <f>YEAR(Table1[[#This Row],[Order_Date]])</f>
        <v>2024</v>
      </c>
      <c r="O1784" s="7">
        <f>Table1[[#This Row],[Profit]]/Table1[[#This Row],[Total_Sales]]</f>
        <v>0.47912513336381651</v>
      </c>
    </row>
    <row r="1785" spans="1:15" x14ac:dyDescent="0.25">
      <c r="A1785" s="1">
        <v>1784</v>
      </c>
      <c r="B1785" s="2">
        <v>44976</v>
      </c>
      <c r="C1785" s="1" t="s">
        <v>25</v>
      </c>
      <c r="D1785" s="1" t="s">
        <v>32</v>
      </c>
      <c r="E1785" s="1" t="s">
        <v>45</v>
      </c>
      <c r="F1785" s="1" t="s">
        <v>24</v>
      </c>
      <c r="G1785" s="1">
        <v>4</v>
      </c>
      <c r="H1785" s="1">
        <v>718</v>
      </c>
      <c r="I1785" s="1">
        <v>0</v>
      </c>
      <c r="J1785" s="4">
        <v>2872</v>
      </c>
      <c r="K1785" s="4">
        <v>1788.42</v>
      </c>
      <c r="L1785" s="4">
        <v>1083.58</v>
      </c>
      <c r="M1785" s="1" t="str">
        <f>TEXT(Table1[[#This Row],[Order_Date]], "MMM")</f>
        <v>Feb</v>
      </c>
      <c r="N1785" s="1">
        <f>YEAR(Table1[[#This Row],[Order_Date]])</f>
        <v>2023</v>
      </c>
      <c r="O1785" s="7">
        <f>Table1[[#This Row],[Profit]]/Table1[[#This Row],[Total_Sales]]</f>
        <v>0.37729108635097491</v>
      </c>
    </row>
    <row r="1786" spans="1:15" x14ac:dyDescent="0.25">
      <c r="A1786" s="1">
        <v>1785</v>
      </c>
      <c r="B1786" s="2">
        <v>44944</v>
      </c>
      <c r="C1786" s="1" t="s">
        <v>25</v>
      </c>
      <c r="D1786" s="1" t="s">
        <v>22</v>
      </c>
      <c r="E1786" s="1" t="s">
        <v>29</v>
      </c>
      <c r="F1786" s="1" t="s">
        <v>15</v>
      </c>
      <c r="G1786" s="1">
        <v>6</v>
      </c>
      <c r="H1786" s="1">
        <v>398</v>
      </c>
      <c r="I1786" s="1">
        <v>5</v>
      </c>
      <c r="J1786" s="4">
        <v>2268.6</v>
      </c>
      <c r="K1786" s="4">
        <v>1801.13</v>
      </c>
      <c r="L1786" s="4">
        <v>467.47</v>
      </c>
      <c r="M1786" s="1" t="str">
        <f>TEXT(Table1[[#This Row],[Order_Date]], "MMM")</f>
        <v>Jan</v>
      </c>
      <c r="N1786" s="1">
        <f>YEAR(Table1[[#This Row],[Order_Date]])</f>
        <v>2023</v>
      </c>
      <c r="O1786" s="7">
        <f>Table1[[#This Row],[Profit]]/Table1[[#This Row],[Total_Sales]]</f>
        <v>0.20606100678832762</v>
      </c>
    </row>
    <row r="1787" spans="1:15" x14ac:dyDescent="0.25">
      <c r="A1787" s="1">
        <v>1786</v>
      </c>
      <c r="B1787" s="2">
        <v>45404</v>
      </c>
      <c r="C1787" s="1" t="s">
        <v>19</v>
      </c>
      <c r="D1787" s="1" t="s">
        <v>22</v>
      </c>
      <c r="E1787" s="1" t="s">
        <v>44</v>
      </c>
      <c r="F1787" s="1" t="s">
        <v>35</v>
      </c>
      <c r="G1787" s="1">
        <v>9</v>
      </c>
      <c r="H1787" s="1">
        <v>543</v>
      </c>
      <c r="I1787" s="1">
        <v>5</v>
      </c>
      <c r="J1787" s="4">
        <v>4642.6499999999996</v>
      </c>
      <c r="K1787" s="4">
        <v>3252.49</v>
      </c>
      <c r="L1787" s="4">
        <v>1390.16</v>
      </c>
      <c r="M1787" s="1" t="str">
        <f>TEXT(Table1[[#This Row],[Order_Date]], "MMM")</f>
        <v>Apr</v>
      </c>
      <c r="N1787" s="1">
        <f>YEAR(Table1[[#This Row],[Order_Date]])</f>
        <v>2024</v>
      </c>
      <c r="O1787" s="7">
        <f>Table1[[#This Row],[Profit]]/Table1[[#This Row],[Total_Sales]]</f>
        <v>0.2994324362163851</v>
      </c>
    </row>
    <row r="1788" spans="1:15" x14ac:dyDescent="0.25">
      <c r="A1788" s="1">
        <v>1787</v>
      </c>
      <c r="B1788" s="2">
        <v>44966</v>
      </c>
      <c r="C1788" s="1" t="s">
        <v>25</v>
      </c>
      <c r="D1788" s="1" t="s">
        <v>22</v>
      </c>
      <c r="E1788" s="1" t="s">
        <v>36</v>
      </c>
      <c r="F1788" s="1" t="s">
        <v>40</v>
      </c>
      <c r="G1788" s="1">
        <v>5</v>
      </c>
      <c r="H1788" s="1">
        <v>879</v>
      </c>
      <c r="I1788" s="1">
        <v>15</v>
      </c>
      <c r="J1788" s="4">
        <v>3735.75</v>
      </c>
      <c r="K1788" s="4">
        <v>2616.79</v>
      </c>
      <c r="L1788" s="4">
        <v>1118.96</v>
      </c>
      <c r="M1788" s="1" t="str">
        <f>TEXT(Table1[[#This Row],[Order_Date]], "MMM")</f>
        <v>Feb</v>
      </c>
      <c r="N1788" s="1">
        <f>YEAR(Table1[[#This Row],[Order_Date]])</f>
        <v>2023</v>
      </c>
      <c r="O1788" s="7">
        <f>Table1[[#This Row],[Profit]]/Table1[[#This Row],[Total_Sales]]</f>
        <v>0.29952753797764842</v>
      </c>
    </row>
    <row r="1789" spans="1:15" x14ac:dyDescent="0.25">
      <c r="A1789" s="1">
        <v>1788</v>
      </c>
      <c r="B1789" s="2">
        <v>45536</v>
      </c>
      <c r="C1789" s="1" t="s">
        <v>25</v>
      </c>
      <c r="D1789" s="1" t="s">
        <v>26</v>
      </c>
      <c r="E1789" s="1" t="s">
        <v>37</v>
      </c>
      <c r="F1789" s="1" t="s">
        <v>35</v>
      </c>
      <c r="G1789" s="1">
        <v>2</v>
      </c>
      <c r="H1789" s="1">
        <v>508</v>
      </c>
      <c r="I1789" s="1">
        <v>0</v>
      </c>
      <c r="J1789" s="4">
        <v>1016</v>
      </c>
      <c r="K1789" s="4">
        <v>547.17999999999995</v>
      </c>
      <c r="L1789" s="4">
        <v>468.82</v>
      </c>
      <c r="M1789" s="1" t="str">
        <f>TEXT(Table1[[#This Row],[Order_Date]], "MMM")</f>
        <v>Sep</v>
      </c>
      <c r="N1789" s="1">
        <f>YEAR(Table1[[#This Row],[Order_Date]])</f>
        <v>2024</v>
      </c>
      <c r="O1789" s="7">
        <f>Table1[[#This Row],[Profit]]/Table1[[#This Row],[Total_Sales]]</f>
        <v>0.46143700787401576</v>
      </c>
    </row>
    <row r="1790" spans="1:15" x14ac:dyDescent="0.25">
      <c r="A1790" s="1">
        <v>1789</v>
      </c>
      <c r="B1790" s="2">
        <v>45113</v>
      </c>
      <c r="C1790" s="1" t="s">
        <v>25</v>
      </c>
      <c r="D1790" s="1" t="s">
        <v>20</v>
      </c>
      <c r="E1790" s="1" t="s">
        <v>30</v>
      </c>
      <c r="F1790" s="1" t="s">
        <v>40</v>
      </c>
      <c r="G1790" s="1">
        <v>8</v>
      </c>
      <c r="H1790" s="1">
        <v>244</v>
      </c>
      <c r="I1790" s="1">
        <v>10</v>
      </c>
      <c r="J1790" s="4">
        <v>1756.8</v>
      </c>
      <c r="K1790" s="4">
        <v>909.74</v>
      </c>
      <c r="L1790" s="4">
        <v>847.06</v>
      </c>
      <c r="M1790" s="1" t="str">
        <f>TEXT(Table1[[#This Row],[Order_Date]], "MMM")</f>
        <v>Jul</v>
      </c>
      <c r="N1790" s="1">
        <f>YEAR(Table1[[#This Row],[Order_Date]])</f>
        <v>2023</v>
      </c>
      <c r="O1790" s="7">
        <f>Table1[[#This Row],[Profit]]/Table1[[#This Row],[Total_Sales]]</f>
        <v>0.48216074681238613</v>
      </c>
    </row>
    <row r="1791" spans="1:15" x14ac:dyDescent="0.25">
      <c r="A1791" s="1">
        <v>1790</v>
      </c>
      <c r="B1791" s="2">
        <v>44936</v>
      </c>
      <c r="C1791" s="1" t="s">
        <v>16</v>
      </c>
      <c r="D1791" s="1" t="s">
        <v>26</v>
      </c>
      <c r="E1791" s="1" t="s">
        <v>37</v>
      </c>
      <c r="F1791" s="1" t="s">
        <v>31</v>
      </c>
      <c r="G1791" s="1">
        <v>4</v>
      </c>
      <c r="H1791" s="1">
        <v>251</v>
      </c>
      <c r="I1791" s="1">
        <v>5</v>
      </c>
      <c r="J1791" s="4">
        <v>953.8</v>
      </c>
      <c r="K1791" s="4">
        <v>489.18</v>
      </c>
      <c r="L1791" s="4">
        <v>464.62</v>
      </c>
      <c r="M1791" s="1" t="str">
        <f>TEXT(Table1[[#This Row],[Order_Date]], "MMM")</f>
        <v>Jan</v>
      </c>
      <c r="N1791" s="1">
        <f>YEAR(Table1[[#This Row],[Order_Date]])</f>
        <v>2023</v>
      </c>
      <c r="O1791" s="7">
        <f>Table1[[#This Row],[Profit]]/Table1[[#This Row],[Total_Sales]]</f>
        <v>0.48712518347661987</v>
      </c>
    </row>
    <row r="1792" spans="1:15" x14ac:dyDescent="0.25">
      <c r="A1792" s="1">
        <v>1791</v>
      </c>
      <c r="B1792" s="2">
        <v>45016</v>
      </c>
      <c r="C1792" s="1" t="s">
        <v>16</v>
      </c>
      <c r="D1792" s="1" t="s">
        <v>22</v>
      </c>
      <c r="E1792" s="1" t="s">
        <v>36</v>
      </c>
      <c r="F1792" s="1" t="s">
        <v>24</v>
      </c>
      <c r="G1792" s="1">
        <v>2</v>
      </c>
      <c r="H1792" s="1">
        <v>471</v>
      </c>
      <c r="I1792" s="1">
        <v>0</v>
      </c>
      <c r="J1792" s="4">
        <v>942</v>
      </c>
      <c r="K1792" s="4">
        <v>502.81</v>
      </c>
      <c r="L1792" s="4">
        <v>439.19</v>
      </c>
      <c r="M1792" s="1" t="str">
        <f>TEXT(Table1[[#This Row],[Order_Date]], "MMM")</f>
        <v>Mar</v>
      </c>
      <c r="N1792" s="1">
        <f>YEAR(Table1[[#This Row],[Order_Date]])</f>
        <v>2023</v>
      </c>
      <c r="O1792" s="7">
        <f>Table1[[#This Row],[Profit]]/Table1[[#This Row],[Total_Sales]]</f>
        <v>0.46623142250530786</v>
      </c>
    </row>
    <row r="1793" spans="1:15" x14ac:dyDescent="0.25">
      <c r="A1793" s="1">
        <v>1792</v>
      </c>
      <c r="B1793" s="2">
        <v>45435</v>
      </c>
      <c r="C1793" s="1" t="s">
        <v>12</v>
      </c>
      <c r="D1793" s="1" t="s">
        <v>32</v>
      </c>
      <c r="E1793" s="1" t="s">
        <v>41</v>
      </c>
      <c r="F1793" s="1" t="s">
        <v>31</v>
      </c>
      <c r="G1793" s="1">
        <v>1</v>
      </c>
      <c r="H1793" s="1">
        <v>680</v>
      </c>
      <c r="I1793" s="1">
        <v>5</v>
      </c>
      <c r="J1793" s="4">
        <v>646</v>
      </c>
      <c r="K1793" s="4">
        <v>374.41</v>
      </c>
      <c r="L1793" s="4">
        <v>271.58999999999997</v>
      </c>
      <c r="M1793" s="1" t="str">
        <f>TEXT(Table1[[#This Row],[Order_Date]], "MMM")</f>
        <v>May</v>
      </c>
      <c r="N1793" s="1">
        <f>YEAR(Table1[[#This Row],[Order_Date]])</f>
        <v>2024</v>
      </c>
      <c r="O1793" s="7">
        <f>Table1[[#This Row],[Profit]]/Table1[[#This Row],[Total_Sales]]</f>
        <v>0.42041795665634674</v>
      </c>
    </row>
    <row r="1794" spans="1:15" x14ac:dyDescent="0.25">
      <c r="A1794" s="1">
        <v>1793</v>
      </c>
      <c r="B1794" s="2">
        <v>45345</v>
      </c>
      <c r="C1794" s="1" t="s">
        <v>16</v>
      </c>
      <c r="D1794" s="1" t="s">
        <v>20</v>
      </c>
      <c r="E1794" s="1" t="s">
        <v>21</v>
      </c>
      <c r="F1794" s="1" t="s">
        <v>18</v>
      </c>
      <c r="G1794" s="1">
        <v>1</v>
      </c>
      <c r="H1794" s="1">
        <v>246</v>
      </c>
      <c r="I1794" s="1">
        <v>0</v>
      </c>
      <c r="J1794" s="4">
        <v>246</v>
      </c>
      <c r="K1794" s="4">
        <v>152.66999999999999</v>
      </c>
      <c r="L1794" s="4">
        <v>93.33</v>
      </c>
      <c r="M1794" s="1" t="str">
        <f>TEXT(Table1[[#This Row],[Order_Date]], "MMM")</f>
        <v>Feb</v>
      </c>
      <c r="N1794" s="1">
        <f>YEAR(Table1[[#This Row],[Order_Date]])</f>
        <v>2024</v>
      </c>
      <c r="O1794" s="7">
        <f>Table1[[#This Row],[Profit]]/Table1[[#This Row],[Total_Sales]]</f>
        <v>0.37939024390243903</v>
      </c>
    </row>
    <row r="1795" spans="1:15" x14ac:dyDescent="0.25">
      <c r="A1795" s="1">
        <v>1794</v>
      </c>
      <c r="B1795" s="2">
        <v>45438</v>
      </c>
      <c r="C1795" s="1" t="s">
        <v>16</v>
      </c>
      <c r="D1795" s="1" t="s">
        <v>13</v>
      </c>
      <c r="E1795" s="1" t="s">
        <v>14</v>
      </c>
      <c r="F1795" s="1" t="s">
        <v>40</v>
      </c>
      <c r="G1795" s="1">
        <v>3</v>
      </c>
      <c r="H1795" s="1">
        <v>701</v>
      </c>
      <c r="I1795" s="1">
        <v>0</v>
      </c>
      <c r="J1795" s="4">
        <v>2103</v>
      </c>
      <c r="K1795" s="4">
        <v>1591.83</v>
      </c>
      <c r="L1795" s="4">
        <v>511.17</v>
      </c>
      <c r="M1795" s="1" t="str">
        <f>TEXT(Table1[[#This Row],[Order_Date]], "MMM")</f>
        <v>May</v>
      </c>
      <c r="N1795" s="1">
        <f>YEAR(Table1[[#This Row],[Order_Date]])</f>
        <v>2024</v>
      </c>
      <c r="O1795" s="7">
        <f>Table1[[#This Row],[Profit]]/Table1[[#This Row],[Total_Sales]]</f>
        <v>0.24306704707560628</v>
      </c>
    </row>
    <row r="1796" spans="1:15" x14ac:dyDescent="0.25">
      <c r="A1796" s="1">
        <v>1795</v>
      </c>
      <c r="B1796" s="2">
        <v>45339</v>
      </c>
      <c r="C1796" s="1" t="s">
        <v>25</v>
      </c>
      <c r="D1796" s="1" t="s">
        <v>22</v>
      </c>
      <c r="E1796" s="1" t="s">
        <v>36</v>
      </c>
      <c r="F1796" s="1" t="s">
        <v>18</v>
      </c>
      <c r="G1796" s="1">
        <v>10</v>
      </c>
      <c r="H1796" s="1">
        <v>651</v>
      </c>
      <c r="I1796" s="1">
        <v>0</v>
      </c>
      <c r="J1796" s="4">
        <v>6510</v>
      </c>
      <c r="K1796" s="4">
        <v>3774.31</v>
      </c>
      <c r="L1796" s="4">
        <v>2735.69</v>
      </c>
      <c r="M1796" s="1" t="str">
        <f>TEXT(Table1[[#This Row],[Order_Date]], "MMM")</f>
        <v>Feb</v>
      </c>
      <c r="N1796" s="1">
        <f>YEAR(Table1[[#This Row],[Order_Date]])</f>
        <v>2024</v>
      </c>
      <c r="O1796" s="7">
        <f>Table1[[#This Row],[Profit]]/Table1[[#This Row],[Total_Sales]]</f>
        <v>0.42022887864823349</v>
      </c>
    </row>
    <row r="1797" spans="1:15" x14ac:dyDescent="0.25">
      <c r="A1797" s="1">
        <v>1796</v>
      </c>
      <c r="B1797" s="2">
        <v>45574</v>
      </c>
      <c r="C1797" s="1" t="s">
        <v>12</v>
      </c>
      <c r="D1797" s="1" t="s">
        <v>32</v>
      </c>
      <c r="E1797" s="1" t="s">
        <v>33</v>
      </c>
      <c r="F1797" s="1" t="s">
        <v>15</v>
      </c>
      <c r="G1797" s="1">
        <v>2</v>
      </c>
      <c r="H1797" s="1">
        <v>174</v>
      </c>
      <c r="I1797" s="1">
        <v>5</v>
      </c>
      <c r="J1797" s="4">
        <v>330.6</v>
      </c>
      <c r="K1797" s="4">
        <v>236.92</v>
      </c>
      <c r="L1797" s="4">
        <v>93.68</v>
      </c>
      <c r="M1797" s="1" t="str">
        <f>TEXT(Table1[[#This Row],[Order_Date]], "MMM")</f>
        <v>Oct</v>
      </c>
      <c r="N1797" s="1">
        <f>YEAR(Table1[[#This Row],[Order_Date]])</f>
        <v>2024</v>
      </c>
      <c r="O1797" s="7">
        <f>Table1[[#This Row],[Profit]]/Table1[[#This Row],[Total_Sales]]</f>
        <v>0.28336358136721113</v>
      </c>
    </row>
    <row r="1798" spans="1:15" x14ac:dyDescent="0.25">
      <c r="A1798" s="1">
        <v>1797</v>
      </c>
      <c r="B1798" s="2">
        <v>45261</v>
      </c>
      <c r="C1798" s="1" t="s">
        <v>25</v>
      </c>
      <c r="D1798" s="1" t="s">
        <v>32</v>
      </c>
      <c r="E1798" s="1" t="s">
        <v>45</v>
      </c>
      <c r="F1798" s="1" t="s">
        <v>15</v>
      </c>
      <c r="G1798" s="1">
        <v>9</v>
      </c>
      <c r="H1798" s="1">
        <v>839</v>
      </c>
      <c r="I1798" s="1">
        <v>15</v>
      </c>
      <c r="J1798" s="4">
        <v>6418.35</v>
      </c>
      <c r="K1798" s="4">
        <v>4296.6499999999996</v>
      </c>
      <c r="L1798" s="4">
        <v>2121.6999999999998</v>
      </c>
      <c r="M1798" s="1" t="str">
        <f>TEXT(Table1[[#This Row],[Order_Date]], "MMM")</f>
        <v>Dec</v>
      </c>
      <c r="N1798" s="1">
        <f>YEAR(Table1[[#This Row],[Order_Date]])</f>
        <v>2023</v>
      </c>
      <c r="O1798" s="7">
        <f>Table1[[#This Row],[Profit]]/Table1[[#This Row],[Total_Sales]]</f>
        <v>0.33056782506407406</v>
      </c>
    </row>
    <row r="1799" spans="1:15" x14ac:dyDescent="0.25">
      <c r="A1799" s="1">
        <v>1798</v>
      </c>
      <c r="B1799" s="2">
        <v>45246</v>
      </c>
      <c r="C1799" s="1" t="s">
        <v>12</v>
      </c>
      <c r="D1799" s="1" t="s">
        <v>20</v>
      </c>
      <c r="E1799" s="1" t="s">
        <v>21</v>
      </c>
      <c r="F1799" s="1" t="s">
        <v>31</v>
      </c>
      <c r="G1799" s="1">
        <v>3</v>
      </c>
      <c r="H1799" s="1">
        <v>398</v>
      </c>
      <c r="I1799" s="1">
        <v>5</v>
      </c>
      <c r="J1799" s="4">
        <v>1134.3</v>
      </c>
      <c r="K1799" s="4">
        <v>605.73</v>
      </c>
      <c r="L1799" s="4">
        <v>528.57000000000005</v>
      </c>
      <c r="M1799" s="1" t="str">
        <f>TEXT(Table1[[#This Row],[Order_Date]], "MMM")</f>
        <v>Nov</v>
      </c>
      <c r="N1799" s="1">
        <f>YEAR(Table1[[#This Row],[Order_Date]])</f>
        <v>2023</v>
      </c>
      <c r="O1799" s="7">
        <f>Table1[[#This Row],[Profit]]/Table1[[#This Row],[Total_Sales]]</f>
        <v>0.46598783390637405</v>
      </c>
    </row>
    <row r="1800" spans="1:15" x14ac:dyDescent="0.25">
      <c r="A1800" s="1">
        <v>1799</v>
      </c>
      <c r="B1800" s="2">
        <v>45308</v>
      </c>
      <c r="C1800" s="1" t="s">
        <v>19</v>
      </c>
      <c r="D1800" s="1" t="s">
        <v>32</v>
      </c>
      <c r="E1800" s="1" t="s">
        <v>34</v>
      </c>
      <c r="F1800" s="1" t="s">
        <v>40</v>
      </c>
      <c r="G1800" s="1">
        <v>9</v>
      </c>
      <c r="H1800" s="1">
        <v>884</v>
      </c>
      <c r="I1800" s="1">
        <v>15</v>
      </c>
      <c r="J1800" s="4">
        <v>6762.6</v>
      </c>
      <c r="K1800" s="4">
        <v>4821.72</v>
      </c>
      <c r="L1800" s="4">
        <v>1940.88</v>
      </c>
      <c r="M1800" s="1" t="str">
        <f>TEXT(Table1[[#This Row],[Order_Date]], "MMM")</f>
        <v>Jan</v>
      </c>
      <c r="N1800" s="1">
        <f>YEAR(Table1[[#This Row],[Order_Date]])</f>
        <v>2024</v>
      </c>
      <c r="O1800" s="7">
        <f>Table1[[#This Row],[Profit]]/Table1[[#This Row],[Total_Sales]]</f>
        <v>0.28700204063525864</v>
      </c>
    </row>
    <row r="1801" spans="1:15" x14ac:dyDescent="0.25">
      <c r="A1801" s="1">
        <v>1800</v>
      </c>
      <c r="B1801" s="2">
        <v>45506</v>
      </c>
      <c r="C1801" s="1" t="s">
        <v>16</v>
      </c>
      <c r="D1801" s="1" t="s">
        <v>20</v>
      </c>
      <c r="E1801" s="1" t="s">
        <v>43</v>
      </c>
      <c r="F1801" s="1" t="s">
        <v>18</v>
      </c>
      <c r="G1801" s="1">
        <v>3</v>
      </c>
      <c r="H1801" s="1">
        <v>552</v>
      </c>
      <c r="I1801" s="1">
        <v>10</v>
      </c>
      <c r="J1801" s="4">
        <v>1490.4</v>
      </c>
      <c r="K1801" s="4">
        <v>1168.1500000000001</v>
      </c>
      <c r="L1801" s="4">
        <v>322.25</v>
      </c>
      <c r="M1801" s="1" t="str">
        <f>TEXT(Table1[[#This Row],[Order_Date]], "MMM")</f>
        <v>Aug</v>
      </c>
      <c r="N1801" s="1">
        <f>YEAR(Table1[[#This Row],[Order_Date]])</f>
        <v>2024</v>
      </c>
      <c r="O1801" s="7">
        <f>Table1[[#This Row],[Profit]]/Table1[[#This Row],[Total_Sales]]</f>
        <v>0.21621712292002146</v>
      </c>
    </row>
    <row r="1802" spans="1:15" x14ac:dyDescent="0.25">
      <c r="A1802" s="1">
        <v>1801</v>
      </c>
      <c r="B1802" s="2">
        <v>45219</v>
      </c>
      <c r="C1802" s="1" t="s">
        <v>12</v>
      </c>
      <c r="D1802" s="1" t="s">
        <v>32</v>
      </c>
      <c r="E1802" s="1" t="s">
        <v>45</v>
      </c>
      <c r="F1802" s="1" t="s">
        <v>18</v>
      </c>
      <c r="G1802" s="1">
        <v>1</v>
      </c>
      <c r="H1802" s="1">
        <v>262</v>
      </c>
      <c r="I1802" s="1">
        <v>5</v>
      </c>
      <c r="J1802" s="4">
        <v>248.9</v>
      </c>
      <c r="K1802" s="4">
        <v>158.69</v>
      </c>
      <c r="L1802" s="4">
        <v>90.21</v>
      </c>
      <c r="M1802" s="1" t="str">
        <f>TEXT(Table1[[#This Row],[Order_Date]], "MMM")</f>
        <v>Oct</v>
      </c>
      <c r="N1802" s="1">
        <f>YEAR(Table1[[#This Row],[Order_Date]])</f>
        <v>2023</v>
      </c>
      <c r="O1802" s="7">
        <f>Table1[[#This Row],[Profit]]/Table1[[#This Row],[Total_Sales]]</f>
        <v>0.36243471273603856</v>
      </c>
    </row>
    <row r="1803" spans="1:15" x14ac:dyDescent="0.25">
      <c r="A1803" s="1">
        <v>1802</v>
      </c>
      <c r="B1803" s="2">
        <v>45052</v>
      </c>
      <c r="C1803" s="1" t="s">
        <v>25</v>
      </c>
      <c r="D1803" s="1" t="s">
        <v>20</v>
      </c>
      <c r="E1803" s="1" t="s">
        <v>28</v>
      </c>
      <c r="F1803" s="1" t="s">
        <v>31</v>
      </c>
      <c r="G1803" s="1">
        <v>9</v>
      </c>
      <c r="H1803" s="1">
        <v>853</v>
      </c>
      <c r="I1803" s="1">
        <v>10</v>
      </c>
      <c r="J1803" s="4">
        <v>6909.3</v>
      </c>
      <c r="K1803" s="4">
        <v>5169.46</v>
      </c>
      <c r="L1803" s="4">
        <v>1739.84</v>
      </c>
      <c r="M1803" s="1" t="str">
        <f>TEXT(Table1[[#This Row],[Order_Date]], "MMM")</f>
        <v>May</v>
      </c>
      <c r="N1803" s="1">
        <f>YEAR(Table1[[#This Row],[Order_Date]])</f>
        <v>2023</v>
      </c>
      <c r="O1803" s="7">
        <f>Table1[[#This Row],[Profit]]/Table1[[#This Row],[Total_Sales]]</f>
        <v>0.25181132676247953</v>
      </c>
    </row>
    <row r="1804" spans="1:15" x14ac:dyDescent="0.25">
      <c r="A1804" s="1">
        <v>1803</v>
      </c>
      <c r="B1804" s="2">
        <v>45633</v>
      </c>
      <c r="C1804" s="1" t="s">
        <v>16</v>
      </c>
      <c r="D1804" s="1" t="s">
        <v>32</v>
      </c>
      <c r="E1804" s="1" t="s">
        <v>41</v>
      </c>
      <c r="F1804" s="1" t="s">
        <v>31</v>
      </c>
      <c r="G1804" s="1">
        <v>5</v>
      </c>
      <c r="H1804" s="1">
        <v>451</v>
      </c>
      <c r="I1804" s="1">
        <v>20</v>
      </c>
      <c r="J1804" s="4">
        <v>1804</v>
      </c>
      <c r="K1804" s="4">
        <v>1077.81</v>
      </c>
      <c r="L1804" s="4">
        <v>726.19</v>
      </c>
      <c r="M1804" s="1" t="str">
        <f>TEXT(Table1[[#This Row],[Order_Date]], "MMM")</f>
        <v>Dec</v>
      </c>
      <c r="N1804" s="1">
        <f>YEAR(Table1[[#This Row],[Order_Date]])</f>
        <v>2024</v>
      </c>
      <c r="O1804" s="7">
        <f>Table1[[#This Row],[Profit]]/Table1[[#This Row],[Total_Sales]]</f>
        <v>0.40254434589800447</v>
      </c>
    </row>
    <row r="1805" spans="1:15" x14ac:dyDescent="0.25">
      <c r="A1805" s="1">
        <v>1804</v>
      </c>
      <c r="B1805" s="2">
        <v>45114</v>
      </c>
      <c r="C1805" s="1" t="s">
        <v>12</v>
      </c>
      <c r="D1805" s="1" t="s">
        <v>26</v>
      </c>
      <c r="E1805" s="1" t="s">
        <v>37</v>
      </c>
      <c r="F1805" s="1" t="s">
        <v>18</v>
      </c>
      <c r="G1805" s="1">
        <v>8</v>
      </c>
      <c r="H1805" s="1">
        <v>594</v>
      </c>
      <c r="I1805" s="1">
        <v>0</v>
      </c>
      <c r="J1805" s="4">
        <v>4752</v>
      </c>
      <c r="K1805" s="4">
        <v>3606.1</v>
      </c>
      <c r="L1805" s="4">
        <v>1145.9000000000001</v>
      </c>
      <c r="M1805" s="1" t="str">
        <f>TEXT(Table1[[#This Row],[Order_Date]], "MMM")</f>
        <v>Jul</v>
      </c>
      <c r="N1805" s="1">
        <f>YEAR(Table1[[#This Row],[Order_Date]])</f>
        <v>2023</v>
      </c>
      <c r="O1805" s="7">
        <f>Table1[[#This Row],[Profit]]/Table1[[#This Row],[Total_Sales]]</f>
        <v>0.24114057239057241</v>
      </c>
    </row>
    <row r="1806" spans="1:15" x14ac:dyDescent="0.25">
      <c r="A1806" s="1">
        <v>1805</v>
      </c>
      <c r="B1806" s="2">
        <v>44991</v>
      </c>
      <c r="C1806" s="1" t="s">
        <v>12</v>
      </c>
      <c r="D1806" s="1" t="s">
        <v>32</v>
      </c>
      <c r="E1806" s="1" t="s">
        <v>34</v>
      </c>
      <c r="F1806" s="1" t="s">
        <v>18</v>
      </c>
      <c r="G1806" s="1">
        <v>8</v>
      </c>
      <c r="H1806" s="1">
        <v>158</v>
      </c>
      <c r="I1806" s="1">
        <v>20</v>
      </c>
      <c r="J1806" s="4">
        <v>1011.2</v>
      </c>
      <c r="K1806" s="4">
        <v>530.01</v>
      </c>
      <c r="L1806" s="4">
        <v>481.19</v>
      </c>
      <c r="M1806" s="1" t="str">
        <f>TEXT(Table1[[#This Row],[Order_Date]], "MMM")</f>
        <v>Mar</v>
      </c>
      <c r="N1806" s="1">
        <f>YEAR(Table1[[#This Row],[Order_Date]])</f>
        <v>2023</v>
      </c>
      <c r="O1806" s="7">
        <f>Table1[[#This Row],[Profit]]/Table1[[#This Row],[Total_Sales]]</f>
        <v>0.47586036392405062</v>
      </c>
    </row>
    <row r="1807" spans="1:15" x14ac:dyDescent="0.25">
      <c r="A1807" s="1">
        <v>1806</v>
      </c>
      <c r="B1807" s="2">
        <v>44933</v>
      </c>
      <c r="C1807" s="1" t="s">
        <v>16</v>
      </c>
      <c r="D1807" s="1" t="s">
        <v>20</v>
      </c>
      <c r="E1807" s="1" t="s">
        <v>28</v>
      </c>
      <c r="F1807" s="1" t="s">
        <v>18</v>
      </c>
      <c r="G1807" s="1">
        <v>5</v>
      </c>
      <c r="H1807" s="1">
        <v>951</v>
      </c>
      <c r="I1807" s="1">
        <v>15</v>
      </c>
      <c r="J1807" s="4">
        <v>4041.75</v>
      </c>
      <c r="K1807" s="4">
        <v>3008.3</v>
      </c>
      <c r="L1807" s="4">
        <v>1033.45</v>
      </c>
      <c r="M1807" s="1" t="str">
        <f>TEXT(Table1[[#This Row],[Order_Date]], "MMM")</f>
        <v>Jan</v>
      </c>
      <c r="N1807" s="1">
        <f>YEAR(Table1[[#This Row],[Order_Date]])</f>
        <v>2023</v>
      </c>
      <c r="O1807" s="7">
        <f>Table1[[#This Row],[Profit]]/Table1[[#This Row],[Total_Sales]]</f>
        <v>0.25569369703717448</v>
      </c>
    </row>
    <row r="1808" spans="1:15" x14ac:dyDescent="0.25">
      <c r="A1808" s="1">
        <v>1807</v>
      </c>
      <c r="B1808" s="2">
        <v>44928</v>
      </c>
      <c r="C1808" s="1" t="s">
        <v>25</v>
      </c>
      <c r="D1808" s="1" t="s">
        <v>32</v>
      </c>
      <c r="E1808" s="1" t="s">
        <v>33</v>
      </c>
      <c r="F1808" s="1" t="s">
        <v>31</v>
      </c>
      <c r="G1808" s="1">
        <v>10</v>
      </c>
      <c r="H1808" s="1">
        <v>129</v>
      </c>
      <c r="I1808" s="1">
        <v>10</v>
      </c>
      <c r="J1808" s="4">
        <v>1161</v>
      </c>
      <c r="K1808" s="4">
        <v>814.16</v>
      </c>
      <c r="L1808" s="4">
        <v>346.84</v>
      </c>
      <c r="M1808" s="1" t="str">
        <f>TEXT(Table1[[#This Row],[Order_Date]], "MMM")</f>
        <v>Jan</v>
      </c>
      <c r="N1808" s="1">
        <f>YEAR(Table1[[#This Row],[Order_Date]])</f>
        <v>2023</v>
      </c>
      <c r="O1808" s="7">
        <f>Table1[[#This Row],[Profit]]/Table1[[#This Row],[Total_Sales]]</f>
        <v>0.29874246339362615</v>
      </c>
    </row>
    <row r="1809" spans="1:15" x14ac:dyDescent="0.25">
      <c r="A1809" s="1">
        <v>1808</v>
      </c>
      <c r="B1809" s="2">
        <v>45555</v>
      </c>
      <c r="C1809" s="1" t="s">
        <v>12</v>
      </c>
      <c r="D1809" s="1" t="s">
        <v>22</v>
      </c>
      <c r="E1809" s="1" t="s">
        <v>23</v>
      </c>
      <c r="F1809" s="1" t="s">
        <v>15</v>
      </c>
      <c r="G1809" s="1">
        <v>10</v>
      </c>
      <c r="H1809" s="1">
        <v>87</v>
      </c>
      <c r="I1809" s="1">
        <v>20</v>
      </c>
      <c r="J1809" s="4">
        <v>696</v>
      </c>
      <c r="K1809" s="4">
        <v>413.82</v>
      </c>
      <c r="L1809" s="4">
        <v>282.18</v>
      </c>
      <c r="M1809" s="1" t="str">
        <f>TEXT(Table1[[#This Row],[Order_Date]], "MMM")</f>
        <v>Sep</v>
      </c>
      <c r="N1809" s="1">
        <f>YEAR(Table1[[#This Row],[Order_Date]])</f>
        <v>2024</v>
      </c>
      <c r="O1809" s="7">
        <f>Table1[[#This Row],[Profit]]/Table1[[#This Row],[Total_Sales]]</f>
        <v>0.40543103448275863</v>
      </c>
    </row>
    <row r="1810" spans="1:15" x14ac:dyDescent="0.25">
      <c r="A1810" s="1">
        <v>1809</v>
      </c>
      <c r="B1810" s="2">
        <v>45493</v>
      </c>
      <c r="C1810" s="1" t="s">
        <v>12</v>
      </c>
      <c r="D1810" s="1" t="s">
        <v>22</v>
      </c>
      <c r="E1810" s="1" t="s">
        <v>23</v>
      </c>
      <c r="F1810" s="1" t="s">
        <v>18</v>
      </c>
      <c r="G1810" s="1">
        <v>2</v>
      </c>
      <c r="H1810" s="1">
        <v>48</v>
      </c>
      <c r="I1810" s="1">
        <v>15</v>
      </c>
      <c r="J1810" s="4">
        <v>81.599999999999994</v>
      </c>
      <c r="K1810" s="4">
        <v>48.41</v>
      </c>
      <c r="L1810" s="4">
        <v>33.19</v>
      </c>
      <c r="M1810" s="1" t="str">
        <f>TEXT(Table1[[#This Row],[Order_Date]], "MMM")</f>
        <v>Jul</v>
      </c>
      <c r="N1810" s="1">
        <f>YEAR(Table1[[#This Row],[Order_Date]])</f>
        <v>2024</v>
      </c>
      <c r="O1810" s="7">
        <f>Table1[[#This Row],[Profit]]/Table1[[#This Row],[Total_Sales]]</f>
        <v>0.40674019607843137</v>
      </c>
    </row>
    <row r="1811" spans="1:15" x14ac:dyDescent="0.25">
      <c r="A1811" s="1">
        <v>1810</v>
      </c>
      <c r="B1811" s="2">
        <v>45560</v>
      </c>
      <c r="C1811" s="1" t="s">
        <v>19</v>
      </c>
      <c r="D1811" s="1" t="s">
        <v>13</v>
      </c>
      <c r="E1811" s="1" t="s">
        <v>39</v>
      </c>
      <c r="F1811" s="1" t="s">
        <v>18</v>
      </c>
      <c r="G1811" s="1">
        <v>8</v>
      </c>
      <c r="H1811" s="1">
        <v>146</v>
      </c>
      <c r="I1811" s="1">
        <v>20</v>
      </c>
      <c r="J1811" s="4">
        <v>934.4</v>
      </c>
      <c r="K1811" s="4">
        <v>489.03</v>
      </c>
      <c r="L1811" s="4">
        <v>445.37</v>
      </c>
      <c r="M1811" s="1" t="str">
        <f>TEXT(Table1[[#This Row],[Order_Date]], "MMM")</f>
        <v>Sep</v>
      </c>
      <c r="N1811" s="1">
        <f>YEAR(Table1[[#This Row],[Order_Date]])</f>
        <v>2024</v>
      </c>
      <c r="O1811" s="7">
        <f>Table1[[#This Row],[Profit]]/Table1[[#This Row],[Total_Sales]]</f>
        <v>0.47663741438356166</v>
      </c>
    </row>
    <row r="1812" spans="1:15" x14ac:dyDescent="0.25">
      <c r="A1812" s="1">
        <v>1811</v>
      </c>
      <c r="B1812" s="2">
        <v>45222</v>
      </c>
      <c r="C1812" s="1" t="s">
        <v>16</v>
      </c>
      <c r="D1812" s="1" t="s">
        <v>32</v>
      </c>
      <c r="E1812" s="1" t="s">
        <v>45</v>
      </c>
      <c r="F1812" s="1" t="s">
        <v>18</v>
      </c>
      <c r="G1812" s="1">
        <v>7</v>
      </c>
      <c r="H1812" s="1">
        <v>581</v>
      </c>
      <c r="I1812" s="1">
        <v>10</v>
      </c>
      <c r="J1812" s="4">
        <v>3660.3</v>
      </c>
      <c r="K1812" s="4">
        <v>2282.4699999999998</v>
      </c>
      <c r="L1812" s="4">
        <v>1377.83</v>
      </c>
      <c r="M1812" s="1" t="str">
        <f>TEXT(Table1[[#This Row],[Order_Date]], "MMM")</f>
        <v>Oct</v>
      </c>
      <c r="N1812" s="1">
        <f>YEAR(Table1[[#This Row],[Order_Date]])</f>
        <v>2023</v>
      </c>
      <c r="O1812" s="7">
        <f>Table1[[#This Row],[Profit]]/Table1[[#This Row],[Total_Sales]]</f>
        <v>0.3764254296095948</v>
      </c>
    </row>
    <row r="1813" spans="1:15" x14ac:dyDescent="0.25">
      <c r="A1813" s="1">
        <v>1812</v>
      </c>
      <c r="B1813" s="2">
        <v>45142</v>
      </c>
      <c r="C1813" s="1" t="s">
        <v>16</v>
      </c>
      <c r="D1813" s="1" t="s">
        <v>22</v>
      </c>
      <c r="E1813" s="1" t="s">
        <v>29</v>
      </c>
      <c r="F1813" s="1" t="s">
        <v>40</v>
      </c>
      <c r="G1813" s="1">
        <v>10</v>
      </c>
      <c r="H1813" s="1">
        <v>580</v>
      </c>
      <c r="I1813" s="1">
        <v>0</v>
      </c>
      <c r="J1813" s="4">
        <v>5800</v>
      </c>
      <c r="K1813" s="4">
        <v>4528.38</v>
      </c>
      <c r="L1813" s="4">
        <v>1271.6199999999999</v>
      </c>
      <c r="M1813" s="1" t="str">
        <f>TEXT(Table1[[#This Row],[Order_Date]], "MMM")</f>
        <v>Aug</v>
      </c>
      <c r="N1813" s="1">
        <f>YEAR(Table1[[#This Row],[Order_Date]])</f>
        <v>2023</v>
      </c>
      <c r="O1813" s="7">
        <f>Table1[[#This Row],[Profit]]/Table1[[#This Row],[Total_Sales]]</f>
        <v>0.21924482758620686</v>
      </c>
    </row>
    <row r="1814" spans="1:15" x14ac:dyDescent="0.25">
      <c r="A1814" s="1">
        <v>1813</v>
      </c>
      <c r="B1814" s="2">
        <v>45424</v>
      </c>
      <c r="C1814" s="1" t="s">
        <v>25</v>
      </c>
      <c r="D1814" s="1" t="s">
        <v>20</v>
      </c>
      <c r="E1814" s="1" t="s">
        <v>21</v>
      </c>
      <c r="F1814" s="1" t="s">
        <v>31</v>
      </c>
      <c r="G1814" s="1">
        <v>4</v>
      </c>
      <c r="H1814" s="1">
        <v>810</v>
      </c>
      <c r="I1814" s="1">
        <v>0</v>
      </c>
      <c r="J1814" s="4">
        <v>3240</v>
      </c>
      <c r="K1814" s="4">
        <v>2002.4</v>
      </c>
      <c r="L1814" s="4">
        <v>1237.5999999999999</v>
      </c>
      <c r="M1814" s="1" t="str">
        <f>TEXT(Table1[[#This Row],[Order_Date]], "MMM")</f>
        <v>May</v>
      </c>
      <c r="N1814" s="1">
        <f>YEAR(Table1[[#This Row],[Order_Date]])</f>
        <v>2024</v>
      </c>
      <c r="O1814" s="7">
        <f>Table1[[#This Row],[Profit]]/Table1[[#This Row],[Total_Sales]]</f>
        <v>0.38197530864197526</v>
      </c>
    </row>
    <row r="1815" spans="1:15" x14ac:dyDescent="0.25">
      <c r="A1815" s="1">
        <v>1814</v>
      </c>
      <c r="B1815" s="2">
        <v>45288</v>
      </c>
      <c r="C1815" s="1" t="s">
        <v>16</v>
      </c>
      <c r="D1815" s="1" t="s">
        <v>22</v>
      </c>
      <c r="E1815" s="1" t="s">
        <v>29</v>
      </c>
      <c r="F1815" s="1" t="s">
        <v>31</v>
      </c>
      <c r="G1815" s="1">
        <v>7</v>
      </c>
      <c r="H1815" s="1">
        <v>224</v>
      </c>
      <c r="I1815" s="1">
        <v>15</v>
      </c>
      <c r="J1815" s="4">
        <v>1332.8</v>
      </c>
      <c r="K1815" s="4">
        <v>802.21</v>
      </c>
      <c r="L1815" s="4">
        <v>530.59</v>
      </c>
      <c r="M1815" s="1" t="str">
        <f>TEXT(Table1[[#This Row],[Order_Date]], "MMM")</f>
        <v>Dec</v>
      </c>
      <c r="N1815" s="1">
        <f>YEAR(Table1[[#This Row],[Order_Date]])</f>
        <v>2023</v>
      </c>
      <c r="O1815" s="7">
        <f>Table1[[#This Row],[Profit]]/Table1[[#This Row],[Total_Sales]]</f>
        <v>0.39810174069627857</v>
      </c>
    </row>
    <row r="1816" spans="1:15" x14ac:dyDescent="0.25">
      <c r="A1816" s="1">
        <v>1815</v>
      </c>
      <c r="B1816" s="2">
        <v>45010</v>
      </c>
      <c r="C1816" s="1" t="s">
        <v>25</v>
      </c>
      <c r="D1816" s="1" t="s">
        <v>32</v>
      </c>
      <c r="E1816" s="1" t="s">
        <v>34</v>
      </c>
      <c r="F1816" s="1" t="s">
        <v>35</v>
      </c>
      <c r="G1816" s="1">
        <v>1</v>
      </c>
      <c r="H1816" s="1">
        <v>199</v>
      </c>
      <c r="I1816" s="1">
        <v>20</v>
      </c>
      <c r="J1816" s="4">
        <v>159.19999999999999</v>
      </c>
      <c r="K1816" s="4">
        <v>121.46</v>
      </c>
      <c r="L1816" s="4">
        <v>37.74</v>
      </c>
      <c r="M1816" s="1" t="str">
        <f>TEXT(Table1[[#This Row],[Order_Date]], "MMM")</f>
        <v>Mar</v>
      </c>
      <c r="N1816" s="1">
        <f>YEAR(Table1[[#This Row],[Order_Date]])</f>
        <v>2023</v>
      </c>
      <c r="O1816" s="7">
        <f>Table1[[#This Row],[Profit]]/Table1[[#This Row],[Total_Sales]]</f>
        <v>0.23706030150753771</v>
      </c>
    </row>
    <row r="1817" spans="1:15" x14ac:dyDescent="0.25">
      <c r="A1817" s="1">
        <v>1816</v>
      </c>
      <c r="B1817" s="2">
        <v>45046</v>
      </c>
      <c r="C1817" s="1" t="s">
        <v>16</v>
      </c>
      <c r="D1817" s="1" t="s">
        <v>20</v>
      </c>
      <c r="E1817" s="1" t="s">
        <v>28</v>
      </c>
      <c r="F1817" s="1" t="s">
        <v>40</v>
      </c>
      <c r="G1817" s="1">
        <v>3</v>
      </c>
      <c r="H1817" s="1">
        <v>273</v>
      </c>
      <c r="I1817" s="1">
        <v>5</v>
      </c>
      <c r="J1817" s="4">
        <v>778.05</v>
      </c>
      <c r="K1817" s="4">
        <v>426.9</v>
      </c>
      <c r="L1817" s="4">
        <v>351.15</v>
      </c>
      <c r="M1817" s="1" t="str">
        <f>TEXT(Table1[[#This Row],[Order_Date]], "MMM")</f>
        <v>Apr</v>
      </c>
      <c r="N1817" s="1">
        <f>YEAR(Table1[[#This Row],[Order_Date]])</f>
        <v>2023</v>
      </c>
      <c r="O1817" s="7">
        <f>Table1[[#This Row],[Profit]]/Table1[[#This Row],[Total_Sales]]</f>
        <v>0.45132060921534606</v>
      </c>
    </row>
    <row r="1818" spans="1:15" x14ac:dyDescent="0.25">
      <c r="A1818" s="1">
        <v>1817</v>
      </c>
      <c r="B1818" s="2">
        <v>45178</v>
      </c>
      <c r="C1818" s="1" t="s">
        <v>12</v>
      </c>
      <c r="D1818" s="1" t="s">
        <v>13</v>
      </c>
      <c r="E1818" s="1" t="s">
        <v>17</v>
      </c>
      <c r="F1818" s="1" t="s">
        <v>35</v>
      </c>
      <c r="G1818" s="1">
        <v>7</v>
      </c>
      <c r="H1818" s="1">
        <v>941</v>
      </c>
      <c r="I1818" s="1">
        <v>10</v>
      </c>
      <c r="J1818" s="4">
        <v>5928.3</v>
      </c>
      <c r="K1818" s="4">
        <v>4738.01</v>
      </c>
      <c r="L1818" s="4">
        <v>1190.29</v>
      </c>
      <c r="M1818" s="1" t="str">
        <f>TEXT(Table1[[#This Row],[Order_Date]], "MMM")</f>
        <v>Sep</v>
      </c>
      <c r="N1818" s="1">
        <f>YEAR(Table1[[#This Row],[Order_Date]])</f>
        <v>2023</v>
      </c>
      <c r="O1818" s="7">
        <f>Table1[[#This Row],[Profit]]/Table1[[#This Row],[Total_Sales]]</f>
        <v>0.20078099961203041</v>
      </c>
    </row>
    <row r="1819" spans="1:15" x14ac:dyDescent="0.25">
      <c r="A1819" s="1">
        <v>1818</v>
      </c>
      <c r="B1819" s="2">
        <v>45496</v>
      </c>
      <c r="C1819" s="1" t="s">
        <v>19</v>
      </c>
      <c r="D1819" s="1" t="s">
        <v>20</v>
      </c>
      <c r="E1819" s="1" t="s">
        <v>28</v>
      </c>
      <c r="F1819" s="1" t="s">
        <v>35</v>
      </c>
      <c r="G1819" s="1">
        <v>2</v>
      </c>
      <c r="H1819" s="1">
        <v>407</v>
      </c>
      <c r="I1819" s="1">
        <v>20</v>
      </c>
      <c r="J1819" s="4">
        <v>651.20000000000005</v>
      </c>
      <c r="K1819" s="4">
        <v>440.15</v>
      </c>
      <c r="L1819" s="4">
        <v>211.05</v>
      </c>
      <c r="M1819" s="1" t="str">
        <f>TEXT(Table1[[#This Row],[Order_Date]], "MMM")</f>
        <v>Jul</v>
      </c>
      <c r="N1819" s="1">
        <f>YEAR(Table1[[#This Row],[Order_Date]])</f>
        <v>2024</v>
      </c>
      <c r="O1819" s="7">
        <f>Table1[[#This Row],[Profit]]/Table1[[#This Row],[Total_Sales]]</f>
        <v>0.32409398034398035</v>
      </c>
    </row>
    <row r="1820" spans="1:15" x14ac:dyDescent="0.25">
      <c r="A1820" s="1">
        <v>1819</v>
      </c>
      <c r="B1820" s="2">
        <v>45394</v>
      </c>
      <c r="C1820" s="1" t="s">
        <v>16</v>
      </c>
      <c r="D1820" s="1" t="s">
        <v>26</v>
      </c>
      <c r="E1820" s="1" t="s">
        <v>46</v>
      </c>
      <c r="F1820" s="1" t="s">
        <v>40</v>
      </c>
      <c r="G1820" s="1">
        <v>9</v>
      </c>
      <c r="H1820" s="1">
        <v>543</v>
      </c>
      <c r="I1820" s="1">
        <v>20</v>
      </c>
      <c r="J1820" s="4">
        <v>3909.6</v>
      </c>
      <c r="K1820" s="4">
        <v>2664.22</v>
      </c>
      <c r="L1820" s="4">
        <v>1245.3800000000001</v>
      </c>
      <c r="M1820" s="1" t="str">
        <f>TEXT(Table1[[#This Row],[Order_Date]], "MMM")</f>
        <v>Apr</v>
      </c>
      <c r="N1820" s="1">
        <f>YEAR(Table1[[#This Row],[Order_Date]])</f>
        <v>2024</v>
      </c>
      <c r="O1820" s="7">
        <f>Table1[[#This Row],[Profit]]/Table1[[#This Row],[Total_Sales]]</f>
        <v>0.31854409658277066</v>
      </c>
    </row>
    <row r="1821" spans="1:15" x14ac:dyDescent="0.25">
      <c r="A1821" s="1">
        <v>1820</v>
      </c>
      <c r="B1821" s="2">
        <v>45568</v>
      </c>
      <c r="C1821" s="1" t="s">
        <v>12</v>
      </c>
      <c r="D1821" s="1" t="s">
        <v>20</v>
      </c>
      <c r="E1821" s="1" t="s">
        <v>21</v>
      </c>
      <c r="F1821" s="1" t="s">
        <v>35</v>
      </c>
      <c r="G1821" s="1">
        <v>3</v>
      </c>
      <c r="H1821" s="1">
        <v>287</v>
      </c>
      <c r="I1821" s="1">
        <v>10</v>
      </c>
      <c r="J1821" s="4">
        <v>774.9</v>
      </c>
      <c r="K1821" s="4">
        <v>490.41</v>
      </c>
      <c r="L1821" s="4">
        <v>284.49</v>
      </c>
      <c r="M1821" s="1" t="str">
        <f>TEXT(Table1[[#This Row],[Order_Date]], "MMM")</f>
        <v>Oct</v>
      </c>
      <c r="N1821" s="1">
        <f>YEAR(Table1[[#This Row],[Order_Date]])</f>
        <v>2024</v>
      </c>
      <c r="O1821" s="7">
        <f>Table1[[#This Row],[Profit]]/Table1[[#This Row],[Total_Sales]]</f>
        <v>0.36713124274099884</v>
      </c>
    </row>
    <row r="1822" spans="1:15" x14ac:dyDescent="0.25">
      <c r="A1822" s="1">
        <v>1821</v>
      </c>
      <c r="B1822" s="2">
        <v>45097</v>
      </c>
      <c r="C1822" s="1" t="s">
        <v>19</v>
      </c>
      <c r="D1822" s="1" t="s">
        <v>32</v>
      </c>
      <c r="E1822" s="1" t="s">
        <v>45</v>
      </c>
      <c r="F1822" s="1" t="s">
        <v>15</v>
      </c>
      <c r="G1822" s="1">
        <v>5</v>
      </c>
      <c r="H1822" s="1">
        <v>920</v>
      </c>
      <c r="I1822" s="1">
        <v>10</v>
      </c>
      <c r="J1822" s="4">
        <v>4140</v>
      </c>
      <c r="K1822" s="4">
        <v>2463.19</v>
      </c>
      <c r="L1822" s="4">
        <v>1676.81</v>
      </c>
      <c r="M1822" s="1" t="str">
        <f>TEXT(Table1[[#This Row],[Order_Date]], "MMM")</f>
        <v>Jun</v>
      </c>
      <c r="N1822" s="1">
        <f>YEAR(Table1[[#This Row],[Order_Date]])</f>
        <v>2023</v>
      </c>
      <c r="O1822" s="7">
        <f>Table1[[#This Row],[Profit]]/Table1[[#This Row],[Total_Sales]]</f>
        <v>0.40502657004830916</v>
      </c>
    </row>
    <row r="1823" spans="1:15" x14ac:dyDescent="0.25">
      <c r="A1823" s="1">
        <v>1822</v>
      </c>
      <c r="B1823" s="2">
        <v>45504</v>
      </c>
      <c r="C1823" s="1" t="s">
        <v>12</v>
      </c>
      <c r="D1823" s="1" t="s">
        <v>22</v>
      </c>
      <c r="E1823" s="1" t="s">
        <v>44</v>
      </c>
      <c r="F1823" s="1" t="s">
        <v>15</v>
      </c>
      <c r="G1823" s="1">
        <v>1</v>
      </c>
      <c r="H1823" s="1">
        <v>152</v>
      </c>
      <c r="I1823" s="1">
        <v>5</v>
      </c>
      <c r="J1823" s="4">
        <v>144.4</v>
      </c>
      <c r="K1823" s="4">
        <v>103.7</v>
      </c>
      <c r="L1823" s="4">
        <v>40.700000000000003</v>
      </c>
      <c r="M1823" s="1" t="str">
        <f>TEXT(Table1[[#This Row],[Order_Date]], "MMM")</f>
        <v>Jul</v>
      </c>
      <c r="N1823" s="1">
        <f>YEAR(Table1[[#This Row],[Order_Date]])</f>
        <v>2024</v>
      </c>
      <c r="O1823" s="7">
        <f>Table1[[#This Row],[Profit]]/Table1[[#This Row],[Total_Sales]]</f>
        <v>0.28185595567867039</v>
      </c>
    </row>
    <row r="1824" spans="1:15" x14ac:dyDescent="0.25">
      <c r="A1824" s="1">
        <v>1823</v>
      </c>
      <c r="B1824" s="2">
        <v>44971</v>
      </c>
      <c r="C1824" s="1" t="s">
        <v>25</v>
      </c>
      <c r="D1824" s="1" t="s">
        <v>22</v>
      </c>
      <c r="E1824" s="1" t="s">
        <v>29</v>
      </c>
      <c r="F1824" s="1" t="s">
        <v>31</v>
      </c>
      <c r="G1824" s="1">
        <v>7</v>
      </c>
      <c r="H1824" s="1">
        <v>480</v>
      </c>
      <c r="I1824" s="1">
        <v>5</v>
      </c>
      <c r="J1824" s="4">
        <v>3192</v>
      </c>
      <c r="K1824" s="4">
        <v>2391.4</v>
      </c>
      <c r="L1824" s="4">
        <v>800.6</v>
      </c>
      <c r="M1824" s="1" t="str">
        <f>TEXT(Table1[[#This Row],[Order_Date]], "MMM")</f>
        <v>Feb</v>
      </c>
      <c r="N1824" s="1">
        <f>YEAR(Table1[[#This Row],[Order_Date]])</f>
        <v>2023</v>
      </c>
      <c r="O1824" s="7">
        <f>Table1[[#This Row],[Profit]]/Table1[[#This Row],[Total_Sales]]</f>
        <v>0.25081453634085216</v>
      </c>
    </row>
    <row r="1825" spans="1:15" x14ac:dyDescent="0.25">
      <c r="A1825" s="1">
        <v>1824</v>
      </c>
      <c r="B1825" s="2">
        <v>45331</v>
      </c>
      <c r="C1825" s="1" t="s">
        <v>19</v>
      </c>
      <c r="D1825" s="1" t="s">
        <v>13</v>
      </c>
      <c r="E1825" s="1" t="s">
        <v>14</v>
      </c>
      <c r="F1825" s="1" t="s">
        <v>40</v>
      </c>
      <c r="G1825" s="1">
        <v>3</v>
      </c>
      <c r="H1825" s="1">
        <v>717</v>
      </c>
      <c r="I1825" s="1">
        <v>15</v>
      </c>
      <c r="J1825" s="4">
        <v>1828.35</v>
      </c>
      <c r="K1825" s="4">
        <v>944.8</v>
      </c>
      <c r="L1825" s="4">
        <v>883.55</v>
      </c>
      <c r="M1825" s="1" t="str">
        <f>TEXT(Table1[[#This Row],[Order_Date]], "MMM")</f>
        <v>Feb</v>
      </c>
      <c r="N1825" s="1">
        <f>YEAR(Table1[[#This Row],[Order_Date]])</f>
        <v>2024</v>
      </c>
      <c r="O1825" s="7">
        <f>Table1[[#This Row],[Profit]]/Table1[[#This Row],[Total_Sales]]</f>
        <v>0.48324992479558071</v>
      </c>
    </row>
    <row r="1826" spans="1:15" x14ac:dyDescent="0.25">
      <c r="A1826" s="1">
        <v>1825</v>
      </c>
      <c r="B1826" s="2">
        <v>45600</v>
      </c>
      <c r="C1826" s="1" t="s">
        <v>16</v>
      </c>
      <c r="D1826" s="1" t="s">
        <v>13</v>
      </c>
      <c r="E1826" s="1" t="s">
        <v>14</v>
      </c>
      <c r="F1826" s="1" t="s">
        <v>15</v>
      </c>
      <c r="G1826" s="1">
        <v>10</v>
      </c>
      <c r="H1826" s="1">
        <v>853</v>
      </c>
      <c r="I1826" s="1">
        <v>0</v>
      </c>
      <c r="J1826" s="4">
        <v>8530</v>
      </c>
      <c r="K1826" s="4">
        <v>5061.66</v>
      </c>
      <c r="L1826" s="4">
        <v>3468.34</v>
      </c>
      <c r="M1826" s="1" t="str">
        <f>TEXT(Table1[[#This Row],[Order_Date]], "MMM")</f>
        <v>Nov</v>
      </c>
      <c r="N1826" s="1">
        <f>YEAR(Table1[[#This Row],[Order_Date]])</f>
        <v>2024</v>
      </c>
      <c r="O1826" s="7">
        <f>Table1[[#This Row],[Profit]]/Table1[[#This Row],[Total_Sales]]</f>
        <v>0.40660492379835877</v>
      </c>
    </row>
    <row r="1827" spans="1:15" x14ac:dyDescent="0.25">
      <c r="A1827" s="1">
        <v>1826</v>
      </c>
      <c r="B1827" s="2">
        <v>45076</v>
      </c>
      <c r="C1827" s="1" t="s">
        <v>16</v>
      </c>
      <c r="D1827" s="1" t="s">
        <v>26</v>
      </c>
      <c r="E1827" s="1" t="s">
        <v>46</v>
      </c>
      <c r="F1827" s="1" t="s">
        <v>24</v>
      </c>
      <c r="G1827" s="1">
        <v>1</v>
      </c>
      <c r="H1827" s="1">
        <v>505</v>
      </c>
      <c r="I1827" s="1">
        <v>10</v>
      </c>
      <c r="J1827" s="4">
        <v>454.5</v>
      </c>
      <c r="K1827" s="4">
        <v>304.79000000000002</v>
      </c>
      <c r="L1827" s="4">
        <v>149.71</v>
      </c>
      <c r="M1827" s="1" t="str">
        <f>TEXT(Table1[[#This Row],[Order_Date]], "MMM")</f>
        <v>May</v>
      </c>
      <c r="N1827" s="1">
        <f>YEAR(Table1[[#This Row],[Order_Date]])</f>
        <v>2023</v>
      </c>
      <c r="O1827" s="7">
        <f>Table1[[#This Row],[Profit]]/Table1[[#This Row],[Total_Sales]]</f>
        <v>0.32939493949394943</v>
      </c>
    </row>
    <row r="1828" spans="1:15" x14ac:dyDescent="0.25">
      <c r="A1828" s="1">
        <v>1827</v>
      </c>
      <c r="B1828" s="2">
        <v>45458</v>
      </c>
      <c r="C1828" s="1" t="s">
        <v>19</v>
      </c>
      <c r="D1828" s="1" t="s">
        <v>22</v>
      </c>
      <c r="E1828" s="1" t="s">
        <v>29</v>
      </c>
      <c r="F1828" s="1" t="s">
        <v>31</v>
      </c>
      <c r="G1828" s="1">
        <v>10</v>
      </c>
      <c r="H1828" s="1">
        <v>502</v>
      </c>
      <c r="I1828" s="1">
        <v>20</v>
      </c>
      <c r="J1828" s="4">
        <v>4016</v>
      </c>
      <c r="K1828" s="4">
        <v>2040</v>
      </c>
      <c r="L1828" s="4">
        <v>1976</v>
      </c>
      <c r="M1828" s="1" t="str">
        <f>TEXT(Table1[[#This Row],[Order_Date]], "MMM")</f>
        <v>Jun</v>
      </c>
      <c r="N1828" s="1">
        <f>YEAR(Table1[[#This Row],[Order_Date]])</f>
        <v>2024</v>
      </c>
      <c r="O1828" s="7">
        <f>Table1[[#This Row],[Profit]]/Table1[[#This Row],[Total_Sales]]</f>
        <v>0.49203187250996017</v>
      </c>
    </row>
    <row r="1829" spans="1:15" x14ac:dyDescent="0.25">
      <c r="A1829" s="1">
        <v>1828</v>
      </c>
      <c r="B1829" s="2">
        <v>45516</v>
      </c>
      <c r="C1829" s="1" t="s">
        <v>16</v>
      </c>
      <c r="D1829" s="1" t="s">
        <v>22</v>
      </c>
      <c r="E1829" s="1" t="s">
        <v>44</v>
      </c>
      <c r="F1829" s="1" t="s">
        <v>15</v>
      </c>
      <c r="G1829" s="1">
        <v>6</v>
      </c>
      <c r="H1829" s="1">
        <v>173</v>
      </c>
      <c r="I1829" s="1">
        <v>0</v>
      </c>
      <c r="J1829" s="4">
        <v>1038</v>
      </c>
      <c r="K1829" s="4">
        <v>643.95000000000005</v>
      </c>
      <c r="L1829" s="4">
        <v>394.05</v>
      </c>
      <c r="M1829" s="1" t="str">
        <f>TEXT(Table1[[#This Row],[Order_Date]], "MMM")</f>
        <v>Aug</v>
      </c>
      <c r="N1829" s="1">
        <f>YEAR(Table1[[#This Row],[Order_Date]])</f>
        <v>2024</v>
      </c>
      <c r="O1829" s="7">
        <f>Table1[[#This Row],[Profit]]/Table1[[#This Row],[Total_Sales]]</f>
        <v>0.3796242774566474</v>
      </c>
    </row>
    <row r="1830" spans="1:15" x14ac:dyDescent="0.25">
      <c r="A1830" s="1">
        <v>1829</v>
      </c>
      <c r="B1830" s="2">
        <v>44970</v>
      </c>
      <c r="C1830" s="1" t="s">
        <v>16</v>
      </c>
      <c r="D1830" s="1" t="s">
        <v>13</v>
      </c>
      <c r="E1830" s="1" t="s">
        <v>38</v>
      </c>
      <c r="F1830" s="1" t="s">
        <v>24</v>
      </c>
      <c r="G1830" s="1">
        <v>9</v>
      </c>
      <c r="H1830" s="1">
        <v>407</v>
      </c>
      <c r="I1830" s="1">
        <v>20</v>
      </c>
      <c r="J1830" s="4">
        <v>2930.4</v>
      </c>
      <c r="K1830" s="4">
        <v>2235.77</v>
      </c>
      <c r="L1830" s="4">
        <v>694.63</v>
      </c>
      <c r="M1830" s="1" t="str">
        <f>TEXT(Table1[[#This Row],[Order_Date]], "MMM")</f>
        <v>Feb</v>
      </c>
      <c r="N1830" s="1">
        <f>YEAR(Table1[[#This Row],[Order_Date]])</f>
        <v>2023</v>
      </c>
      <c r="O1830" s="7">
        <f>Table1[[#This Row],[Profit]]/Table1[[#This Row],[Total_Sales]]</f>
        <v>0.23704272454272454</v>
      </c>
    </row>
    <row r="1831" spans="1:15" x14ac:dyDescent="0.25">
      <c r="A1831" s="1">
        <v>1830</v>
      </c>
      <c r="B1831" s="2">
        <v>44988</v>
      </c>
      <c r="C1831" s="1" t="s">
        <v>16</v>
      </c>
      <c r="D1831" s="1" t="s">
        <v>26</v>
      </c>
      <c r="E1831" s="1" t="s">
        <v>46</v>
      </c>
      <c r="F1831" s="1" t="s">
        <v>31</v>
      </c>
      <c r="G1831" s="1">
        <v>7</v>
      </c>
      <c r="H1831" s="1">
        <v>130</v>
      </c>
      <c r="I1831" s="1">
        <v>5</v>
      </c>
      <c r="J1831" s="4">
        <v>864.5</v>
      </c>
      <c r="K1831" s="4">
        <v>488.67</v>
      </c>
      <c r="L1831" s="4">
        <v>375.83</v>
      </c>
      <c r="M1831" s="1" t="str">
        <f>TEXT(Table1[[#This Row],[Order_Date]], "MMM")</f>
        <v>Mar</v>
      </c>
      <c r="N1831" s="1">
        <f>YEAR(Table1[[#This Row],[Order_Date]])</f>
        <v>2023</v>
      </c>
      <c r="O1831" s="7">
        <f>Table1[[#This Row],[Profit]]/Table1[[#This Row],[Total_Sales]]</f>
        <v>0.43473684210526314</v>
      </c>
    </row>
    <row r="1832" spans="1:15" x14ac:dyDescent="0.25">
      <c r="A1832" s="1">
        <v>1831</v>
      </c>
      <c r="B1832" s="2">
        <v>45177</v>
      </c>
      <c r="C1832" s="1" t="s">
        <v>19</v>
      </c>
      <c r="D1832" s="1" t="s">
        <v>32</v>
      </c>
      <c r="E1832" s="1" t="s">
        <v>41</v>
      </c>
      <c r="F1832" s="1" t="s">
        <v>31</v>
      </c>
      <c r="G1832" s="1">
        <v>1</v>
      </c>
      <c r="H1832" s="1">
        <v>941</v>
      </c>
      <c r="I1832" s="1">
        <v>15</v>
      </c>
      <c r="J1832" s="4">
        <v>799.85</v>
      </c>
      <c r="K1832" s="4">
        <v>478.42</v>
      </c>
      <c r="L1832" s="4">
        <v>321.43</v>
      </c>
      <c r="M1832" s="1" t="str">
        <f>TEXT(Table1[[#This Row],[Order_Date]], "MMM")</f>
        <v>Sep</v>
      </c>
      <c r="N1832" s="1">
        <f>YEAR(Table1[[#This Row],[Order_Date]])</f>
        <v>2023</v>
      </c>
      <c r="O1832" s="7">
        <f>Table1[[#This Row],[Profit]]/Table1[[#This Row],[Total_Sales]]</f>
        <v>0.40186284928424082</v>
      </c>
    </row>
    <row r="1833" spans="1:15" x14ac:dyDescent="0.25">
      <c r="A1833" s="1">
        <v>1832</v>
      </c>
      <c r="B1833" s="2">
        <v>45503</v>
      </c>
      <c r="C1833" s="1" t="s">
        <v>12</v>
      </c>
      <c r="D1833" s="1" t="s">
        <v>20</v>
      </c>
      <c r="E1833" s="1" t="s">
        <v>43</v>
      </c>
      <c r="F1833" s="1" t="s">
        <v>24</v>
      </c>
      <c r="G1833" s="1">
        <v>9</v>
      </c>
      <c r="H1833" s="1">
        <v>387</v>
      </c>
      <c r="I1833" s="1">
        <v>10</v>
      </c>
      <c r="J1833" s="4">
        <v>3134.7</v>
      </c>
      <c r="K1833" s="4">
        <v>1642.21</v>
      </c>
      <c r="L1833" s="4">
        <v>1492.49</v>
      </c>
      <c r="M1833" s="1" t="str">
        <f>TEXT(Table1[[#This Row],[Order_Date]], "MMM")</f>
        <v>Jul</v>
      </c>
      <c r="N1833" s="1">
        <f>YEAR(Table1[[#This Row],[Order_Date]])</f>
        <v>2024</v>
      </c>
      <c r="O1833" s="7">
        <f>Table1[[#This Row],[Profit]]/Table1[[#This Row],[Total_Sales]]</f>
        <v>0.47611892685105434</v>
      </c>
    </row>
    <row r="1834" spans="1:15" x14ac:dyDescent="0.25">
      <c r="A1834" s="1">
        <v>1833</v>
      </c>
      <c r="B1834" s="2">
        <v>45376</v>
      </c>
      <c r="C1834" s="1" t="s">
        <v>16</v>
      </c>
      <c r="D1834" s="1" t="s">
        <v>32</v>
      </c>
      <c r="E1834" s="1" t="s">
        <v>34</v>
      </c>
      <c r="F1834" s="1" t="s">
        <v>40</v>
      </c>
      <c r="G1834" s="1">
        <v>7</v>
      </c>
      <c r="H1834" s="1">
        <v>141</v>
      </c>
      <c r="I1834" s="1">
        <v>5</v>
      </c>
      <c r="J1834" s="4">
        <v>937.65</v>
      </c>
      <c r="K1834" s="4">
        <v>683.04</v>
      </c>
      <c r="L1834" s="4">
        <v>254.61</v>
      </c>
      <c r="M1834" s="1" t="str">
        <f>TEXT(Table1[[#This Row],[Order_Date]], "MMM")</f>
        <v>Mar</v>
      </c>
      <c r="N1834" s="1">
        <f>YEAR(Table1[[#This Row],[Order_Date]])</f>
        <v>2024</v>
      </c>
      <c r="O1834" s="7">
        <f>Table1[[#This Row],[Profit]]/Table1[[#This Row],[Total_Sales]]</f>
        <v>0.27154055351143819</v>
      </c>
    </row>
    <row r="1835" spans="1:15" x14ac:dyDescent="0.25">
      <c r="A1835" s="1">
        <v>1834</v>
      </c>
      <c r="B1835" s="2">
        <v>45452</v>
      </c>
      <c r="C1835" s="1" t="s">
        <v>19</v>
      </c>
      <c r="D1835" s="1" t="s">
        <v>13</v>
      </c>
      <c r="E1835" s="1" t="s">
        <v>39</v>
      </c>
      <c r="F1835" s="1" t="s">
        <v>18</v>
      </c>
      <c r="G1835" s="1">
        <v>10</v>
      </c>
      <c r="H1835" s="1">
        <v>83</v>
      </c>
      <c r="I1835" s="1">
        <v>20</v>
      </c>
      <c r="J1835" s="4">
        <v>664</v>
      </c>
      <c r="K1835" s="4">
        <v>371.74</v>
      </c>
      <c r="L1835" s="4">
        <v>292.26</v>
      </c>
      <c r="M1835" s="1" t="str">
        <f>TEXT(Table1[[#This Row],[Order_Date]], "MMM")</f>
        <v>Jun</v>
      </c>
      <c r="N1835" s="1">
        <f>YEAR(Table1[[#This Row],[Order_Date]])</f>
        <v>2024</v>
      </c>
      <c r="O1835" s="7">
        <f>Table1[[#This Row],[Profit]]/Table1[[#This Row],[Total_Sales]]</f>
        <v>0.44015060240963855</v>
      </c>
    </row>
    <row r="1836" spans="1:15" x14ac:dyDescent="0.25">
      <c r="A1836" s="1">
        <v>1835</v>
      </c>
      <c r="B1836" s="2">
        <v>45441</v>
      </c>
      <c r="C1836" s="1" t="s">
        <v>16</v>
      </c>
      <c r="D1836" s="1" t="s">
        <v>32</v>
      </c>
      <c r="E1836" s="1" t="s">
        <v>45</v>
      </c>
      <c r="F1836" s="1" t="s">
        <v>31</v>
      </c>
      <c r="G1836" s="1">
        <v>6</v>
      </c>
      <c r="H1836" s="1">
        <v>199</v>
      </c>
      <c r="I1836" s="1">
        <v>15</v>
      </c>
      <c r="J1836" s="4">
        <v>1014.9</v>
      </c>
      <c r="K1836" s="4">
        <v>527.87</v>
      </c>
      <c r="L1836" s="4">
        <v>487.03</v>
      </c>
      <c r="M1836" s="1" t="str">
        <f>TEXT(Table1[[#This Row],[Order_Date]], "MMM")</f>
        <v>May</v>
      </c>
      <c r="N1836" s="1">
        <f>YEAR(Table1[[#This Row],[Order_Date]])</f>
        <v>2024</v>
      </c>
      <c r="O1836" s="7">
        <f>Table1[[#This Row],[Profit]]/Table1[[#This Row],[Total_Sales]]</f>
        <v>0.47987979111242485</v>
      </c>
    </row>
    <row r="1837" spans="1:15" x14ac:dyDescent="0.25">
      <c r="A1837" s="1">
        <v>1836</v>
      </c>
      <c r="B1837" s="2">
        <v>45031</v>
      </c>
      <c r="C1837" s="1" t="s">
        <v>19</v>
      </c>
      <c r="D1837" s="1" t="s">
        <v>13</v>
      </c>
      <c r="E1837" s="1" t="s">
        <v>14</v>
      </c>
      <c r="F1837" s="1" t="s">
        <v>40</v>
      </c>
      <c r="G1837" s="1">
        <v>5</v>
      </c>
      <c r="H1837" s="1">
        <v>478</v>
      </c>
      <c r="I1837" s="1">
        <v>15</v>
      </c>
      <c r="J1837" s="4">
        <v>2031.5</v>
      </c>
      <c r="K1837" s="4">
        <v>1265.3900000000001</v>
      </c>
      <c r="L1837" s="4">
        <v>766.11</v>
      </c>
      <c r="M1837" s="1" t="str">
        <f>TEXT(Table1[[#This Row],[Order_Date]], "MMM")</f>
        <v>Apr</v>
      </c>
      <c r="N1837" s="1">
        <f>YEAR(Table1[[#This Row],[Order_Date]])</f>
        <v>2023</v>
      </c>
      <c r="O1837" s="7">
        <f>Table1[[#This Row],[Profit]]/Table1[[#This Row],[Total_Sales]]</f>
        <v>0.37711543194683733</v>
      </c>
    </row>
    <row r="1838" spans="1:15" x14ac:dyDescent="0.25">
      <c r="A1838" s="1">
        <v>1837</v>
      </c>
      <c r="B1838" s="2">
        <v>45552</v>
      </c>
      <c r="C1838" s="1" t="s">
        <v>19</v>
      </c>
      <c r="D1838" s="1" t="s">
        <v>32</v>
      </c>
      <c r="E1838" s="1" t="s">
        <v>41</v>
      </c>
      <c r="F1838" s="1" t="s">
        <v>15</v>
      </c>
      <c r="G1838" s="1">
        <v>4</v>
      </c>
      <c r="H1838" s="1">
        <v>462</v>
      </c>
      <c r="I1838" s="1">
        <v>0</v>
      </c>
      <c r="J1838" s="4">
        <v>1848</v>
      </c>
      <c r="K1838" s="4">
        <v>1468.04</v>
      </c>
      <c r="L1838" s="4">
        <v>379.96</v>
      </c>
      <c r="M1838" s="1" t="str">
        <f>TEXT(Table1[[#This Row],[Order_Date]], "MMM")</f>
        <v>Sep</v>
      </c>
      <c r="N1838" s="1">
        <f>YEAR(Table1[[#This Row],[Order_Date]])</f>
        <v>2024</v>
      </c>
      <c r="O1838" s="7">
        <f>Table1[[#This Row],[Profit]]/Table1[[#This Row],[Total_Sales]]</f>
        <v>0.2056060606060606</v>
      </c>
    </row>
    <row r="1839" spans="1:15" x14ac:dyDescent="0.25">
      <c r="A1839" s="1">
        <v>1838</v>
      </c>
      <c r="B1839" s="2">
        <v>45018</v>
      </c>
      <c r="C1839" s="1" t="s">
        <v>25</v>
      </c>
      <c r="D1839" s="1" t="s">
        <v>20</v>
      </c>
      <c r="E1839" s="1" t="s">
        <v>21</v>
      </c>
      <c r="F1839" s="1" t="s">
        <v>15</v>
      </c>
      <c r="G1839" s="1">
        <v>3</v>
      </c>
      <c r="H1839" s="1">
        <v>382</v>
      </c>
      <c r="I1839" s="1">
        <v>0</v>
      </c>
      <c r="J1839" s="4">
        <v>1146</v>
      </c>
      <c r="K1839" s="4">
        <v>883.15</v>
      </c>
      <c r="L1839" s="4">
        <v>262.85000000000002</v>
      </c>
      <c r="M1839" s="1" t="str">
        <f>TEXT(Table1[[#This Row],[Order_Date]], "MMM")</f>
        <v>Apr</v>
      </c>
      <c r="N1839" s="1">
        <f>YEAR(Table1[[#This Row],[Order_Date]])</f>
        <v>2023</v>
      </c>
      <c r="O1839" s="7">
        <f>Table1[[#This Row],[Profit]]/Table1[[#This Row],[Total_Sales]]</f>
        <v>0.22936300174520072</v>
      </c>
    </row>
    <row r="1840" spans="1:15" x14ac:dyDescent="0.25">
      <c r="A1840" s="1">
        <v>1839</v>
      </c>
      <c r="B1840" s="2">
        <v>45639</v>
      </c>
      <c r="C1840" s="1" t="s">
        <v>25</v>
      </c>
      <c r="D1840" s="1" t="s">
        <v>20</v>
      </c>
      <c r="E1840" s="1" t="s">
        <v>30</v>
      </c>
      <c r="F1840" s="1" t="s">
        <v>40</v>
      </c>
      <c r="G1840" s="1">
        <v>9</v>
      </c>
      <c r="H1840" s="1">
        <v>625</v>
      </c>
      <c r="I1840" s="1">
        <v>10</v>
      </c>
      <c r="J1840" s="4">
        <v>5062.5</v>
      </c>
      <c r="K1840" s="4">
        <v>3723.18</v>
      </c>
      <c r="L1840" s="4">
        <v>1339.32</v>
      </c>
      <c r="M1840" s="1" t="str">
        <f>TEXT(Table1[[#This Row],[Order_Date]], "MMM")</f>
        <v>Dec</v>
      </c>
      <c r="N1840" s="1">
        <f>YEAR(Table1[[#This Row],[Order_Date]])</f>
        <v>2024</v>
      </c>
      <c r="O1840" s="7">
        <f>Table1[[#This Row],[Profit]]/Table1[[#This Row],[Total_Sales]]</f>
        <v>0.26455703703703703</v>
      </c>
    </row>
    <row r="1841" spans="1:15" x14ac:dyDescent="0.25">
      <c r="A1841" s="1">
        <v>1840</v>
      </c>
      <c r="B1841" s="2">
        <v>45655</v>
      </c>
      <c r="C1841" s="1" t="s">
        <v>12</v>
      </c>
      <c r="D1841" s="1" t="s">
        <v>20</v>
      </c>
      <c r="E1841" s="1" t="s">
        <v>43</v>
      </c>
      <c r="F1841" s="1" t="s">
        <v>40</v>
      </c>
      <c r="G1841" s="1">
        <v>9</v>
      </c>
      <c r="H1841" s="1">
        <v>443</v>
      </c>
      <c r="I1841" s="1">
        <v>5</v>
      </c>
      <c r="J1841" s="4">
        <v>3787.65</v>
      </c>
      <c r="K1841" s="4">
        <v>2582.86</v>
      </c>
      <c r="L1841" s="4">
        <v>1204.79</v>
      </c>
      <c r="M1841" s="1" t="str">
        <f>TEXT(Table1[[#This Row],[Order_Date]], "MMM")</f>
        <v>Dec</v>
      </c>
      <c r="N1841" s="1">
        <f>YEAR(Table1[[#This Row],[Order_Date]])</f>
        <v>2024</v>
      </c>
      <c r="O1841" s="7">
        <f>Table1[[#This Row],[Profit]]/Table1[[#This Row],[Total_Sales]]</f>
        <v>0.31808377225984447</v>
      </c>
    </row>
    <row r="1842" spans="1:15" x14ac:dyDescent="0.25">
      <c r="A1842" s="1">
        <v>1841</v>
      </c>
      <c r="B1842" s="2">
        <v>45188</v>
      </c>
      <c r="C1842" s="1" t="s">
        <v>19</v>
      </c>
      <c r="D1842" s="1" t="s">
        <v>13</v>
      </c>
      <c r="E1842" s="1" t="s">
        <v>14</v>
      </c>
      <c r="F1842" s="1" t="s">
        <v>24</v>
      </c>
      <c r="G1842" s="1">
        <v>1</v>
      </c>
      <c r="H1842" s="1">
        <v>687</v>
      </c>
      <c r="I1842" s="1">
        <v>15</v>
      </c>
      <c r="J1842" s="4">
        <v>583.95000000000005</v>
      </c>
      <c r="K1842" s="4">
        <v>292.36</v>
      </c>
      <c r="L1842" s="4">
        <v>291.58999999999997</v>
      </c>
      <c r="M1842" s="1" t="str">
        <f>TEXT(Table1[[#This Row],[Order_Date]], "MMM")</f>
        <v>Sep</v>
      </c>
      <c r="N1842" s="1">
        <f>YEAR(Table1[[#This Row],[Order_Date]])</f>
        <v>2023</v>
      </c>
      <c r="O1842" s="7">
        <f>Table1[[#This Row],[Profit]]/Table1[[#This Row],[Total_Sales]]</f>
        <v>0.49934069697748085</v>
      </c>
    </row>
    <row r="1843" spans="1:15" x14ac:dyDescent="0.25">
      <c r="A1843" s="1">
        <v>1842</v>
      </c>
      <c r="B1843" s="2">
        <v>45060</v>
      </c>
      <c r="C1843" s="1" t="s">
        <v>19</v>
      </c>
      <c r="D1843" s="1" t="s">
        <v>32</v>
      </c>
      <c r="E1843" s="1" t="s">
        <v>33</v>
      </c>
      <c r="F1843" s="1" t="s">
        <v>15</v>
      </c>
      <c r="G1843" s="1">
        <v>2</v>
      </c>
      <c r="H1843" s="1">
        <v>706</v>
      </c>
      <c r="I1843" s="1">
        <v>0</v>
      </c>
      <c r="J1843" s="4">
        <v>1412</v>
      </c>
      <c r="K1843" s="4">
        <v>874.84</v>
      </c>
      <c r="L1843" s="4">
        <v>537.16</v>
      </c>
      <c r="M1843" s="1" t="str">
        <f>TEXT(Table1[[#This Row],[Order_Date]], "MMM")</f>
        <v>May</v>
      </c>
      <c r="N1843" s="1">
        <f>YEAR(Table1[[#This Row],[Order_Date]])</f>
        <v>2023</v>
      </c>
      <c r="O1843" s="7">
        <f>Table1[[#This Row],[Profit]]/Table1[[#This Row],[Total_Sales]]</f>
        <v>0.38042492917847021</v>
      </c>
    </row>
    <row r="1844" spans="1:15" x14ac:dyDescent="0.25">
      <c r="A1844" s="1">
        <v>1843</v>
      </c>
      <c r="B1844" s="2">
        <v>45139</v>
      </c>
      <c r="C1844" s="1" t="s">
        <v>25</v>
      </c>
      <c r="D1844" s="1" t="s">
        <v>20</v>
      </c>
      <c r="E1844" s="1" t="s">
        <v>21</v>
      </c>
      <c r="F1844" s="1" t="s">
        <v>35</v>
      </c>
      <c r="G1844" s="1">
        <v>10</v>
      </c>
      <c r="H1844" s="1">
        <v>448</v>
      </c>
      <c r="I1844" s="1">
        <v>10</v>
      </c>
      <c r="J1844" s="4">
        <v>4032</v>
      </c>
      <c r="K1844" s="4">
        <v>2671.79</v>
      </c>
      <c r="L1844" s="4">
        <v>1360.21</v>
      </c>
      <c r="M1844" s="1" t="str">
        <f>TEXT(Table1[[#This Row],[Order_Date]], "MMM")</f>
        <v>Aug</v>
      </c>
      <c r="N1844" s="1">
        <f>YEAR(Table1[[#This Row],[Order_Date]])</f>
        <v>2023</v>
      </c>
      <c r="O1844" s="7">
        <f>Table1[[#This Row],[Profit]]/Table1[[#This Row],[Total_Sales]]</f>
        <v>0.33735367063492067</v>
      </c>
    </row>
    <row r="1845" spans="1:15" x14ac:dyDescent="0.25">
      <c r="A1845" s="1">
        <v>1844</v>
      </c>
      <c r="B1845" s="2">
        <v>45178</v>
      </c>
      <c r="C1845" s="1" t="s">
        <v>25</v>
      </c>
      <c r="D1845" s="1" t="s">
        <v>22</v>
      </c>
      <c r="E1845" s="1" t="s">
        <v>29</v>
      </c>
      <c r="F1845" s="1" t="s">
        <v>35</v>
      </c>
      <c r="G1845" s="1">
        <v>1</v>
      </c>
      <c r="H1845" s="1">
        <v>498</v>
      </c>
      <c r="I1845" s="1">
        <v>10</v>
      </c>
      <c r="J1845" s="4">
        <v>448.2</v>
      </c>
      <c r="K1845" s="4">
        <v>355.1</v>
      </c>
      <c r="L1845" s="4">
        <v>93.1</v>
      </c>
      <c r="M1845" s="1" t="str">
        <f>TEXT(Table1[[#This Row],[Order_Date]], "MMM")</f>
        <v>Sep</v>
      </c>
      <c r="N1845" s="1">
        <f>YEAR(Table1[[#This Row],[Order_Date]])</f>
        <v>2023</v>
      </c>
      <c r="O1845" s="7">
        <f>Table1[[#This Row],[Profit]]/Table1[[#This Row],[Total_Sales]]</f>
        <v>0.2077197679607318</v>
      </c>
    </row>
    <row r="1846" spans="1:15" x14ac:dyDescent="0.25">
      <c r="A1846" s="1">
        <v>1845</v>
      </c>
      <c r="B1846" s="2">
        <v>45124</v>
      </c>
      <c r="C1846" s="1" t="s">
        <v>19</v>
      </c>
      <c r="D1846" s="1" t="s">
        <v>26</v>
      </c>
      <c r="E1846" s="1" t="s">
        <v>37</v>
      </c>
      <c r="F1846" s="1" t="s">
        <v>31</v>
      </c>
      <c r="G1846" s="1">
        <v>1</v>
      </c>
      <c r="H1846" s="1">
        <v>424</v>
      </c>
      <c r="I1846" s="1">
        <v>15</v>
      </c>
      <c r="J1846" s="4">
        <v>360.4</v>
      </c>
      <c r="K1846" s="4">
        <v>267.16000000000003</v>
      </c>
      <c r="L1846" s="4">
        <v>93.24</v>
      </c>
      <c r="M1846" s="1" t="str">
        <f>TEXT(Table1[[#This Row],[Order_Date]], "MMM")</f>
        <v>Jul</v>
      </c>
      <c r="N1846" s="1">
        <f>YEAR(Table1[[#This Row],[Order_Date]])</f>
        <v>2023</v>
      </c>
      <c r="O1846" s="7">
        <f>Table1[[#This Row],[Profit]]/Table1[[#This Row],[Total_Sales]]</f>
        <v>0.25871254162042173</v>
      </c>
    </row>
    <row r="1847" spans="1:15" x14ac:dyDescent="0.25">
      <c r="A1847" s="1">
        <v>1846</v>
      </c>
      <c r="B1847" s="2">
        <v>45032</v>
      </c>
      <c r="C1847" s="1" t="s">
        <v>19</v>
      </c>
      <c r="D1847" s="1" t="s">
        <v>22</v>
      </c>
      <c r="E1847" s="1" t="s">
        <v>44</v>
      </c>
      <c r="F1847" s="1" t="s">
        <v>18</v>
      </c>
      <c r="G1847" s="1">
        <v>4</v>
      </c>
      <c r="H1847" s="1">
        <v>414</v>
      </c>
      <c r="I1847" s="1">
        <v>15</v>
      </c>
      <c r="J1847" s="4">
        <v>1407.6</v>
      </c>
      <c r="K1847" s="4">
        <v>910.81</v>
      </c>
      <c r="L1847" s="4">
        <v>496.79</v>
      </c>
      <c r="M1847" s="1" t="str">
        <f>TEXT(Table1[[#This Row],[Order_Date]], "MMM")</f>
        <v>Apr</v>
      </c>
      <c r="N1847" s="1">
        <f>YEAR(Table1[[#This Row],[Order_Date]])</f>
        <v>2023</v>
      </c>
      <c r="O1847" s="7">
        <f>Table1[[#This Row],[Profit]]/Table1[[#This Row],[Total_Sales]]</f>
        <v>0.35293407217959649</v>
      </c>
    </row>
    <row r="1848" spans="1:15" x14ac:dyDescent="0.25">
      <c r="A1848" s="1">
        <v>1847</v>
      </c>
      <c r="B1848" s="2">
        <v>45436</v>
      </c>
      <c r="C1848" s="1" t="s">
        <v>16</v>
      </c>
      <c r="D1848" s="1" t="s">
        <v>26</v>
      </c>
      <c r="E1848" s="1" t="s">
        <v>46</v>
      </c>
      <c r="F1848" s="1" t="s">
        <v>24</v>
      </c>
      <c r="G1848" s="1">
        <v>7</v>
      </c>
      <c r="H1848" s="1">
        <v>416</v>
      </c>
      <c r="I1848" s="1">
        <v>5</v>
      </c>
      <c r="J1848" s="4">
        <v>2766.4</v>
      </c>
      <c r="K1848" s="4">
        <v>1720.42</v>
      </c>
      <c r="L1848" s="4">
        <v>1045.98</v>
      </c>
      <c r="M1848" s="1" t="str">
        <f>TEXT(Table1[[#This Row],[Order_Date]], "MMM")</f>
        <v>May</v>
      </c>
      <c r="N1848" s="1">
        <f>YEAR(Table1[[#This Row],[Order_Date]])</f>
        <v>2024</v>
      </c>
      <c r="O1848" s="7">
        <f>Table1[[#This Row],[Profit]]/Table1[[#This Row],[Total_Sales]]</f>
        <v>0.37810150375939849</v>
      </c>
    </row>
    <row r="1849" spans="1:15" x14ac:dyDescent="0.25">
      <c r="A1849" s="1">
        <v>1848</v>
      </c>
      <c r="B1849" s="2">
        <v>45060</v>
      </c>
      <c r="C1849" s="1" t="s">
        <v>16</v>
      </c>
      <c r="D1849" s="1" t="s">
        <v>13</v>
      </c>
      <c r="E1849" s="1" t="s">
        <v>39</v>
      </c>
      <c r="F1849" s="1" t="s">
        <v>15</v>
      </c>
      <c r="G1849" s="1">
        <v>9</v>
      </c>
      <c r="H1849" s="1">
        <v>657</v>
      </c>
      <c r="I1849" s="1">
        <v>20</v>
      </c>
      <c r="J1849" s="4">
        <v>4730.3999999999996</v>
      </c>
      <c r="K1849" s="4">
        <v>2659.4</v>
      </c>
      <c r="L1849" s="4">
        <v>2071</v>
      </c>
      <c r="M1849" s="1" t="str">
        <f>TEXT(Table1[[#This Row],[Order_Date]], "MMM")</f>
        <v>May</v>
      </c>
      <c r="N1849" s="1">
        <f>YEAR(Table1[[#This Row],[Order_Date]])</f>
        <v>2023</v>
      </c>
      <c r="O1849" s="7">
        <f>Table1[[#This Row],[Profit]]/Table1[[#This Row],[Total_Sales]]</f>
        <v>0.43780652798917641</v>
      </c>
    </row>
    <row r="1850" spans="1:15" x14ac:dyDescent="0.25">
      <c r="A1850" s="1">
        <v>1849</v>
      </c>
      <c r="B1850" s="2">
        <v>45199</v>
      </c>
      <c r="C1850" s="1" t="s">
        <v>25</v>
      </c>
      <c r="D1850" s="1" t="s">
        <v>20</v>
      </c>
      <c r="E1850" s="1" t="s">
        <v>43</v>
      </c>
      <c r="F1850" s="1" t="s">
        <v>35</v>
      </c>
      <c r="G1850" s="1">
        <v>2</v>
      </c>
      <c r="H1850" s="1">
        <v>712</v>
      </c>
      <c r="I1850" s="1">
        <v>0</v>
      </c>
      <c r="J1850" s="4">
        <v>1424</v>
      </c>
      <c r="K1850" s="4">
        <v>817.83</v>
      </c>
      <c r="L1850" s="4">
        <v>606.16999999999996</v>
      </c>
      <c r="M1850" s="1" t="str">
        <f>TEXT(Table1[[#This Row],[Order_Date]], "MMM")</f>
        <v>Sep</v>
      </c>
      <c r="N1850" s="1">
        <f>YEAR(Table1[[#This Row],[Order_Date]])</f>
        <v>2023</v>
      </c>
      <c r="O1850" s="7">
        <f>Table1[[#This Row],[Profit]]/Table1[[#This Row],[Total_Sales]]</f>
        <v>0.42568117977528086</v>
      </c>
    </row>
    <row r="1851" spans="1:15" x14ac:dyDescent="0.25">
      <c r="A1851" s="1">
        <v>1850</v>
      </c>
      <c r="B1851" s="2">
        <v>45465</v>
      </c>
      <c r="C1851" s="1" t="s">
        <v>12</v>
      </c>
      <c r="D1851" s="1" t="s">
        <v>20</v>
      </c>
      <c r="E1851" s="1" t="s">
        <v>43</v>
      </c>
      <c r="F1851" s="1" t="s">
        <v>24</v>
      </c>
      <c r="G1851" s="1">
        <v>10</v>
      </c>
      <c r="H1851" s="1">
        <v>495</v>
      </c>
      <c r="I1851" s="1">
        <v>15</v>
      </c>
      <c r="J1851" s="4">
        <v>4207.5</v>
      </c>
      <c r="K1851" s="4">
        <v>2836.14</v>
      </c>
      <c r="L1851" s="4">
        <v>1371.36</v>
      </c>
      <c r="M1851" s="1" t="str">
        <f>TEXT(Table1[[#This Row],[Order_Date]], "MMM")</f>
        <v>Jun</v>
      </c>
      <c r="N1851" s="1">
        <f>YEAR(Table1[[#This Row],[Order_Date]])</f>
        <v>2024</v>
      </c>
      <c r="O1851" s="7">
        <f>Table1[[#This Row],[Profit]]/Table1[[#This Row],[Total_Sales]]</f>
        <v>0.32593226381461671</v>
      </c>
    </row>
    <row r="1852" spans="1:15" x14ac:dyDescent="0.25">
      <c r="A1852" s="1">
        <v>1851</v>
      </c>
      <c r="B1852" s="2">
        <v>44996</v>
      </c>
      <c r="C1852" s="1" t="s">
        <v>16</v>
      </c>
      <c r="D1852" s="1" t="s">
        <v>32</v>
      </c>
      <c r="E1852" s="1" t="s">
        <v>45</v>
      </c>
      <c r="F1852" s="1" t="s">
        <v>15</v>
      </c>
      <c r="G1852" s="1">
        <v>10</v>
      </c>
      <c r="H1852" s="1">
        <v>402</v>
      </c>
      <c r="I1852" s="1">
        <v>5</v>
      </c>
      <c r="J1852" s="4">
        <v>3819</v>
      </c>
      <c r="K1852" s="4">
        <v>2858.01</v>
      </c>
      <c r="L1852" s="4">
        <v>960.99</v>
      </c>
      <c r="M1852" s="1" t="str">
        <f>TEXT(Table1[[#This Row],[Order_Date]], "MMM")</f>
        <v>Mar</v>
      </c>
      <c r="N1852" s="1">
        <f>YEAR(Table1[[#This Row],[Order_Date]])</f>
        <v>2023</v>
      </c>
      <c r="O1852" s="7">
        <f>Table1[[#This Row],[Profit]]/Table1[[#This Row],[Total_Sales]]</f>
        <v>0.25163393558523173</v>
      </c>
    </row>
    <row r="1853" spans="1:15" x14ac:dyDescent="0.25">
      <c r="A1853" s="1">
        <v>1852</v>
      </c>
      <c r="B1853" s="2">
        <v>45002</v>
      </c>
      <c r="C1853" s="1" t="s">
        <v>19</v>
      </c>
      <c r="D1853" s="1" t="s">
        <v>32</v>
      </c>
      <c r="E1853" s="1" t="s">
        <v>41</v>
      </c>
      <c r="F1853" s="1" t="s">
        <v>40</v>
      </c>
      <c r="G1853" s="1">
        <v>1</v>
      </c>
      <c r="H1853" s="1">
        <v>86</v>
      </c>
      <c r="I1853" s="1">
        <v>5</v>
      </c>
      <c r="J1853" s="4">
        <v>81.7</v>
      </c>
      <c r="K1853" s="4">
        <v>41.61</v>
      </c>
      <c r="L1853" s="4">
        <v>40.090000000000003</v>
      </c>
      <c r="M1853" s="1" t="str">
        <f>TEXT(Table1[[#This Row],[Order_Date]], "MMM")</f>
        <v>Mar</v>
      </c>
      <c r="N1853" s="1">
        <f>YEAR(Table1[[#This Row],[Order_Date]])</f>
        <v>2023</v>
      </c>
      <c r="O1853" s="7">
        <f>Table1[[#This Row],[Profit]]/Table1[[#This Row],[Total_Sales]]</f>
        <v>0.49069767441860468</v>
      </c>
    </row>
    <row r="1854" spans="1:15" x14ac:dyDescent="0.25">
      <c r="A1854" s="1">
        <v>1853</v>
      </c>
      <c r="B1854" s="2">
        <v>45625</v>
      </c>
      <c r="C1854" s="1" t="s">
        <v>16</v>
      </c>
      <c r="D1854" s="1" t="s">
        <v>20</v>
      </c>
      <c r="E1854" s="1" t="s">
        <v>21</v>
      </c>
      <c r="F1854" s="1" t="s">
        <v>40</v>
      </c>
      <c r="G1854" s="1">
        <v>2</v>
      </c>
      <c r="H1854" s="1">
        <v>950</v>
      </c>
      <c r="I1854" s="1">
        <v>10</v>
      </c>
      <c r="J1854" s="4">
        <v>1710</v>
      </c>
      <c r="K1854" s="4">
        <v>1105.95</v>
      </c>
      <c r="L1854" s="4">
        <v>604.04999999999995</v>
      </c>
      <c r="M1854" s="1" t="str">
        <f>TEXT(Table1[[#This Row],[Order_Date]], "MMM")</f>
        <v>Nov</v>
      </c>
      <c r="N1854" s="1">
        <f>YEAR(Table1[[#This Row],[Order_Date]])</f>
        <v>2024</v>
      </c>
      <c r="O1854" s="7">
        <f>Table1[[#This Row],[Profit]]/Table1[[#This Row],[Total_Sales]]</f>
        <v>0.3532456140350877</v>
      </c>
    </row>
    <row r="1855" spans="1:15" x14ac:dyDescent="0.25">
      <c r="A1855" s="1">
        <v>1854</v>
      </c>
      <c r="B1855" s="2">
        <v>45106</v>
      </c>
      <c r="C1855" s="1" t="s">
        <v>19</v>
      </c>
      <c r="D1855" s="1" t="s">
        <v>20</v>
      </c>
      <c r="E1855" s="1" t="s">
        <v>30</v>
      </c>
      <c r="F1855" s="1" t="s">
        <v>18</v>
      </c>
      <c r="G1855" s="1">
        <v>2</v>
      </c>
      <c r="H1855" s="1">
        <v>514</v>
      </c>
      <c r="I1855" s="1">
        <v>15</v>
      </c>
      <c r="J1855" s="4">
        <v>873.8</v>
      </c>
      <c r="K1855" s="4">
        <v>507.57</v>
      </c>
      <c r="L1855" s="4">
        <v>366.23</v>
      </c>
      <c r="M1855" s="1" t="str">
        <f>TEXT(Table1[[#This Row],[Order_Date]], "MMM")</f>
        <v>Jun</v>
      </c>
      <c r="N1855" s="1">
        <f>YEAR(Table1[[#This Row],[Order_Date]])</f>
        <v>2023</v>
      </c>
      <c r="O1855" s="7">
        <f>Table1[[#This Row],[Profit]]/Table1[[#This Row],[Total_Sales]]</f>
        <v>0.41912336919203486</v>
      </c>
    </row>
    <row r="1856" spans="1:15" x14ac:dyDescent="0.25">
      <c r="A1856" s="1">
        <v>1855</v>
      </c>
      <c r="B1856" s="2">
        <v>45474</v>
      </c>
      <c r="C1856" s="1" t="s">
        <v>16</v>
      </c>
      <c r="D1856" s="1" t="s">
        <v>20</v>
      </c>
      <c r="E1856" s="1" t="s">
        <v>21</v>
      </c>
      <c r="F1856" s="1" t="s">
        <v>18</v>
      </c>
      <c r="G1856" s="1">
        <v>8</v>
      </c>
      <c r="H1856" s="1">
        <v>103</v>
      </c>
      <c r="I1856" s="1">
        <v>20</v>
      </c>
      <c r="J1856" s="4">
        <v>659.2</v>
      </c>
      <c r="K1856" s="4">
        <v>483.56</v>
      </c>
      <c r="L1856" s="4">
        <v>175.64</v>
      </c>
      <c r="M1856" s="1" t="str">
        <f>TEXT(Table1[[#This Row],[Order_Date]], "MMM")</f>
        <v>Jul</v>
      </c>
      <c r="N1856" s="1">
        <f>YEAR(Table1[[#This Row],[Order_Date]])</f>
        <v>2024</v>
      </c>
      <c r="O1856" s="7">
        <f>Table1[[#This Row],[Profit]]/Table1[[#This Row],[Total_Sales]]</f>
        <v>0.26644417475728149</v>
      </c>
    </row>
    <row r="1857" spans="1:15" x14ac:dyDescent="0.25">
      <c r="A1857" s="1">
        <v>1856</v>
      </c>
      <c r="B1857" s="2">
        <v>45504</v>
      </c>
      <c r="C1857" s="1" t="s">
        <v>16</v>
      </c>
      <c r="D1857" s="1" t="s">
        <v>13</v>
      </c>
      <c r="E1857" s="1" t="s">
        <v>17</v>
      </c>
      <c r="F1857" s="1" t="s">
        <v>18</v>
      </c>
      <c r="G1857" s="1">
        <v>4</v>
      </c>
      <c r="H1857" s="1">
        <v>372</v>
      </c>
      <c r="I1857" s="1">
        <v>5</v>
      </c>
      <c r="J1857" s="4">
        <v>1413.6</v>
      </c>
      <c r="K1857" s="4">
        <v>892.83</v>
      </c>
      <c r="L1857" s="4">
        <v>520.77</v>
      </c>
      <c r="M1857" s="1" t="str">
        <f>TEXT(Table1[[#This Row],[Order_Date]], "MMM")</f>
        <v>Jul</v>
      </c>
      <c r="N1857" s="1">
        <f>YEAR(Table1[[#This Row],[Order_Date]])</f>
        <v>2024</v>
      </c>
      <c r="O1857" s="7">
        <f>Table1[[#This Row],[Profit]]/Table1[[#This Row],[Total_Sales]]</f>
        <v>0.3683998302207131</v>
      </c>
    </row>
    <row r="1858" spans="1:15" x14ac:dyDescent="0.25">
      <c r="A1858" s="1">
        <v>1857</v>
      </c>
      <c r="B1858" s="2">
        <v>45615</v>
      </c>
      <c r="C1858" s="1" t="s">
        <v>25</v>
      </c>
      <c r="D1858" s="1" t="s">
        <v>26</v>
      </c>
      <c r="E1858" s="1" t="s">
        <v>27</v>
      </c>
      <c r="F1858" s="1" t="s">
        <v>15</v>
      </c>
      <c r="G1858" s="1">
        <v>10</v>
      </c>
      <c r="H1858" s="1">
        <v>839</v>
      </c>
      <c r="I1858" s="1">
        <v>0</v>
      </c>
      <c r="J1858" s="4">
        <v>8390</v>
      </c>
      <c r="K1858" s="4">
        <v>5120.83</v>
      </c>
      <c r="L1858" s="4">
        <v>3269.17</v>
      </c>
      <c r="M1858" s="1" t="str">
        <f>TEXT(Table1[[#This Row],[Order_Date]], "MMM")</f>
        <v>Nov</v>
      </c>
      <c r="N1858" s="1">
        <f>YEAR(Table1[[#This Row],[Order_Date]])</f>
        <v>2024</v>
      </c>
      <c r="O1858" s="7">
        <f>Table1[[#This Row],[Profit]]/Table1[[#This Row],[Total_Sales]]</f>
        <v>0.38965077473182363</v>
      </c>
    </row>
    <row r="1859" spans="1:15" x14ac:dyDescent="0.25">
      <c r="A1859" s="1">
        <v>1858</v>
      </c>
      <c r="B1859" s="2">
        <v>45502</v>
      </c>
      <c r="C1859" s="1" t="s">
        <v>16</v>
      </c>
      <c r="D1859" s="1" t="s">
        <v>13</v>
      </c>
      <c r="E1859" s="1" t="s">
        <v>14</v>
      </c>
      <c r="F1859" s="1" t="s">
        <v>35</v>
      </c>
      <c r="G1859" s="1">
        <v>6</v>
      </c>
      <c r="H1859" s="1">
        <v>161</v>
      </c>
      <c r="I1859" s="1">
        <v>5</v>
      </c>
      <c r="J1859" s="4">
        <v>917.7</v>
      </c>
      <c r="K1859" s="4">
        <v>483.57</v>
      </c>
      <c r="L1859" s="4">
        <v>434.13</v>
      </c>
      <c r="M1859" s="1" t="str">
        <f>TEXT(Table1[[#This Row],[Order_Date]], "MMM")</f>
        <v>Jul</v>
      </c>
      <c r="N1859" s="1">
        <f>YEAR(Table1[[#This Row],[Order_Date]])</f>
        <v>2024</v>
      </c>
      <c r="O1859" s="7">
        <f>Table1[[#This Row],[Profit]]/Table1[[#This Row],[Total_Sales]]</f>
        <v>0.47306309251389339</v>
      </c>
    </row>
    <row r="1860" spans="1:15" x14ac:dyDescent="0.25">
      <c r="A1860" s="1">
        <v>1859</v>
      </c>
      <c r="B1860" s="2">
        <v>45510</v>
      </c>
      <c r="C1860" s="1" t="s">
        <v>19</v>
      </c>
      <c r="D1860" s="1" t="s">
        <v>22</v>
      </c>
      <c r="E1860" s="1" t="s">
        <v>23</v>
      </c>
      <c r="F1860" s="1" t="s">
        <v>35</v>
      </c>
      <c r="G1860" s="1">
        <v>8</v>
      </c>
      <c r="H1860" s="1">
        <v>847</v>
      </c>
      <c r="I1860" s="1">
        <v>5</v>
      </c>
      <c r="J1860" s="4">
        <v>6437.2</v>
      </c>
      <c r="K1860" s="4">
        <v>3467.84</v>
      </c>
      <c r="L1860" s="4">
        <v>2969.36</v>
      </c>
      <c r="M1860" s="1" t="str">
        <f>TEXT(Table1[[#This Row],[Order_Date]], "MMM")</f>
        <v>Aug</v>
      </c>
      <c r="N1860" s="1">
        <f>YEAR(Table1[[#This Row],[Order_Date]])</f>
        <v>2024</v>
      </c>
      <c r="O1860" s="7">
        <f>Table1[[#This Row],[Profit]]/Table1[[#This Row],[Total_Sales]]</f>
        <v>0.46128130242962784</v>
      </c>
    </row>
    <row r="1861" spans="1:15" x14ac:dyDescent="0.25">
      <c r="A1861" s="1">
        <v>1860</v>
      </c>
      <c r="B1861" s="2">
        <v>45434</v>
      </c>
      <c r="C1861" s="1" t="s">
        <v>12</v>
      </c>
      <c r="D1861" s="1" t="s">
        <v>22</v>
      </c>
      <c r="E1861" s="1" t="s">
        <v>36</v>
      </c>
      <c r="F1861" s="1" t="s">
        <v>40</v>
      </c>
      <c r="G1861" s="1">
        <v>1</v>
      </c>
      <c r="H1861" s="1">
        <v>125</v>
      </c>
      <c r="I1861" s="1">
        <v>0</v>
      </c>
      <c r="J1861" s="4">
        <v>125</v>
      </c>
      <c r="K1861" s="4">
        <v>69.78</v>
      </c>
      <c r="L1861" s="4">
        <v>55.22</v>
      </c>
      <c r="M1861" s="1" t="str">
        <f>TEXT(Table1[[#This Row],[Order_Date]], "MMM")</f>
        <v>May</v>
      </c>
      <c r="N1861" s="1">
        <f>YEAR(Table1[[#This Row],[Order_Date]])</f>
        <v>2024</v>
      </c>
      <c r="O1861" s="7">
        <f>Table1[[#This Row],[Profit]]/Table1[[#This Row],[Total_Sales]]</f>
        <v>0.44175999999999999</v>
      </c>
    </row>
    <row r="1862" spans="1:15" x14ac:dyDescent="0.25">
      <c r="A1862" s="1">
        <v>1861</v>
      </c>
      <c r="B1862" s="2">
        <v>45014</v>
      </c>
      <c r="C1862" s="1" t="s">
        <v>12</v>
      </c>
      <c r="D1862" s="1" t="s">
        <v>26</v>
      </c>
      <c r="E1862" s="1" t="s">
        <v>27</v>
      </c>
      <c r="F1862" s="1" t="s">
        <v>35</v>
      </c>
      <c r="G1862" s="1">
        <v>8</v>
      </c>
      <c r="H1862" s="1">
        <v>490</v>
      </c>
      <c r="I1862" s="1">
        <v>0</v>
      </c>
      <c r="J1862" s="4">
        <v>3920</v>
      </c>
      <c r="K1862" s="4">
        <v>3078.68</v>
      </c>
      <c r="L1862" s="4">
        <v>841.32</v>
      </c>
      <c r="M1862" s="1" t="str">
        <f>TEXT(Table1[[#This Row],[Order_Date]], "MMM")</f>
        <v>Mar</v>
      </c>
      <c r="N1862" s="1">
        <f>YEAR(Table1[[#This Row],[Order_Date]])</f>
        <v>2023</v>
      </c>
      <c r="O1862" s="7">
        <f>Table1[[#This Row],[Profit]]/Table1[[#This Row],[Total_Sales]]</f>
        <v>0.21462244897959185</v>
      </c>
    </row>
    <row r="1863" spans="1:15" x14ac:dyDescent="0.25">
      <c r="A1863" s="1">
        <v>1862</v>
      </c>
      <c r="B1863" s="2">
        <v>45078</v>
      </c>
      <c r="C1863" s="1" t="s">
        <v>25</v>
      </c>
      <c r="D1863" s="1" t="s">
        <v>32</v>
      </c>
      <c r="E1863" s="1" t="s">
        <v>41</v>
      </c>
      <c r="F1863" s="1" t="s">
        <v>24</v>
      </c>
      <c r="G1863" s="1">
        <v>2</v>
      </c>
      <c r="H1863" s="1">
        <v>200</v>
      </c>
      <c r="I1863" s="1">
        <v>20</v>
      </c>
      <c r="J1863" s="4">
        <v>320</v>
      </c>
      <c r="K1863" s="4">
        <v>187.63</v>
      </c>
      <c r="L1863" s="4">
        <v>132.37</v>
      </c>
      <c r="M1863" s="1" t="str">
        <f>TEXT(Table1[[#This Row],[Order_Date]], "MMM")</f>
        <v>Jun</v>
      </c>
      <c r="N1863" s="1">
        <f>YEAR(Table1[[#This Row],[Order_Date]])</f>
        <v>2023</v>
      </c>
      <c r="O1863" s="7">
        <f>Table1[[#This Row],[Profit]]/Table1[[#This Row],[Total_Sales]]</f>
        <v>0.41365625</v>
      </c>
    </row>
    <row r="1864" spans="1:15" x14ac:dyDescent="0.25">
      <c r="A1864" s="1">
        <v>1863</v>
      </c>
      <c r="B1864" s="2">
        <v>45294</v>
      </c>
      <c r="C1864" s="1" t="s">
        <v>25</v>
      </c>
      <c r="D1864" s="1" t="s">
        <v>20</v>
      </c>
      <c r="E1864" s="1" t="s">
        <v>30</v>
      </c>
      <c r="F1864" s="1" t="s">
        <v>35</v>
      </c>
      <c r="G1864" s="1">
        <v>9</v>
      </c>
      <c r="H1864" s="1">
        <v>463</v>
      </c>
      <c r="I1864" s="1">
        <v>0</v>
      </c>
      <c r="J1864" s="4">
        <v>4167</v>
      </c>
      <c r="K1864" s="4">
        <v>3305.17</v>
      </c>
      <c r="L1864" s="4">
        <v>861.83</v>
      </c>
      <c r="M1864" s="1" t="str">
        <f>TEXT(Table1[[#This Row],[Order_Date]], "MMM")</f>
        <v>Jan</v>
      </c>
      <c r="N1864" s="1">
        <f>YEAR(Table1[[#This Row],[Order_Date]])</f>
        <v>2024</v>
      </c>
      <c r="O1864" s="7">
        <f>Table1[[#This Row],[Profit]]/Table1[[#This Row],[Total_Sales]]</f>
        <v>0.20682265418766499</v>
      </c>
    </row>
    <row r="1865" spans="1:15" x14ac:dyDescent="0.25">
      <c r="A1865" s="1">
        <v>1864</v>
      </c>
      <c r="B1865" s="2">
        <v>45474</v>
      </c>
      <c r="C1865" s="1" t="s">
        <v>25</v>
      </c>
      <c r="D1865" s="1" t="s">
        <v>22</v>
      </c>
      <c r="E1865" s="1" t="s">
        <v>23</v>
      </c>
      <c r="F1865" s="1" t="s">
        <v>15</v>
      </c>
      <c r="G1865" s="1">
        <v>1</v>
      </c>
      <c r="H1865" s="1">
        <v>900</v>
      </c>
      <c r="I1865" s="1">
        <v>0</v>
      </c>
      <c r="J1865" s="4">
        <v>900</v>
      </c>
      <c r="K1865" s="4">
        <v>565.39</v>
      </c>
      <c r="L1865" s="4">
        <v>334.61</v>
      </c>
      <c r="M1865" s="1" t="str">
        <f>TEXT(Table1[[#This Row],[Order_Date]], "MMM")</f>
        <v>Jul</v>
      </c>
      <c r="N1865" s="1">
        <f>YEAR(Table1[[#This Row],[Order_Date]])</f>
        <v>2024</v>
      </c>
      <c r="O1865" s="7">
        <f>Table1[[#This Row],[Profit]]/Table1[[#This Row],[Total_Sales]]</f>
        <v>0.37178888888888889</v>
      </c>
    </row>
    <row r="1866" spans="1:15" x14ac:dyDescent="0.25">
      <c r="A1866" s="1">
        <v>1865</v>
      </c>
      <c r="B1866" s="2">
        <v>44975</v>
      </c>
      <c r="C1866" s="1" t="s">
        <v>25</v>
      </c>
      <c r="D1866" s="1" t="s">
        <v>20</v>
      </c>
      <c r="E1866" s="1" t="s">
        <v>30</v>
      </c>
      <c r="F1866" s="1" t="s">
        <v>31</v>
      </c>
      <c r="G1866" s="1">
        <v>10</v>
      </c>
      <c r="H1866" s="1">
        <v>706</v>
      </c>
      <c r="I1866" s="1">
        <v>20</v>
      </c>
      <c r="J1866" s="4">
        <v>5648</v>
      </c>
      <c r="K1866" s="4">
        <v>3193.9</v>
      </c>
      <c r="L1866" s="4">
        <v>2454.1</v>
      </c>
      <c r="M1866" s="1" t="str">
        <f>TEXT(Table1[[#This Row],[Order_Date]], "MMM")</f>
        <v>Feb</v>
      </c>
      <c r="N1866" s="1">
        <f>YEAR(Table1[[#This Row],[Order_Date]])</f>
        <v>2023</v>
      </c>
      <c r="O1866" s="7">
        <f>Table1[[#This Row],[Profit]]/Table1[[#This Row],[Total_Sales]]</f>
        <v>0.43450779036827192</v>
      </c>
    </row>
    <row r="1867" spans="1:15" x14ac:dyDescent="0.25">
      <c r="A1867" s="1">
        <v>1866</v>
      </c>
      <c r="B1867" s="2">
        <v>45400</v>
      </c>
      <c r="C1867" s="1" t="s">
        <v>19</v>
      </c>
      <c r="D1867" s="1" t="s">
        <v>22</v>
      </c>
      <c r="E1867" s="1" t="s">
        <v>29</v>
      </c>
      <c r="F1867" s="1" t="s">
        <v>24</v>
      </c>
      <c r="G1867" s="1">
        <v>4</v>
      </c>
      <c r="H1867" s="1">
        <v>492</v>
      </c>
      <c r="I1867" s="1">
        <v>15</v>
      </c>
      <c r="J1867" s="4">
        <v>1672.8</v>
      </c>
      <c r="K1867" s="4">
        <v>965.22</v>
      </c>
      <c r="L1867" s="4">
        <v>707.58</v>
      </c>
      <c r="M1867" s="1" t="str">
        <f>TEXT(Table1[[#This Row],[Order_Date]], "MMM")</f>
        <v>Apr</v>
      </c>
      <c r="N1867" s="1">
        <f>YEAR(Table1[[#This Row],[Order_Date]])</f>
        <v>2024</v>
      </c>
      <c r="O1867" s="7">
        <f>Table1[[#This Row],[Profit]]/Table1[[#This Row],[Total_Sales]]</f>
        <v>0.42299139167862271</v>
      </c>
    </row>
    <row r="1868" spans="1:15" x14ac:dyDescent="0.25">
      <c r="A1868" s="1">
        <v>1867</v>
      </c>
      <c r="B1868" s="2">
        <v>45522</v>
      </c>
      <c r="C1868" s="1" t="s">
        <v>25</v>
      </c>
      <c r="D1868" s="1" t="s">
        <v>32</v>
      </c>
      <c r="E1868" s="1" t="s">
        <v>33</v>
      </c>
      <c r="F1868" s="1" t="s">
        <v>35</v>
      </c>
      <c r="G1868" s="1">
        <v>9</v>
      </c>
      <c r="H1868" s="1">
        <v>334</v>
      </c>
      <c r="I1868" s="1">
        <v>0</v>
      </c>
      <c r="J1868" s="4">
        <v>3006</v>
      </c>
      <c r="K1868" s="4">
        <v>1701.73</v>
      </c>
      <c r="L1868" s="4">
        <v>1304.27</v>
      </c>
      <c r="M1868" s="1" t="str">
        <f>TEXT(Table1[[#This Row],[Order_Date]], "MMM")</f>
        <v>Aug</v>
      </c>
      <c r="N1868" s="1">
        <f>YEAR(Table1[[#This Row],[Order_Date]])</f>
        <v>2024</v>
      </c>
      <c r="O1868" s="7">
        <f>Table1[[#This Row],[Profit]]/Table1[[#This Row],[Total_Sales]]</f>
        <v>0.43388888888888888</v>
      </c>
    </row>
    <row r="1869" spans="1:15" x14ac:dyDescent="0.25">
      <c r="A1869" s="1">
        <v>1868</v>
      </c>
      <c r="B1869" s="2">
        <v>45166</v>
      </c>
      <c r="C1869" s="1" t="s">
        <v>25</v>
      </c>
      <c r="D1869" s="1" t="s">
        <v>13</v>
      </c>
      <c r="E1869" s="1" t="s">
        <v>39</v>
      </c>
      <c r="F1869" s="1" t="s">
        <v>18</v>
      </c>
      <c r="G1869" s="1">
        <v>4</v>
      </c>
      <c r="H1869" s="1">
        <v>307</v>
      </c>
      <c r="I1869" s="1">
        <v>5</v>
      </c>
      <c r="J1869" s="4">
        <v>1166.5999999999999</v>
      </c>
      <c r="K1869" s="4">
        <v>768.42</v>
      </c>
      <c r="L1869" s="4">
        <v>398.18</v>
      </c>
      <c r="M1869" s="1" t="str">
        <f>TEXT(Table1[[#This Row],[Order_Date]], "MMM")</f>
        <v>Aug</v>
      </c>
      <c r="N1869" s="1">
        <f>YEAR(Table1[[#This Row],[Order_Date]])</f>
        <v>2023</v>
      </c>
      <c r="O1869" s="7">
        <f>Table1[[#This Row],[Profit]]/Table1[[#This Row],[Total_Sales]]</f>
        <v>0.3413166466655238</v>
      </c>
    </row>
    <row r="1870" spans="1:15" x14ac:dyDescent="0.25">
      <c r="A1870" s="1">
        <v>1869</v>
      </c>
      <c r="B1870" s="2">
        <v>45199</v>
      </c>
      <c r="C1870" s="1" t="s">
        <v>25</v>
      </c>
      <c r="D1870" s="1" t="s">
        <v>22</v>
      </c>
      <c r="E1870" s="1" t="s">
        <v>29</v>
      </c>
      <c r="F1870" s="1" t="s">
        <v>24</v>
      </c>
      <c r="G1870" s="1">
        <v>5</v>
      </c>
      <c r="H1870" s="1">
        <v>553</v>
      </c>
      <c r="I1870" s="1">
        <v>5</v>
      </c>
      <c r="J1870" s="4">
        <v>2626.75</v>
      </c>
      <c r="K1870" s="4">
        <v>1840.74</v>
      </c>
      <c r="L1870" s="4">
        <v>786.01</v>
      </c>
      <c r="M1870" s="1" t="str">
        <f>TEXT(Table1[[#This Row],[Order_Date]], "MMM")</f>
        <v>Sep</v>
      </c>
      <c r="N1870" s="1">
        <f>YEAR(Table1[[#This Row],[Order_Date]])</f>
        <v>2023</v>
      </c>
      <c r="O1870" s="7">
        <f>Table1[[#This Row],[Profit]]/Table1[[#This Row],[Total_Sales]]</f>
        <v>0.29923289235747597</v>
      </c>
    </row>
    <row r="1871" spans="1:15" x14ac:dyDescent="0.25">
      <c r="A1871" s="1">
        <v>1870</v>
      </c>
      <c r="B1871" s="2">
        <v>45336</v>
      </c>
      <c r="C1871" s="1" t="s">
        <v>25</v>
      </c>
      <c r="D1871" s="1" t="s">
        <v>13</v>
      </c>
      <c r="E1871" s="1" t="s">
        <v>17</v>
      </c>
      <c r="F1871" s="1" t="s">
        <v>35</v>
      </c>
      <c r="G1871" s="1">
        <v>3</v>
      </c>
      <c r="H1871" s="1">
        <v>324</v>
      </c>
      <c r="I1871" s="1">
        <v>15</v>
      </c>
      <c r="J1871" s="4">
        <v>826.2</v>
      </c>
      <c r="K1871" s="4">
        <v>639.52</v>
      </c>
      <c r="L1871" s="4">
        <v>186.68</v>
      </c>
      <c r="M1871" s="1" t="str">
        <f>TEXT(Table1[[#This Row],[Order_Date]], "MMM")</f>
        <v>Feb</v>
      </c>
      <c r="N1871" s="1">
        <f>YEAR(Table1[[#This Row],[Order_Date]])</f>
        <v>2024</v>
      </c>
      <c r="O1871" s="7">
        <f>Table1[[#This Row],[Profit]]/Table1[[#This Row],[Total_Sales]]</f>
        <v>0.22595013313967563</v>
      </c>
    </row>
    <row r="1872" spans="1:15" x14ac:dyDescent="0.25">
      <c r="A1872" s="1">
        <v>1871</v>
      </c>
      <c r="B1872" s="2">
        <v>45052</v>
      </c>
      <c r="C1872" s="1" t="s">
        <v>12</v>
      </c>
      <c r="D1872" s="1" t="s">
        <v>20</v>
      </c>
      <c r="E1872" s="1" t="s">
        <v>28</v>
      </c>
      <c r="F1872" s="1" t="s">
        <v>24</v>
      </c>
      <c r="G1872" s="1">
        <v>6</v>
      </c>
      <c r="H1872" s="1">
        <v>958</v>
      </c>
      <c r="I1872" s="1">
        <v>10</v>
      </c>
      <c r="J1872" s="4">
        <v>5173.2</v>
      </c>
      <c r="K1872" s="4">
        <v>3059.94</v>
      </c>
      <c r="L1872" s="4">
        <v>2113.2600000000002</v>
      </c>
      <c r="M1872" s="1" t="str">
        <f>TEXT(Table1[[#This Row],[Order_Date]], "MMM")</f>
        <v>May</v>
      </c>
      <c r="N1872" s="1">
        <f>YEAR(Table1[[#This Row],[Order_Date]])</f>
        <v>2023</v>
      </c>
      <c r="O1872" s="7">
        <f>Table1[[#This Row],[Profit]]/Table1[[#This Row],[Total_Sales]]</f>
        <v>0.40850150777081889</v>
      </c>
    </row>
    <row r="1873" spans="1:15" x14ac:dyDescent="0.25">
      <c r="A1873" s="1">
        <v>1872</v>
      </c>
      <c r="B1873" s="2">
        <v>44951</v>
      </c>
      <c r="C1873" s="1" t="s">
        <v>19</v>
      </c>
      <c r="D1873" s="1" t="s">
        <v>20</v>
      </c>
      <c r="E1873" s="1" t="s">
        <v>43</v>
      </c>
      <c r="F1873" s="1" t="s">
        <v>24</v>
      </c>
      <c r="G1873" s="1">
        <v>2</v>
      </c>
      <c r="H1873" s="1">
        <v>716</v>
      </c>
      <c r="I1873" s="1">
        <v>0</v>
      </c>
      <c r="J1873" s="4">
        <v>1432</v>
      </c>
      <c r="K1873" s="4">
        <v>929.49</v>
      </c>
      <c r="L1873" s="4">
        <v>502.51</v>
      </c>
      <c r="M1873" s="1" t="str">
        <f>TEXT(Table1[[#This Row],[Order_Date]], "MMM")</f>
        <v>Jan</v>
      </c>
      <c r="N1873" s="1">
        <f>YEAR(Table1[[#This Row],[Order_Date]])</f>
        <v>2023</v>
      </c>
      <c r="O1873" s="7">
        <f>Table1[[#This Row],[Profit]]/Table1[[#This Row],[Total_Sales]]</f>
        <v>0.35091480446927376</v>
      </c>
    </row>
    <row r="1874" spans="1:15" x14ac:dyDescent="0.25">
      <c r="A1874" s="1">
        <v>1873</v>
      </c>
      <c r="B1874" s="2">
        <v>45489</v>
      </c>
      <c r="C1874" s="1" t="s">
        <v>12</v>
      </c>
      <c r="D1874" s="1" t="s">
        <v>22</v>
      </c>
      <c r="E1874" s="1" t="s">
        <v>29</v>
      </c>
      <c r="F1874" s="1" t="s">
        <v>40</v>
      </c>
      <c r="G1874" s="1">
        <v>8</v>
      </c>
      <c r="H1874" s="1">
        <v>952</v>
      </c>
      <c r="I1874" s="1">
        <v>5</v>
      </c>
      <c r="J1874" s="4">
        <v>7235.2</v>
      </c>
      <c r="K1874" s="4">
        <v>5522.78</v>
      </c>
      <c r="L1874" s="4">
        <v>1712.42</v>
      </c>
      <c r="M1874" s="1" t="str">
        <f>TEXT(Table1[[#This Row],[Order_Date]], "MMM")</f>
        <v>Jul</v>
      </c>
      <c r="N1874" s="1">
        <f>YEAR(Table1[[#This Row],[Order_Date]])</f>
        <v>2024</v>
      </c>
      <c r="O1874" s="7">
        <f>Table1[[#This Row],[Profit]]/Table1[[#This Row],[Total_Sales]]</f>
        <v>0.23667901371074748</v>
      </c>
    </row>
    <row r="1875" spans="1:15" x14ac:dyDescent="0.25">
      <c r="A1875" s="1">
        <v>1874</v>
      </c>
      <c r="B1875" s="2">
        <v>45489</v>
      </c>
      <c r="C1875" s="1" t="s">
        <v>19</v>
      </c>
      <c r="D1875" s="1" t="s">
        <v>13</v>
      </c>
      <c r="E1875" s="1" t="s">
        <v>38</v>
      </c>
      <c r="F1875" s="1" t="s">
        <v>15</v>
      </c>
      <c r="G1875" s="1">
        <v>8</v>
      </c>
      <c r="H1875" s="1">
        <v>245</v>
      </c>
      <c r="I1875" s="1">
        <v>10</v>
      </c>
      <c r="J1875" s="4">
        <v>1764</v>
      </c>
      <c r="K1875" s="4">
        <v>1074.97</v>
      </c>
      <c r="L1875" s="4">
        <v>689.03</v>
      </c>
      <c r="M1875" s="1" t="str">
        <f>TEXT(Table1[[#This Row],[Order_Date]], "MMM")</f>
        <v>Jul</v>
      </c>
      <c r="N1875" s="1">
        <f>YEAR(Table1[[#This Row],[Order_Date]])</f>
        <v>2024</v>
      </c>
      <c r="O1875" s="7">
        <f>Table1[[#This Row],[Profit]]/Table1[[#This Row],[Total_Sales]]</f>
        <v>0.39060657596371878</v>
      </c>
    </row>
    <row r="1876" spans="1:15" x14ac:dyDescent="0.25">
      <c r="A1876" s="1">
        <v>1875</v>
      </c>
      <c r="B1876" s="2">
        <v>45643</v>
      </c>
      <c r="C1876" s="1" t="s">
        <v>25</v>
      </c>
      <c r="D1876" s="1" t="s">
        <v>26</v>
      </c>
      <c r="E1876" s="1" t="s">
        <v>42</v>
      </c>
      <c r="F1876" s="1" t="s">
        <v>35</v>
      </c>
      <c r="G1876" s="1">
        <v>8</v>
      </c>
      <c r="H1876" s="1">
        <v>285</v>
      </c>
      <c r="I1876" s="1">
        <v>0</v>
      </c>
      <c r="J1876" s="4">
        <v>2280</v>
      </c>
      <c r="K1876" s="4">
        <v>1720.84</v>
      </c>
      <c r="L1876" s="4">
        <v>559.16</v>
      </c>
      <c r="M1876" s="1" t="str">
        <f>TEXT(Table1[[#This Row],[Order_Date]], "MMM")</f>
        <v>Dec</v>
      </c>
      <c r="N1876" s="1">
        <f>YEAR(Table1[[#This Row],[Order_Date]])</f>
        <v>2024</v>
      </c>
      <c r="O1876" s="7">
        <f>Table1[[#This Row],[Profit]]/Table1[[#This Row],[Total_Sales]]</f>
        <v>0.24524561403508771</v>
      </c>
    </row>
    <row r="1877" spans="1:15" x14ac:dyDescent="0.25">
      <c r="A1877" s="1">
        <v>1876</v>
      </c>
      <c r="B1877" s="2">
        <v>45519</v>
      </c>
      <c r="C1877" s="1" t="s">
        <v>16</v>
      </c>
      <c r="D1877" s="1" t="s">
        <v>20</v>
      </c>
      <c r="E1877" s="1" t="s">
        <v>28</v>
      </c>
      <c r="F1877" s="1" t="s">
        <v>18</v>
      </c>
      <c r="G1877" s="1">
        <v>1</v>
      </c>
      <c r="H1877" s="1">
        <v>176</v>
      </c>
      <c r="I1877" s="1">
        <v>15</v>
      </c>
      <c r="J1877" s="4">
        <v>149.6</v>
      </c>
      <c r="K1877" s="4">
        <v>101.57</v>
      </c>
      <c r="L1877" s="4">
        <v>48.03</v>
      </c>
      <c r="M1877" s="1" t="str">
        <f>TEXT(Table1[[#This Row],[Order_Date]], "MMM")</f>
        <v>Aug</v>
      </c>
      <c r="N1877" s="1">
        <f>YEAR(Table1[[#This Row],[Order_Date]])</f>
        <v>2024</v>
      </c>
      <c r="O1877" s="7">
        <f>Table1[[#This Row],[Profit]]/Table1[[#This Row],[Total_Sales]]</f>
        <v>0.32105614973262037</v>
      </c>
    </row>
    <row r="1878" spans="1:15" x14ac:dyDescent="0.25">
      <c r="A1878" s="1">
        <v>1877</v>
      </c>
      <c r="B1878" s="2">
        <v>45437</v>
      </c>
      <c r="C1878" s="1" t="s">
        <v>12</v>
      </c>
      <c r="D1878" s="1" t="s">
        <v>20</v>
      </c>
      <c r="E1878" s="1" t="s">
        <v>43</v>
      </c>
      <c r="F1878" s="1" t="s">
        <v>40</v>
      </c>
      <c r="G1878" s="1">
        <v>7</v>
      </c>
      <c r="H1878" s="1">
        <v>644</v>
      </c>
      <c r="I1878" s="1">
        <v>15</v>
      </c>
      <c r="J1878" s="4">
        <v>3831.8</v>
      </c>
      <c r="K1878" s="4">
        <v>2970.57</v>
      </c>
      <c r="L1878" s="4">
        <v>861.23</v>
      </c>
      <c r="M1878" s="1" t="str">
        <f>TEXT(Table1[[#This Row],[Order_Date]], "MMM")</f>
        <v>May</v>
      </c>
      <c r="N1878" s="1">
        <f>YEAR(Table1[[#This Row],[Order_Date]])</f>
        <v>2024</v>
      </c>
      <c r="O1878" s="7">
        <f>Table1[[#This Row],[Profit]]/Table1[[#This Row],[Total_Sales]]</f>
        <v>0.22475859909181062</v>
      </c>
    </row>
    <row r="1879" spans="1:15" x14ac:dyDescent="0.25">
      <c r="A1879" s="1">
        <v>1878</v>
      </c>
      <c r="B1879" s="2">
        <v>45312</v>
      </c>
      <c r="C1879" s="1" t="s">
        <v>19</v>
      </c>
      <c r="D1879" s="1" t="s">
        <v>26</v>
      </c>
      <c r="E1879" s="1" t="s">
        <v>46</v>
      </c>
      <c r="F1879" s="1" t="s">
        <v>40</v>
      </c>
      <c r="G1879" s="1">
        <v>1</v>
      </c>
      <c r="H1879" s="1">
        <v>393</v>
      </c>
      <c r="I1879" s="1">
        <v>15</v>
      </c>
      <c r="J1879" s="4">
        <v>334.05</v>
      </c>
      <c r="K1879" s="4">
        <v>222.54</v>
      </c>
      <c r="L1879" s="4">
        <v>111.51</v>
      </c>
      <c r="M1879" s="1" t="str">
        <f>TEXT(Table1[[#This Row],[Order_Date]], "MMM")</f>
        <v>Jan</v>
      </c>
      <c r="N1879" s="1">
        <f>YEAR(Table1[[#This Row],[Order_Date]])</f>
        <v>2024</v>
      </c>
      <c r="O1879" s="7">
        <f>Table1[[#This Row],[Profit]]/Table1[[#This Row],[Total_Sales]]</f>
        <v>0.33381230354737318</v>
      </c>
    </row>
    <row r="1880" spans="1:15" x14ac:dyDescent="0.25">
      <c r="A1880" s="1">
        <v>1879</v>
      </c>
      <c r="B1880" s="2">
        <v>45571</v>
      </c>
      <c r="C1880" s="1" t="s">
        <v>12</v>
      </c>
      <c r="D1880" s="1" t="s">
        <v>22</v>
      </c>
      <c r="E1880" s="1" t="s">
        <v>44</v>
      </c>
      <c r="F1880" s="1" t="s">
        <v>40</v>
      </c>
      <c r="G1880" s="1">
        <v>7</v>
      </c>
      <c r="H1880" s="1">
        <v>682</v>
      </c>
      <c r="I1880" s="1">
        <v>5</v>
      </c>
      <c r="J1880" s="4">
        <v>4535.3</v>
      </c>
      <c r="K1880" s="4">
        <v>3380.74</v>
      </c>
      <c r="L1880" s="4">
        <v>1154.56</v>
      </c>
      <c r="M1880" s="1" t="str">
        <f>TEXT(Table1[[#This Row],[Order_Date]], "MMM")</f>
        <v>Oct</v>
      </c>
      <c r="N1880" s="1">
        <f>YEAR(Table1[[#This Row],[Order_Date]])</f>
        <v>2024</v>
      </c>
      <c r="O1880" s="7">
        <f>Table1[[#This Row],[Profit]]/Table1[[#This Row],[Total_Sales]]</f>
        <v>0.25457191365510551</v>
      </c>
    </row>
    <row r="1881" spans="1:15" x14ac:dyDescent="0.25">
      <c r="A1881" s="1">
        <v>1880</v>
      </c>
      <c r="B1881" s="2">
        <v>45160</v>
      </c>
      <c r="C1881" s="1" t="s">
        <v>25</v>
      </c>
      <c r="D1881" s="1" t="s">
        <v>32</v>
      </c>
      <c r="E1881" s="1" t="s">
        <v>41</v>
      </c>
      <c r="F1881" s="1" t="s">
        <v>35</v>
      </c>
      <c r="G1881" s="1">
        <v>3</v>
      </c>
      <c r="H1881" s="1">
        <v>211</v>
      </c>
      <c r="I1881" s="1">
        <v>0</v>
      </c>
      <c r="J1881" s="4">
        <v>633</v>
      </c>
      <c r="K1881" s="4">
        <v>346.01</v>
      </c>
      <c r="L1881" s="4">
        <v>286.99</v>
      </c>
      <c r="M1881" s="1" t="str">
        <f>TEXT(Table1[[#This Row],[Order_Date]], "MMM")</f>
        <v>Aug</v>
      </c>
      <c r="N1881" s="1">
        <f>YEAR(Table1[[#This Row],[Order_Date]])</f>
        <v>2023</v>
      </c>
      <c r="O1881" s="7">
        <f>Table1[[#This Row],[Profit]]/Table1[[#This Row],[Total_Sales]]</f>
        <v>0.45338072669826224</v>
      </c>
    </row>
    <row r="1882" spans="1:15" x14ac:dyDescent="0.25">
      <c r="A1882" s="1">
        <v>1881</v>
      </c>
      <c r="B1882" s="2">
        <v>45053</v>
      </c>
      <c r="C1882" s="1" t="s">
        <v>19</v>
      </c>
      <c r="D1882" s="1" t="s">
        <v>20</v>
      </c>
      <c r="E1882" s="1" t="s">
        <v>28</v>
      </c>
      <c r="F1882" s="1" t="s">
        <v>40</v>
      </c>
      <c r="G1882" s="1">
        <v>8</v>
      </c>
      <c r="H1882" s="1">
        <v>271</v>
      </c>
      <c r="I1882" s="1">
        <v>10</v>
      </c>
      <c r="J1882" s="4">
        <v>1951.2</v>
      </c>
      <c r="K1882" s="4">
        <v>1125.3800000000001</v>
      </c>
      <c r="L1882" s="4">
        <v>825.82</v>
      </c>
      <c r="M1882" s="1" t="str">
        <f>TEXT(Table1[[#This Row],[Order_Date]], "MMM")</f>
        <v>May</v>
      </c>
      <c r="N1882" s="1">
        <f>YEAR(Table1[[#This Row],[Order_Date]])</f>
        <v>2023</v>
      </c>
      <c r="O1882" s="7">
        <f>Table1[[#This Row],[Profit]]/Table1[[#This Row],[Total_Sales]]</f>
        <v>0.42323698236982371</v>
      </c>
    </row>
    <row r="1883" spans="1:15" x14ac:dyDescent="0.25">
      <c r="A1883" s="1">
        <v>1882</v>
      </c>
      <c r="B1883" s="2">
        <v>45654</v>
      </c>
      <c r="C1883" s="1" t="s">
        <v>19</v>
      </c>
      <c r="D1883" s="1" t="s">
        <v>26</v>
      </c>
      <c r="E1883" s="1" t="s">
        <v>46</v>
      </c>
      <c r="F1883" s="1" t="s">
        <v>35</v>
      </c>
      <c r="G1883" s="1">
        <v>5</v>
      </c>
      <c r="H1883" s="1">
        <v>264</v>
      </c>
      <c r="I1883" s="1">
        <v>10</v>
      </c>
      <c r="J1883" s="4">
        <v>1188</v>
      </c>
      <c r="K1883" s="4">
        <v>922.23</v>
      </c>
      <c r="L1883" s="4">
        <v>265.77</v>
      </c>
      <c r="M1883" s="1" t="str">
        <f>TEXT(Table1[[#This Row],[Order_Date]], "MMM")</f>
        <v>Dec</v>
      </c>
      <c r="N1883" s="1">
        <f>YEAR(Table1[[#This Row],[Order_Date]])</f>
        <v>2024</v>
      </c>
      <c r="O1883" s="7">
        <f>Table1[[#This Row],[Profit]]/Table1[[#This Row],[Total_Sales]]</f>
        <v>0.2237121212121212</v>
      </c>
    </row>
    <row r="1884" spans="1:15" x14ac:dyDescent="0.25">
      <c r="A1884" s="1">
        <v>1883</v>
      </c>
      <c r="B1884" s="2">
        <v>45197</v>
      </c>
      <c r="C1884" s="1" t="s">
        <v>16</v>
      </c>
      <c r="D1884" s="1" t="s">
        <v>32</v>
      </c>
      <c r="E1884" s="1" t="s">
        <v>41</v>
      </c>
      <c r="F1884" s="1" t="s">
        <v>35</v>
      </c>
      <c r="G1884" s="1">
        <v>6</v>
      </c>
      <c r="H1884" s="1">
        <v>854</v>
      </c>
      <c r="I1884" s="1">
        <v>10</v>
      </c>
      <c r="J1884" s="4">
        <v>4611.6000000000004</v>
      </c>
      <c r="K1884" s="4">
        <v>3045.19</v>
      </c>
      <c r="L1884" s="4">
        <v>1566.41</v>
      </c>
      <c r="M1884" s="1" t="str">
        <f>TEXT(Table1[[#This Row],[Order_Date]], "MMM")</f>
        <v>Sep</v>
      </c>
      <c r="N1884" s="1">
        <f>YEAR(Table1[[#This Row],[Order_Date]])</f>
        <v>2023</v>
      </c>
      <c r="O1884" s="7">
        <f>Table1[[#This Row],[Profit]]/Table1[[#This Row],[Total_Sales]]</f>
        <v>0.33966736056899988</v>
      </c>
    </row>
    <row r="1885" spans="1:15" x14ac:dyDescent="0.25">
      <c r="A1885" s="1">
        <v>1884</v>
      </c>
      <c r="B1885" s="2">
        <v>44998</v>
      </c>
      <c r="C1885" s="1" t="s">
        <v>19</v>
      </c>
      <c r="D1885" s="1" t="s">
        <v>32</v>
      </c>
      <c r="E1885" s="1" t="s">
        <v>34</v>
      </c>
      <c r="F1885" s="1" t="s">
        <v>18</v>
      </c>
      <c r="G1885" s="1">
        <v>8</v>
      </c>
      <c r="H1885" s="1">
        <v>172</v>
      </c>
      <c r="I1885" s="1">
        <v>20</v>
      </c>
      <c r="J1885" s="4">
        <v>1100.8</v>
      </c>
      <c r="K1885" s="4">
        <v>659.31</v>
      </c>
      <c r="L1885" s="4">
        <v>441.49</v>
      </c>
      <c r="M1885" s="1" t="str">
        <f>TEXT(Table1[[#This Row],[Order_Date]], "MMM")</f>
        <v>Mar</v>
      </c>
      <c r="N1885" s="1">
        <f>YEAR(Table1[[#This Row],[Order_Date]])</f>
        <v>2023</v>
      </c>
      <c r="O1885" s="7">
        <f>Table1[[#This Row],[Profit]]/Table1[[#This Row],[Total_Sales]]</f>
        <v>0.40106286337209307</v>
      </c>
    </row>
    <row r="1886" spans="1:15" x14ac:dyDescent="0.25">
      <c r="A1886" s="1">
        <v>1885</v>
      </c>
      <c r="B1886" s="2">
        <v>45280</v>
      </c>
      <c r="C1886" s="1" t="s">
        <v>19</v>
      </c>
      <c r="D1886" s="1" t="s">
        <v>26</v>
      </c>
      <c r="E1886" s="1" t="s">
        <v>27</v>
      </c>
      <c r="F1886" s="1" t="s">
        <v>35</v>
      </c>
      <c r="G1886" s="1">
        <v>3</v>
      </c>
      <c r="H1886" s="1">
        <v>822</v>
      </c>
      <c r="I1886" s="1">
        <v>15</v>
      </c>
      <c r="J1886" s="4">
        <v>2096.1</v>
      </c>
      <c r="K1886" s="4">
        <v>1136.75</v>
      </c>
      <c r="L1886" s="4">
        <v>959.35</v>
      </c>
      <c r="M1886" s="1" t="str">
        <f>TEXT(Table1[[#This Row],[Order_Date]], "MMM")</f>
        <v>Dec</v>
      </c>
      <c r="N1886" s="1">
        <f>YEAR(Table1[[#This Row],[Order_Date]])</f>
        <v>2023</v>
      </c>
      <c r="O1886" s="7">
        <f>Table1[[#This Row],[Profit]]/Table1[[#This Row],[Total_Sales]]</f>
        <v>0.4576833166356567</v>
      </c>
    </row>
    <row r="1887" spans="1:15" x14ac:dyDescent="0.25">
      <c r="A1887" s="1">
        <v>1886</v>
      </c>
      <c r="B1887" s="2">
        <v>45159</v>
      </c>
      <c r="C1887" s="1" t="s">
        <v>12</v>
      </c>
      <c r="D1887" s="1" t="s">
        <v>22</v>
      </c>
      <c r="E1887" s="1" t="s">
        <v>29</v>
      </c>
      <c r="F1887" s="1" t="s">
        <v>18</v>
      </c>
      <c r="G1887" s="1">
        <v>4</v>
      </c>
      <c r="H1887" s="1">
        <v>554</v>
      </c>
      <c r="I1887" s="1">
        <v>20</v>
      </c>
      <c r="J1887" s="4">
        <v>1772.8</v>
      </c>
      <c r="K1887" s="4">
        <v>1192.1099999999999</v>
      </c>
      <c r="L1887" s="4">
        <v>580.69000000000005</v>
      </c>
      <c r="M1887" s="1" t="str">
        <f>TEXT(Table1[[#This Row],[Order_Date]], "MMM")</f>
        <v>Aug</v>
      </c>
      <c r="N1887" s="1">
        <f>YEAR(Table1[[#This Row],[Order_Date]])</f>
        <v>2023</v>
      </c>
      <c r="O1887" s="7">
        <f>Table1[[#This Row],[Profit]]/Table1[[#This Row],[Total_Sales]]</f>
        <v>0.32755527978339355</v>
      </c>
    </row>
    <row r="1888" spans="1:15" x14ac:dyDescent="0.25">
      <c r="A1888" s="1">
        <v>1887</v>
      </c>
      <c r="B1888" s="2">
        <v>45279</v>
      </c>
      <c r="C1888" s="1" t="s">
        <v>16</v>
      </c>
      <c r="D1888" s="1" t="s">
        <v>32</v>
      </c>
      <c r="E1888" s="1" t="s">
        <v>45</v>
      </c>
      <c r="F1888" s="1" t="s">
        <v>18</v>
      </c>
      <c r="G1888" s="1">
        <v>7</v>
      </c>
      <c r="H1888" s="1">
        <v>755</v>
      </c>
      <c r="I1888" s="1">
        <v>0</v>
      </c>
      <c r="J1888" s="4">
        <v>5285</v>
      </c>
      <c r="K1888" s="4">
        <v>3936.95</v>
      </c>
      <c r="L1888" s="4">
        <v>1348.05</v>
      </c>
      <c r="M1888" s="1" t="str">
        <f>TEXT(Table1[[#This Row],[Order_Date]], "MMM")</f>
        <v>Dec</v>
      </c>
      <c r="N1888" s="1">
        <f>YEAR(Table1[[#This Row],[Order_Date]])</f>
        <v>2023</v>
      </c>
      <c r="O1888" s="7">
        <f>Table1[[#This Row],[Profit]]/Table1[[#This Row],[Total_Sales]]</f>
        <v>0.25507095553453168</v>
      </c>
    </row>
    <row r="1889" spans="1:15" x14ac:dyDescent="0.25">
      <c r="A1889" s="1">
        <v>1888</v>
      </c>
      <c r="B1889" s="2">
        <v>45283</v>
      </c>
      <c r="C1889" s="1" t="s">
        <v>16</v>
      </c>
      <c r="D1889" s="1" t="s">
        <v>32</v>
      </c>
      <c r="E1889" s="1" t="s">
        <v>34</v>
      </c>
      <c r="F1889" s="1" t="s">
        <v>35</v>
      </c>
      <c r="G1889" s="1">
        <v>8</v>
      </c>
      <c r="H1889" s="1">
        <v>721</v>
      </c>
      <c r="I1889" s="1">
        <v>15</v>
      </c>
      <c r="J1889" s="4">
        <v>4902.8</v>
      </c>
      <c r="K1889" s="4">
        <v>2770.38</v>
      </c>
      <c r="L1889" s="4">
        <v>2132.42</v>
      </c>
      <c r="M1889" s="1" t="str">
        <f>TEXT(Table1[[#This Row],[Order_Date]], "MMM")</f>
        <v>Dec</v>
      </c>
      <c r="N1889" s="1">
        <f>YEAR(Table1[[#This Row],[Order_Date]])</f>
        <v>2023</v>
      </c>
      <c r="O1889" s="7">
        <f>Table1[[#This Row],[Profit]]/Table1[[#This Row],[Total_Sales]]</f>
        <v>0.4349392184058089</v>
      </c>
    </row>
    <row r="1890" spans="1:15" x14ac:dyDescent="0.25">
      <c r="A1890" s="1">
        <v>1889</v>
      </c>
      <c r="B1890" s="2">
        <v>45251</v>
      </c>
      <c r="C1890" s="1" t="s">
        <v>25</v>
      </c>
      <c r="D1890" s="1" t="s">
        <v>13</v>
      </c>
      <c r="E1890" s="1" t="s">
        <v>17</v>
      </c>
      <c r="F1890" s="1" t="s">
        <v>24</v>
      </c>
      <c r="G1890" s="1">
        <v>6</v>
      </c>
      <c r="H1890" s="1">
        <v>277</v>
      </c>
      <c r="I1890" s="1">
        <v>20</v>
      </c>
      <c r="J1890" s="4">
        <v>1329.6</v>
      </c>
      <c r="K1890" s="4">
        <v>1029.97</v>
      </c>
      <c r="L1890" s="4">
        <v>299.63</v>
      </c>
      <c r="M1890" s="1" t="str">
        <f>TEXT(Table1[[#This Row],[Order_Date]], "MMM")</f>
        <v>Nov</v>
      </c>
      <c r="N1890" s="1">
        <f>YEAR(Table1[[#This Row],[Order_Date]])</f>
        <v>2023</v>
      </c>
      <c r="O1890" s="7">
        <f>Table1[[#This Row],[Profit]]/Table1[[#This Row],[Total_Sales]]</f>
        <v>0.22535348977135983</v>
      </c>
    </row>
    <row r="1891" spans="1:15" x14ac:dyDescent="0.25">
      <c r="A1891" s="1">
        <v>1890</v>
      </c>
      <c r="B1891" s="2">
        <v>45532</v>
      </c>
      <c r="C1891" s="1" t="s">
        <v>25</v>
      </c>
      <c r="D1891" s="1" t="s">
        <v>20</v>
      </c>
      <c r="E1891" s="1" t="s">
        <v>30</v>
      </c>
      <c r="F1891" s="1" t="s">
        <v>15</v>
      </c>
      <c r="G1891" s="1">
        <v>7</v>
      </c>
      <c r="H1891" s="1">
        <v>771</v>
      </c>
      <c r="I1891" s="1">
        <v>5</v>
      </c>
      <c r="J1891" s="4">
        <v>5127.1499999999996</v>
      </c>
      <c r="K1891" s="4">
        <v>3856.31</v>
      </c>
      <c r="L1891" s="4">
        <v>1270.8399999999999</v>
      </c>
      <c r="M1891" s="1" t="str">
        <f>TEXT(Table1[[#This Row],[Order_Date]], "MMM")</f>
        <v>Aug</v>
      </c>
      <c r="N1891" s="1">
        <f>YEAR(Table1[[#This Row],[Order_Date]])</f>
        <v>2024</v>
      </c>
      <c r="O1891" s="7">
        <f>Table1[[#This Row],[Profit]]/Table1[[#This Row],[Total_Sales]]</f>
        <v>0.24786479818222598</v>
      </c>
    </row>
    <row r="1892" spans="1:15" x14ac:dyDescent="0.25">
      <c r="A1892" s="1">
        <v>1891</v>
      </c>
      <c r="B1892" s="2">
        <v>45324</v>
      </c>
      <c r="C1892" s="1" t="s">
        <v>19</v>
      </c>
      <c r="D1892" s="1" t="s">
        <v>22</v>
      </c>
      <c r="E1892" s="1" t="s">
        <v>29</v>
      </c>
      <c r="F1892" s="1" t="s">
        <v>40</v>
      </c>
      <c r="G1892" s="1">
        <v>1</v>
      </c>
      <c r="H1892" s="1">
        <v>109</v>
      </c>
      <c r="I1892" s="1">
        <v>5</v>
      </c>
      <c r="J1892" s="4">
        <v>103.55</v>
      </c>
      <c r="K1892" s="4">
        <v>72.540000000000006</v>
      </c>
      <c r="L1892" s="4">
        <v>31.01</v>
      </c>
      <c r="M1892" s="1" t="str">
        <f>TEXT(Table1[[#This Row],[Order_Date]], "MMM")</f>
        <v>Feb</v>
      </c>
      <c r="N1892" s="1">
        <f>YEAR(Table1[[#This Row],[Order_Date]])</f>
        <v>2024</v>
      </c>
      <c r="O1892" s="7">
        <f>Table1[[#This Row],[Profit]]/Table1[[#This Row],[Total_Sales]]</f>
        <v>0.29946885562530179</v>
      </c>
    </row>
    <row r="1893" spans="1:15" x14ac:dyDescent="0.25">
      <c r="A1893" s="1">
        <v>1892</v>
      </c>
      <c r="B1893" s="2">
        <v>45324</v>
      </c>
      <c r="C1893" s="1" t="s">
        <v>19</v>
      </c>
      <c r="D1893" s="1" t="s">
        <v>13</v>
      </c>
      <c r="E1893" s="1" t="s">
        <v>17</v>
      </c>
      <c r="F1893" s="1" t="s">
        <v>24</v>
      </c>
      <c r="G1893" s="1">
        <v>2</v>
      </c>
      <c r="H1893" s="1">
        <v>368</v>
      </c>
      <c r="I1893" s="1">
        <v>0</v>
      </c>
      <c r="J1893" s="4">
        <v>736</v>
      </c>
      <c r="K1893" s="4">
        <v>400.93</v>
      </c>
      <c r="L1893" s="4">
        <v>335.07</v>
      </c>
      <c r="M1893" s="1" t="str">
        <f>TEXT(Table1[[#This Row],[Order_Date]], "MMM")</f>
        <v>Feb</v>
      </c>
      <c r="N1893" s="1">
        <f>YEAR(Table1[[#This Row],[Order_Date]])</f>
        <v>2024</v>
      </c>
      <c r="O1893" s="7">
        <f>Table1[[#This Row],[Profit]]/Table1[[#This Row],[Total_Sales]]</f>
        <v>0.45525815217391302</v>
      </c>
    </row>
    <row r="1894" spans="1:15" x14ac:dyDescent="0.25">
      <c r="A1894" s="1">
        <v>1893</v>
      </c>
      <c r="B1894" s="2">
        <v>44937</v>
      </c>
      <c r="C1894" s="1" t="s">
        <v>16</v>
      </c>
      <c r="D1894" s="1" t="s">
        <v>20</v>
      </c>
      <c r="E1894" s="1" t="s">
        <v>43</v>
      </c>
      <c r="F1894" s="1" t="s">
        <v>24</v>
      </c>
      <c r="G1894" s="1">
        <v>7</v>
      </c>
      <c r="H1894" s="1">
        <v>571</v>
      </c>
      <c r="I1894" s="1">
        <v>0</v>
      </c>
      <c r="J1894" s="4">
        <v>3997</v>
      </c>
      <c r="K1894" s="4">
        <v>2819.69</v>
      </c>
      <c r="L1894" s="4">
        <v>1177.31</v>
      </c>
      <c r="M1894" s="1" t="str">
        <f>TEXT(Table1[[#This Row],[Order_Date]], "MMM")</f>
        <v>Jan</v>
      </c>
      <c r="N1894" s="1">
        <f>YEAR(Table1[[#This Row],[Order_Date]])</f>
        <v>2023</v>
      </c>
      <c r="O1894" s="7">
        <f>Table1[[#This Row],[Profit]]/Table1[[#This Row],[Total_Sales]]</f>
        <v>0.29454841130848136</v>
      </c>
    </row>
    <row r="1895" spans="1:15" x14ac:dyDescent="0.25">
      <c r="A1895" s="1">
        <v>1894</v>
      </c>
      <c r="B1895" s="2">
        <v>45561</v>
      </c>
      <c r="C1895" s="1" t="s">
        <v>25</v>
      </c>
      <c r="D1895" s="1" t="s">
        <v>26</v>
      </c>
      <c r="E1895" s="1" t="s">
        <v>42</v>
      </c>
      <c r="F1895" s="1" t="s">
        <v>35</v>
      </c>
      <c r="G1895" s="1">
        <v>9</v>
      </c>
      <c r="H1895" s="1">
        <v>118</v>
      </c>
      <c r="I1895" s="1">
        <v>15</v>
      </c>
      <c r="J1895" s="4">
        <v>902.7</v>
      </c>
      <c r="K1895" s="4">
        <v>495.67</v>
      </c>
      <c r="L1895" s="4">
        <v>407.03</v>
      </c>
      <c r="M1895" s="1" t="str">
        <f>TEXT(Table1[[#This Row],[Order_Date]], "MMM")</f>
        <v>Sep</v>
      </c>
      <c r="N1895" s="1">
        <f>YEAR(Table1[[#This Row],[Order_Date]])</f>
        <v>2024</v>
      </c>
      <c r="O1895" s="7">
        <f>Table1[[#This Row],[Profit]]/Table1[[#This Row],[Total_Sales]]</f>
        <v>0.45090284701451194</v>
      </c>
    </row>
    <row r="1896" spans="1:15" x14ac:dyDescent="0.25">
      <c r="A1896" s="1">
        <v>1895</v>
      </c>
      <c r="B1896" s="2">
        <v>44994</v>
      </c>
      <c r="C1896" s="1" t="s">
        <v>25</v>
      </c>
      <c r="D1896" s="1" t="s">
        <v>26</v>
      </c>
      <c r="E1896" s="1" t="s">
        <v>42</v>
      </c>
      <c r="F1896" s="1" t="s">
        <v>31</v>
      </c>
      <c r="G1896" s="1">
        <v>1</v>
      </c>
      <c r="H1896" s="1">
        <v>365</v>
      </c>
      <c r="I1896" s="1">
        <v>15</v>
      </c>
      <c r="J1896" s="4">
        <v>310.25</v>
      </c>
      <c r="K1896" s="4">
        <v>197.92</v>
      </c>
      <c r="L1896" s="4">
        <v>112.33</v>
      </c>
      <c r="M1896" s="1" t="str">
        <f>TEXT(Table1[[#This Row],[Order_Date]], "MMM")</f>
        <v>Mar</v>
      </c>
      <c r="N1896" s="1">
        <f>YEAR(Table1[[#This Row],[Order_Date]])</f>
        <v>2023</v>
      </c>
      <c r="O1896" s="7">
        <f>Table1[[#This Row],[Profit]]/Table1[[#This Row],[Total_Sales]]</f>
        <v>0.36206285253827558</v>
      </c>
    </row>
    <row r="1897" spans="1:15" x14ac:dyDescent="0.25">
      <c r="A1897" s="1">
        <v>1896</v>
      </c>
      <c r="B1897" s="2">
        <v>45057</v>
      </c>
      <c r="C1897" s="1" t="s">
        <v>19</v>
      </c>
      <c r="D1897" s="1" t="s">
        <v>22</v>
      </c>
      <c r="E1897" s="1" t="s">
        <v>23</v>
      </c>
      <c r="F1897" s="1" t="s">
        <v>31</v>
      </c>
      <c r="G1897" s="1">
        <v>7</v>
      </c>
      <c r="H1897" s="1">
        <v>436</v>
      </c>
      <c r="I1897" s="1">
        <v>15</v>
      </c>
      <c r="J1897" s="4">
        <v>2594.1999999999998</v>
      </c>
      <c r="K1897" s="4">
        <v>1541.5</v>
      </c>
      <c r="L1897" s="4">
        <v>1052.7</v>
      </c>
      <c r="M1897" s="1" t="str">
        <f>TEXT(Table1[[#This Row],[Order_Date]], "MMM")</f>
        <v>May</v>
      </c>
      <c r="N1897" s="1">
        <f>YEAR(Table1[[#This Row],[Order_Date]])</f>
        <v>2023</v>
      </c>
      <c r="O1897" s="7">
        <f>Table1[[#This Row],[Profit]]/Table1[[#This Row],[Total_Sales]]</f>
        <v>0.40578983887132841</v>
      </c>
    </row>
    <row r="1898" spans="1:15" x14ac:dyDescent="0.25">
      <c r="A1898" s="1">
        <v>1897</v>
      </c>
      <c r="B1898" s="2">
        <v>45449</v>
      </c>
      <c r="C1898" s="1" t="s">
        <v>16</v>
      </c>
      <c r="D1898" s="1" t="s">
        <v>32</v>
      </c>
      <c r="E1898" s="1" t="s">
        <v>41</v>
      </c>
      <c r="F1898" s="1" t="s">
        <v>40</v>
      </c>
      <c r="G1898" s="1">
        <v>7</v>
      </c>
      <c r="H1898" s="1">
        <v>74</v>
      </c>
      <c r="I1898" s="1">
        <v>5</v>
      </c>
      <c r="J1898" s="4">
        <v>492.1</v>
      </c>
      <c r="K1898" s="4">
        <v>279.04000000000002</v>
      </c>
      <c r="L1898" s="4">
        <v>213.06</v>
      </c>
      <c r="M1898" s="1" t="str">
        <f>TEXT(Table1[[#This Row],[Order_Date]], "MMM")</f>
        <v>Jun</v>
      </c>
      <c r="N1898" s="1">
        <f>YEAR(Table1[[#This Row],[Order_Date]])</f>
        <v>2024</v>
      </c>
      <c r="O1898" s="7">
        <f>Table1[[#This Row],[Profit]]/Table1[[#This Row],[Total_Sales]]</f>
        <v>0.43296078032920138</v>
      </c>
    </row>
    <row r="1899" spans="1:15" x14ac:dyDescent="0.25">
      <c r="A1899" s="1">
        <v>1898</v>
      </c>
      <c r="B1899" s="2">
        <v>45527</v>
      </c>
      <c r="C1899" s="1" t="s">
        <v>12</v>
      </c>
      <c r="D1899" s="1" t="s">
        <v>32</v>
      </c>
      <c r="E1899" s="1" t="s">
        <v>41</v>
      </c>
      <c r="F1899" s="1" t="s">
        <v>40</v>
      </c>
      <c r="G1899" s="1">
        <v>7</v>
      </c>
      <c r="H1899" s="1">
        <v>637</v>
      </c>
      <c r="I1899" s="1">
        <v>15</v>
      </c>
      <c r="J1899" s="4">
        <v>3790.15</v>
      </c>
      <c r="K1899" s="4">
        <v>2094.4899999999998</v>
      </c>
      <c r="L1899" s="4">
        <v>1695.66</v>
      </c>
      <c r="M1899" s="1" t="str">
        <f>TEXT(Table1[[#This Row],[Order_Date]], "MMM")</f>
        <v>Aug</v>
      </c>
      <c r="N1899" s="1">
        <f>YEAR(Table1[[#This Row],[Order_Date]])</f>
        <v>2024</v>
      </c>
      <c r="O1899" s="7">
        <f>Table1[[#This Row],[Profit]]/Table1[[#This Row],[Total_Sales]]</f>
        <v>0.44738598736197777</v>
      </c>
    </row>
    <row r="1900" spans="1:15" x14ac:dyDescent="0.25">
      <c r="A1900" s="1">
        <v>1899</v>
      </c>
      <c r="B1900" s="2">
        <v>45358</v>
      </c>
      <c r="C1900" s="1" t="s">
        <v>25</v>
      </c>
      <c r="D1900" s="1" t="s">
        <v>32</v>
      </c>
      <c r="E1900" s="1" t="s">
        <v>34</v>
      </c>
      <c r="F1900" s="1" t="s">
        <v>31</v>
      </c>
      <c r="G1900" s="1">
        <v>3</v>
      </c>
      <c r="H1900" s="1">
        <v>753</v>
      </c>
      <c r="I1900" s="1">
        <v>15</v>
      </c>
      <c r="J1900" s="4">
        <v>1920.15</v>
      </c>
      <c r="K1900" s="4">
        <v>1191.5</v>
      </c>
      <c r="L1900" s="4">
        <v>728.65</v>
      </c>
      <c r="M1900" s="1" t="str">
        <f>TEXT(Table1[[#This Row],[Order_Date]], "MMM")</f>
        <v>Mar</v>
      </c>
      <c r="N1900" s="1">
        <f>YEAR(Table1[[#This Row],[Order_Date]])</f>
        <v>2024</v>
      </c>
      <c r="O1900" s="7">
        <f>Table1[[#This Row],[Profit]]/Table1[[#This Row],[Total_Sales]]</f>
        <v>0.37947556180506731</v>
      </c>
    </row>
    <row r="1901" spans="1:15" x14ac:dyDescent="0.25">
      <c r="A1901" s="1">
        <v>1900</v>
      </c>
      <c r="B1901" s="2">
        <v>45194</v>
      </c>
      <c r="C1901" s="1" t="s">
        <v>16</v>
      </c>
      <c r="D1901" s="1" t="s">
        <v>20</v>
      </c>
      <c r="E1901" s="1" t="s">
        <v>28</v>
      </c>
      <c r="F1901" s="1" t="s">
        <v>24</v>
      </c>
      <c r="G1901" s="1">
        <v>3</v>
      </c>
      <c r="H1901" s="1">
        <v>367</v>
      </c>
      <c r="I1901" s="1">
        <v>20</v>
      </c>
      <c r="J1901" s="4">
        <v>880.8</v>
      </c>
      <c r="K1901" s="4">
        <v>674.29</v>
      </c>
      <c r="L1901" s="4">
        <v>206.51</v>
      </c>
      <c r="M1901" s="1" t="str">
        <f>TEXT(Table1[[#This Row],[Order_Date]], "MMM")</f>
        <v>Sep</v>
      </c>
      <c r="N1901" s="1">
        <f>YEAR(Table1[[#This Row],[Order_Date]])</f>
        <v>2023</v>
      </c>
      <c r="O1901" s="7">
        <f>Table1[[#This Row],[Profit]]/Table1[[#This Row],[Total_Sales]]</f>
        <v>0.23445731153496821</v>
      </c>
    </row>
    <row r="1902" spans="1:15" x14ac:dyDescent="0.25">
      <c r="A1902" s="1">
        <v>1901</v>
      </c>
      <c r="B1902" s="2">
        <v>45299</v>
      </c>
      <c r="C1902" s="1" t="s">
        <v>12</v>
      </c>
      <c r="D1902" s="1" t="s">
        <v>32</v>
      </c>
      <c r="E1902" s="1" t="s">
        <v>41</v>
      </c>
      <c r="F1902" s="1" t="s">
        <v>31</v>
      </c>
      <c r="G1902" s="1">
        <v>8</v>
      </c>
      <c r="H1902" s="1">
        <v>566</v>
      </c>
      <c r="I1902" s="1">
        <v>5</v>
      </c>
      <c r="J1902" s="4">
        <v>4301.6000000000004</v>
      </c>
      <c r="K1902" s="4">
        <v>2310.31</v>
      </c>
      <c r="L1902" s="4">
        <v>1991.29</v>
      </c>
      <c r="M1902" s="1" t="str">
        <f>TEXT(Table1[[#This Row],[Order_Date]], "MMM")</f>
        <v>Jan</v>
      </c>
      <c r="N1902" s="1">
        <f>YEAR(Table1[[#This Row],[Order_Date]])</f>
        <v>2024</v>
      </c>
      <c r="O1902" s="7">
        <f>Table1[[#This Row],[Profit]]/Table1[[#This Row],[Total_Sales]]</f>
        <v>0.46291844894922812</v>
      </c>
    </row>
    <row r="1903" spans="1:15" x14ac:dyDescent="0.25">
      <c r="A1903" s="1">
        <v>1902</v>
      </c>
      <c r="B1903" s="2">
        <v>45019</v>
      </c>
      <c r="C1903" s="1" t="s">
        <v>16</v>
      </c>
      <c r="D1903" s="1" t="s">
        <v>32</v>
      </c>
      <c r="E1903" s="1" t="s">
        <v>33</v>
      </c>
      <c r="F1903" s="1" t="s">
        <v>24</v>
      </c>
      <c r="G1903" s="1">
        <v>6</v>
      </c>
      <c r="H1903" s="1">
        <v>718</v>
      </c>
      <c r="I1903" s="1">
        <v>0</v>
      </c>
      <c r="J1903" s="4">
        <v>4308</v>
      </c>
      <c r="K1903" s="4">
        <v>2655.36</v>
      </c>
      <c r="L1903" s="4">
        <v>1652.64</v>
      </c>
      <c r="M1903" s="1" t="str">
        <f>TEXT(Table1[[#This Row],[Order_Date]], "MMM")</f>
        <v>Apr</v>
      </c>
      <c r="N1903" s="1">
        <f>YEAR(Table1[[#This Row],[Order_Date]])</f>
        <v>2023</v>
      </c>
      <c r="O1903" s="7">
        <f>Table1[[#This Row],[Profit]]/Table1[[#This Row],[Total_Sales]]</f>
        <v>0.38362116991643458</v>
      </c>
    </row>
    <row r="1904" spans="1:15" x14ac:dyDescent="0.25">
      <c r="A1904" s="1">
        <v>1903</v>
      </c>
      <c r="B1904" s="2">
        <v>45617</v>
      </c>
      <c r="C1904" s="1" t="s">
        <v>19</v>
      </c>
      <c r="D1904" s="1" t="s">
        <v>20</v>
      </c>
      <c r="E1904" s="1" t="s">
        <v>28</v>
      </c>
      <c r="F1904" s="1" t="s">
        <v>15</v>
      </c>
      <c r="G1904" s="1">
        <v>3</v>
      </c>
      <c r="H1904" s="1">
        <v>704</v>
      </c>
      <c r="I1904" s="1">
        <v>10</v>
      </c>
      <c r="J1904" s="4">
        <v>1900.8</v>
      </c>
      <c r="K1904" s="4">
        <v>1177.06</v>
      </c>
      <c r="L1904" s="4">
        <v>723.74</v>
      </c>
      <c r="M1904" s="1" t="str">
        <f>TEXT(Table1[[#This Row],[Order_Date]], "MMM")</f>
        <v>Nov</v>
      </c>
      <c r="N1904" s="1">
        <f>YEAR(Table1[[#This Row],[Order_Date]])</f>
        <v>2024</v>
      </c>
      <c r="O1904" s="7">
        <f>Table1[[#This Row],[Profit]]/Table1[[#This Row],[Total_Sales]]</f>
        <v>0.38075547138047139</v>
      </c>
    </row>
    <row r="1905" spans="1:15" x14ac:dyDescent="0.25">
      <c r="A1905" s="1">
        <v>1904</v>
      </c>
      <c r="B1905" s="2">
        <v>45263</v>
      </c>
      <c r="C1905" s="1" t="s">
        <v>12</v>
      </c>
      <c r="D1905" s="1" t="s">
        <v>26</v>
      </c>
      <c r="E1905" s="1" t="s">
        <v>46</v>
      </c>
      <c r="F1905" s="1" t="s">
        <v>31</v>
      </c>
      <c r="G1905" s="1">
        <v>6</v>
      </c>
      <c r="H1905" s="1">
        <v>375</v>
      </c>
      <c r="I1905" s="1">
        <v>20</v>
      </c>
      <c r="J1905" s="4">
        <v>1800</v>
      </c>
      <c r="K1905" s="4">
        <v>939.46</v>
      </c>
      <c r="L1905" s="4">
        <v>860.54</v>
      </c>
      <c r="M1905" s="1" t="str">
        <f>TEXT(Table1[[#This Row],[Order_Date]], "MMM")</f>
        <v>Dec</v>
      </c>
      <c r="N1905" s="1">
        <f>YEAR(Table1[[#This Row],[Order_Date]])</f>
        <v>2023</v>
      </c>
      <c r="O1905" s="7">
        <f>Table1[[#This Row],[Profit]]/Table1[[#This Row],[Total_Sales]]</f>
        <v>0.47807777777777777</v>
      </c>
    </row>
    <row r="1906" spans="1:15" x14ac:dyDescent="0.25">
      <c r="A1906" s="1">
        <v>1905</v>
      </c>
      <c r="B1906" s="2">
        <v>45205</v>
      </c>
      <c r="C1906" s="1" t="s">
        <v>25</v>
      </c>
      <c r="D1906" s="1" t="s">
        <v>13</v>
      </c>
      <c r="E1906" s="1" t="s">
        <v>39</v>
      </c>
      <c r="F1906" s="1" t="s">
        <v>40</v>
      </c>
      <c r="G1906" s="1">
        <v>8</v>
      </c>
      <c r="H1906" s="1">
        <v>666</v>
      </c>
      <c r="I1906" s="1">
        <v>20</v>
      </c>
      <c r="J1906" s="4">
        <v>4262.3999999999996</v>
      </c>
      <c r="K1906" s="4">
        <v>3335.74</v>
      </c>
      <c r="L1906" s="4">
        <v>926.66</v>
      </c>
      <c r="M1906" s="1" t="str">
        <f>TEXT(Table1[[#This Row],[Order_Date]], "MMM")</f>
        <v>Oct</v>
      </c>
      <c r="N1906" s="1">
        <f>YEAR(Table1[[#This Row],[Order_Date]])</f>
        <v>2023</v>
      </c>
      <c r="O1906" s="7">
        <f>Table1[[#This Row],[Profit]]/Table1[[#This Row],[Total_Sales]]</f>
        <v>0.21740334084084084</v>
      </c>
    </row>
    <row r="1907" spans="1:15" x14ac:dyDescent="0.25">
      <c r="A1907" s="1">
        <v>1906</v>
      </c>
      <c r="B1907" s="2">
        <v>45016</v>
      </c>
      <c r="C1907" s="1" t="s">
        <v>25</v>
      </c>
      <c r="D1907" s="1" t="s">
        <v>13</v>
      </c>
      <c r="E1907" s="1" t="s">
        <v>38</v>
      </c>
      <c r="F1907" s="1" t="s">
        <v>31</v>
      </c>
      <c r="G1907" s="1">
        <v>1</v>
      </c>
      <c r="H1907" s="1">
        <v>983</v>
      </c>
      <c r="I1907" s="1">
        <v>20</v>
      </c>
      <c r="J1907" s="4">
        <v>786.4</v>
      </c>
      <c r="K1907" s="4">
        <v>393.95</v>
      </c>
      <c r="L1907" s="4">
        <v>392.45</v>
      </c>
      <c r="M1907" s="1" t="str">
        <f>TEXT(Table1[[#This Row],[Order_Date]], "MMM")</f>
        <v>Mar</v>
      </c>
      <c r="N1907" s="1">
        <f>YEAR(Table1[[#This Row],[Order_Date]])</f>
        <v>2023</v>
      </c>
      <c r="O1907" s="7">
        <f>Table1[[#This Row],[Profit]]/Table1[[#This Row],[Total_Sales]]</f>
        <v>0.49904628687690744</v>
      </c>
    </row>
    <row r="1908" spans="1:15" x14ac:dyDescent="0.25">
      <c r="A1908" s="1">
        <v>1907</v>
      </c>
      <c r="B1908" s="2">
        <v>45154</v>
      </c>
      <c r="C1908" s="1" t="s">
        <v>12</v>
      </c>
      <c r="D1908" s="1" t="s">
        <v>22</v>
      </c>
      <c r="E1908" s="1" t="s">
        <v>29</v>
      </c>
      <c r="F1908" s="1" t="s">
        <v>35</v>
      </c>
      <c r="G1908" s="1">
        <v>7</v>
      </c>
      <c r="H1908" s="1">
        <v>605</v>
      </c>
      <c r="I1908" s="1">
        <v>10</v>
      </c>
      <c r="J1908" s="4">
        <v>3811.5</v>
      </c>
      <c r="K1908" s="4">
        <v>2708.95</v>
      </c>
      <c r="L1908" s="4">
        <v>1102.55</v>
      </c>
      <c r="M1908" s="1" t="str">
        <f>TEXT(Table1[[#This Row],[Order_Date]], "MMM")</f>
        <v>Aug</v>
      </c>
      <c r="N1908" s="1">
        <f>YEAR(Table1[[#This Row],[Order_Date]])</f>
        <v>2023</v>
      </c>
      <c r="O1908" s="7">
        <f>Table1[[#This Row],[Profit]]/Table1[[#This Row],[Total_Sales]]</f>
        <v>0.2892693165420438</v>
      </c>
    </row>
    <row r="1909" spans="1:15" x14ac:dyDescent="0.25">
      <c r="A1909" s="1">
        <v>1908</v>
      </c>
      <c r="B1909" s="2">
        <v>45033</v>
      </c>
      <c r="C1909" s="1" t="s">
        <v>12</v>
      </c>
      <c r="D1909" s="1" t="s">
        <v>13</v>
      </c>
      <c r="E1909" s="1" t="s">
        <v>38</v>
      </c>
      <c r="F1909" s="1" t="s">
        <v>18</v>
      </c>
      <c r="G1909" s="1">
        <v>3</v>
      </c>
      <c r="H1909" s="1">
        <v>799</v>
      </c>
      <c r="I1909" s="1">
        <v>20</v>
      </c>
      <c r="J1909" s="4">
        <v>1917.6</v>
      </c>
      <c r="K1909" s="4">
        <v>1227.51</v>
      </c>
      <c r="L1909" s="4">
        <v>690.09</v>
      </c>
      <c r="M1909" s="1" t="str">
        <f>TEXT(Table1[[#This Row],[Order_Date]], "MMM")</f>
        <v>Apr</v>
      </c>
      <c r="N1909" s="1">
        <f>YEAR(Table1[[#This Row],[Order_Date]])</f>
        <v>2023</v>
      </c>
      <c r="O1909" s="7">
        <f>Table1[[#This Row],[Profit]]/Table1[[#This Row],[Total_Sales]]</f>
        <v>0.35987171464330414</v>
      </c>
    </row>
    <row r="1910" spans="1:15" x14ac:dyDescent="0.25">
      <c r="A1910" s="1">
        <v>1909</v>
      </c>
      <c r="B1910" s="2">
        <v>45162</v>
      </c>
      <c r="C1910" s="1" t="s">
        <v>19</v>
      </c>
      <c r="D1910" s="1" t="s">
        <v>13</v>
      </c>
      <c r="E1910" s="1" t="s">
        <v>14</v>
      </c>
      <c r="F1910" s="1" t="s">
        <v>15</v>
      </c>
      <c r="G1910" s="1">
        <v>2</v>
      </c>
      <c r="H1910" s="1">
        <v>106</v>
      </c>
      <c r="I1910" s="1">
        <v>10</v>
      </c>
      <c r="J1910" s="4">
        <v>190.8</v>
      </c>
      <c r="K1910" s="4">
        <v>99.74</v>
      </c>
      <c r="L1910" s="4">
        <v>91.06</v>
      </c>
      <c r="M1910" s="1" t="str">
        <f>TEXT(Table1[[#This Row],[Order_Date]], "MMM")</f>
        <v>Aug</v>
      </c>
      <c r="N1910" s="1">
        <f>YEAR(Table1[[#This Row],[Order_Date]])</f>
        <v>2023</v>
      </c>
      <c r="O1910" s="7">
        <f>Table1[[#This Row],[Profit]]/Table1[[#This Row],[Total_Sales]]</f>
        <v>0.47725366876310271</v>
      </c>
    </row>
    <row r="1911" spans="1:15" x14ac:dyDescent="0.25">
      <c r="A1911" s="1">
        <v>1910</v>
      </c>
      <c r="B1911" s="2">
        <v>45524</v>
      </c>
      <c r="C1911" s="1" t="s">
        <v>25</v>
      </c>
      <c r="D1911" s="1" t="s">
        <v>13</v>
      </c>
      <c r="E1911" s="1" t="s">
        <v>14</v>
      </c>
      <c r="F1911" s="1" t="s">
        <v>40</v>
      </c>
      <c r="G1911" s="1">
        <v>6</v>
      </c>
      <c r="H1911" s="1">
        <v>938</v>
      </c>
      <c r="I1911" s="1">
        <v>15</v>
      </c>
      <c r="J1911" s="4">
        <v>4783.8</v>
      </c>
      <c r="K1911" s="4">
        <v>3420.06</v>
      </c>
      <c r="L1911" s="4">
        <v>1363.74</v>
      </c>
      <c r="M1911" s="1" t="str">
        <f>TEXT(Table1[[#This Row],[Order_Date]], "MMM")</f>
        <v>Aug</v>
      </c>
      <c r="N1911" s="1">
        <f>YEAR(Table1[[#This Row],[Order_Date]])</f>
        <v>2024</v>
      </c>
      <c r="O1911" s="7">
        <f>Table1[[#This Row],[Profit]]/Table1[[#This Row],[Total_Sales]]</f>
        <v>0.28507462686567164</v>
      </c>
    </row>
    <row r="1912" spans="1:15" x14ac:dyDescent="0.25">
      <c r="A1912" s="1">
        <v>1911</v>
      </c>
      <c r="B1912" s="2">
        <v>45289</v>
      </c>
      <c r="C1912" s="1" t="s">
        <v>25</v>
      </c>
      <c r="D1912" s="1" t="s">
        <v>26</v>
      </c>
      <c r="E1912" s="1" t="s">
        <v>37</v>
      </c>
      <c r="F1912" s="1" t="s">
        <v>40</v>
      </c>
      <c r="G1912" s="1">
        <v>10</v>
      </c>
      <c r="H1912" s="1">
        <v>654</v>
      </c>
      <c r="I1912" s="1">
        <v>15</v>
      </c>
      <c r="J1912" s="4">
        <v>5559</v>
      </c>
      <c r="K1912" s="4">
        <v>3740.64</v>
      </c>
      <c r="L1912" s="4">
        <v>1818.36</v>
      </c>
      <c r="M1912" s="1" t="str">
        <f>TEXT(Table1[[#This Row],[Order_Date]], "MMM")</f>
        <v>Dec</v>
      </c>
      <c r="N1912" s="1">
        <f>YEAR(Table1[[#This Row],[Order_Date]])</f>
        <v>2023</v>
      </c>
      <c r="O1912" s="7">
        <f>Table1[[#This Row],[Profit]]/Table1[[#This Row],[Total_Sales]]</f>
        <v>0.32710199676200752</v>
      </c>
    </row>
    <row r="1913" spans="1:15" x14ac:dyDescent="0.25">
      <c r="A1913" s="1">
        <v>1912</v>
      </c>
      <c r="B1913" s="2">
        <v>44979</v>
      </c>
      <c r="C1913" s="1" t="s">
        <v>25</v>
      </c>
      <c r="D1913" s="1" t="s">
        <v>13</v>
      </c>
      <c r="E1913" s="1" t="s">
        <v>14</v>
      </c>
      <c r="F1913" s="1" t="s">
        <v>40</v>
      </c>
      <c r="G1913" s="1">
        <v>10</v>
      </c>
      <c r="H1913" s="1">
        <v>995</v>
      </c>
      <c r="I1913" s="1">
        <v>10</v>
      </c>
      <c r="J1913" s="4">
        <v>8955</v>
      </c>
      <c r="K1913" s="4">
        <v>6549.12</v>
      </c>
      <c r="L1913" s="4">
        <v>2405.88</v>
      </c>
      <c r="M1913" s="1" t="str">
        <f>TEXT(Table1[[#This Row],[Order_Date]], "MMM")</f>
        <v>Feb</v>
      </c>
      <c r="N1913" s="1">
        <f>YEAR(Table1[[#This Row],[Order_Date]])</f>
        <v>2023</v>
      </c>
      <c r="O1913" s="7">
        <f>Table1[[#This Row],[Profit]]/Table1[[#This Row],[Total_Sales]]</f>
        <v>0.26866331658291459</v>
      </c>
    </row>
    <row r="1914" spans="1:15" x14ac:dyDescent="0.25">
      <c r="A1914" s="1">
        <v>1913</v>
      </c>
      <c r="B1914" s="2">
        <v>45416</v>
      </c>
      <c r="C1914" s="1" t="s">
        <v>16</v>
      </c>
      <c r="D1914" s="1" t="s">
        <v>20</v>
      </c>
      <c r="E1914" s="1" t="s">
        <v>30</v>
      </c>
      <c r="F1914" s="1" t="s">
        <v>24</v>
      </c>
      <c r="G1914" s="1">
        <v>8</v>
      </c>
      <c r="H1914" s="1">
        <v>795</v>
      </c>
      <c r="I1914" s="1">
        <v>0</v>
      </c>
      <c r="J1914" s="4">
        <v>6360</v>
      </c>
      <c r="K1914" s="4">
        <v>3597.24</v>
      </c>
      <c r="L1914" s="4">
        <v>2762.76</v>
      </c>
      <c r="M1914" s="1" t="str">
        <f>TEXT(Table1[[#This Row],[Order_Date]], "MMM")</f>
        <v>May</v>
      </c>
      <c r="N1914" s="1">
        <f>YEAR(Table1[[#This Row],[Order_Date]])</f>
        <v>2024</v>
      </c>
      <c r="O1914" s="7">
        <f>Table1[[#This Row],[Profit]]/Table1[[#This Row],[Total_Sales]]</f>
        <v>0.4343962264150944</v>
      </c>
    </row>
    <row r="1915" spans="1:15" x14ac:dyDescent="0.25">
      <c r="A1915" s="1">
        <v>1914</v>
      </c>
      <c r="B1915" s="2">
        <v>45352</v>
      </c>
      <c r="C1915" s="1" t="s">
        <v>12</v>
      </c>
      <c r="D1915" s="1" t="s">
        <v>32</v>
      </c>
      <c r="E1915" s="1" t="s">
        <v>41</v>
      </c>
      <c r="F1915" s="1" t="s">
        <v>40</v>
      </c>
      <c r="G1915" s="1">
        <v>7</v>
      </c>
      <c r="H1915" s="1">
        <v>465</v>
      </c>
      <c r="I1915" s="1">
        <v>15</v>
      </c>
      <c r="J1915" s="4">
        <v>2766.75</v>
      </c>
      <c r="K1915" s="4">
        <v>1814.43</v>
      </c>
      <c r="L1915" s="4">
        <v>952.32</v>
      </c>
      <c r="M1915" s="1" t="str">
        <f>TEXT(Table1[[#This Row],[Order_Date]], "MMM")</f>
        <v>Mar</v>
      </c>
      <c r="N1915" s="1">
        <f>YEAR(Table1[[#This Row],[Order_Date]])</f>
        <v>2024</v>
      </c>
      <c r="O1915" s="7">
        <f>Table1[[#This Row],[Profit]]/Table1[[#This Row],[Total_Sales]]</f>
        <v>0.34420168067226892</v>
      </c>
    </row>
    <row r="1916" spans="1:15" x14ac:dyDescent="0.25">
      <c r="A1916" s="1">
        <v>1915</v>
      </c>
      <c r="B1916" s="2">
        <v>45611</v>
      </c>
      <c r="C1916" s="1" t="s">
        <v>25</v>
      </c>
      <c r="D1916" s="1" t="s">
        <v>22</v>
      </c>
      <c r="E1916" s="1" t="s">
        <v>23</v>
      </c>
      <c r="F1916" s="1" t="s">
        <v>18</v>
      </c>
      <c r="G1916" s="1">
        <v>7</v>
      </c>
      <c r="H1916" s="1">
        <v>235</v>
      </c>
      <c r="I1916" s="1">
        <v>5</v>
      </c>
      <c r="J1916" s="4">
        <v>1562.75</v>
      </c>
      <c r="K1916" s="4">
        <v>1024.99</v>
      </c>
      <c r="L1916" s="4">
        <v>537.76</v>
      </c>
      <c r="M1916" s="1" t="str">
        <f>TEXT(Table1[[#This Row],[Order_Date]], "MMM")</f>
        <v>Nov</v>
      </c>
      <c r="N1916" s="1">
        <f>YEAR(Table1[[#This Row],[Order_Date]])</f>
        <v>2024</v>
      </c>
      <c r="O1916" s="7">
        <f>Table1[[#This Row],[Profit]]/Table1[[#This Row],[Total_Sales]]</f>
        <v>0.34411134218525036</v>
      </c>
    </row>
    <row r="1917" spans="1:15" x14ac:dyDescent="0.25">
      <c r="A1917" s="1">
        <v>1916</v>
      </c>
      <c r="B1917" s="2">
        <v>45152</v>
      </c>
      <c r="C1917" s="1" t="s">
        <v>19</v>
      </c>
      <c r="D1917" s="1" t="s">
        <v>13</v>
      </c>
      <c r="E1917" s="1" t="s">
        <v>38</v>
      </c>
      <c r="F1917" s="1" t="s">
        <v>24</v>
      </c>
      <c r="G1917" s="1">
        <v>6</v>
      </c>
      <c r="H1917" s="1">
        <v>958</v>
      </c>
      <c r="I1917" s="1">
        <v>20</v>
      </c>
      <c r="J1917" s="4">
        <v>4598.3999999999996</v>
      </c>
      <c r="K1917" s="4">
        <v>3435.28</v>
      </c>
      <c r="L1917" s="4">
        <v>1163.1199999999999</v>
      </c>
      <c r="M1917" s="1" t="str">
        <f>TEXT(Table1[[#This Row],[Order_Date]], "MMM")</f>
        <v>Aug</v>
      </c>
      <c r="N1917" s="1">
        <f>YEAR(Table1[[#This Row],[Order_Date]])</f>
        <v>2023</v>
      </c>
      <c r="O1917" s="7">
        <f>Table1[[#This Row],[Profit]]/Table1[[#This Row],[Total_Sales]]</f>
        <v>0.25294015309672929</v>
      </c>
    </row>
    <row r="1918" spans="1:15" x14ac:dyDescent="0.25">
      <c r="A1918" s="1">
        <v>1917</v>
      </c>
      <c r="B1918" s="2">
        <v>45621</v>
      </c>
      <c r="C1918" s="1" t="s">
        <v>12</v>
      </c>
      <c r="D1918" s="1" t="s">
        <v>22</v>
      </c>
      <c r="E1918" s="1" t="s">
        <v>23</v>
      </c>
      <c r="F1918" s="1" t="s">
        <v>35</v>
      </c>
      <c r="G1918" s="1">
        <v>6</v>
      </c>
      <c r="H1918" s="1">
        <v>37</v>
      </c>
      <c r="I1918" s="1">
        <v>15</v>
      </c>
      <c r="J1918" s="4">
        <v>188.7</v>
      </c>
      <c r="K1918" s="4">
        <v>136.78</v>
      </c>
      <c r="L1918" s="4">
        <v>51.92</v>
      </c>
      <c r="M1918" s="1" t="str">
        <f>TEXT(Table1[[#This Row],[Order_Date]], "MMM")</f>
        <v>Nov</v>
      </c>
      <c r="N1918" s="1">
        <f>YEAR(Table1[[#This Row],[Order_Date]])</f>
        <v>2024</v>
      </c>
      <c r="O1918" s="7">
        <f>Table1[[#This Row],[Profit]]/Table1[[#This Row],[Total_Sales]]</f>
        <v>0.2751457339692634</v>
      </c>
    </row>
    <row r="1919" spans="1:15" x14ac:dyDescent="0.25">
      <c r="A1919" s="1">
        <v>1918</v>
      </c>
      <c r="B1919" s="2">
        <v>45268</v>
      </c>
      <c r="C1919" s="1" t="s">
        <v>25</v>
      </c>
      <c r="D1919" s="1" t="s">
        <v>13</v>
      </c>
      <c r="E1919" s="1" t="s">
        <v>17</v>
      </c>
      <c r="F1919" s="1" t="s">
        <v>40</v>
      </c>
      <c r="G1919" s="1">
        <v>1</v>
      </c>
      <c r="H1919" s="1">
        <v>934</v>
      </c>
      <c r="I1919" s="1">
        <v>15</v>
      </c>
      <c r="J1919" s="4">
        <v>793.9</v>
      </c>
      <c r="K1919" s="4">
        <v>566.75</v>
      </c>
      <c r="L1919" s="4">
        <v>227.15</v>
      </c>
      <c r="M1919" s="1" t="str">
        <f>TEXT(Table1[[#This Row],[Order_Date]], "MMM")</f>
        <v>Dec</v>
      </c>
      <c r="N1919" s="1">
        <f>YEAR(Table1[[#This Row],[Order_Date]])</f>
        <v>2023</v>
      </c>
      <c r="O1919" s="7">
        <f>Table1[[#This Row],[Profit]]/Table1[[#This Row],[Total_Sales]]</f>
        <v>0.28611915858420456</v>
      </c>
    </row>
    <row r="1920" spans="1:15" x14ac:dyDescent="0.25">
      <c r="A1920" s="1">
        <v>1919</v>
      </c>
      <c r="B1920" s="2">
        <v>45467</v>
      </c>
      <c r="C1920" s="1" t="s">
        <v>16</v>
      </c>
      <c r="D1920" s="1" t="s">
        <v>20</v>
      </c>
      <c r="E1920" s="1" t="s">
        <v>43</v>
      </c>
      <c r="F1920" s="1" t="s">
        <v>18</v>
      </c>
      <c r="G1920" s="1">
        <v>2</v>
      </c>
      <c r="H1920" s="1">
        <v>566</v>
      </c>
      <c r="I1920" s="1">
        <v>10</v>
      </c>
      <c r="J1920" s="4">
        <v>1018.8</v>
      </c>
      <c r="K1920" s="4">
        <v>682.13</v>
      </c>
      <c r="L1920" s="4">
        <v>336.67</v>
      </c>
      <c r="M1920" s="1" t="str">
        <f>TEXT(Table1[[#This Row],[Order_Date]], "MMM")</f>
        <v>Jun</v>
      </c>
      <c r="N1920" s="1">
        <f>YEAR(Table1[[#This Row],[Order_Date]])</f>
        <v>2024</v>
      </c>
      <c r="O1920" s="7">
        <f>Table1[[#This Row],[Profit]]/Table1[[#This Row],[Total_Sales]]</f>
        <v>0.3304574008637613</v>
      </c>
    </row>
    <row r="1921" spans="1:15" x14ac:dyDescent="0.25">
      <c r="A1921" s="1">
        <v>1920</v>
      </c>
      <c r="B1921" s="2">
        <v>45280</v>
      </c>
      <c r="C1921" s="1" t="s">
        <v>19</v>
      </c>
      <c r="D1921" s="1" t="s">
        <v>22</v>
      </c>
      <c r="E1921" s="1" t="s">
        <v>29</v>
      </c>
      <c r="F1921" s="1" t="s">
        <v>18</v>
      </c>
      <c r="G1921" s="1">
        <v>3</v>
      </c>
      <c r="H1921" s="1">
        <v>265</v>
      </c>
      <c r="I1921" s="1">
        <v>5</v>
      </c>
      <c r="J1921" s="4">
        <v>755.25</v>
      </c>
      <c r="K1921" s="4">
        <v>465.24</v>
      </c>
      <c r="L1921" s="4">
        <v>290.01</v>
      </c>
      <c r="M1921" s="1" t="str">
        <f>TEXT(Table1[[#This Row],[Order_Date]], "MMM")</f>
        <v>Dec</v>
      </c>
      <c r="N1921" s="1">
        <f>YEAR(Table1[[#This Row],[Order_Date]])</f>
        <v>2023</v>
      </c>
      <c r="O1921" s="7">
        <f>Table1[[#This Row],[Profit]]/Table1[[#This Row],[Total_Sales]]</f>
        <v>0.38399205561072491</v>
      </c>
    </row>
    <row r="1922" spans="1:15" x14ac:dyDescent="0.25">
      <c r="A1922" s="1">
        <v>1921</v>
      </c>
      <c r="B1922" s="2">
        <v>45145</v>
      </c>
      <c r="C1922" s="1" t="s">
        <v>25</v>
      </c>
      <c r="D1922" s="1" t="s">
        <v>22</v>
      </c>
      <c r="E1922" s="1" t="s">
        <v>44</v>
      </c>
      <c r="F1922" s="1" t="s">
        <v>18</v>
      </c>
      <c r="G1922" s="1">
        <v>7</v>
      </c>
      <c r="H1922" s="1">
        <v>912</v>
      </c>
      <c r="I1922" s="1">
        <v>0</v>
      </c>
      <c r="J1922" s="4">
        <v>6384</v>
      </c>
      <c r="K1922" s="4">
        <v>4832.7700000000004</v>
      </c>
      <c r="L1922" s="4">
        <v>1551.23</v>
      </c>
      <c r="M1922" s="1" t="str">
        <f>TEXT(Table1[[#This Row],[Order_Date]], "MMM")</f>
        <v>Aug</v>
      </c>
      <c r="N1922" s="1">
        <f>YEAR(Table1[[#This Row],[Order_Date]])</f>
        <v>2023</v>
      </c>
      <c r="O1922" s="7">
        <f>Table1[[#This Row],[Profit]]/Table1[[#This Row],[Total_Sales]]</f>
        <v>0.24298715538847118</v>
      </c>
    </row>
    <row r="1923" spans="1:15" x14ac:dyDescent="0.25">
      <c r="A1923" s="1">
        <v>1922</v>
      </c>
      <c r="B1923" s="2">
        <v>45092</v>
      </c>
      <c r="C1923" s="1" t="s">
        <v>16</v>
      </c>
      <c r="D1923" s="1" t="s">
        <v>32</v>
      </c>
      <c r="E1923" s="1" t="s">
        <v>41</v>
      </c>
      <c r="F1923" s="1" t="s">
        <v>40</v>
      </c>
      <c r="G1923" s="1">
        <v>6</v>
      </c>
      <c r="H1923" s="1">
        <v>285</v>
      </c>
      <c r="I1923" s="1">
        <v>5</v>
      </c>
      <c r="J1923" s="4">
        <v>1624.5</v>
      </c>
      <c r="K1923" s="4">
        <v>1288.56</v>
      </c>
      <c r="L1923" s="4">
        <v>335.94</v>
      </c>
      <c r="M1923" s="1" t="str">
        <f>TEXT(Table1[[#This Row],[Order_Date]], "MMM")</f>
        <v>Jun</v>
      </c>
      <c r="N1923" s="1">
        <f>YEAR(Table1[[#This Row],[Order_Date]])</f>
        <v>2023</v>
      </c>
      <c r="O1923" s="7">
        <f>Table1[[#This Row],[Profit]]/Table1[[#This Row],[Total_Sales]]</f>
        <v>0.20679593721144968</v>
      </c>
    </row>
    <row r="1924" spans="1:15" x14ac:dyDescent="0.25">
      <c r="A1924" s="1">
        <v>1923</v>
      </c>
      <c r="B1924" s="2">
        <v>45506</v>
      </c>
      <c r="C1924" s="1" t="s">
        <v>12</v>
      </c>
      <c r="D1924" s="1" t="s">
        <v>26</v>
      </c>
      <c r="E1924" s="1" t="s">
        <v>46</v>
      </c>
      <c r="F1924" s="1" t="s">
        <v>18</v>
      </c>
      <c r="G1924" s="1">
        <v>4</v>
      </c>
      <c r="H1924" s="1">
        <v>88</v>
      </c>
      <c r="I1924" s="1">
        <v>5</v>
      </c>
      <c r="J1924" s="4">
        <v>334.4</v>
      </c>
      <c r="K1924" s="4">
        <v>261.26</v>
      </c>
      <c r="L1924" s="4">
        <v>73.14</v>
      </c>
      <c r="M1924" s="1" t="str">
        <f>TEXT(Table1[[#This Row],[Order_Date]], "MMM")</f>
        <v>Aug</v>
      </c>
      <c r="N1924" s="1">
        <f>YEAR(Table1[[#This Row],[Order_Date]])</f>
        <v>2024</v>
      </c>
      <c r="O1924" s="7">
        <f>Table1[[#This Row],[Profit]]/Table1[[#This Row],[Total_Sales]]</f>
        <v>0.21872009569377993</v>
      </c>
    </row>
    <row r="1925" spans="1:15" x14ac:dyDescent="0.25">
      <c r="A1925" s="1">
        <v>1924</v>
      </c>
      <c r="B1925" s="2">
        <v>44970</v>
      </c>
      <c r="C1925" s="1" t="s">
        <v>16</v>
      </c>
      <c r="D1925" s="1" t="s">
        <v>20</v>
      </c>
      <c r="E1925" s="1" t="s">
        <v>43</v>
      </c>
      <c r="F1925" s="1" t="s">
        <v>40</v>
      </c>
      <c r="G1925" s="1">
        <v>10</v>
      </c>
      <c r="H1925" s="1">
        <v>575</v>
      </c>
      <c r="I1925" s="1">
        <v>15</v>
      </c>
      <c r="J1925" s="4">
        <v>4887.5</v>
      </c>
      <c r="K1925" s="4">
        <v>2904.69</v>
      </c>
      <c r="L1925" s="4">
        <v>1982.81</v>
      </c>
      <c r="M1925" s="1" t="str">
        <f>TEXT(Table1[[#This Row],[Order_Date]], "MMM")</f>
        <v>Feb</v>
      </c>
      <c r="N1925" s="1">
        <f>YEAR(Table1[[#This Row],[Order_Date]])</f>
        <v>2023</v>
      </c>
      <c r="O1925" s="7">
        <f>Table1[[#This Row],[Profit]]/Table1[[#This Row],[Total_Sales]]</f>
        <v>0.40569002557544753</v>
      </c>
    </row>
    <row r="1926" spans="1:15" x14ac:dyDescent="0.25">
      <c r="A1926" s="1">
        <v>1925</v>
      </c>
      <c r="B1926" s="2">
        <v>45233</v>
      </c>
      <c r="C1926" s="1" t="s">
        <v>19</v>
      </c>
      <c r="D1926" s="1" t="s">
        <v>26</v>
      </c>
      <c r="E1926" s="1" t="s">
        <v>46</v>
      </c>
      <c r="F1926" s="1" t="s">
        <v>40</v>
      </c>
      <c r="G1926" s="1">
        <v>1</v>
      </c>
      <c r="H1926" s="1">
        <v>121</v>
      </c>
      <c r="I1926" s="1">
        <v>15</v>
      </c>
      <c r="J1926" s="4">
        <v>102.85</v>
      </c>
      <c r="K1926" s="4">
        <v>72.14</v>
      </c>
      <c r="L1926" s="4">
        <v>30.71</v>
      </c>
      <c r="M1926" s="1" t="str">
        <f>TEXT(Table1[[#This Row],[Order_Date]], "MMM")</f>
        <v>Nov</v>
      </c>
      <c r="N1926" s="1">
        <f>YEAR(Table1[[#This Row],[Order_Date]])</f>
        <v>2023</v>
      </c>
      <c r="O1926" s="7">
        <f>Table1[[#This Row],[Profit]]/Table1[[#This Row],[Total_Sales]]</f>
        <v>0.29859017987360237</v>
      </c>
    </row>
    <row r="1927" spans="1:15" x14ac:dyDescent="0.25">
      <c r="A1927" s="1">
        <v>1926</v>
      </c>
      <c r="B1927" s="2">
        <v>45539</v>
      </c>
      <c r="C1927" s="1" t="s">
        <v>25</v>
      </c>
      <c r="D1927" s="1" t="s">
        <v>32</v>
      </c>
      <c r="E1927" s="1" t="s">
        <v>34</v>
      </c>
      <c r="F1927" s="1" t="s">
        <v>18</v>
      </c>
      <c r="G1927" s="1">
        <v>6</v>
      </c>
      <c r="H1927" s="1">
        <v>723</v>
      </c>
      <c r="I1927" s="1">
        <v>15</v>
      </c>
      <c r="J1927" s="4">
        <v>3687.3</v>
      </c>
      <c r="K1927" s="4">
        <v>2752.12</v>
      </c>
      <c r="L1927" s="4">
        <v>935.18</v>
      </c>
      <c r="M1927" s="1" t="str">
        <f>TEXT(Table1[[#This Row],[Order_Date]], "MMM")</f>
        <v>Sep</v>
      </c>
      <c r="N1927" s="1">
        <f>YEAR(Table1[[#This Row],[Order_Date]])</f>
        <v>2024</v>
      </c>
      <c r="O1927" s="7">
        <f>Table1[[#This Row],[Profit]]/Table1[[#This Row],[Total_Sales]]</f>
        <v>0.25362189135681934</v>
      </c>
    </row>
    <row r="1928" spans="1:15" x14ac:dyDescent="0.25">
      <c r="A1928" s="1">
        <v>1927</v>
      </c>
      <c r="B1928" s="2">
        <v>45202</v>
      </c>
      <c r="C1928" s="1" t="s">
        <v>12</v>
      </c>
      <c r="D1928" s="1" t="s">
        <v>22</v>
      </c>
      <c r="E1928" s="1" t="s">
        <v>44</v>
      </c>
      <c r="F1928" s="1" t="s">
        <v>18</v>
      </c>
      <c r="G1928" s="1">
        <v>7</v>
      </c>
      <c r="H1928" s="1">
        <v>895</v>
      </c>
      <c r="I1928" s="1">
        <v>20</v>
      </c>
      <c r="J1928" s="4">
        <v>5012</v>
      </c>
      <c r="K1928" s="4">
        <v>3253.25</v>
      </c>
      <c r="L1928" s="4">
        <v>1758.75</v>
      </c>
      <c r="M1928" s="1" t="str">
        <f>TEXT(Table1[[#This Row],[Order_Date]], "MMM")</f>
        <v>Oct</v>
      </c>
      <c r="N1928" s="1">
        <f>YEAR(Table1[[#This Row],[Order_Date]])</f>
        <v>2023</v>
      </c>
      <c r="O1928" s="7">
        <f>Table1[[#This Row],[Profit]]/Table1[[#This Row],[Total_Sales]]</f>
        <v>0.35090782122905029</v>
      </c>
    </row>
    <row r="1929" spans="1:15" x14ac:dyDescent="0.25">
      <c r="A1929" s="1">
        <v>1928</v>
      </c>
      <c r="B1929" s="2">
        <v>45062</v>
      </c>
      <c r="C1929" s="1" t="s">
        <v>16</v>
      </c>
      <c r="D1929" s="1" t="s">
        <v>20</v>
      </c>
      <c r="E1929" s="1" t="s">
        <v>43</v>
      </c>
      <c r="F1929" s="1" t="s">
        <v>24</v>
      </c>
      <c r="G1929" s="1">
        <v>5</v>
      </c>
      <c r="H1929" s="1">
        <v>222</v>
      </c>
      <c r="I1929" s="1">
        <v>20</v>
      </c>
      <c r="J1929" s="4">
        <v>888</v>
      </c>
      <c r="K1929" s="4">
        <v>652.83000000000004</v>
      </c>
      <c r="L1929" s="4">
        <v>235.17</v>
      </c>
      <c r="M1929" s="1" t="str">
        <f>TEXT(Table1[[#This Row],[Order_Date]], "MMM")</f>
        <v>May</v>
      </c>
      <c r="N1929" s="1">
        <f>YEAR(Table1[[#This Row],[Order_Date]])</f>
        <v>2023</v>
      </c>
      <c r="O1929" s="7">
        <f>Table1[[#This Row],[Profit]]/Table1[[#This Row],[Total_Sales]]</f>
        <v>0.26483108108108105</v>
      </c>
    </row>
    <row r="1930" spans="1:15" x14ac:dyDescent="0.25">
      <c r="A1930" s="1">
        <v>1929</v>
      </c>
      <c r="B1930" s="2">
        <v>44969</v>
      </c>
      <c r="C1930" s="1" t="s">
        <v>16</v>
      </c>
      <c r="D1930" s="1" t="s">
        <v>22</v>
      </c>
      <c r="E1930" s="1" t="s">
        <v>23</v>
      </c>
      <c r="F1930" s="1" t="s">
        <v>15</v>
      </c>
      <c r="G1930" s="1">
        <v>4</v>
      </c>
      <c r="H1930" s="1">
        <v>976</v>
      </c>
      <c r="I1930" s="1">
        <v>0</v>
      </c>
      <c r="J1930" s="4">
        <v>3904</v>
      </c>
      <c r="K1930" s="4">
        <v>2673.6</v>
      </c>
      <c r="L1930" s="4">
        <v>1230.4000000000001</v>
      </c>
      <c r="M1930" s="1" t="str">
        <f>TEXT(Table1[[#This Row],[Order_Date]], "MMM")</f>
        <v>Feb</v>
      </c>
      <c r="N1930" s="1">
        <f>YEAR(Table1[[#This Row],[Order_Date]])</f>
        <v>2023</v>
      </c>
      <c r="O1930" s="7">
        <f>Table1[[#This Row],[Profit]]/Table1[[#This Row],[Total_Sales]]</f>
        <v>0.31516393442622953</v>
      </c>
    </row>
    <row r="1931" spans="1:15" x14ac:dyDescent="0.25">
      <c r="A1931" s="1">
        <v>1930</v>
      </c>
      <c r="B1931" s="2">
        <v>45618</v>
      </c>
      <c r="C1931" s="1" t="s">
        <v>19</v>
      </c>
      <c r="D1931" s="1" t="s">
        <v>32</v>
      </c>
      <c r="E1931" s="1" t="s">
        <v>45</v>
      </c>
      <c r="F1931" s="1" t="s">
        <v>35</v>
      </c>
      <c r="G1931" s="1">
        <v>9</v>
      </c>
      <c r="H1931" s="1">
        <v>627</v>
      </c>
      <c r="I1931" s="1">
        <v>10</v>
      </c>
      <c r="J1931" s="4">
        <v>5078.7</v>
      </c>
      <c r="K1931" s="4">
        <v>3225.25</v>
      </c>
      <c r="L1931" s="4">
        <v>1853.45</v>
      </c>
      <c r="M1931" s="1" t="str">
        <f>TEXT(Table1[[#This Row],[Order_Date]], "MMM")</f>
        <v>Nov</v>
      </c>
      <c r="N1931" s="1">
        <f>YEAR(Table1[[#This Row],[Order_Date]])</f>
        <v>2024</v>
      </c>
      <c r="O1931" s="7">
        <f>Table1[[#This Row],[Profit]]/Table1[[#This Row],[Total_Sales]]</f>
        <v>0.36494575383464273</v>
      </c>
    </row>
    <row r="1932" spans="1:15" x14ac:dyDescent="0.25">
      <c r="A1932" s="1">
        <v>1931</v>
      </c>
      <c r="B1932" s="2">
        <v>45615</v>
      </c>
      <c r="C1932" s="1" t="s">
        <v>25</v>
      </c>
      <c r="D1932" s="1" t="s">
        <v>20</v>
      </c>
      <c r="E1932" s="1" t="s">
        <v>30</v>
      </c>
      <c r="F1932" s="1" t="s">
        <v>15</v>
      </c>
      <c r="G1932" s="1">
        <v>2</v>
      </c>
      <c r="H1932" s="1">
        <v>588</v>
      </c>
      <c r="I1932" s="1">
        <v>20</v>
      </c>
      <c r="J1932" s="4">
        <v>940.8</v>
      </c>
      <c r="K1932" s="4">
        <v>749.94</v>
      </c>
      <c r="L1932" s="4">
        <v>190.86</v>
      </c>
      <c r="M1932" s="1" t="str">
        <f>TEXT(Table1[[#This Row],[Order_Date]], "MMM")</f>
        <v>Nov</v>
      </c>
      <c r="N1932" s="1">
        <f>YEAR(Table1[[#This Row],[Order_Date]])</f>
        <v>2024</v>
      </c>
      <c r="O1932" s="7">
        <f>Table1[[#This Row],[Profit]]/Table1[[#This Row],[Total_Sales]]</f>
        <v>0.2028698979591837</v>
      </c>
    </row>
    <row r="1933" spans="1:15" x14ac:dyDescent="0.25">
      <c r="A1933" s="1">
        <v>1932</v>
      </c>
      <c r="B1933" s="2">
        <v>45335</v>
      </c>
      <c r="C1933" s="1" t="s">
        <v>25</v>
      </c>
      <c r="D1933" s="1" t="s">
        <v>26</v>
      </c>
      <c r="E1933" s="1" t="s">
        <v>46</v>
      </c>
      <c r="F1933" s="1" t="s">
        <v>40</v>
      </c>
      <c r="G1933" s="1">
        <v>1</v>
      </c>
      <c r="H1933" s="1">
        <v>388</v>
      </c>
      <c r="I1933" s="1">
        <v>20</v>
      </c>
      <c r="J1933" s="4">
        <v>310.39999999999998</v>
      </c>
      <c r="K1933" s="4">
        <v>239.48</v>
      </c>
      <c r="L1933" s="4">
        <v>70.92</v>
      </c>
      <c r="M1933" s="1" t="str">
        <f>TEXT(Table1[[#This Row],[Order_Date]], "MMM")</f>
        <v>Feb</v>
      </c>
      <c r="N1933" s="1">
        <f>YEAR(Table1[[#This Row],[Order_Date]])</f>
        <v>2024</v>
      </c>
      <c r="O1933" s="7">
        <f>Table1[[#This Row],[Profit]]/Table1[[#This Row],[Total_Sales]]</f>
        <v>0.22847938144329899</v>
      </c>
    </row>
    <row r="1934" spans="1:15" x14ac:dyDescent="0.25">
      <c r="A1934" s="1">
        <v>1933</v>
      </c>
      <c r="B1934" s="2">
        <v>45561</v>
      </c>
      <c r="C1934" s="1" t="s">
        <v>19</v>
      </c>
      <c r="D1934" s="1" t="s">
        <v>13</v>
      </c>
      <c r="E1934" s="1" t="s">
        <v>14</v>
      </c>
      <c r="F1934" s="1" t="s">
        <v>24</v>
      </c>
      <c r="G1934" s="1">
        <v>7</v>
      </c>
      <c r="H1934" s="1">
        <v>360</v>
      </c>
      <c r="I1934" s="1">
        <v>0</v>
      </c>
      <c r="J1934" s="4">
        <v>2520</v>
      </c>
      <c r="K1934" s="4">
        <v>1318.8</v>
      </c>
      <c r="L1934" s="4">
        <v>1201.2</v>
      </c>
      <c r="M1934" s="1" t="str">
        <f>TEXT(Table1[[#This Row],[Order_Date]], "MMM")</f>
        <v>Sep</v>
      </c>
      <c r="N1934" s="1">
        <f>YEAR(Table1[[#This Row],[Order_Date]])</f>
        <v>2024</v>
      </c>
      <c r="O1934" s="7">
        <f>Table1[[#This Row],[Profit]]/Table1[[#This Row],[Total_Sales]]</f>
        <v>0.47666666666666668</v>
      </c>
    </row>
    <row r="1935" spans="1:15" x14ac:dyDescent="0.25">
      <c r="A1935" s="1">
        <v>1934</v>
      </c>
      <c r="B1935" s="2">
        <v>45231</v>
      </c>
      <c r="C1935" s="1" t="s">
        <v>19</v>
      </c>
      <c r="D1935" s="1" t="s">
        <v>26</v>
      </c>
      <c r="E1935" s="1" t="s">
        <v>27</v>
      </c>
      <c r="F1935" s="1" t="s">
        <v>40</v>
      </c>
      <c r="G1935" s="1">
        <v>4</v>
      </c>
      <c r="H1935" s="1">
        <v>376</v>
      </c>
      <c r="I1935" s="1">
        <v>10</v>
      </c>
      <c r="J1935" s="4">
        <v>1353.6</v>
      </c>
      <c r="K1935" s="4">
        <v>777.75</v>
      </c>
      <c r="L1935" s="4">
        <v>575.85</v>
      </c>
      <c r="M1935" s="1" t="str">
        <f>TEXT(Table1[[#This Row],[Order_Date]], "MMM")</f>
        <v>Nov</v>
      </c>
      <c r="N1935" s="1">
        <f>YEAR(Table1[[#This Row],[Order_Date]])</f>
        <v>2023</v>
      </c>
      <c r="O1935" s="7">
        <f>Table1[[#This Row],[Profit]]/Table1[[#This Row],[Total_Sales]]</f>
        <v>0.4254210992907802</v>
      </c>
    </row>
    <row r="1936" spans="1:15" x14ac:dyDescent="0.25">
      <c r="A1936" s="1">
        <v>1935</v>
      </c>
      <c r="B1936" s="2">
        <v>44944</v>
      </c>
      <c r="C1936" s="1" t="s">
        <v>25</v>
      </c>
      <c r="D1936" s="1" t="s">
        <v>13</v>
      </c>
      <c r="E1936" s="1" t="s">
        <v>14</v>
      </c>
      <c r="F1936" s="1" t="s">
        <v>40</v>
      </c>
      <c r="G1936" s="1">
        <v>10</v>
      </c>
      <c r="H1936" s="1">
        <v>440</v>
      </c>
      <c r="I1936" s="1">
        <v>5</v>
      </c>
      <c r="J1936" s="4">
        <v>4180</v>
      </c>
      <c r="K1936" s="4">
        <v>2623.04</v>
      </c>
      <c r="L1936" s="4">
        <v>1556.96</v>
      </c>
      <c r="M1936" s="1" t="str">
        <f>TEXT(Table1[[#This Row],[Order_Date]], "MMM")</f>
        <v>Jan</v>
      </c>
      <c r="N1936" s="1">
        <f>YEAR(Table1[[#This Row],[Order_Date]])</f>
        <v>2023</v>
      </c>
      <c r="O1936" s="7">
        <f>Table1[[#This Row],[Profit]]/Table1[[#This Row],[Total_Sales]]</f>
        <v>0.37247846889952152</v>
      </c>
    </row>
    <row r="1937" spans="1:15" x14ac:dyDescent="0.25">
      <c r="A1937" s="1">
        <v>1936</v>
      </c>
      <c r="B1937" s="2">
        <v>45553</v>
      </c>
      <c r="C1937" s="1" t="s">
        <v>19</v>
      </c>
      <c r="D1937" s="1" t="s">
        <v>22</v>
      </c>
      <c r="E1937" s="1" t="s">
        <v>23</v>
      </c>
      <c r="F1937" s="1" t="s">
        <v>40</v>
      </c>
      <c r="G1937" s="1">
        <v>9</v>
      </c>
      <c r="H1937" s="1">
        <v>162</v>
      </c>
      <c r="I1937" s="1">
        <v>20</v>
      </c>
      <c r="J1937" s="4">
        <v>1166.4000000000001</v>
      </c>
      <c r="K1937" s="4">
        <v>787.83</v>
      </c>
      <c r="L1937" s="4">
        <v>378.57</v>
      </c>
      <c r="M1937" s="1" t="str">
        <f>TEXT(Table1[[#This Row],[Order_Date]], "MMM")</f>
        <v>Sep</v>
      </c>
      <c r="N1937" s="1">
        <f>YEAR(Table1[[#This Row],[Order_Date]])</f>
        <v>2024</v>
      </c>
      <c r="O1937" s="7">
        <f>Table1[[#This Row],[Profit]]/Table1[[#This Row],[Total_Sales]]</f>
        <v>0.32456275720164607</v>
      </c>
    </row>
    <row r="1938" spans="1:15" x14ac:dyDescent="0.25">
      <c r="A1938" s="1">
        <v>1937</v>
      </c>
      <c r="B1938" s="2">
        <v>45234</v>
      </c>
      <c r="C1938" s="1" t="s">
        <v>12</v>
      </c>
      <c r="D1938" s="1" t="s">
        <v>26</v>
      </c>
      <c r="E1938" s="1" t="s">
        <v>37</v>
      </c>
      <c r="F1938" s="1" t="s">
        <v>31</v>
      </c>
      <c r="G1938" s="1">
        <v>1</v>
      </c>
      <c r="H1938" s="1">
        <v>705</v>
      </c>
      <c r="I1938" s="1">
        <v>10</v>
      </c>
      <c r="J1938" s="4">
        <v>634.5</v>
      </c>
      <c r="K1938" s="4">
        <v>393.02</v>
      </c>
      <c r="L1938" s="4">
        <v>241.48</v>
      </c>
      <c r="M1938" s="1" t="str">
        <f>TEXT(Table1[[#This Row],[Order_Date]], "MMM")</f>
        <v>Nov</v>
      </c>
      <c r="N1938" s="1">
        <f>YEAR(Table1[[#This Row],[Order_Date]])</f>
        <v>2023</v>
      </c>
      <c r="O1938" s="7">
        <f>Table1[[#This Row],[Profit]]/Table1[[#This Row],[Total_Sales]]</f>
        <v>0.38058313632781715</v>
      </c>
    </row>
    <row r="1939" spans="1:15" x14ac:dyDescent="0.25">
      <c r="A1939" s="1">
        <v>1938</v>
      </c>
      <c r="B1939" s="2">
        <v>45368</v>
      </c>
      <c r="C1939" s="1" t="s">
        <v>16</v>
      </c>
      <c r="D1939" s="1" t="s">
        <v>22</v>
      </c>
      <c r="E1939" s="1" t="s">
        <v>23</v>
      </c>
      <c r="F1939" s="1" t="s">
        <v>40</v>
      </c>
      <c r="G1939" s="1">
        <v>1</v>
      </c>
      <c r="H1939" s="1">
        <v>812</v>
      </c>
      <c r="I1939" s="1">
        <v>5</v>
      </c>
      <c r="J1939" s="4">
        <v>771.4</v>
      </c>
      <c r="K1939" s="4">
        <v>523.85</v>
      </c>
      <c r="L1939" s="4">
        <v>247.55</v>
      </c>
      <c r="M1939" s="1" t="str">
        <f>TEXT(Table1[[#This Row],[Order_Date]], "MMM")</f>
        <v>Mar</v>
      </c>
      <c r="N1939" s="1">
        <f>YEAR(Table1[[#This Row],[Order_Date]])</f>
        <v>2024</v>
      </c>
      <c r="O1939" s="7">
        <f>Table1[[#This Row],[Profit]]/Table1[[#This Row],[Total_Sales]]</f>
        <v>0.32091003370495208</v>
      </c>
    </row>
    <row r="1940" spans="1:15" x14ac:dyDescent="0.25">
      <c r="A1940" s="1">
        <v>1939</v>
      </c>
      <c r="B1940" s="2">
        <v>45615</v>
      </c>
      <c r="C1940" s="1" t="s">
        <v>19</v>
      </c>
      <c r="D1940" s="1" t="s">
        <v>13</v>
      </c>
      <c r="E1940" s="1" t="s">
        <v>17</v>
      </c>
      <c r="F1940" s="1" t="s">
        <v>31</v>
      </c>
      <c r="G1940" s="1">
        <v>2</v>
      </c>
      <c r="H1940" s="1">
        <v>519</v>
      </c>
      <c r="I1940" s="1">
        <v>20</v>
      </c>
      <c r="J1940" s="4">
        <v>830.4</v>
      </c>
      <c r="K1940" s="4">
        <v>617.76</v>
      </c>
      <c r="L1940" s="4">
        <v>212.64</v>
      </c>
      <c r="M1940" s="1" t="str">
        <f>TEXT(Table1[[#This Row],[Order_Date]], "MMM")</f>
        <v>Nov</v>
      </c>
      <c r="N1940" s="1">
        <f>YEAR(Table1[[#This Row],[Order_Date]])</f>
        <v>2024</v>
      </c>
      <c r="O1940" s="7">
        <f>Table1[[#This Row],[Profit]]/Table1[[#This Row],[Total_Sales]]</f>
        <v>0.25606936416184972</v>
      </c>
    </row>
    <row r="1941" spans="1:15" x14ac:dyDescent="0.25">
      <c r="A1941" s="1">
        <v>1940</v>
      </c>
      <c r="B1941" s="2">
        <v>45623</v>
      </c>
      <c r="C1941" s="1" t="s">
        <v>12</v>
      </c>
      <c r="D1941" s="1" t="s">
        <v>32</v>
      </c>
      <c r="E1941" s="1" t="s">
        <v>33</v>
      </c>
      <c r="F1941" s="1" t="s">
        <v>18</v>
      </c>
      <c r="G1941" s="1">
        <v>4</v>
      </c>
      <c r="H1941" s="1">
        <v>129</v>
      </c>
      <c r="I1941" s="1">
        <v>0</v>
      </c>
      <c r="J1941" s="4">
        <v>516</v>
      </c>
      <c r="K1941" s="4">
        <v>293.58</v>
      </c>
      <c r="L1941" s="4">
        <v>222.42</v>
      </c>
      <c r="M1941" s="1" t="str">
        <f>TEXT(Table1[[#This Row],[Order_Date]], "MMM")</f>
        <v>Nov</v>
      </c>
      <c r="N1941" s="1">
        <f>YEAR(Table1[[#This Row],[Order_Date]])</f>
        <v>2024</v>
      </c>
      <c r="O1941" s="7">
        <f>Table1[[#This Row],[Profit]]/Table1[[#This Row],[Total_Sales]]</f>
        <v>0.43104651162790697</v>
      </c>
    </row>
    <row r="1942" spans="1:15" x14ac:dyDescent="0.25">
      <c r="A1942" s="1">
        <v>1941</v>
      </c>
      <c r="B1942" s="2">
        <v>44945</v>
      </c>
      <c r="C1942" s="1" t="s">
        <v>19</v>
      </c>
      <c r="D1942" s="1" t="s">
        <v>20</v>
      </c>
      <c r="E1942" s="1" t="s">
        <v>21</v>
      </c>
      <c r="F1942" s="1" t="s">
        <v>31</v>
      </c>
      <c r="G1942" s="1">
        <v>4</v>
      </c>
      <c r="H1942" s="1">
        <v>112</v>
      </c>
      <c r="I1942" s="1">
        <v>10</v>
      </c>
      <c r="J1942" s="4">
        <v>403.2</v>
      </c>
      <c r="K1942" s="4">
        <v>237.12</v>
      </c>
      <c r="L1942" s="4">
        <v>166.08</v>
      </c>
      <c r="M1942" s="1" t="str">
        <f>TEXT(Table1[[#This Row],[Order_Date]], "MMM")</f>
        <v>Jan</v>
      </c>
      <c r="N1942" s="1">
        <f>YEAR(Table1[[#This Row],[Order_Date]])</f>
        <v>2023</v>
      </c>
      <c r="O1942" s="7">
        <f>Table1[[#This Row],[Profit]]/Table1[[#This Row],[Total_Sales]]</f>
        <v>0.41190476190476194</v>
      </c>
    </row>
    <row r="1943" spans="1:15" x14ac:dyDescent="0.25">
      <c r="A1943" s="1">
        <v>1942</v>
      </c>
      <c r="B1943" s="2">
        <v>45301</v>
      </c>
      <c r="C1943" s="1" t="s">
        <v>25</v>
      </c>
      <c r="D1943" s="1" t="s">
        <v>20</v>
      </c>
      <c r="E1943" s="1" t="s">
        <v>30</v>
      </c>
      <c r="F1943" s="1" t="s">
        <v>24</v>
      </c>
      <c r="G1943" s="1">
        <v>9</v>
      </c>
      <c r="H1943" s="1">
        <v>973</v>
      </c>
      <c r="I1943" s="1">
        <v>0</v>
      </c>
      <c r="J1943" s="4">
        <v>8757</v>
      </c>
      <c r="K1943" s="4">
        <v>6140.18</v>
      </c>
      <c r="L1943" s="4">
        <v>2616.8200000000002</v>
      </c>
      <c r="M1943" s="1" t="str">
        <f>TEXT(Table1[[#This Row],[Order_Date]], "MMM")</f>
        <v>Jan</v>
      </c>
      <c r="N1943" s="1">
        <f>YEAR(Table1[[#This Row],[Order_Date]])</f>
        <v>2024</v>
      </c>
      <c r="O1943" s="7">
        <f>Table1[[#This Row],[Profit]]/Table1[[#This Row],[Total_Sales]]</f>
        <v>0.29882608199154964</v>
      </c>
    </row>
    <row r="1944" spans="1:15" x14ac:dyDescent="0.25">
      <c r="A1944" s="1">
        <v>1943</v>
      </c>
      <c r="B1944" s="2">
        <v>45525</v>
      </c>
      <c r="C1944" s="1" t="s">
        <v>16</v>
      </c>
      <c r="D1944" s="1" t="s">
        <v>13</v>
      </c>
      <c r="E1944" s="1" t="s">
        <v>39</v>
      </c>
      <c r="F1944" s="1" t="s">
        <v>24</v>
      </c>
      <c r="G1944" s="1">
        <v>8</v>
      </c>
      <c r="H1944" s="1">
        <v>604</v>
      </c>
      <c r="I1944" s="1">
        <v>20</v>
      </c>
      <c r="J1944" s="4">
        <v>3865.6</v>
      </c>
      <c r="K1944" s="4">
        <v>2622.07</v>
      </c>
      <c r="L1944" s="4">
        <v>1243.53</v>
      </c>
      <c r="M1944" s="1" t="str">
        <f>TEXT(Table1[[#This Row],[Order_Date]], "MMM")</f>
        <v>Aug</v>
      </c>
      <c r="N1944" s="1">
        <f>YEAR(Table1[[#This Row],[Order_Date]])</f>
        <v>2024</v>
      </c>
      <c r="O1944" s="7">
        <f>Table1[[#This Row],[Profit]]/Table1[[#This Row],[Total_Sales]]</f>
        <v>0.32169132864238409</v>
      </c>
    </row>
    <row r="1945" spans="1:15" x14ac:dyDescent="0.25">
      <c r="A1945" s="1">
        <v>1944</v>
      </c>
      <c r="B1945" s="2">
        <v>45183</v>
      </c>
      <c r="C1945" s="1" t="s">
        <v>16</v>
      </c>
      <c r="D1945" s="1" t="s">
        <v>22</v>
      </c>
      <c r="E1945" s="1" t="s">
        <v>29</v>
      </c>
      <c r="F1945" s="1" t="s">
        <v>35</v>
      </c>
      <c r="G1945" s="1">
        <v>5</v>
      </c>
      <c r="H1945" s="1">
        <v>709</v>
      </c>
      <c r="I1945" s="1">
        <v>0</v>
      </c>
      <c r="J1945" s="4">
        <v>3545</v>
      </c>
      <c r="K1945" s="4">
        <v>2447.35</v>
      </c>
      <c r="L1945" s="4">
        <v>1097.6500000000001</v>
      </c>
      <c r="M1945" s="1" t="str">
        <f>TEXT(Table1[[#This Row],[Order_Date]], "MMM")</f>
        <v>Sep</v>
      </c>
      <c r="N1945" s="1">
        <f>YEAR(Table1[[#This Row],[Order_Date]])</f>
        <v>2023</v>
      </c>
      <c r="O1945" s="7">
        <f>Table1[[#This Row],[Profit]]/Table1[[#This Row],[Total_Sales]]</f>
        <v>0.30963328631875886</v>
      </c>
    </row>
    <row r="1946" spans="1:15" x14ac:dyDescent="0.25">
      <c r="A1946" s="1">
        <v>1945</v>
      </c>
      <c r="B1946" s="2">
        <v>45266</v>
      </c>
      <c r="C1946" s="1" t="s">
        <v>25</v>
      </c>
      <c r="D1946" s="1" t="s">
        <v>26</v>
      </c>
      <c r="E1946" s="1" t="s">
        <v>42</v>
      </c>
      <c r="F1946" s="1" t="s">
        <v>15</v>
      </c>
      <c r="G1946" s="1">
        <v>7</v>
      </c>
      <c r="H1946" s="1">
        <v>29</v>
      </c>
      <c r="I1946" s="1">
        <v>20</v>
      </c>
      <c r="J1946" s="4">
        <v>162.4</v>
      </c>
      <c r="K1946" s="4">
        <v>86.11</v>
      </c>
      <c r="L1946" s="4">
        <v>76.290000000000006</v>
      </c>
      <c r="M1946" s="1" t="str">
        <f>TEXT(Table1[[#This Row],[Order_Date]], "MMM")</f>
        <v>Dec</v>
      </c>
      <c r="N1946" s="1">
        <f>YEAR(Table1[[#This Row],[Order_Date]])</f>
        <v>2023</v>
      </c>
      <c r="O1946" s="7">
        <f>Table1[[#This Row],[Profit]]/Table1[[#This Row],[Total_Sales]]</f>
        <v>0.46976600985221678</v>
      </c>
    </row>
    <row r="1947" spans="1:15" x14ac:dyDescent="0.25">
      <c r="A1947" s="1">
        <v>1946</v>
      </c>
      <c r="B1947" s="2">
        <v>44968</v>
      </c>
      <c r="C1947" s="1" t="s">
        <v>16</v>
      </c>
      <c r="D1947" s="1" t="s">
        <v>26</v>
      </c>
      <c r="E1947" s="1" t="s">
        <v>42</v>
      </c>
      <c r="F1947" s="1" t="s">
        <v>35</v>
      </c>
      <c r="G1947" s="1">
        <v>8</v>
      </c>
      <c r="H1947" s="1">
        <v>367</v>
      </c>
      <c r="I1947" s="1">
        <v>0</v>
      </c>
      <c r="J1947" s="4">
        <v>2936</v>
      </c>
      <c r="K1947" s="4">
        <v>2281.81</v>
      </c>
      <c r="L1947" s="4">
        <v>654.19000000000005</v>
      </c>
      <c r="M1947" s="1" t="str">
        <f>TEXT(Table1[[#This Row],[Order_Date]], "MMM")</f>
        <v>Feb</v>
      </c>
      <c r="N1947" s="1">
        <f>YEAR(Table1[[#This Row],[Order_Date]])</f>
        <v>2023</v>
      </c>
      <c r="O1947" s="7">
        <f>Table1[[#This Row],[Profit]]/Table1[[#This Row],[Total_Sales]]</f>
        <v>0.22281675749318802</v>
      </c>
    </row>
    <row r="1948" spans="1:15" x14ac:dyDescent="0.25">
      <c r="A1948" s="1">
        <v>1947</v>
      </c>
      <c r="B1948" s="2">
        <v>45074</v>
      </c>
      <c r="C1948" s="1" t="s">
        <v>19</v>
      </c>
      <c r="D1948" s="1" t="s">
        <v>32</v>
      </c>
      <c r="E1948" s="1" t="s">
        <v>45</v>
      </c>
      <c r="F1948" s="1" t="s">
        <v>18</v>
      </c>
      <c r="G1948" s="1">
        <v>10</v>
      </c>
      <c r="H1948" s="1">
        <v>36</v>
      </c>
      <c r="I1948" s="1">
        <v>5</v>
      </c>
      <c r="J1948" s="4">
        <v>342</v>
      </c>
      <c r="K1948" s="4">
        <v>259.52999999999997</v>
      </c>
      <c r="L1948" s="4">
        <v>82.47</v>
      </c>
      <c r="M1948" s="1" t="str">
        <f>TEXT(Table1[[#This Row],[Order_Date]], "MMM")</f>
        <v>May</v>
      </c>
      <c r="N1948" s="1">
        <f>YEAR(Table1[[#This Row],[Order_Date]])</f>
        <v>2023</v>
      </c>
      <c r="O1948" s="7">
        <f>Table1[[#This Row],[Profit]]/Table1[[#This Row],[Total_Sales]]</f>
        <v>0.24114035087719299</v>
      </c>
    </row>
    <row r="1949" spans="1:15" x14ac:dyDescent="0.25">
      <c r="A1949" s="1">
        <v>1948</v>
      </c>
      <c r="B1949" s="2">
        <v>45654</v>
      </c>
      <c r="C1949" s="1" t="s">
        <v>12</v>
      </c>
      <c r="D1949" s="1" t="s">
        <v>13</v>
      </c>
      <c r="E1949" s="1" t="s">
        <v>39</v>
      </c>
      <c r="F1949" s="1" t="s">
        <v>15</v>
      </c>
      <c r="G1949" s="1">
        <v>9</v>
      </c>
      <c r="H1949" s="1">
        <v>690</v>
      </c>
      <c r="I1949" s="1">
        <v>5</v>
      </c>
      <c r="J1949" s="4">
        <v>5899.5</v>
      </c>
      <c r="K1949" s="4">
        <v>3904.43</v>
      </c>
      <c r="L1949" s="4">
        <v>1995.07</v>
      </c>
      <c r="M1949" s="1" t="str">
        <f>TEXT(Table1[[#This Row],[Order_Date]], "MMM")</f>
        <v>Dec</v>
      </c>
      <c r="N1949" s="1">
        <f>YEAR(Table1[[#This Row],[Order_Date]])</f>
        <v>2024</v>
      </c>
      <c r="O1949" s="7">
        <f>Table1[[#This Row],[Profit]]/Table1[[#This Row],[Total_Sales]]</f>
        <v>0.33817611662005254</v>
      </c>
    </row>
    <row r="1950" spans="1:15" x14ac:dyDescent="0.25">
      <c r="A1950" s="1">
        <v>1949</v>
      </c>
      <c r="B1950" s="2">
        <v>45291</v>
      </c>
      <c r="C1950" s="1" t="s">
        <v>12</v>
      </c>
      <c r="D1950" s="1" t="s">
        <v>32</v>
      </c>
      <c r="E1950" s="1" t="s">
        <v>33</v>
      </c>
      <c r="F1950" s="1" t="s">
        <v>15</v>
      </c>
      <c r="G1950" s="1">
        <v>9</v>
      </c>
      <c r="H1950" s="1">
        <v>617</v>
      </c>
      <c r="I1950" s="1">
        <v>10</v>
      </c>
      <c r="J1950" s="4">
        <v>4997.7</v>
      </c>
      <c r="K1950" s="4">
        <v>3489.55</v>
      </c>
      <c r="L1950" s="4">
        <v>1508.15</v>
      </c>
      <c r="M1950" s="1" t="str">
        <f>TEXT(Table1[[#This Row],[Order_Date]], "MMM")</f>
        <v>Dec</v>
      </c>
      <c r="N1950" s="1">
        <f>YEAR(Table1[[#This Row],[Order_Date]])</f>
        <v>2023</v>
      </c>
      <c r="O1950" s="7">
        <f>Table1[[#This Row],[Profit]]/Table1[[#This Row],[Total_Sales]]</f>
        <v>0.30176881365428099</v>
      </c>
    </row>
    <row r="1951" spans="1:15" x14ac:dyDescent="0.25">
      <c r="A1951" s="1">
        <v>1950</v>
      </c>
      <c r="B1951" s="2">
        <v>45233</v>
      </c>
      <c r="C1951" s="1" t="s">
        <v>16</v>
      </c>
      <c r="D1951" s="1" t="s">
        <v>13</v>
      </c>
      <c r="E1951" s="1" t="s">
        <v>39</v>
      </c>
      <c r="F1951" s="1" t="s">
        <v>31</v>
      </c>
      <c r="G1951" s="1">
        <v>2</v>
      </c>
      <c r="H1951" s="1">
        <v>273</v>
      </c>
      <c r="I1951" s="1">
        <v>0</v>
      </c>
      <c r="J1951" s="4">
        <v>546</v>
      </c>
      <c r="K1951" s="4">
        <v>295.58999999999997</v>
      </c>
      <c r="L1951" s="4">
        <v>250.41</v>
      </c>
      <c r="M1951" s="1" t="str">
        <f>TEXT(Table1[[#This Row],[Order_Date]], "MMM")</f>
        <v>Nov</v>
      </c>
      <c r="N1951" s="1">
        <f>YEAR(Table1[[#This Row],[Order_Date]])</f>
        <v>2023</v>
      </c>
      <c r="O1951" s="7">
        <f>Table1[[#This Row],[Profit]]/Table1[[#This Row],[Total_Sales]]</f>
        <v>0.4586263736263736</v>
      </c>
    </row>
    <row r="1952" spans="1:15" x14ac:dyDescent="0.25">
      <c r="A1952" s="1">
        <v>1951</v>
      </c>
      <c r="B1952" s="2">
        <v>45452</v>
      </c>
      <c r="C1952" s="1" t="s">
        <v>16</v>
      </c>
      <c r="D1952" s="1" t="s">
        <v>20</v>
      </c>
      <c r="E1952" s="1" t="s">
        <v>21</v>
      </c>
      <c r="F1952" s="1" t="s">
        <v>15</v>
      </c>
      <c r="G1952" s="1">
        <v>6</v>
      </c>
      <c r="H1952" s="1">
        <v>20</v>
      </c>
      <c r="I1952" s="1">
        <v>10</v>
      </c>
      <c r="J1952" s="4">
        <v>108</v>
      </c>
      <c r="K1952" s="4">
        <v>65.06</v>
      </c>
      <c r="L1952" s="4">
        <v>42.94</v>
      </c>
      <c r="M1952" s="1" t="str">
        <f>TEXT(Table1[[#This Row],[Order_Date]], "MMM")</f>
        <v>Jun</v>
      </c>
      <c r="N1952" s="1">
        <f>YEAR(Table1[[#This Row],[Order_Date]])</f>
        <v>2024</v>
      </c>
      <c r="O1952" s="7">
        <f>Table1[[#This Row],[Profit]]/Table1[[#This Row],[Total_Sales]]</f>
        <v>0.39759259259259255</v>
      </c>
    </row>
    <row r="1953" spans="1:15" x14ac:dyDescent="0.25">
      <c r="A1953" s="1">
        <v>1952</v>
      </c>
      <c r="B1953" s="2">
        <v>45115</v>
      </c>
      <c r="C1953" s="1" t="s">
        <v>16</v>
      </c>
      <c r="D1953" s="1" t="s">
        <v>13</v>
      </c>
      <c r="E1953" s="1" t="s">
        <v>17</v>
      </c>
      <c r="F1953" s="1" t="s">
        <v>31</v>
      </c>
      <c r="G1953" s="1">
        <v>2</v>
      </c>
      <c r="H1953" s="1">
        <v>359</v>
      </c>
      <c r="I1953" s="1">
        <v>15</v>
      </c>
      <c r="J1953" s="4">
        <v>610.29999999999995</v>
      </c>
      <c r="K1953" s="4">
        <v>383.31</v>
      </c>
      <c r="L1953" s="4">
        <v>226.99</v>
      </c>
      <c r="M1953" s="1" t="str">
        <f>TEXT(Table1[[#This Row],[Order_Date]], "MMM")</f>
        <v>Jul</v>
      </c>
      <c r="N1953" s="1">
        <f>YEAR(Table1[[#This Row],[Order_Date]])</f>
        <v>2023</v>
      </c>
      <c r="O1953" s="7">
        <f>Table1[[#This Row],[Profit]]/Table1[[#This Row],[Total_Sales]]</f>
        <v>0.37193183680157305</v>
      </c>
    </row>
    <row r="1954" spans="1:15" x14ac:dyDescent="0.25">
      <c r="A1954" s="1">
        <v>1953</v>
      </c>
      <c r="B1954" s="2">
        <v>45211</v>
      </c>
      <c r="C1954" s="1" t="s">
        <v>12</v>
      </c>
      <c r="D1954" s="1" t="s">
        <v>22</v>
      </c>
      <c r="E1954" s="1" t="s">
        <v>29</v>
      </c>
      <c r="F1954" s="1" t="s">
        <v>35</v>
      </c>
      <c r="G1954" s="1">
        <v>5</v>
      </c>
      <c r="H1954" s="1">
        <v>417</v>
      </c>
      <c r="I1954" s="1">
        <v>0</v>
      </c>
      <c r="J1954" s="4">
        <v>2085</v>
      </c>
      <c r="K1954" s="4">
        <v>1100.32</v>
      </c>
      <c r="L1954" s="4">
        <v>984.68</v>
      </c>
      <c r="M1954" s="1" t="str">
        <f>TEXT(Table1[[#This Row],[Order_Date]], "MMM")</f>
        <v>Oct</v>
      </c>
      <c r="N1954" s="1">
        <f>YEAR(Table1[[#This Row],[Order_Date]])</f>
        <v>2023</v>
      </c>
      <c r="O1954" s="7">
        <f>Table1[[#This Row],[Profit]]/Table1[[#This Row],[Total_Sales]]</f>
        <v>0.47226858513189446</v>
      </c>
    </row>
    <row r="1955" spans="1:15" x14ac:dyDescent="0.25">
      <c r="A1955" s="1">
        <v>1954</v>
      </c>
      <c r="B1955" s="2">
        <v>45474</v>
      </c>
      <c r="C1955" s="1" t="s">
        <v>16</v>
      </c>
      <c r="D1955" s="1" t="s">
        <v>22</v>
      </c>
      <c r="E1955" s="1" t="s">
        <v>36</v>
      </c>
      <c r="F1955" s="1" t="s">
        <v>18</v>
      </c>
      <c r="G1955" s="1">
        <v>2</v>
      </c>
      <c r="H1955" s="1">
        <v>213</v>
      </c>
      <c r="I1955" s="1">
        <v>15</v>
      </c>
      <c r="J1955" s="4">
        <v>362.1</v>
      </c>
      <c r="K1955" s="4">
        <v>235.53</v>
      </c>
      <c r="L1955" s="4">
        <v>126.57</v>
      </c>
      <c r="M1955" s="1" t="str">
        <f>TEXT(Table1[[#This Row],[Order_Date]], "MMM")</f>
        <v>Jul</v>
      </c>
      <c r="N1955" s="1">
        <f>YEAR(Table1[[#This Row],[Order_Date]])</f>
        <v>2024</v>
      </c>
      <c r="O1955" s="7">
        <f>Table1[[#This Row],[Profit]]/Table1[[#This Row],[Total_Sales]]</f>
        <v>0.34954432477216235</v>
      </c>
    </row>
    <row r="1956" spans="1:15" x14ac:dyDescent="0.25">
      <c r="A1956" s="1">
        <v>1955</v>
      </c>
      <c r="B1956" s="2">
        <v>45247</v>
      </c>
      <c r="C1956" s="1" t="s">
        <v>16</v>
      </c>
      <c r="D1956" s="1" t="s">
        <v>22</v>
      </c>
      <c r="E1956" s="1" t="s">
        <v>44</v>
      </c>
      <c r="F1956" s="1" t="s">
        <v>15</v>
      </c>
      <c r="G1956" s="1">
        <v>10</v>
      </c>
      <c r="H1956" s="1">
        <v>567</v>
      </c>
      <c r="I1956" s="1">
        <v>20</v>
      </c>
      <c r="J1956" s="4">
        <v>4536</v>
      </c>
      <c r="K1956" s="4">
        <v>3179.78</v>
      </c>
      <c r="L1956" s="4">
        <v>1356.22</v>
      </c>
      <c r="M1956" s="1" t="str">
        <f>TEXT(Table1[[#This Row],[Order_Date]], "MMM")</f>
        <v>Nov</v>
      </c>
      <c r="N1956" s="1">
        <f>YEAR(Table1[[#This Row],[Order_Date]])</f>
        <v>2023</v>
      </c>
      <c r="O1956" s="7">
        <f>Table1[[#This Row],[Profit]]/Table1[[#This Row],[Total_Sales]]</f>
        <v>0.29899029982363318</v>
      </c>
    </row>
    <row r="1957" spans="1:15" x14ac:dyDescent="0.25">
      <c r="A1957" s="1">
        <v>1956</v>
      </c>
      <c r="B1957" s="2">
        <v>45460</v>
      </c>
      <c r="C1957" s="1" t="s">
        <v>12</v>
      </c>
      <c r="D1957" s="1" t="s">
        <v>20</v>
      </c>
      <c r="E1957" s="1" t="s">
        <v>30</v>
      </c>
      <c r="F1957" s="1" t="s">
        <v>31</v>
      </c>
      <c r="G1957" s="1">
        <v>8</v>
      </c>
      <c r="H1957" s="1">
        <v>51</v>
      </c>
      <c r="I1957" s="1">
        <v>10</v>
      </c>
      <c r="J1957" s="4">
        <v>367.2</v>
      </c>
      <c r="K1957" s="4">
        <v>227.68</v>
      </c>
      <c r="L1957" s="4">
        <v>139.52000000000001</v>
      </c>
      <c r="M1957" s="1" t="str">
        <f>TEXT(Table1[[#This Row],[Order_Date]], "MMM")</f>
        <v>Jun</v>
      </c>
      <c r="N1957" s="1">
        <f>YEAR(Table1[[#This Row],[Order_Date]])</f>
        <v>2024</v>
      </c>
      <c r="O1957" s="7">
        <f>Table1[[#This Row],[Profit]]/Table1[[#This Row],[Total_Sales]]</f>
        <v>0.37995642701525056</v>
      </c>
    </row>
    <row r="1958" spans="1:15" x14ac:dyDescent="0.25">
      <c r="A1958" s="1">
        <v>1957</v>
      </c>
      <c r="B1958" s="2">
        <v>44985</v>
      </c>
      <c r="C1958" s="1" t="s">
        <v>25</v>
      </c>
      <c r="D1958" s="1" t="s">
        <v>32</v>
      </c>
      <c r="E1958" s="1" t="s">
        <v>45</v>
      </c>
      <c r="F1958" s="1" t="s">
        <v>24</v>
      </c>
      <c r="G1958" s="1">
        <v>10</v>
      </c>
      <c r="H1958" s="1">
        <v>247</v>
      </c>
      <c r="I1958" s="1">
        <v>15</v>
      </c>
      <c r="J1958" s="4">
        <v>2099.5</v>
      </c>
      <c r="K1958" s="4">
        <v>1487.32</v>
      </c>
      <c r="L1958" s="4">
        <v>612.17999999999995</v>
      </c>
      <c r="M1958" s="1" t="str">
        <f>TEXT(Table1[[#This Row],[Order_Date]], "MMM")</f>
        <v>Feb</v>
      </c>
      <c r="N1958" s="1">
        <f>YEAR(Table1[[#This Row],[Order_Date]])</f>
        <v>2023</v>
      </c>
      <c r="O1958" s="7">
        <f>Table1[[#This Row],[Profit]]/Table1[[#This Row],[Total_Sales]]</f>
        <v>0.29158371040723979</v>
      </c>
    </row>
    <row r="1959" spans="1:15" x14ac:dyDescent="0.25">
      <c r="A1959" s="1">
        <v>1958</v>
      </c>
      <c r="B1959" s="2">
        <v>45232</v>
      </c>
      <c r="C1959" s="1" t="s">
        <v>12</v>
      </c>
      <c r="D1959" s="1" t="s">
        <v>32</v>
      </c>
      <c r="E1959" s="1" t="s">
        <v>45</v>
      </c>
      <c r="F1959" s="1" t="s">
        <v>31</v>
      </c>
      <c r="G1959" s="1">
        <v>7</v>
      </c>
      <c r="H1959" s="1">
        <v>618</v>
      </c>
      <c r="I1959" s="1">
        <v>0</v>
      </c>
      <c r="J1959" s="4">
        <v>4326</v>
      </c>
      <c r="K1959" s="4">
        <v>2795.81</v>
      </c>
      <c r="L1959" s="4">
        <v>1530.19</v>
      </c>
      <c r="M1959" s="1" t="str">
        <f>TEXT(Table1[[#This Row],[Order_Date]], "MMM")</f>
        <v>Nov</v>
      </c>
      <c r="N1959" s="1">
        <f>YEAR(Table1[[#This Row],[Order_Date]])</f>
        <v>2023</v>
      </c>
      <c r="O1959" s="7">
        <f>Table1[[#This Row],[Profit]]/Table1[[#This Row],[Total_Sales]]</f>
        <v>0.35371937124364311</v>
      </c>
    </row>
    <row r="1960" spans="1:15" x14ac:dyDescent="0.25">
      <c r="A1960" s="1">
        <v>1959</v>
      </c>
      <c r="B1960" s="2">
        <v>45364</v>
      </c>
      <c r="C1960" s="1" t="s">
        <v>19</v>
      </c>
      <c r="D1960" s="1" t="s">
        <v>13</v>
      </c>
      <c r="E1960" s="1" t="s">
        <v>17</v>
      </c>
      <c r="F1960" s="1" t="s">
        <v>24</v>
      </c>
      <c r="G1960" s="1">
        <v>2</v>
      </c>
      <c r="H1960" s="1">
        <v>875</v>
      </c>
      <c r="I1960" s="1">
        <v>0</v>
      </c>
      <c r="J1960" s="4">
        <v>1750</v>
      </c>
      <c r="K1960" s="4">
        <v>1171.5</v>
      </c>
      <c r="L1960" s="4">
        <v>578.5</v>
      </c>
      <c r="M1960" s="1" t="str">
        <f>TEXT(Table1[[#This Row],[Order_Date]], "MMM")</f>
        <v>Mar</v>
      </c>
      <c r="N1960" s="1">
        <f>YEAR(Table1[[#This Row],[Order_Date]])</f>
        <v>2024</v>
      </c>
      <c r="O1960" s="7">
        <f>Table1[[#This Row],[Profit]]/Table1[[#This Row],[Total_Sales]]</f>
        <v>0.33057142857142857</v>
      </c>
    </row>
    <row r="1961" spans="1:15" x14ac:dyDescent="0.25">
      <c r="A1961" s="1">
        <v>1960</v>
      </c>
      <c r="B1961" s="2">
        <v>45197</v>
      </c>
      <c r="C1961" s="1" t="s">
        <v>16</v>
      </c>
      <c r="D1961" s="1" t="s">
        <v>32</v>
      </c>
      <c r="E1961" s="1" t="s">
        <v>33</v>
      </c>
      <c r="F1961" s="1" t="s">
        <v>31</v>
      </c>
      <c r="G1961" s="1">
        <v>5</v>
      </c>
      <c r="H1961" s="1">
        <v>852</v>
      </c>
      <c r="I1961" s="1">
        <v>5</v>
      </c>
      <c r="J1961" s="4">
        <v>4047</v>
      </c>
      <c r="K1961" s="4">
        <v>2714.95</v>
      </c>
      <c r="L1961" s="4">
        <v>1332.05</v>
      </c>
      <c r="M1961" s="1" t="str">
        <f>TEXT(Table1[[#This Row],[Order_Date]], "MMM")</f>
        <v>Sep</v>
      </c>
      <c r="N1961" s="1">
        <f>YEAR(Table1[[#This Row],[Order_Date]])</f>
        <v>2023</v>
      </c>
      <c r="O1961" s="7">
        <f>Table1[[#This Row],[Profit]]/Table1[[#This Row],[Total_Sales]]</f>
        <v>0.32914504571287373</v>
      </c>
    </row>
    <row r="1962" spans="1:15" x14ac:dyDescent="0.25">
      <c r="A1962" s="1">
        <v>1961</v>
      </c>
      <c r="B1962" s="2">
        <v>45125</v>
      </c>
      <c r="C1962" s="1" t="s">
        <v>25</v>
      </c>
      <c r="D1962" s="1" t="s">
        <v>20</v>
      </c>
      <c r="E1962" s="1" t="s">
        <v>21</v>
      </c>
      <c r="F1962" s="1" t="s">
        <v>18</v>
      </c>
      <c r="G1962" s="1">
        <v>7</v>
      </c>
      <c r="H1962" s="1">
        <v>279</v>
      </c>
      <c r="I1962" s="1">
        <v>5</v>
      </c>
      <c r="J1962" s="4">
        <v>1855.35</v>
      </c>
      <c r="K1962" s="4">
        <v>1213.8800000000001</v>
      </c>
      <c r="L1962" s="4">
        <v>641.47</v>
      </c>
      <c r="M1962" s="1" t="str">
        <f>TEXT(Table1[[#This Row],[Order_Date]], "MMM")</f>
        <v>Jul</v>
      </c>
      <c r="N1962" s="1">
        <f>YEAR(Table1[[#This Row],[Order_Date]])</f>
        <v>2023</v>
      </c>
      <c r="O1962" s="7">
        <f>Table1[[#This Row],[Profit]]/Table1[[#This Row],[Total_Sales]]</f>
        <v>0.34574069582558548</v>
      </c>
    </row>
    <row r="1963" spans="1:15" x14ac:dyDescent="0.25">
      <c r="A1963" s="1">
        <v>1962</v>
      </c>
      <c r="B1963" s="2">
        <v>44990</v>
      </c>
      <c r="C1963" s="1" t="s">
        <v>16</v>
      </c>
      <c r="D1963" s="1" t="s">
        <v>22</v>
      </c>
      <c r="E1963" s="1" t="s">
        <v>44</v>
      </c>
      <c r="F1963" s="1" t="s">
        <v>40</v>
      </c>
      <c r="G1963" s="1">
        <v>3</v>
      </c>
      <c r="H1963" s="1">
        <v>384</v>
      </c>
      <c r="I1963" s="1">
        <v>15</v>
      </c>
      <c r="J1963" s="4">
        <v>979.2</v>
      </c>
      <c r="K1963" s="4">
        <v>712.27</v>
      </c>
      <c r="L1963" s="4">
        <v>266.93</v>
      </c>
      <c r="M1963" s="1" t="str">
        <f>TEXT(Table1[[#This Row],[Order_Date]], "MMM")</f>
        <v>Mar</v>
      </c>
      <c r="N1963" s="1">
        <f>YEAR(Table1[[#This Row],[Order_Date]])</f>
        <v>2023</v>
      </c>
      <c r="O1963" s="7">
        <f>Table1[[#This Row],[Profit]]/Table1[[#This Row],[Total_Sales]]</f>
        <v>0.27260008169934641</v>
      </c>
    </row>
    <row r="1964" spans="1:15" x14ac:dyDescent="0.25">
      <c r="A1964" s="1">
        <v>1963</v>
      </c>
      <c r="B1964" s="2">
        <v>44930</v>
      </c>
      <c r="C1964" s="1" t="s">
        <v>12</v>
      </c>
      <c r="D1964" s="1" t="s">
        <v>32</v>
      </c>
      <c r="E1964" s="1" t="s">
        <v>45</v>
      </c>
      <c r="F1964" s="1" t="s">
        <v>40</v>
      </c>
      <c r="G1964" s="1">
        <v>2</v>
      </c>
      <c r="H1964" s="1">
        <v>987</v>
      </c>
      <c r="I1964" s="1">
        <v>5</v>
      </c>
      <c r="J1964" s="4">
        <v>1875.3</v>
      </c>
      <c r="K1964" s="4">
        <v>1250.1099999999999</v>
      </c>
      <c r="L1964" s="4">
        <v>625.19000000000005</v>
      </c>
      <c r="M1964" s="1" t="str">
        <f>TEXT(Table1[[#This Row],[Order_Date]], "MMM")</f>
        <v>Jan</v>
      </c>
      <c r="N1964" s="1">
        <f>YEAR(Table1[[#This Row],[Order_Date]])</f>
        <v>2023</v>
      </c>
      <c r="O1964" s="7">
        <f>Table1[[#This Row],[Profit]]/Table1[[#This Row],[Total_Sales]]</f>
        <v>0.33338132565456197</v>
      </c>
    </row>
    <row r="1965" spans="1:15" x14ac:dyDescent="0.25">
      <c r="A1965" s="1">
        <v>1964</v>
      </c>
      <c r="B1965" s="2">
        <v>45044</v>
      </c>
      <c r="C1965" s="1" t="s">
        <v>19</v>
      </c>
      <c r="D1965" s="1" t="s">
        <v>32</v>
      </c>
      <c r="E1965" s="1" t="s">
        <v>33</v>
      </c>
      <c r="F1965" s="1" t="s">
        <v>35</v>
      </c>
      <c r="G1965" s="1">
        <v>5</v>
      </c>
      <c r="H1965" s="1">
        <v>103</v>
      </c>
      <c r="I1965" s="1">
        <v>0</v>
      </c>
      <c r="J1965" s="4">
        <v>515</v>
      </c>
      <c r="K1965" s="4">
        <v>263.33999999999997</v>
      </c>
      <c r="L1965" s="4">
        <v>251.66</v>
      </c>
      <c r="M1965" s="1" t="str">
        <f>TEXT(Table1[[#This Row],[Order_Date]], "MMM")</f>
        <v>Apr</v>
      </c>
      <c r="N1965" s="1">
        <f>YEAR(Table1[[#This Row],[Order_Date]])</f>
        <v>2023</v>
      </c>
      <c r="O1965" s="7">
        <f>Table1[[#This Row],[Profit]]/Table1[[#This Row],[Total_Sales]]</f>
        <v>0.48866019417475726</v>
      </c>
    </row>
    <row r="1966" spans="1:15" x14ac:dyDescent="0.25">
      <c r="A1966" s="1">
        <v>1965</v>
      </c>
      <c r="B1966" s="2">
        <v>45394</v>
      </c>
      <c r="C1966" s="1" t="s">
        <v>12</v>
      </c>
      <c r="D1966" s="1" t="s">
        <v>22</v>
      </c>
      <c r="E1966" s="1" t="s">
        <v>44</v>
      </c>
      <c r="F1966" s="1" t="s">
        <v>15</v>
      </c>
      <c r="G1966" s="1">
        <v>1</v>
      </c>
      <c r="H1966" s="1">
        <v>205</v>
      </c>
      <c r="I1966" s="1">
        <v>0</v>
      </c>
      <c r="J1966" s="4">
        <v>205</v>
      </c>
      <c r="K1966" s="4">
        <v>131.86000000000001</v>
      </c>
      <c r="L1966" s="4">
        <v>73.14</v>
      </c>
      <c r="M1966" s="1" t="str">
        <f>TEXT(Table1[[#This Row],[Order_Date]], "MMM")</f>
        <v>Apr</v>
      </c>
      <c r="N1966" s="1">
        <f>YEAR(Table1[[#This Row],[Order_Date]])</f>
        <v>2024</v>
      </c>
      <c r="O1966" s="7">
        <f>Table1[[#This Row],[Profit]]/Table1[[#This Row],[Total_Sales]]</f>
        <v>0.35678048780487803</v>
      </c>
    </row>
    <row r="1967" spans="1:15" x14ac:dyDescent="0.25">
      <c r="A1967" s="1">
        <v>1966</v>
      </c>
      <c r="B1967" s="2">
        <v>45091</v>
      </c>
      <c r="C1967" s="1" t="s">
        <v>12</v>
      </c>
      <c r="D1967" s="1" t="s">
        <v>26</v>
      </c>
      <c r="E1967" s="1" t="s">
        <v>27</v>
      </c>
      <c r="F1967" s="1" t="s">
        <v>15</v>
      </c>
      <c r="G1967" s="1">
        <v>9</v>
      </c>
      <c r="H1967" s="1">
        <v>693</v>
      </c>
      <c r="I1967" s="1">
        <v>15</v>
      </c>
      <c r="J1967" s="4">
        <v>5301.45</v>
      </c>
      <c r="K1967" s="4">
        <v>3820.67</v>
      </c>
      <c r="L1967" s="4">
        <v>1480.78</v>
      </c>
      <c r="M1967" s="1" t="str">
        <f>TEXT(Table1[[#This Row],[Order_Date]], "MMM")</f>
        <v>Jun</v>
      </c>
      <c r="N1967" s="1">
        <f>YEAR(Table1[[#This Row],[Order_Date]])</f>
        <v>2023</v>
      </c>
      <c r="O1967" s="7">
        <f>Table1[[#This Row],[Profit]]/Table1[[#This Row],[Total_Sales]]</f>
        <v>0.27931603617878126</v>
      </c>
    </row>
    <row r="1968" spans="1:15" x14ac:dyDescent="0.25">
      <c r="A1968" s="1">
        <v>1967</v>
      </c>
      <c r="B1968" s="2">
        <v>45647</v>
      </c>
      <c r="C1968" s="1" t="s">
        <v>16</v>
      </c>
      <c r="D1968" s="1" t="s">
        <v>26</v>
      </c>
      <c r="E1968" s="1" t="s">
        <v>37</v>
      </c>
      <c r="F1968" s="1" t="s">
        <v>40</v>
      </c>
      <c r="G1968" s="1">
        <v>8</v>
      </c>
      <c r="H1968" s="1">
        <v>664</v>
      </c>
      <c r="I1968" s="1">
        <v>20</v>
      </c>
      <c r="J1968" s="4">
        <v>4249.6000000000004</v>
      </c>
      <c r="K1968" s="4">
        <v>3133.46</v>
      </c>
      <c r="L1968" s="4">
        <v>1116.1400000000001</v>
      </c>
      <c r="M1968" s="1" t="str">
        <f>TEXT(Table1[[#This Row],[Order_Date]], "MMM")</f>
        <v>Dec</v>
      </c>
      <c r="N1968" s="1">
        <f>YEAR(Table1[[#This Row],[Order_Date]])</f>
        <v>2024</v>
      </c>
      <c r="O1968" s="7">
        <f>Table1[[#This Row],[Profit]]/Table1[[#This Row],[Total_Sales]]</f>
        <v>0.26264589608433736</v>
      </c>
    </row>
    <row r="1969" spans="1:15" x14ac:dyDescent="0.25">
      <c r="A1969" s="1">
        <v>1968</v>
      </c>
      <c r="B1969" s="2">
        <v>44955</v>
      </c>
      <c r="C1969" s="1" t="s">
        <v>16</v>
      </c>
      <c r="D1969" s="1" t="s">
        <v>22</v>
      </c>
      <c r="E1969" s="1" t="s">
        <v>29</v>
      </c>
      <c r="F1969" s="1" t="s">
        <v>18</v>
      </c>
      <c r="G1969" s="1">
        <v>6</v>
      </c>
      <c r="H1969" s="1">
        <v>910</v>
      </c>
      <c r="I1969" s="1">
        <v>10</v>
      </c>
      <c r="J1969" s="4">
        <v>4914</v>
      </c>
      <c r="K1969" s="4">
        <v>3254.95</v>
      </c>
      <c r="L1969" s="4">
        <v>1659.05</v>
      </c>
      <c r="M1969" s="1" t="str">
        <f>TEXT(Table1[[#This Row],[Order_Date]], "MMM")</f>
        <v>Jan</v>
      </c>
      <c r="N1969" s="1">
        <f>YEAR(Table1[[#This Row],[Order_Date]])</f>
        <v>2023</v>
      </c>
      <c r="O1969" s="7">
        <f>Table1[[#This Row],[Profit]]/Table1[[#This Row],[Total_Sales]]</f>
        <v>0.3376170126170126</v>
      </c>
    </row>
    <row r="1970" spans="1:15" x14ac:dyDescent="0.25">
      <c r="A1970" s="1">
        <v>1969</v>
      </c>
      <c r="B1970" s="2">
        <v>45637</v>
      </c>
      <c r="C1970" s="1" t="s">
        <v>19</v>
      </c>
      <c r="D1970" s="1" t="s">
        <v>32</v>
      </c>
      <c r="E1970" s="1" t="s">
        <v>33</v>
      </c>
      <c r="F1970" s="1" t="s">
        <v>31</v>
      </c>
      <c r="G1970" s="1">
        <v>4</v>
      </c>
      <c r="H1970" s="1">
        <v>593</v>
      </c>
      <c r="I1970" s="1">
        <v>20</v>
      </c>
      <c r="J1970" s="4">
        <v>1897.6</v>
      </c>
      <c r="K1970" s="4">
        <v>1100.24</v>
      </c>
      <c r="L1970" s="4">
        <v>797.36</v>
      </c>
      <c r="M1970" s="1" t="str">
        <f>TEXT(Table1[[#This Row],[Order_Date]], "MMM")</f>
        <v>Dec</v>
      </c>
      <c r="N1970" s="1">
        <f>YEAR(Table1[[#This Row],[Order_Date]])</f>
        <v>2024</v>
      </c>
      <c r="O1970" s="7">
        <f>Table1[[#This Row],[Profit]]/Table1[[#This Row],[Total_Sales]]</f>
        <v>0.42019392917369314</v>
      </c>
    </row>
    <row r="1971" spans="1:15" x14ac:dyDescent="0.25">
      <c r="A1971" s="1">
        <v>1970</v>
      </c>
      <c r="B1971" s="2">
        <v>45010</v>
      </c>
      <c r="C1971" s="1" t="s">
        <v>25</v>
      </c>
      <c r="D1971" s="1" t="s">
        <v>22</v>
      </c>
      <c r="E1971" s="1" t="s">
        <v>44</v>
      </c>
      <c r="F1971" s="1" t="s">
        <v>35</v>
      </c>
      <c r="G1971" s="1">
        <v>6</v>
      </c>
      <c r="H1971" s="1">
        <v>790</v>
      </c>
      <c r="I1971" s="1">
        <v>15</v>
      </c>
      <c r="J1971" s="4">
        <v>4029</v>
      </c>
      <c r="K1971" s="4">
        <v>2593.64</v>
      </c>
      <c r="L1971" s="4">
        <v>1435.36</v>
      </c>
      <c r="M1971" s="1" t="str">
        <f>TEXT(Table1[[#This Row],[Order_Date]], "MMM")</f>
        <v>Mar</v>
      </c>
      <c r="N1971" s="1">
        <f>YEAR(Table1[[#This Row],[Order_Date]])</f>
        <v>2023</v>
      </c>
      <c r="O1971" s="7">
        <f>Table1[[#This Row],[Profit]]/Table1[[#This Row],[Total_Sales]]</f>
        <v>0.35625713576569867</v>
      </c>
    </row>
    <row r="1972" spans="1:15" x14ac:dyDescent="0.25">
      <c r="A1972" s="1">
        <v>1971</v>
      </c>
      <c r="B1972" s="2">
        <v>45379</v>
      </c>
      <c r="C1972" s="1" t="s">
        <v>19</v>
      </c>
      <c r="D1972" s="1" t="s">
        <v>32</v>
      </c>
      <c r="E1972" s="1" t="s">
        <v>34</v>
      </c>
      <c r="F1972" s="1" t="s">
        <v>18</v>
      </c>
      <c r="G1972" s="1">
        <v>4</v>
      </c>
      <c r="H1972" s="1">
        <v>194</v>
      </c>
      <c r="I1972" s="1">
        <v>10</v>
      </c>
      <c r="J1972" s="4">
        <v>698.4</v>
      </c>
      <c r="K1972" s="4">
        <v>460.17</v>
      </c>
      <c r="L1972" s="4">
        <v>238.23</v>
      </c>
      <c r="M1972" s="1" t="str">
        <f>TEXT(Table1[[#This Row],[Order_Date]], "MMM")</f>
        <v>Mar</v>
      </c>
      <c r="N1972" s="1">
        <f>YEAR(Table1[[#This Row],[Order_Date]])</f>
        <v>2024</v>
      </c>
      <c r="O1972" s="7">
        <f>Table1[[#This Row],[Profit]]/Table1[[#This Row],[Total_Sales]]</f>
        <v>0.34110824742268042</v>
      </c>
    </row>
    <row r="1973" spans="1:15" x14ac:dyDescent="0.25">
      <c r="A1973" s="1">
        <v>1972</v>
      </c>
      <c r="B1973" s="2">
        <v>45232</v>
      </c>
      <c r="C1973" s="1" t="s">
        <v>25</v>
      </c>
      <c r="D1973" s="1" t="s">
        <v>26</v>
      </c>
      <c r="E1973" s="1" t="s">
        <v>37</v>
      </c>
      <c r="F1973" s="1" t="s">
        <v>31</v>
      </c>
      <c r="G1973" s="1">
        <v>7</v>
      </c>
      <c r="H1973" s="1">
        <v>919</v>
      </c>
      <c r="I1973" s="1">
        <v>0</v>
      </c>
      <c r="J1973" s="4">
        <v>6433</v>
      </c>
      <c r="K1973" s="4">
        <v>3734.29</v>
      </c>
      <c r="L1973" s="4">
        <v>2698.71</v>
      </c>
      <c r="M1973" s="1" t="str">
        <f>TEXT(Table1[[#This Row],[Order_Date]], "MMM")</f>
        <v>Nov</v>
      </c>
      <c r="N1973" s="1">
        <f>YEAR(Table1[[#This Row],[Order_Date]])</f>
        <v>2023</v>
      </c>
      <c r="O1973" s="7">
        <f>Table1[[#This Row],[Profit]]/Table1[[#This Row],[Total_Sales]]</f>
        <v>0.41951033732317738</v>
      </c>
    </row>
    <row r="1974" spans="1:15" x14ac:dyDescent="0.25">
      <c r="A1974" s="1">
        <v>1973</v>
      </c>
      <c r="B1974" s="2">
        <v>45329</v>
      </c>
      <c r="C1974" s="1" t="s">
        <v>12</v>
      </c>
      <c r="D1974" s="1" t="s">
        <v>26</v>
      </c>
      <c r="E1974" s="1" t="s">
        <v>27</v>
      </c>
      <c r="F1974" s="1" t="s">
        <v>31</v>
      </c>
      <c r="G1974" s="1">
        <v>7</v>
      </c>
      <c r="H1974" s="1">
        <v>920</v>
      </c>
      <c r="I1974" s="1">
        <v>20</v>
      </c>
      <c r="J1974" s="4">
        <v>5152</v>
      </c>
      <c r="K1974" s="4">
        <v>3661.37</v>
      </c>
      <c r="L1974" s="4">
        <v>1490.63</v>
      </c>
      <c r="M1974" s="1" t="str">
        <f>TEXT(Table1[[#This Row],[Order_Date]], "MMM")</f>
        <v>Feb</v>
      </c>
      <c r="N1974" s="1">
        <f>YEAR(Table1[[#This Row],[Order_Date]])</f>
        <v>2024</v>
      </c>
      <c r="O1974" s="7">
        <f>Table1[[#This Row],[Profit]]/Table1[[#This Row],[Total_Sales]]</f>
        <v>0.28933035714285715</v>
      </c>
    </row>
    <row r="1975" spans="1:15" x14ac:dyDescent="0.25">
      <c r="A1975" s="1">
        <v>1974</v>
      </c>
      <c r="B1975" s="2">
        <v>44986</v>
      </c>
      <c r="C1975" s="1" t="s">
        <v>19</v>
      </c>
      <c r="D1975" s="1" t="s">
        <v>26</v>
      </c>
      <c r="E1975" s="1" t="s">
        <v>37</v>
      </c>
      <c r="F1975" s="1" t="s">
        <v>15</v>
      </c>
      <c r="G1975" s="1">
        <v>8</v>
      </c>
      <c r="H1975" s="1">
        <v>781</v>
      </c>
      <c r="I1975" s="1">
        <v>10</v>
      </c>
      <c r="J1975" s="4">
        <v>5623.2</v>
      </c>
      <c r="K1975" s="4">
        <v>3713.32</v>
      </c>
      <c r="L1975" s="4">
        <v>1909.88</v>
      </c>
      <c r="M1975" s="1" t="str">
        <f>TEXT(Table1[[#This Row],[Order_Date]], "MMM")</f>
        <v>Mar</v>
      </c>
      <c r="N1975" s="1">
        <f>YEAR(Table1[[#This Row],[Order_Date]])</f>
        <v>2023</v>
      </c>
      <c r="O1975" s="7">
        <f>Table1[[#This Row],[Profit]]/Table1[[#This Row],[Total_Sales]]</f>
        <v>0.33964290795276714</v>
      </c>
    </row>
    <row r="1976" spans="1:15" x14ac:dyDescent="0.25">
      <c r="A1976" s="1">
        <v>1975</v>
      </c>
      <c r="B1976" s="2">
        <v>45338</v>
      </c>
      <c r="C1976" s="1" t="s">
        <v>25</v>
      </c>
      <c r="D1976" s="1" t="s">
        <v>26</v>
      </c>
      <c r="E1976" s="1" t="s">
        <v>42</v>
      </c>
      <c r="F1976" s="1" t="s">
        <v>15</v>
      </c>
      <c r="G1976" s="1">
        <v>7</v>
      </c>
      <c r="H1976" s="1">
        <v>384</v>
      </c>
      <c r="I1976" s="1">
        <v>20</v>
      </c>
      <c r="J1976" s="4">
        <v>2150.4</v>
      </c>
      <c r="K1976" s="4">
        <v>1339.26</v>
      </c>
      <c r="L1976" s="4">
        <v>811.14</v>
      </c>
      <c r="M1976" s="1" t="str">
        <f>TEXT(Table1[[#This Row],[Order_Date]], "MMM")</f>
        <v>Feb</v>
      </c>
      <c r="N1976" s="1">
        <f>YEAR(Table1[[#This Row],[Order_Date]])</f>
        <v>2024</v>
      </c>
      <c r="O1976" s="7">
        <f>Table1[[#This Row],[Profit]]/Table1[[#This Row],[Total_Sales]]</f>
        <v>0.37720424107142853</v>
      </c>
    </row>
    <row r="1977" spans="1:15" x14ac:dyDescent="0.25">
      <c r="A1977" s="1">
        <v>1976</v>
      </c>
      <c r="B1977" s="2">
        <v>45242</v>
      </c>
      <c r="C1977" s="1" t="s">
        <v>19</v>
      </c>
      <c r="D1977" s="1" t="s">
        <v>32</v>
      </c>
      <c r="E1977" s="1" t="s">
        <v>33</v>
      </c>
      <c r="F1977" s="1" t="s">
        <v>24</v>
      </c>
      <c r="G1977" s="1">
        <v>1</v>
      </c>
      <c r="H1977" s="1">
        <v>607</v>
      </c>
      <c r="I1977" s="1">
        <v>20</v>
      </c>
      <c r="J1977" s="4">
        <v>485.6</v>
      </c>
      <c r="K1977" s="4">
        <v>360.06</v>
      </c>
      <c r="L1977" s="4">
        <v>125.54</v>
      </c>
      <c r="M1977" s="1" t="str">
        <f>TEXT(Table1[[#This Row],[Order_Date]], "MMM")</f>
        <v>Nov</v>
      </c>
      <c r="N1977" s="1">
        <f>YEAR(Table1[[#This Row],[Order_Date]])</f>
        <v>2023</v>
      </c>
      <c r="O1977" s="7">
        <f>Table1[[#This Row],[Profit]]/Table1[[#This Row],[Total_Sales]]</f>
        <v>0.25852553542009887</v>
      </c>
    </row>
    <row r="1978" spans="1:15" x14ac:dyDescent="0.25">
      <c r="A1978" s="1">
        <v>1977</v>
      </c>
      <c r="B1978" s="2">
        <v>45476</v>
      </c>
      <c r="C1978" s="1" t="s">
        <v>12</v>
      </c>
      <c r="D1978" s="1" t="s">
        <v>13</v>
      </c>
      <c r="E1978" s="1" t="s">
        <v>38</v>
      </c>
      <c r="F1978" s="1" t="s">
        <v>15</v>
      </c>
      <c r="G1978" s="1">
        <v>7</v>
      </c>
      <c r="H1978" s="1">
        <v>936</v>
      </c>
      <c r="I1978" s="1">
        <v>10</v>
      </c>
      <c r="J1978" s="4">
        <v>5896.8</v>
      </c>
      <c r="K1978" s="4">
        <v>3162.79</v>
      </c>
      <c r="L1978" s="4">
        <v>2734.01</v>
      </c>
      <c r="M1978" s="1" t="str">
        <f>TEXT(Table1[[#This Row],[Order_Date]], "MMM")</f>
        <v>Jul</v>
      </c>
      <c r="N1978" s="1">
        <f>YEAR(Table1[[#This Row],[Order_Date]])</f>
        <v>2024</v>
      </c>
      <c r="O1978" s="7">
        <f>Table1[[#This Row],[Profit]]/Table1[[#This Row],[Total_Sales]]</f>
        <v>0.46364299280965948</v>
      </c>
    </row>
    <row r="1979" spans="1:15" x14ac:dyDescent="0.25">
      <c r="A1979" s="1">
        <v>1978</v>
      </c>
      <c r="B1979" s="2">
        <v>45572</v>
      </c>
      <c r="C1979" s="1" t="s">
        <v>16</v>
      </c>
      <c r="D1979" s="1" t="s">
        <v>22</v>
      </c>
      <c r="E1979" s="1" t="s">
        <v>29</v>
      </c>
      <c r="F1979" s="1" t="s">
        <v>18</v>
      </c>
      <c r="G1979" s="1">
        <v>8</v>
      </c>
      <c r="H1979" s="1">
        <v>721</v>
      </c>
      <c r="I1979" s="1">
        <v>10</v>
      </c>
      <c r="J1979" s="4">
        <v>5191.2</v>
      </c>
      <c r="K1979" s="4">
        <v>3602.84</v>
      </c>
      <c r="L1979" s="4">
        <v>1588.36</v>
      </c>
      <c r="M1979" s="1" t="str">
        <f>TEXT(Table1[[#This Row],[Order_Date]], "MMM")</f>
        <v>Oct</v>
      </c>
      <c r="N1979" s="1">
        <f>YEAR(Table1[[#This Row],[Order_Date]])</f>
        <v>2024</v>
      </c>
      <c r="O1979" s="7">
        <f>Table1[[#This Row],[Profit]]/Table1[[#This Row],[Total_Sales]]</f>
        <v>0.30597164432115886</v>
      </c>
    </row>
    <row r="1980" spans="1:15" x14ac:dyDescent="0.25">
      <c r="A1980" s="1">
        <v>1979</v>
      </c>
      <c r="B1980" s="2">
        <v>45532</v>
      </c>
      <c r="C1980" s="1" t="s">
        <v>19</v>
      </c>
      <c r="D1980" s="1" t="s">
        <v>20</v>
      </c>
      <c r="E1980" s="1" t="s">
        <v>28</v>
      </c>
      <c r="F1980" s="1" t="s">
        <v>31</v>
      </c>
      <c r="G1980" s="1">
        <v>6</v>
      </c>
      <c r="H1980" s="1">
        <v>950</v>
      </c>
      <c r="I1980" s="1">
        <v>10</v>
      </c>
      <c r="J1980" s="4">
        <v>5130</v>
      </c>
      <c r="K1980" s="4">
        <v>3937.85</v>
      </c>
      <c r="L1980" s="4">
        <v>1192.1500000000001</v>
      </c>
      <c r="M1980" s="1" t="str">
        <f>TEXT(Table1[[#This Row],[Order_Date]], "MMM")</f>
        <v>Aug</v>
      </c>
      <c r="N1980" s="1">
        <f>YEAR(Table1[[#This Row],[Order_Date]])</f>
        <v>2024</v>
      </c>
      <c r="O1980" s="7">
        <f>Table1[[#This Row],[Profit]]/Table1[[#This Row],[Total_Sales]]</f>
        <v>0.2323879142300195</v>
      </c>
    </row>
    <row r="1981" spans="1:15" x14ac:dyDescent="0.25">
      <c r="A1981" s="1">
        <v>1980</v>
      </c>
      <c r="B1981" s="2">
        <v>45408</v>
      </c>
      <c r="C1981" s="1" t="s">
        <v>12</v>
      </c>
      <c r="D1981" s="1" t="s">
        <v>26</v>
      </c>
      <c r="E1981" s="1" t="s">
        <v>27</v>
      </c>
      <c r="F1981" s="1" t="s">
        <v>15</v>
      </c>
      <c r="G1981" s="1">
        <v>6</v>
      </c>
      <c r="H1981" s="1">
        <v>635</v>
      </c>
      <c r="I1981" s="1">
        <v>0</v>
      </c>
      <c r="J1981" s="4">
        <v>3810</v>
      </c>
      <c r="K1981" s="4">
        <v>2921.46</v>
      </c>
      <c r="L1981" s="4">
        <v>888.54</v>
      </c>
      <c r="M1981" s="1" t="str">
        <f>TEXT(Table1[[#This Row],[Order_Date]], "MMM")</f>
        <v>Apr</v>
      </c>
      <c r="N1981" s="1">
        <f>YEAR(Table1[[#This Row],[Order_Date]])</f>
        <v>2024</v>
      </c>
      <c r="O1981" s="7">
        <f>Table1[[#This Row],[Profit]]/Table1[[#This Row],[Total_Sales]]</f>
        <v>0.23321259842519684</v>
      </c>
    </row>
    <row r="1982" spans="1:15" x14ac:dyDescent="0.25">
      <c r="A1982" s="1">
        <v>1981</v>
      </c>
      <c r="B1982" s="2">
        <v>44973</v>
      </c>
      <c r="C1982" s="1" t="s">
        <v>25</v>
      </c>
      <c r="D1982" s="1" t="s">
        <v>13</v>
      </c>
      <c r="E1982" s="1" t="s">
        <v>38</v>
      </c>
      <c r="F1982" s="1" t="s">
        <v>15</v>
      </c>
      <c r="G1982" s="1">
        <v>6</v>
      </c>
      <c r="H1982" s="1">
        <v>596</v>
      </c>
      <c r="I1982" s="1">
        <v>15</v>
      </c>
      <c r="J1982" s="4">
        <v>3039.6</v>
      </c>
      <c r="K1982" s="4">
        <v>2163.8200000000002</v>
      </c>
      <c r="L1982" s="4">
        <v>875.78</v>
      </c>
      <c r="M1982" s="1" t="str">
        <f>TEXT(Table1[[#This Row],[Order_Date]], "MMM")</f>
        <v>Feb</v>
      </c>
      <c r="N1982" s="1">
        <f>YEAR(Table1[[#This Row],[Order_Date]])</f>
        <v>2023</v>
      </c>
      <c r="O1982" s="7">
        <f>Table1[[#This Row],[Profit]]/Table1[[#This Row],[Total_Sales]]</f>
        <v>0.28812343729438084</v>
      </c>
    </row>
    <row r="1983" spans="1:15" x14ac:dyDescent="0.25">
      <c r="A1983" s="1">
        <v>1982</v>
      </c>
      <c r="B1983" s="2">
        <v>45399</v>
      </c>
      <c r="C1983" s="1" t="s">
        <v>12</v>
      </c>
      <c r="D1983" s="1" t="s">
        <v>26</v>
      </c>
      <c r="E1983" s="1" t="s">
        <v>37</v>
      </c>
      <c r="F1983" s="1" t="s">
        <v>35</v>
      </c>
      <c r="G1983" s="1">
        <v>2</v>
      </c>
      <c r="H1983" s="1">
        <v>708</v>
      </c>
      <c r="I1983" s="1">
        <v>10</v>
      </c>
      <c r="J1983" s="4">
        <v>1274.4000000000001</v>
      </c>
      <c r="K1983" s="4">
        <v>709.83</v>
      </c>
      <c r="L1983" s="4">
        <v>564.57000000000005</v>
      </c>
      <c r="M1983" s="1" t="str">
        <f>TEXT(Table1[[#This Row],[Order_Date]], "MMM")</f>
        <v>Apr</v>
      </c>
      <c r="N1983" s="1">
        <f>YEAR(Table1[[#This Row],[Order_Date]])</f>
        <v>2024</v>
      </c>
      <c r="O1983" s="7">
        <f>Table1[[#This Row],[Profit]]/Table1[[#This Row],[Total_Sales]]</f>
        <v>0.44300847457627118</v>
      </c>
    </row>
    <row r="1984" spans="1:15" x14ac:dyDescent="0.25">
      <c r="A1984" s="1">
        <v>1983</v>
      </c>
      <c r="B1984" s="2">
        <v>45309</v>
      </c>
      <c r="C1984" s="1" t="s">
        <v>16</v>
      </c>
      <c r="D1984" s="1" t="s">
        <v>22</v>
      </c>
      <c r="E1984" s="1" t="s">
        <v>36</v>
      </c>
      <c r="F1984" s="1" t="s">
        <v>31</v>
      </c>
      <c r="G1984" s="1">
        <v>4</v>
      </c>
      <c r="H1984" s="1">
        <v>963</v>
      </c>
      <c r="I1984" s="1">
        <v>15</v>
      </c>
      <c r="J1984" s="4">
        <v>3274.2</v>
      </c>
      <c r="K1984" s="4">
        <v>1857.11</v>
      </c>
      <c r="L1984" s="4">
        <v>1417.09</v>
      </c>
      <c r="M1984" s="1" t="str">
        <f>TEXT(Table1[[#This Row],[Order_Date]], "MMM")</f>
        <v>Jan</v>
      </c>
      <c r="N1984" s="1">
        <f>YEAR(Table1[[#This Row],[Order_Date]])</f>
        <v>2024</v>
      </c>
      <c r="O1984" s="7">
        <f>Table1[[#This Row],[Profit]]/Table1[[#This Row],[Total_Sales]]</f>
        <v>0.43280495999022661</v>
      </c>
    </row>
    <row r="1985" spans="1:15" x14ac:dyDescent="0.25">
      <c r="A1985" s="1">
        <v>1984</v>
      </c>
      <c r="B1985" s="2">
        <v>45419</v>
      </c>
      <c r="C1985" s="1" t="s">
        <v>25</v>
      </c>
      <c r="D1985" s="1" t="s">
        <v>22</v>
      </c>
      <c r="E1985" s="1" t="s">
        <v>44</v>
      </c>
      <c r="F1985" s="1" t="s">
        <v>31</v>
      </c>
      <c r="G1985" s="1">
        <v>2</v>
      </c>
      <c r="H1985" s="1">
        <v>262</v>
      </c>
      <c r="I1985" s="1">
        <v>15</v>
      </c>
      <c r="J1985" s="4">
        <v>445.4</v>
      </c>
      <c r="K1985" s="4">
        <v>324.95999999999998</v>
      </c>
      <c r="L1985" s="4">
        <v>120.44</v>
      </c>
      <c r="M1985" s="1" t="str">
        <f>TEXT(Table1[[#This Row],[Order_Date]], "MMM")</f>
        <v>May</v>
      </c>
      <c r="N1985" s="1">
        <f>YEAR(Table1[[#This Row],[Order_Date]])</f>
        <v>2024</v>
      </c>
      <c r="O1985" s="7">
        <f>Table1[[#This Row],[Profit]]/Table1[[#This Row],[Total_Sales]]</f>
        <v>0.27040862146385275</v>
      </c>
    </row>
    <row r="1986" spans="1:15" x14ac:dyDescent="0.25">
      <c r="A1986" s="1">
        <v>1985</v>
      </c>
      <c r="B1986" s="2">
        <v>45082</v>
      </c>
      <c r="C1986" s="1" t="s">
        <v>16</v>
      </c>
      <c r="D1986" s="1" t="s">
        <v>26</v>
      </c>
      <c r="E1986" s="1" t="s">
        <v>37</v>
      </c>
      <c r="F1986" s="1" t="s">
        <v>15</v>
      </c>
      <c r="G1986" s="1">
        <v>5</v>
      </c>
      <c r="H1986" s="1">
        <v>897</v>
      </c>
      <c r="I1986" s="1">
        <v>10</v>
      </c>
      <c r="J1986" s="4">
        <v>4036.5</v>
      </c>
      <c r="K1986" s="4">
        <v>3174.08</v>
      </c>
      <c r="L1986" s="4">
        <v>862.42</v>
      </c>
      <c r="M1986" s="1" t="str">
        <f>TEXT(Table1[[#This Row],[Order_Date]], "MMM")</f>
        <v>Jun</v>
      </c>
      <c r="N1986" s="1">
        <f>YEAR(Table1[[#This Row],[Order_Date]])</f>
        <v>2023</v>
      </c>
      <c r="O1986" s="7">
        <f>Table1[[#This Row],[Profit]]/Table1[[#This Row],[Total_Sales]]</f>
        <v>0.21365539452495974</v>
      </c>
    </row>
    <row r="1987" spans="1:15" x14ac:dyDescent="0.25">
      <c r="A1987" s="1">
        <v>1986</v>
      </c>
      <c r="B1987" s="2">
        <v>45384</v>
      </c>
      <c r="C1987" s="1" t="s">
        <v>19</v>
      </c>
      <c r="D1987" s="1" t="s">
        <v>20</v>
      </c>
      <c r="E1987" s="1" t="s">
        <v>43</v>
      </c>
      <c r="F1987" s="1" t="s">
        <v>15</v>
      </c>
      <c r="G1987" s="1">
        <v>4</v>
      </c>
      <c r="H1987" s="1">
        <v>781</v>
      </c>
      <c r="I1987" s="1">
        <v>5</v>
      </c>
      <c r="J1987" s="4">
        <v>2967.8</v>
      </c>
      <c r="K1987" s="4">
        <v>1670.26</v>
      </c>
      <c r="L1987" s="4">
        <v>1297.54</v>
      </c>
      <c r="M1987" s="1" t="str">
        <f>TEXT(Table1[[#This Row],[Order_Date]], "MMM")</f>
        <v>Apr</v>
      </c>
      <c r="N1987" s="1">
        <f>YEAR(Table1[[#This Row],[Order_Date]])</f>
        <v>2024</v>
      </c>
      <c r="O1987" s="7">
        <f>Table1[[#This Row],[Profit]]/Table1[[#This Row],[Total_Sales]]</f>
        <v>0.43720601118673763</v>
      </c>
    </row>
    <row r="1988" spans="1:15" x14ac:dyDescent="0.25">
      <c r="A1988" s="1">
        <v>1987</v>
      </c>
      <c r="B1988" s="2">
        <v>45555</v>
      </c>
      <c r="C1988" s="1" t="s">
        <v>16</v>
      </c>
      <c r="D1988" s="1" t="s">
        <v>26</v>
      </c>
      <c r="E1988" s="1" t="s">
        <v>37</v>
      </c>
      <c r="F1988" s="1" t="s">
        <v>35</v>
      </c>
      <c r="G1988" s="1">
        <v>4</v>
      </c>
      <c r="H1988" s="1">
        <v>148</v>
      </c>
      <c r="I1988" s="1">
        <v>5</v>
      </c>
      <c r="J1988" s="4">
        <v>562.4</v>
      </c>
      <c r="K1988" s="4">
        <v>282.19</v>
      </c>
      <c r="L1988" s="4">
        <v>280.20999999999998</v>
      </c>
      <c r="M1988" s="1" t="str">
        <f>TEXT(Table1[[#This Row],[Order_Date]], "MMM")</f>
        <v>Sep</v>
      </c>
      <c r="N1988" s="1">
        <f>YEAR(Table1[[#This Row],[Order_Date]])</f>
        <v>2024</v>
      </c>
      <c r="O1988" s="7">
        <f>Table1[[#This Row],[Profit]]/Table1[[#This Row],[Total_Sales]]</f>
        <v>0.4982396870554765</v>
      </c>
    </row>
    <row r="1989" spans="1:15" x14ac:dyDescent="0.25">
      <c r="A1989" s="1">
        <v>1988</v>
      </c>
      <c r="B1989" s="2">
        <v>45240</v>
      </c>
      <c r="C1989" s="1" t="s">
        <v>25</v>
      </c>
      <c r="D1989" s="1" t="s">
        <v>22</v>
      </c>
      <c r="E1989" s="1" t="s">
        <v>23</v>
      </c>
      <c r="F1989" s="1" t="s">
        <v>24</v>
      </c>
      <c r="G1989" s="1">
        <v>10</v>
      </c>
      <c r="H1989" s="1">
        <v>289</v>
      </c>
      <c r="I1989" s="1">
        <v>20</v>
      </c>
      <c r="J1989" s="4">
        <v>2312</v>
      </c>
      <c r="K1989" s="4">
        <v>1576.43</v>
      </c>
      <c r="L1989" s="4">
        <v>735.57</v>
      </c>
      <c r="M1989" s="1" t="str">
        <f>TEXT(Table1[[#This Row],[Order_Date]], "MMM")</f>
        <v>Nov</v>
      </c>
      <c r="N1989" s="1">
        <f>YEAR(Table1[[#This Row],[Order_Date]])</f>
        <v>2023</v>
      </c>
      <c r="O1989" s="7">
        <f>Table1[[#This Row],[Profit]]/Table1[[#This Row],[Total_Sales]]</f>
        <v>0.31815311418685122</v>
      </c>
    </row>
    <row r="1990" spans="1:15" x14ac:dyDescent="0.25">
      <c r="A1990" s="1">
        <v>1989</v>
      </c>
      <c r="B1990" s="2">
        <v>45540</v>
      </c>
      <c r="C1990" s="1" t="s">
        <v>25</v>
      </c>
      <c r="D1990" s="1" t="s">
        <v>22</v>
      </c>
      <c r="E1990" s="1" t="s">
        <v>44</v>
      </c>
      <c r="F1990" s="1" t="s">
        <v>31</v>
      </c>
      <c r="G1990" s="1">
        <v>7</v>
      </c>
      <c r="H1990" s="1">
        <v>780</v>
      </c>
      <c r="I1990" s="1">
        <v>5</v>
      </c>
      <c r="J1990" s="4">
        <v>5187</v>
      </c>
      <c r="K1990" s="4">
        <v>2608.33</v>
      </c>
      <c r="L1990" s="4">
        <v>2578.67</v>
      </c>
      <c r="M1990" s="1" t="str">
        <f>TEXT(Table1[[#This Row],[Order_Date]], "MMM")</f>
        <v>Sep</v>
      </c>
      <c r="N1990" s="1">
        <f>YEAR(Table1[[#This Row],[Order_Date]])</f>
        <v>2024</v>
      </c>
      <c r="O1990" s="7">
        <f>Table1[[#This Row],[Profit]]/Table1[[#This Row],[Total_Sales]]</f>
        <v>0.49714092924619241</v>
      </c>
    </row>
    <row r="1991" spans="1:15" x14ac:dyDescent="0.25">
      <c r="A1991" s="1">
        <v>1990</v>
      </c>
      <c r="B1991" s="2">
        <v>45067</v>
      </c>
      <c r="C1991" s="1" t="s">
        <v>19</v>
      </c>
      <c r="D1991" s="1" t="s">
        <v>32</v>
      </c>
      <c r="E1991" s="1" t="s">
        <v>33</v>
      </c>
      <c r="F1991" s="1" t="s">
        <v>15</v>
      </c>
      <c r="G1991" s="1">
        <v>7</v>
      </c>
      <c r="H1991" s="1">
        <v>652</v>
      </c>
      <c r="I1991" s="1">
        <v>0</v>
      </c>
      <c r="J1991" s="4">
        <v>4564</v>
      </c>
      <c r="K1991" s="4">
        <v>3455.37</v>
      </c>
      <c r="L1991" s="4">
        <v>1108.6300000000001</v>
      </c>
      <c r="M1991" s="1" t="str">
        <f>TEXT(Table1[[#This Row],[Order_Date]], "MMM")</f>
        <v>May</v>
      </c>
      <c r="N1991" s="1">
        <f>YEAR(Table1[[#This Row],[Order_Date]])</f>
        <v>2023</v>
      </c>
      <c r="O1991" s="7">
        <f>Table1[[#This Row],[Profit]]/Table1[[#This Row],[Total_Sales]]</f>
        <v>0.24290753724802808</v>
      </c>
    </row>
    <row r="1992" spans="1:15" x14ac:dyDescent="0.25">
      <c r="A1992" s="1">
        <v>1991</v>
      </c>
      <c r="B1992" s="2">
        <v>45318</v>
      </c>
      <c r="C1992" s="1" t="s">
        <v>16</v>
      </c>
      <c r="D1992" s="1" t="s">
        <v>13</v>
      </c>
      <c r="E1992" s="1" t="s">
        <v>38</v>
      </c>
      <c r="F1992" s="1" t="s">
        <v>18</v>
      </c>
      <c r="G1992" s="1">
        <v>2</v>
      </c>
      <c r="H1992" s="1">
        <v>803</v>
      </c>
      <c r="I1992" s="1">
        <v>0</v>
      </c>
      <c r="J1992" s="4">
        <v>1606</v>
      </c>
      <c r="K1992" s="4">
        <v>1002.85</v>
      </c>
      <c r="L1992" s="4">
        <v>603.15</v>
      </c>
      <c r="M1992" s="1" t="str">
        <f>TEXT(Table1[[#This Row],[Order_Date]], "MMM")</f>
        <v>Jan</v>
      </c>
      <c r="N1992" s="1">
        <f>YEAR(Table1[[#This Row],[Order_Date]])</f>
        <v>2024</v>
      </c>
      <c r="O1992" s="7">
        <f>Table1[[#This Row],[Profit]]/Table1[[#This Row],[Total_Sales]]</f>
        <v>0.37556039850560397</v>
      </c>
    </row>
    <row r="1993" spans="1:15" x14ac:dyDescent="0.25">
      <c r="A1993" s="1">
        <v>1992</v>
      </c>
      <c r="B1993" s="2">
        <v>45164</v>
      </c>
      <c r="C1993" s="1" t="s">
        <v>16</v>
      </c>
      <c r="D1993" s="1" t="s">
        <v>22</v>
      </c>
      <c r="E1993" s="1" t="s">
        <v>44</v>
      </c>
      <c r="F1993" s="1" t="s">
        <v>40</v>
      </c>
      <c r="G1993" s="1">
        <v>10</v>
      </c>
      <c r="H1993" s="1">
        <v>540</v>
      </c>
      <c r="I1993" s="1">
        <v>5</v>
      </c>
      <c r="J1993" s="4">
        <v>5130</v>
      </c>
      <c r="K1993" s="4">
        <v>3266.3</v>
      </c>
      <c r="L1993" s="4">
        <v>1863.7</v>
      </c>
      <c r="M1993" s="1" t="str">
        <f>TEXT(Table1[[#This Row],[Order_Date]], "MMM")</f>
        <v>Aug</v>
      </c>
      <c r="N1993" s="1">
        <f>YEAR(Table1[[#This Row],[Order_Date]])</f>
        <v>2023</v>
      </c>
      <c r="O1993" s="7">
        <f>Table1[[#This Row],[Profit]]/Table1[[#This Row],[Total_Sales]]</f>
        <v>0.3632943469785575</v>
      </c>
    </row>
    <row r="1994" spans="1:15" x14ac:dyDescent="0.25">
      <c r="A1994" s="1">
        <v>1993</v>
      </c>
      <c r="B1994" s="2">
        <v>45507</v>
      </c>
      <c r="C1994" s="1" t="s">
        <v>16</v>
      </c>
      <c r="D1994" s="1" t="s">
        <v>22</v>
      </c>
      <c r="E1994" s="1" t="s">
        <v>29</v>
      </c>
      <c r="F1994" s="1" t="s">
        <v>31</v>
      </c>
      <c r="G1994" s="1">
        <v>4</v>
      </c>
      <c r="H1994" s="1">
        <v>654</v>
      </c>
      <c r="I1994" s="1">
        <v>15</v>
      </c>
      <c r="J1994" s="4">
        <v>2223.6</v>
      </c>
      <c r="K1994" s="4">
        <v>1755.76</v>
      </c>
      <c r="L1994" s="4">
        <v>467.84</v>
      </c>
      <c r="M1994" s="1" t="str">
        <f>TEXT(Table1[[#This Row],[Order_Date]], "MMM")</f>
        <v>Aug</v>
      </c>
      <c r="N1994" s="1">
        <f>YEAR(Table1[[#This Row],[Order_Date]])</f>
        <v>2024</v>
      </c>
      <c r="O1994" s="7">
        <f>Table1[[#This Row],[Profit]]/Table1[[#This Row],[Total_Sales]]</f>
        <v>0.21039755351681957</v>
      </c>
    </row>
    <row r="1995" spans="1:15" x14ac:dyDescent="0.25">
      <c r="A1995" s="1">
        <v>1994</v>
      </c>
      <c r="B1995" s="2">
        <v>44941</v>
      </c>
      <c r="C1995" s="1" t="s">
        <v>16</v>
      </c>
      <c r="D1995" s="1" t="s">
        <v>26</v>
      </c>
      <c r="E1995" s="1" t="s">
        <v>42</v>
      </c>
      <c r="F1995" s="1" t="s">
        <v>35</v>
      </c>
      <c r="G1995" s="1">
        <v>4</v>
      </c>
      <c r="H1995" s="1">
        <v>579</v>
      </c>
      <c r="I1995" s="1">
        <v>5</v>
      </c>
      <c r="J1995" s="4">
        <v>2200.1999999999998</v>
      </c>
      <c r="K1995" s="4">
        <v>1425.09</v>
      </c>
      <c r="L1995" s="4">
        <v>775.11</v>
      </c>
      <c r="M1995" s="1" t="str">
        <f>TEXT(Table1[[#This Row],[Order_Date]], "MMM")</f>
        <v>Jan</v>
      </c>
      <c r="N1995" s="1">
        <f>YEAR(Table1[[#This Row],[Order_Date]])</f>
        <v>2023</v>
      </c>
      <c r="O1995" s="7">
        <f>Table1[[#This Row],[Profit]]/Table1[[#This Row],[Total_Sales]]</f>
        <v>0.35229070084537772</v>
      </c>
    </row>
    <row r="1996" spans="1:15" x14ac:dyDescent="0.25">
      <c r="A1996" s="1">
        <v>1995</v>
      </c>
      <c r="B1996" s="2">
        <v>45138</v>
      </c>
      <c r="C1996" s="1" t="s">
        <v>25</v>
      </c>
      <c r="D1996" s="1" t="s">
        <v>32</v>
      </c>
      <c r="E1996" s="1" t="s">
        <v>45</v>
      </c>
      <c r="F1996" s="1" t="s">
        <v>40</v>
      </c>
      <c r="G1996" s="1">
        <v>10</v>
      </c>
      <c r="H1996" s="1">
        <v>872</v>
      </c>
      <c r="I1996" s="1">
        <v>5</v>
      </c>
      <c r="J1996" s="4">
        <v>8284</v>
      </c>
      <c r="K1996" s="4">
        <v>5721.83</v>
      </c>
      <c r="L1996" s="4">
        <v>2562.17</v>
      </c>
      <c r="M1996" s="1" t="str">
        <f>TEXT(Table1[[#This Row],[Order_Date]], "MMM")</f>
        <v>Jul</v>
      </c>
      <c r="N1996" s="1">
        <f>YEAR(Table1[[#This Row],[Order_Date]])</f>
        <v>2023</v>
      </c>
      <c r="O1996" s="7">
        <f>Table1[[#This Row],[Profit]]/Table1[[#This Row],[Total_Sales]]</f>
        <v>0.30929140511830033</v>
      </c>
    </row>
    <row r="1997" spans="1:15" x14ac:dyDescent="0.25">
      <c r="A1997" s="1">
        <v>1996</v>
      </c>
      <c r="B1997" s="2">
        <v>45601</v>
      </c>
      <c r="C1997" s="1" t="s">
        <v>12</v>
      </c>
      <c r="D1997" s="1" t="s">
        <v>26</v>
      </c>
      <c r="E1997" s="1" t="s">
        <v>27</v>
      </c>
      <c r="F1997" s="1" t="s">
        <v>15</v>
      </c>
      <c r="G1997" s="1">
        <v>7</v>
      </c>
      <c r="H1997" s="1">
        <v>138</v>
      </c>
      <c r="I1997" s="1">
        <v>10</v>
      </c>
      <c r="J1997" s="4">
        <v>869.4</v>
      </c>
      <c r="K1997" s="4">
        <v>651.52</v>
      </c>
      <c r="L1997" s="4">
        <v>217.88</v>
      </c>
      <c r="M1997" s="1" t="str">
        <f>TEXT(Table1[[#This Row],[Order_Date]], "MMM")</f>
        <v>Nov</v>
      </c>
      <c r="N1997" s="1">
        <f>YEAR(Table1[[#This Row],[Order_Date]])</f>
        <v>2024</v>
      </c>
      <c r="O1997" s="7">
        <f>Table1[[#This Row],[Profit]]/Table1[[#This Row],[Total_Sales]]</f>
        <v>0.25060961582700714</v>
      </c>
    </row>
    <row r="1998" spans="1:15" x14ac:dyDescent="0.25">
      <c r="A1998" s="1">
        <v>1997</v>
      </c>
      <c r="B1998" s="2">
        <v>45226</v>
      </c>
      <c r="C1998" s="1" t="s">
        <v>19</v>
      </c>
      <c r="D1998" s="1" t="s">
        <v>26</v>
      </c>
      <c r="E1998" s="1" t="s">
        <v>42</v>
      </c>
      <c r="F1998" s="1" t="s">
        <v>18</v>
      </c>
      <c r="G1998" s="1">
        <v>10</v>
      </c>
      <c r="H1998" s="1">
        <v>723</v>
      </c>
      <c r="I1998" s="1">
        <v>5</v>
      </c>
      <c r="J1998" s="4">
        <v>6868.5</v>
      </c>
      <c r="K1998" s="4">
        <v>3770.37</v>
      </c>
      <c r="L1998" s="4">
        <v>3098.13</v>
      </c>
      <c r="M1998" s="1" t="str">
        <f>TEXT(Table1[[#This Row],[Order_Date]], "MMM")</f>
        <v>Oct</v>
      </c>
      <c r="N1998" s="1">
        <f>YEAR(Table1[[#This Row],[Order_Date]])</f>
        <v>2023</v>
      </c>
      <c r="O1998" s="7">
        <f>Table1[[#This Row],[Profit]]/Table1[[#This Row],[Total_Sales]]</f>
        <v>0.45106355099366674</v>
      </c>
    </row>
    <row r="1999" spans="1:15" x14ac:dyDescent="0.25">
      <c r="A1999" s="1">
        <v>1998</v>
      </c>
      <c r="B1999" s="2">
        <v>45464</v>
      </c>
      <c r="C1999" s="1" t="s">
        <v>16</v>
      </c>
      <c r="D1999" s="1" t="s">
        <v>26</v>
      </c>
      <c r="E1999" s="1" t="s">
        <v>42</v>
      </c>
      <c r="F1999" s="1" t="s">
        <v>15</v>
      </c>
      <c r="G1999" s="1">
        <v>7</v>
      </c>
      <c r="H1999" s="1">
        <v>594</v>
      </c>
      <c r="I1999" s="1">
        <v>5</v>
      </c>
      <c r="J1999" s="4">
        <v>3950.1</v>
      </c>
      <c r="K1999" s="4">
        <v>2405.4</v>
      </c>
      <c r="L1999" s="4">
        <v>1544.7</v>
      </c>
      <c r="M1999" s="1" t="str">
        <f>TEXT(Table1[[#This Row],[Order_Date]], "MMM")</f>
        <v>Jun</v>
      </c>
      <c r="N1999" s="1">
        <f>YEAR(Table1[[#This Row],[Order_Date]])</f>
        <v>2024</v>
      </c>
      <c r="O1999" s="7">
        <f>Table1[[#This Row],[Profit]]/Table1[[#This Row],[Total_Sales]]</f>
        <v>0.3910533910533911</v>
      </c>
    </row>
    <row r="2000" spans="1:15" x14ac:dyDescent="0.25">
      <c r="A2000" s="1">
        <v>1999</v>
      </c>
      <c r="B2000" s="2">
        <v>45606</v>
      </c>
      <c r="C2000" s="1" t="s">
        <v>25</v>
      </c>
      <c r="D2000" s="1" t="s">
        <v>13</v>
      </c>
      <c r="E2000" s="1" t="s">
        <v>38</v>
      </c>
      <c r="F2000" s="1" t="s">
        <v>24</v>
      </c>
      <c r="G2000" s="1">
        <v>2</v>
      </c>
      <c r="H2000" s="1">
        <v>525</v>
      </c>
      <c r="I2000" s="1">
        <v>0</v>
      </c>
      <c r="J2000" s="4">
        <v>1050</v>
      </c>
      <c r="K2000" s="4">
        <v>806.15</v>
      </c>
      <c r="L2000" s="4">
        <v>243.85</v>
      </c>
      <c r="M2000" s="1" t="str">
        <f>TEXT(Table1[[#This Row],[Order_Date]], "MMM")</f>
        <v>Nov</v>
      </c>
      <c r="N2000" s="1">
        <f>YEAR(Table1[[#This Row],[Order_Date]])</f>
        <v>2024</v>
      </c>
      <c r="O2000" s="7">
        <f>Table1[[#This Row],[Profit]]/Table1[[#This Row],[Total_Sales]]</f>
        <v>0.23223809523809524</v>
      </c>
    </row>
    <row r="2001" spans="1:15" x14ac:dyDescent="0.25">
      <c r="A2001" s="1">
        <v>2000</v>
      </c>
      <c r="B2001" s="2">
        <v>45034</v>
      </c>
      <c r="C2001" s="1" t="s">
        <v>25</v>
      </c>
      <c r="D2001" s="1" t="s">
        <v>13</v>
      </c>
      <c r="E2001" s="1" t="s">
        <v>38</v>
      </c>
      <c r="F2001" s="1" t="s">
        <v>24</v>
      </c>
      <c r="G2001" s="1">
        <v>3</v>
      </c>
      <c r="H2001" s="1">
        <v>427</v>
      </c>
      <c r="I2001" s="1">
        <v>10</v>
      </c>
      <c r="J2001" s="4">
        <v>1152.9000000000001</v>
      </c>
      <c r="K2001" s="4">
        <v>750.88</v>
      </c>
      <c r="L2001" s="4">
        <v>402.02</v>
      </c>
      <c r="M2001" s="1" t="str">
        <f>TEXT(Table1[[#This Row],[Order_Date]], "MMM")</f>
        <v>Apr</v>
      </c>
      <c r="N2001" s="1">
        <f>YEAR(Table1[[#This Row],[Order_Date]])</f>
        <v>2023</v>
      </c>
      <c r="O2001" s="7">
        <f>Table1[[#This Row],[Profit]]/Table1[[#This Row],[Total_Sales]]</f>
        <v>0.34870327001474538</v>
      </c>
    </row>
    <row r="2002" spans="1:15" x14ac:dyDescent="0.25">
      <c r="A2002" s="1">
        <v>2001</v>
      </c>
      <c r="B2002" s="2">
        <v>45563</v>
      </c>
      <c r="C2002" s="1" t="s">
        <v>12</v>
      </c>
      <c r="D2002" s="1" t="s">
        <v>13</v>
      </c>
      <c r="E2002" s="1" t="s">
        <v>17</v>
      </c>
      <c r="F2002" s="1" t="s">
        <v>18</v>
      </c>
      <c r="G2002" s="1">
        <v>6</v>
      </c>
      <c r="H2002" s="1">
        <v>187</v>
      </c>
      <c r="I2002" s="1">
        <v>10</v>
      </c>
      <c r="J2002" s="4">
        <v>1009.8</v>
      </c>
      <c r="K2002" s="4">
        <v>781.84</v>
      </c>
      <c r="L2002" s="4">
        <v>227.96</v>
      </c>
      <c r="M2002" s="1" t="str">
        <f>TEXT(Table1[[#This Row],[Order_Date]], "MMM")</f>
        <v>Sep</v>
      </c>
      <c r="N2002" s="1">
        <f>YEAR(Table1[[#This Row],[Order_Date]])</f>
        <v>2024</v>
      </c>
      <c r="O2002" s="7">
        <f>Table1[[#This Row],[Profit]]/Table1[[#This Row],[Total_Sales]]</f>
        <v>0.22574767280649635</v>
      </c>
    </row>
    <row r="2003" spans="1:15" x14ac:dyDescent="0.25">
      <c r="A2003" s="1">
        <v>2002</v>
      </c>
      <c r="B2003" s="2">
        <v>45158</v>
      </c>
      <c r="C2003" s="1" t="s">
        <v>19</v>
      </c>
      <c r="D2003" s="1" t="s">
        <v>13</v>
      </c>
      <c r="E2003" s="1" t="s">
        <v>17</v>
      </c>
      <c r="F2003" s="1" t="s">
        <v>31</v>
      </c>
      <c r="G2003" s="1">
        <v>6</v>
      </c>
      <c r="H2003" s="1">
        <v>679</v>
      </c>
      <c r="I2003" s="1">
        <v>15</v>
      </c>
      <c r="J2003" s="4">
        <v>3462.9</v>
      </c>
      <c r="K2003" s="4">
        <v>2506.81</v>
      </c>
      <c r="L2003" s="4">
        <v>956.09</v>
      </c>
      <c r="M2003" s="1" t="str">
        <f>TEXT(Table1[[#This Row],[Order_Date]], "MMM")</f>
        <v>Aug</v>
      </c>
      <c r="N2003" s="1">
        <f>YEAR(Table1[[#This Row],[Order_Date]])</f>
        <v>2023</v>
      </c>
      <c r="O2003" s="7">
        <f>Table1[[#This Row],[Profit]]/Table1[[#This Row],[Total_Sales]]</f>
        <v>0.27609518034017733</v>
      </c>
    </row>
    <row r="2004" spans="1:15" x14ac:dyDescent="0.25">
      <c r="A2004" s="1">
        <v>2003</v>
      </c>
      <c r="B2004" s="2">
        <v>45653</v>
      </c>
      <c r="C2004" s="1" t="s">
        <v>16</v>
      </c>
      <c r="D2004" s="1" t="s">
        <v>32</v>
      </c>
      <c r="E2004" s="1" t="s">
        <v>33</v>
      </c>
      <c r="F2004" s="1" t="s">
        <v>35</v>
      </c>
      <c r="G2004" s="1">
        <v>6</v>
      </c>
      <c r="H2004" s="1">
        <v>535</v>
      </c>
      <c r="I2004" s="1">
        <v>10</v>
      </c>
      <c r="J2004" s="4">
        <v>2889</v>
      </c>
      <c r="K2004" s="4">
        <v>1811.45</v>
      </c>
      <c r="L2004" s="4">
        <v>1077.55</v>
      </c>
      <c r="M2004" s="1" t="str">
        <f>TEXT(Table1[[#This Row],[Order_Date]], "MMM")</f>
        <v>Dec</v>
      </c>
      <c r="N2004" s="1">
        <f>YEAR(Table1[[#This Row],[Order_Date]])</f>
        <v>2024</v>
      </c>
      <c r="O2004" s="7">
        <f>Table1[[#This Row],[Profit]]/Table1[[#This Row],[Total_Sales]]</f>
        <v>0.37298373139494634</v>
      </c>
    </row>
    <row r="2005" spans="1:15" x14ac:dyDescent="0.25">
      <c r="A2005" s="1">
        <v>2004</v>
      </c>
      <c r="B2005" s="2">
        <v>45174</v>
      </c>
      <c r="C2005" s="1" t="s">
        <v>25</v>
      </c>
      <c r="D2005" s="1" t="s">
        <v>20</v>
      </c>
      <c r="E2005" s="1" t="s">
        <v>43</v>
      </c>
      <c r="F2005" s="1" t="s">
        <v>15</v>
      </c>
      <c r="G2005" s="1">
        <v>1</v>
      </c>
      <c r="H2005" s="1">
        <v>407</v>
      </c>
      <c r="I2005" s="1">
        <v>10</v>
      </c>
      <c r="J2005" s="4">
        <v>366.3</v>
      </c>
      <c r="K2005" s="4">
        <v>214.73</v>
      </c>
      <c r="L2005" s="4">
        <v>151.57</v>
      </c>
      <c r="M2005" s="1" t="str">
        <f>TEXT(Table1[[#This Row],[Order_Date]], "MMM")</f>
        <v>Sep</v>
      </c>
      <c r="N2005" s="1">
        <f>YEAR(Table1[[#This Row],[Order_Date]])</f>
        <v>2023</v>
      </c>
      <c r="O2005" s="7">
        <f>Table1[[#This Row],[Profit]]/Table1[[#This Row],[Total_Sales]]</f>
        <v>0.41378651378651377</v>
      </c>
    </row>
    <row r="2006" spans="1:15" x14ac:dyDescent="0.25">
      <c r="A2006" s="1">
        <v>2005</v>
      </c>
      <c r="B2006" s="2">
        <v>45287</v>
      </c>
      <c r="C2006" s="1" t="s">
        <v>25</v>
      </c>
      <c r="D2006" s="1" t="s">
        <v>26</v>
      </c>
      <c r="E2006" s="1" t="s">
        <v>46</v>
      </c>
      <c r="F2006" s="1" t="s">
        <v>18</v>
      </c>
      <c r="G2006" s="1">
        <v>4</v>
      </c>
      <c r="H2006" s="1">
        <v>511</v>
      </c>
      <c r="I2006" s="1">
        <v>0</v>
      </c>
      <c r="J2006" s="4">
        <v>2044</v>
      </c>
      <c r="K2006" s="4">
        <v>1542.79</v>
      </c>
      <c r="L2006" s="4">
        <v>501.21</v>
      </c>
      <c r="M2006" s="1" t="str">
        <f>TEXT(Table1[[#This Row],[Order_Date]], "MMM")</f>
        <v>Dec</v>
      </c>
      <c r="N2006" s="1">
        <f>YEAR(Table1[[#This Row],[Order_Date]])</f>
        <v>2023</v>
      </c>
      <c r="O2006" s="7">
        <f>Table1[[#This Row],[Profit]]/Table1[[#This Row],[Total_Sales]]</f>
        <v>0.24521037181996086</v>
      </c>
    </row>
    <row r="2007" spans="1:15" x14ac:dyDescent="0.25">
      <c r="A2007" s="1">
        <v>2006</v>
      </c>
      <c r="B2007" s="2">
        <v>45017</v>
      </c>
      <c r="C2007" s="1" t="s">
        <v>25</v>
      </c>
      <c r="D2007" s="1" t="s">
        <v>13</v>
      </c>
      <c r="E2007" s="1" t="s">
        <v>38</v>
      </c>
      <c r="F2007" s="1" t="s">
        <v>15</v>
      </c>
      <c r="G2007" s="1">
        <v>3</v>
      </c>
      <c r="H2007" s="1">
        <v>816</v>
      </c>
      <c r="I2007" s="1">
        <v>15</v>
      </c>
      <c r="J2007" s="4">
        <v>2080.8000000000002</v>
      </c>
      <c r="K2007" s="4">
        <v>1341.74</v>
      </c>
      <c r="L2007" s="4">
        <v>739.06</v>
      </c>
      <c r="M2007" s="1" t="str">
        <f>TEXT(Table1[[#This Row],[Order_Date]], "MMM")</f>
        <v>Apr</v>
      </c>
      <c r="N2007" s="1">
        <f>YEAR(Table1[[#This Row],[Order_Date]])</f>
        <v>2023</v>
      </c>
      <c r="O2007" s="7">
        <f>Table1[[#This Row],[Profit]]/Table1[[#This Row],[Total_Sales]]</f>
        <v>0.35518069973087268</v>
      </c>
    </row>
    <row r="2008" spans="1:15" x14ac:dyDescent="0.25">
      <c r="A2008" s="1">
        <v>2007</v>
      </c>
      <c r="B2008" s="2">
        <v>45087</v>
      </c>
      <c r="C2008" s="1" t="s">
        <v>25</v>
      </c>
      <c r="D2008" s="1" t="s">
        <v>26</v>
      </c>
      <c r="E2008" s="1" t="s">
        <v>27</v>
      </c>
      <c r="F2008" s="1" t="s">
        <v>35</v>
      </c>
      <c r="G2008" s="1">
        <v>4</v>
      </c>
      <c r="H2008" s="1">
        <v>435</v>
      </c>
      <c r="I2008" s="1">
        <v>0</v>
      </c>
      <c r="J2008" s="4">
        <v>1740</v>
      </c>
      <c r="K2008" s="4">
        <v>1037.82</v>
      </c>
      <c r="L2008" s="4">
        <v>702.18</v>
      </c>
      <c r="M2008" s="1" t="str">
        <f>TEXT(Table1[[#This Row],[Order_Date]], "MMM")</f>
        <v>Jun</v>
      </c>
      <c r="N2008" s="1">
        <f>YEAR(Table1[[#This Row],[Order_Date]])</f>
        <v>2023</v>
      </c>
      <c r="O2008" s="7">
        <f>Table1[[#This Row],[Profit]]/Table1[[#This Row],[Total_Sales]]</f>
        <v>0.403551724137931</v>
      </c>
    </row>
    <row r="2009" spans="1:15" x14ac:dyDescent="0.25">
      <c r="A2009" s="1">
        <v>2008</v>
      </c>
      <c r="B2009" s="2">
        <v>45289</v>
      </c>
      <c r="C2009" s="1" t="s">
        <v>19</v>
      </c>
      <c r="D2009" s="1" t="s">
        <v>20</v>
      </c>
      <c r="E2009" s="1" t="s">
        <v>28</v>
      </c>
      <c r="F2009" s="1" t="s">
        <v>18</v>
      </c>
      <c r="G2009" s="1">
        <v>8</v>
      </c>
      <c r="H2009" s="1">
        <v>852</v>
      </c>
      <c r="I2009" s="1">
        <v>10</v>
      </c>
      <c r="J2009" s="4">
        <v>6134.4</v>
      </c>
      <c r="K2009" s="4">
        <v>3577.25</v>
      </c>
      <c r="L2009" s="4">
        <v>2557.15</v>
      </c>
      <c r="M2009" s="1" t="str">
        <f>TEXT(Table1[[#This Row],[Order_Date]], "MMM")</f>
        <v>Dec</v>
      </c>
      <c r="N2009" s="1">
        <f>YEAR(Table1[[#This Row],[Order_Date]])</f>
        <v>2023</v>
      </c>
      <c r="O2009" s="7">
        <f>Table1[[#This Row],[Profit]]/Table1[[#This Row],[Total_Sales]]</f>
        <v>0.41685413406364114</v>
      </c>
    </row>
    <row r="2010" spans="1:15" x14ac:dyDescent="0.25">
      <c r="A2010" s="1">
        <v>2009</v>
      </c>
      <c r="B2010" s="2">
        <v>45264</v>
      </c>
      <c r="C2010" s="1" t="s">
        <v>12</v>
      </c>
      <c r="D2010" s="1" t="s">
        <v>26</v>
      </c>
      <c r="E2010" s="1" t="s">
        <v>46</v>
      </c>
      <c r="F2010" s="1" t="s">
        <v>35</v>
      </c>
      <c r="G2010" s="1">
        <v>10</v>
      </c>
      <c r="H2010" s="1">
        <v>981</v>
      </c>
      <c r="I2010" s="1">
        <v>15</v>
      </c>
      <c r="J2010" s="4">
        <v>8338.5</v>
      </c>
      <c r="K2010" s="4">
        <v>5383.03</v>
      </c>
      <c r="L2010" s="4">
        <v>2955.47</v>
      </c>
      <c r="M2010" s="1" t="str">
        <f>TEXT(Table1[[#This Row],[Order_Date]], "MMM")</f>
        <v>Dec</v>
      </c>
      <c r="N2010" s="1">
        <f>YEAR(Table1[[#This Row],[Order_Date]])</f>
        <v>2023</v>
      </c>
      <c r="O2010" s="7">
        <f>Table1[[#This Row],[Profit]]/Table1[[#This Row],[Total_Sales]]</f>
        <v>0.35443664927744795</v>
      </c>
    </row>
    <row r="2011" spans="1:15" x14ac:dyDescent="0.25">
      <c r="A2011" s="1">
        <v>2010</v>
      </c>
      <c r="B2011" s="2">
        <v>45543</v>
      </c>
      <c r="C2011" s="1" t="s">
        <v>19</v>
      </c>
      <c r="D2011" s="1" t="s">
        <v>26</v>
      </c>
      <c r="E2011" s="1" t="s">
        <v>46</v>
      </c>
      <c r="F2011" s="1" t="s">
        <v>40</v>
      </c>
      <c r="G2011" s="1">
        <v>10</v>
      </c>
      <c r="H2011" s="1">
        <v>563</v>
      </c>
      <c r="I2011" s="1">
        <v>5</v>
      </c>
      <c r="J2011" s="4">
        <v>5348.5</v>
      </c>
      <c r="K2011" s="4">
        <v>3063.86</v>
      </c>
      <c r="L2011" s="4">
        <v>2284.64</v>
      </c>
      <c r="M2011" s="1" t="str">
        <f>TEXT(Table1[[#This Row],[Order_Date]], "MMM")</f>
        <v>Sep</v>
      </c>
      <c r="N2011" s="1">
        <f>YEAR(Table1[[#This Row],[Order_Date]])</f>
        <v>2024</v>
      </c>
      <c r="O2011" s="7">
        <f>Table1[[#This Row],[Profit]]/Table1[[#This Row],[Total_Sales]]</f>
        <v>0.42715527718051788</v>
      </c>
    </row>
    <row r="2012" spans="1:15" x14ac:dyDescent="0.25">
      <c r="A2012" s="1">
        <v>2011</v>
      </c>
      <c r="B2012" s="2">
        <v>44987</v>
      </c>
      <c r="C2012" s="1" t="s">
        <v>25</v>
      </c>
      <c r="D2012" s="1" t="s">
        <v>20</v>
      </c>
      <c r="E2012" s="1" t="s">
        <v>21</v>
      </c>
      <c r="F2012" s="1" t="s">
        <v>24</v>
      </c>
      <c r="G2012" s="1">
        <v>10</v>
      </c>
      <c r="H2012" s="1">
        <v>463</v>
      </c>
      <c r="I2012" s="1">
        <v>0</v>
      </c>
      <c r="J2012" s="4">
        <v>4630</v>
      </c>
      <c r="K2012" s="4">
        <v>3412.1</v>
      </c>
      <c r="L2012" s="4">
        <v>1217.9000000000001</v>
      </c>
      <c r="M2012" s="1" t="str">
        <f>TEXT(Table1[[#This Row],[Order_Date]], "MMM")</f>
        <v>Mar</v>
      </c>
      <c r="N2012" s="1">
        <f>YEAR(Table1[[#This Row],[Order_Date]])</f>
        <v>2023</v>
      </c>
      <c r="O2012" s="7">
        <f>Table1[[#This Row],[Profit]]/Table1[[#This Row],[Total_Sales]]</f>
        <v>0.26304535637149029</v>
      </c>
    </row>
    <row r="2013" spans="1:15" x14ac:dyDescent="0.25">
      <c r="A2013" s="1">
        <v>2012</v>
      </c>
      <c r="B2013" s="2">
        <v>45231</v>
      </c>
      <c r="C2013" s="1" t="s">
        <v>19</v>
      </c>
      <c r="D2013" s="1" t="s">
        <v>32</v>
      </c>
      <c r="E2013" s="1" t="s">
        <v>45</v>
      </c>
      <c r="F2013" s="1" t="s">
        <v>35</v>
      </c>
      <c r="G2013" s="1">
        <v>6</v>
      </c>
      <c r="H2013" s="1">
        <v>702</v>
      </c>
      <c r="I2013" s="1">
        <v>0</v>
      </c>
      <c r="J2013" s="4">
        <v>4212</v>
      </c>
      <c r="K2013" s="4">
        <v>3058.25</v>
      </c>
      <c r="L2013" s="4">
        <v>1153.75</v>
      </c>
      <c r="M2013" s="1" t="str">
        <f>TEXT(Table1[[#This Row],[Order_Date]], "MMM")</f>
        <v>Nov</v>
      </c>
      <c r="N2013" s="1">
        <f>YEAR(Table1[[#This Row],[Order_Date]])</f>
        <v>2023</v>
      </c>
      <c r="O2013" s="7">
        <f>Table1[[#This Row],[Profit]]/Table1[[#This Row],[Total_Sales]]</f>
        <v>0.27391975308641975</v>
      </c>
    </row>
    <row r="2014" spans="1:15" x14ac:dyDescent="0.25">
      <c r="A2014" s="1">
        <v>2013</v>
      </c>
      <c r="B2014" s="2">
        <v>45418</v>
      </c>
      <c r="C2014" s="1" t="s">
        <v>19</v>
      </c>
      <c r="D2014" s="1" t="s">
        <v>20</v>
      </c>
      <c r="E2014" s="1" t="s">
        <v>30</v>
      </c>
      <c r="F2014" s="1" t="s">
        <v>18</v>
      </c>
      <c r="G2014" s="1">
        <v>7</v>
      </c>
      <c r="H2014" s="1">
        <v>104</v>
      </c>
      <c r="I2014" s="1">
        <v>5</v>
      </c>
      <c r="J2014" s="4">
        <v>691.6</v>
      </c>
      <c r="K2014" s="4">
        <v>385.21</v>
      </c>
      <c r="L2014" s="4">
        <v>306.39</v>
      </c>
      <c r="M2014" s="1" t="str">
        <f>TEXT(Table1[[#This Row],[Order_Date]], "MMM")</f>
        <v>May</v>
      </c>
      <c r="N2014" s="1">
        <f>YEAR(Table1[[#This Row],[Order_Date]])</f>
        <v>2024</v>
      </c>
      <c r="O2014" s="7">
        <f>Table1[[#This Row],[Profit]]/Table1[[#This Row],[Total_Sales]]</f>
        <v>0.44301619433198375</v>
      </c>
    </row>
    <row r="2015" spans="1:15" x14ac:dyDescent="0.25">
      <c r="A2015" s="1">
        <v>2014</v>
      </c>
      <c r="B2015" s="2">
        <v>44946</v>
      </c>
      <c r="C2015" s="1" t="s">
        <v>16</v>
      </c>
      <c r="D2015" s="1" t="s">
        <v>20</v>
      </c>
      <c r="E2015" s="1" t="s">
        <v>30</v>
      </c>
      <c r="F2015" s="1" t="s">
        <v>15</v>
      </c>
      <c r="G2015" s="1">
        <v>2</v>
      </c>
      <c r="H2015" s="1">
        <v>396</v>
      </c>
      <c r="I2015" s="1">
        <v>15</v>
      </c>
      <c r="J2015" s="4">
        <v>673.2</v>
      </c>
      <c r="K2015" s="4">
        <v>421.11</v>
      </c>
      <c r="L2015" s="4">
        <v>252.09</v>
      </c>
      <c r="M2015" s="1" t="str">
        <f>TEXT(Table1[[#This Row],[Order_Date]], "MMM")</f>
        <v>Jan</v>
      </c>
      <c r="N2015" s="1">
        <f>YEAR(Table1[[#This Row],[Order_Date]])</f>
        <v>2023</v>
      </c>
      <c r="O2015" s="7">
        <f>Table1[[#This Row],[Profit]]/Table1[[#This Row],[Total_Sales]]</f>
        <v>0.37446524064171122</v>
      </c>
    </row>
    <row r="2016" spans="1:15" x14ac:dyDescent="0.25">
      <c r="A2016" s="1">
        <v>2015</v>
      </c>
      <c r="B2016" s="2">
        <v>45464</v>
      </c>
      <c r="C2016" s="1" t="s">
        <v>19</v>
      </c>
      <c r="D2016" s="1" t="s">
        <v>26</v>
      </c>
      <c r="E2016" s="1" t="s">
        <v>27</v>
      </c>
      <c r="F2016" s="1" t="s">
        <v>15</v>
      </c>
      <c r="G2016" s="1">
        <v>7</v>
      </c>
      <c r="H2016" s="1">
        <v>325</v>
      </c>
      <c r="I2016" s="1">
        <v>5</v>
      </c>
      <c r="J2016" s="4">
        <v>2161.25</v>
      </c>
      <c r="K2016" s="4">
        <v>1420.03</v>
      </c>
      <c r="L2016" s="4">
        <v>741.22</v>
      </c>
      <c r="M2016" s="1" t="str">
        <f>TEXT(Table1[[#This Row],[Order_Date]], "MMM")</f>
        <v>Jun</v>
      </c>
      <c r="N2016" s="1">
        <f>YEAR(Table1[[#This Row],[Order_Date]])</f>
        <v>2024</v>
      </c>
      <c r="O2016" s="7">
        <f>Table1[[#This Row],[Profit]]/Table1[[#This Row],[Total_Sales]]</f>
        <v>0.34295893580104109</v>
      </c>
    </row>
    <row r="2017" spans="1:15" x14ac:dyDescent="0.25">
      <c r="A2017" s="1">
        <v>2016</v>
      </c>
      <c r="B2017" s="2">
        <v>45002</v>
      </c>
      <c r="C2017" s="1" t="s">
        <v>16</v>
      </c>
      <c r="D2017" s="1" t="s">
        <v>13</v>
      </c>
      <c r="E2017" s="1" t="s">
        <v>39</v>
      </c>
      <c r="F2017" s="1" t="s">
        <v>35</v>
      </c>
      <c r="G2017" s="1">
        <v>6</v>
      </c>
      <c r="H2017" s="1">
        <v>412</v>
      </c>
      <c r="I2017" s="1">
        <v>5</v>
      </c>
      <c r="J2017" s="4">
        <v>2348.4</v>
      </c>
      <c r="K2017" s="4">
        <v>1615.77</v>
      </c>
      <c r="L2017" s="4">
        <v>732.63</v>
      </c>
      <c r="M2017" s="1" t="str">
        <f>TEXT(Table1[[#This Row],[Order_Date]], "MMM")</f>
        <v>Mar</v>
      </c>
      <c r="N2017" s="1">
        <f>YEAR(Table1[[#This Row],[Order_Date]])</f>
        <v>2023</v>
      </c>
      <c r="O2017" s="7">
        <f>Table1[[#This Row],[Profit]]/Table1[[#This Row],[Total_Sales]]</f>
        <v>0.311969851814001</v>
      </c>
    </row>
    <row r="2018" spans="1:15" x14ac:dyDescent="0.25">
      <c r="A2018" s="1">
        <v>2017</v>
      </c>
      <c r="B2018" s="2">
        <v>45652</v>
      </c>
      <c r="C2018" s="1" t="s">
        <v>19</v>
      </c>
      <c r="D2018" s="1" t="s">
        <v>26</v>
      </c>
      <c r="E2018" s="1" t="s">
        <v>37</v>
      </c>
      <c r="F2018" s="1" t="s">
        <v>24</v>
      </c>
      <c r="G2018" s="1">
        <v>3</v>
      </c>
      <c r="H2018" s="1">
        <v>457</v>
      </c>
      <c r="I2018" s="1">
        <v>10</v>
      </c>
      <c r="J2018" s="4">
        <v>1233.9000000000001</v>
      </c>
      <c r="K2018" s="4">
        <v>971.49</v>
      </c>
      <c r="L2018" s="4">
        <v>262.41000000000003</v>
      </c>
      <c r="M2018" s="1" t="str">
        <f>TEXT(Table1[[#This Row],[Order_Date]], "MMM")</f>
        <v>Dec</v>
      </c>
      <c r="N2018" s="1">
        <f>YEAR(Table1[[#This Row],[Order_Date]])</f>
        <v>2024</v>
      </c>
      <c r="O2018" s="7">
        <f>Table1[[#This Row],[Profit]]/Table1[[#This Row],[Total_Sales]]</f>
        <v>0.21266715292973498</v>
      </c>
    </row>
    <row r="2019" spans="1:15" x14ac:dyDescent="0.25">
      <c r="A2019" s="1">
        <v>2018</v>
      </c>
      <c r="B2019" s="2">
        <v>45412</v>
      </c>
      <c r="C2019" s="1" t="s">
        <v>19</v>
      </c>
      <c r="D2019" s="1" t="s">
        <v>13</v>
      </c>
      <c r="E2019" s="1" t="s">
        <v>39</v>
      </c>
      <c r="F2019" s="1" t="s">
        <v>15</v>
      </c>
      <c r="G2019" s="1">
        <v>6</v>
      </c>
      <c r="H2019" s="1">
        <v>610</v>
      </c>
      <c r="I2019" s="1">
        <v>15</v>
      </c>
      <c r="J2019" s="4">
        <v>3111</v>
      </c>
      <c r="K2019" s="4">
        <v>2464</v>
      </c>
      <c r="L2019" s="4">
        <v>647</v>
      </c>
      <c r="M2019" s="1" t="str">
        <f>TEXT(Table1[[#This Row],[Order_Date]], "MMM")</f>
        <v>Apr</v>
      </c>
      <c r="N2019" s="1">
        <f>YEAR(Table1[[#This Row],[Order_Date]])</f>
        <v>2024</v>
      </c>
      <c r="O2019" s="7">
        <f>Table1[[#This Row],[Profit]]/Table1[[#This Row],[Total_Sales]]</f>
        <v>0.20797171327547412</v>
      </c>
    </row>
    <row r="2020" spans="1:15" x14ac:dyDescent="0.25">
      <c r="A2020" s="1">
        <v>2019</v>
      </c>
      <c r="B2020" s="2">
        <v>45600</v>
      </c>
      <c r="C2020" s="1" t="s">
        <v>16</v>
      </c>
      <c r="D2020" s="1" t="s">
        <v>20</v>
      </c>
      <c r="E2020" s="1" t="s">
        <v>43</v>
      </c>
      <c r="F2020" s="1" t="s">
        <v>40</v>
      </c>
      <c r="G2020" s="1">
        <v>9</v>
      </c>
      <c r="H2020" s="1">
        <v>717</v>
      </c>
      <c r="I2020" s="1">
        <v>0</v>
      </c>
      <c r="J2020" s="4">
        <v>6453</v>
      </c>
      <c r="K2020" s="4">
        <v>3330.49</v>
      </c>
      <c r="L2020" s="4">
        <v>3122.51</v>
      </c>
      <c r="M2020" s="1" t="str">
        <f>TEXT(Table1[[#This Row],[Order_Date]], "MMM")</f>
        <v>Nov</v>
      </c>
      <c r="N2020" s="1">
        <f>YEAR(Table1[[#This Row],[Order_Date]])</f>
        <v>2024</v>
      </c>
      <c r="O2020" s="7">
        <f>Table1[[#This Row],[Profit]]/Table1[[#This Row],[Total_Sales]]</f>
        <v>0.48388501472183482</v>
      </c>
    </row>
    <row r="2021" spans="1:15" x14ac:dyDescent="0.25">
      <c r="A2021" s="1">
        <v>2020</v>
      </c>
      <c r="B2021" s="2">
        <v>45379</v>
      </c>
      <c r="C2021" s="1" t="s">
        <v>12</v>
      </c>
      <c r="D2021" s="1" t="s">
        <v>26</v>
      </c>
      <c r="E2021" s="1" t="s">
        <v>37</v>
      </c>
      <c r="F2021" s="1" t="s">
        <v>35</v>
      </c>
      <c r="G2021" s="1">
        <v>6</v>
      </c>
      <c r="H2021" s="1">
        <v>853</v>
      </c>
      <c r="I2021" s="1">
        <v>0</v>
      </c>
      <c r="J2021" s="4">
        <v>5118</v>
      </c>
      <c r="K2021" s="4">
        <v>3751.35</v>
      </c>
      <c r="L2021" s="4">
        <v>1366.65</v>
      </c>
      <c r="M2021" s="1" t="str">
        <f>TEXT(Table1[[#This Row],[Order_Date]], "MMM")</f>
        <v>Mar</v>
      </c>
      <c r="N2021" s="1">
        <f>YEAR(Table1[[#This Row],[Order_Date]])</f>
        <v>2024</v>
      </c>
      <c r="O2021" s="7">
        <f>Table1[[#This Row],[Profit]]/Table1[[#This Row],[Total_Sales]]</f>
        <v>0.26702813599062136</v>
      </c>
    </row>
    <row r="2022" spans="1:15" x14ac:dyDescent="0.25">
      <c r="A2022" s="1">
        <v>2021</v>
      </c>
      <c r="B2022" s="2">
        <v>45288</v>
      </c>
      <c r="C2022" s="1" t="s">
        <v>25</v>
      </c>
      <c r="D2022" s="1" t="s">
        <v>32</v>
      </c>
      <c r="E2022" s="1" t="s">
        <v>41</v>
      </c>
      <c r="F2022" s="1" t="s">
        <v>24</v>
      </c>
      <c r="G2022" s="1">
        <v>6</v>
      </c>
      <c r="H2022" s="1">
        <v>689</v>
      </c>
      <c r="I2022" s="1">
        <v>5</v>
      </c>
      <c r="J2022" s="4">
        <v>3927.3</v>
      </c>
      <c r="K2022" s="4">
        <v>2205.62</v>
      </c>
      <c r="L2022" s="4">
        <v>1721.68</v>
      </c>
      <c r="M2022" s="1" t="str">
        <f>TEXT(Table1[[#This Row],[Order_Date]], "MMM")</f>
        <v>Dec</v>
      </c>
      <c r="N2022" s="1">
        <f>YEAR(Table1[[#This Row],[Order_Date]])</f>
        <v>2023</v>
      </c>
      <c r="O2022" s="7">
        <f>Table1[[#This Row],[Profit]]/Table1[[#This Row],[Total_Sales]]</f>
        <v>0.43838769638173808</v>
      </c>
    </row>
    <row r="2023" spans="1:15" x14ac:dyDescent="0.25">
      <c r="A2023" s="1">
        <v>2022</v>
      </c>
      <c r="B2023" s="2">
        <v>45612</v>
      </c>
      <c r="C2023" s="1" t="s">
        <v>25</v>
      </c>
      <c r="D2023" s="1" t="s">
        <v>22</v>
      </c>
      <c r="E2023" s="1" t="s">
        <v>44</v>
      </c>
      <c r="F2023" s="1" t="s">
        <v>15</v>
      </c>
      <c r="G2023" s="1">
        <v>9</v>
      </c>
      <c r="H2023" s="1">
        <v>377</v>
      </c>
      <c r="I2023" s="1">
        <v>5</v>
      </c>
      <c r="J2023" s="4">
        <v>3223.35</v>
      </c>
      <c r="K2023" s="4">
        <v>2005.2</v>
      </c>
      <c r="L2023" s="4">
        <v>1218.1500000000001</v>
      </c>
      <c r="M2023" s="1" t="str">
        <f>TEXT(Table1[[#This Row],[Order_Date]], "MMM")</f>
        <v>Nov</v>
      </c>
      <c r="N2023" s="1">
        <f>YEAR(Table1[[#This Row],[Order_Date]])</f>
        <v>2024</v>
      </c>
      <c r="O2023" s="7">
        <f>Table1[[#This Row],[Profit]]/Table1[[#This Row],[Total_Sales]]</f>
        <v>0.37791428172553404</v>
      </c>
    </row>
    <row r="2024" spans="1:15" x14ac:dyDescent="0.25">
      <c r="A2024" s="1">
        <v>2023</v>
      </c>
      <c r="B2024" s="2">
        <v>45484</v>
      </c>
      <c r="C2024" s="1" t="s">
        <v>16</v>
      </c>
      <c r="D2024" s="1" t="s">
        <v>22</v>
      </c>
      <c r="E2024" s="1" t="s">
        <v>36</v>
      </c>
      <c r="F2024" s="1" t="s">
        <v>31</v>
      </c>
      <c r="G2024" s="1">
        <v>1</v>
      </c>
      <c r="H2024" s="1">
        <v>726</v>
      </c>
      <c r="I2024" s="1">
        <v>20</v>
      </c>
      <c r="J2024" s="4">
        <v>580.79999999999995</v>
      </c>
      <c r="K2024" s="4">
        <v>427.7</v>
      </c>
      <c r="L2024" s="4">
        <v>153.1</v>
      </c>
      <c r="M2024" s="1" t="str">
        <f>TEXT(Table1[[#This Row],[Order_Date]], "MMM")</f>
        <v>Jul</v>
      </c>
      <c r="N2024" s="1">
        <f>YEAR(Table1[[#This Row],[Order_Date]])</f>
        <v>2024</v>
      </c>
      <c r="O2024" s="7">
        <f>Table1[[#This Row],[Profit]]/Table1[[#This Row],[Total_Sales]]</f>
        <v>0.26360192837465568</v>
      </c>
    </row>
    <row r="2025" spans="1:15" x14ac:dyDescent="0.25">
      <c r="A2025" s="1">
        <v>2024</v>
      </c>
      <c r="B2025" s="2">
        <v>44964</v>
      </c>
      <c r="C2025" s="1" t="s">
        <v>25</v>
      </c>
      <c r="D2025" s="1" t="s">
        <v>26</v>
      </c>
      <c r="E2025" s="1" t="s">
        <v>37</v>
      </c>
      <c r="F2025" s="1" t="s">
        <v>24</v>
      </c>
      <c r="G2025" s="1">
        <v>4</v>
      </c>
      <c r="H2025" s="1">
        <v>222</v>
      </c>
      <c r="I2025" s="1">
        <v>5</v>
      </c>
      <c r="J2025" s="4">
        <v>843.6</v>
      </c>
      <c r="K2025" s="4">
        <v>636.96</v>
      </c>
      <c r="L2025" s="4">
        <v>206.64</v>
      </c>
      <c r="M2025" s="1" t="str">
        <f>TEXT(Table1[[#This Row],[Order_Date]], "MMM")</f>
        <v>Feb</v>
      </c>
      <c r="N2025" s="1">
        <f>YEAR(Table1[[#This Row],[Order_Date]])</f>
        <v>2023</v>
      </c>
      <c r="O2025" s="7">
        <f>Table1[[#This Row],[Profit]]/Table1[[#This Row],[Total_Sales]]</f>
        <v>0.24495021337126599</v>
      </c>
    </row>
    <row r="2026" spans="1:15" x14ac:dyDescent="0.25">
      <c r="A2026" s="1">
        <v>2025</v>
      </c>
      <c r="B2026" s="2">
        <v>44963</v>
      </c>
      <c r="C2026" s="1" t="s">
        <v>19</v>
      </c>
      <c r="D2026" s="1" t="s">
        <v>20</v>
      </c>
      <c r="E2026" s="1" t="s">
        <v>30</v>
      </c>
      <c r="F2026" s="1" t="s">
        <v>40</v>
      </c>
      <c r="G2026" s="1">
        <v>3</v>
      </c>
      <c r="H2026" s="1">
        <v>581</v>
      </c>
      <c r="I2026" s="1">
        <v>0</v>
      </c>
      <c r="J2026" s="4">
        <v>1743</v>
      </c>
      <c r="K2026" s="4">
        <v>1173.71</v>
      </c>
      <c r="L2026" s="4">
        <v>569.29</v>
      </c>
      <c r="M2026" s="1" t="str">
        <f>TEXT(Table1[[#This Row],[Order_Date]], "MMM")</f>
        <v>Feb</v>
      </c>
      <c r="N2026" s="1">
        <f>YEAR(Table1[[#This Row],[Order_Date]])</f>
        <v>2023</v>
      </c>
      <c r="O2026" s="7">
        <f>Table1[[#This Row],[Profit]]/Table1[[#This Row],[Total_Sales]]</f>
        <v>0.32661503155479055</v>
      </c>
    </row>
    <row r="2027" spans="1:15" x14ac:dyDescent="0.25">
      <c r="A2027" s="1">
        <v>2026</v>
      </c>
      <c r="B2027" s="2">
        <v>45064</v>
      </c>
      <c r="C2027" s="1" t="s">
        <v>12</v>
      </c>
      <c r="D2027" s="1" t="s">
        <v>22</v>
      </c>
      <c r="E2027" s="1" t="s">
        <v>23</v>
      </c>
      <c r="F2027" s="1" t="s">
        <v>15</v>
      </c>
      <c r="G2027" s="1">
        <v>5</v>
      </c>
      <c r="H2027" s="1">
        <v>660</v>
      </c>
      <c r="I2027" s="1">
        <v>10</v>
      </c>
      <c r="J2027" s="4">
        <v>2970</v>
      </c>
      <c r="K2027" s="4">
        <v>1606.33</v>
      </c>
      <c r="L2027" s="4">
        <v>1363.67</v>
      </c>
      <c r="M2027" s="1" t="str">
        <f>TEXT(Table1[[#This Row],[Order_Date]], "MMM")</f>
        <v>May</v>
      </c>
      <c r="N2027" s="1">
        <f>YEAR(Table1[[#This Row],[Order_Date]])</f>
        <v>2023</v>
      </c>
      <c r="O2027" s="7">
        <f>Table1[[#This Row],[Profit]]/Table1[[#This Row],[Total_Sales]]</f>
        <v>0.45914814814814819</v>
      </c>
    </row>
    <row r="2028" spans="1:15" x14ac:dyDescent="0.25">
      <c r="A2028" s="1">
        <v>2027</v>
      </c>
      <c r="B2028" s="2">
        <v>45637</v>
      </c>
      <c r="C2028" s="1" t="s">
        <v>16</v>
      </c>
      <c r="D2028" s="1" t="s">
        <v>13</v>
      </c>
      <c r="E2028" s="1" t="s">
        <v>38</v>
      </c>
      <c r="F2028" s="1" t="s">
        <v>18</v>
      </c>
      <c r="G2028" s="1">
        <v>4</v>
      </c>
      <c r="H2028" s="1">
        <v>446</v>
      </c>
      <c r="I2028" s="1">
        <v>0</v>
      </c>
      <c r="J2028" s="4">
        <v>1784</v>
      </c>
      <c r="K2028" s="4">
        <v>1408.57</v>
      </c>
      <c r="L2028" s="4">
        <v>375.43</v>
      </c>
      <c r="M2028" s="1" t="str">
        <f>TEXT(Table1[[#This Row],[Order_Date]], "MMM")</f>
        <v>Dec</v>
      </c>
      <c r="N2028" s="1">
        <f>YEAR(Table1[[#This Row],[Order_Date]])</f>
        <v>2024</v>
      </c>
      <c r="O2028" s="7">
        <f>Table1[[#This Row],[Profit]]/Table1[[#This Row],[Total_Sales]]</f>
        <v>0.21044282511210763</v>
      </c>
    </row>
    <row r="2029" spans="1:15" x14ac:dyDescent="0.25">
      <c r="A2029" s="1">
        <v>2028</v>
      </c>
      <c r="B2029" s="2">
        <v>45407</v>
      </c>
      <c r="C2029" s="1" t="s">
        <v>16</v>
      </c>
      <c r="D2029" s="1" t="s">
        <v>26</v>
      </c>
      <c r="E2029" s="1" t="s">
        <v>42</v>
      </c>
      <c r="F2029" s="1" t="s">
        <v>35</v>
      </c>
      <c r="G2029" s="1">
        <v>7</v>
      </c>
      <c r="H2029" s="1">
        <v>253</v>
      </c>
      <c r="I2029" s="1">
        <v>5</v>
      </c>
      <c r="J2029" s="4">
        <v>1682.45</v>
      </c>
      <c r="K2029" s="4">
        <v>890.18</v>
      </c>
      <c r="L2029" s="4">
        <v>792.27</v>
      </c>
      <c r="M2029" s="1" t="str">
        <f>TEXT(Table1[[#This Row],[Order_Date]], "MMM")</f>
        <v>Apr</v>
      </c>
      <c r="N2029" s="1">
        <f>YEAR(Table1[[#This Row],[Order_Date]])</f>
        <v>2024</v>
      </c>
      <c r="O2029" s="7">
        <f>Table1[[#This Row],[Profit]]/Table1[[#This Row],[Total_Sales]]</f>
        <v>0.47090255282474958</v>
      </c>
    </row>
    <row r="2030" spans="1:15" x14ac:dyDescent="0.25">
      <c r="A2030" s="1">
        <v>2029</v>
      </c>
      <c r="B2030" s="2">
        <v>45596</v>
      </c>
      <c r="C2030" s="1" t="s">
        <v>19</v>
      </c>
      <c r="D2030" s="1" t="s">
        <v>20</v>
      </c>
      <c r="E2030" s="1" t="s">
        <v>28</v>
      </c>
      <c r="F2030" s="1" t="s">
        <v>35</v>
      </c>
      <c r="G2030" s="1">
        <v>4</v>
      </c>
      <c r="H2030" s="1">
        <v>798</v>
      </c>
      <c r="I2030" s="1">
        <v>20</v>
      </c>
      <c r="J2030" s="4">
        <v>2553.6</v>
      </c>
      <c r="K2030" s="4">
        <v>1455.95</v>
      </c>
      <c r="L2030" s="4">
        <v>1097.6500000000001</v>
      </c>
      <c r="M2030" s="1" t="str">
        <f>TEXT(Table1[[#This Row],[Order_Date]], "MMM")</f>
        <v>Oct</v>
      </c>
      <c r="N2030" s="1">
        <f>YEAR(Table1[[#This Row],[Order_Date]])</f>
        <v>2024</v>
      </c>
      <c r="O2030" s="7">
        <f>Table1[[#This Row],[Profit]]/Table1[[#This Row],[Total_Sales]]</f>
        <v>0.42984414160401008</v>
      </c>
    </row>
    <row r="2031" spans="1:15" x14ac:dyDescent="0.25">
      <c r="A2031" s="1">
        <v>2030</v>
      </c>
      <c r="B2031" s="2">
        <v>44950</v>
      </c>
      <c r="C2031" s="1" t="s">
        <v>25</v>
      </c>
      <c r="D2031" s="1" t="s">
        <v>22</v>
      </c>
      <c r="E2031" s="1" t="s">
        <v>23</v>
      </c>
      <c r="F2031" s="1" t="s">
        <v>40</v>
      </c>
      <c r="G2031" s="1">
        <v>5</v>
      </c>
      <c r="H2031" s="1">
        <v>360</v>
      </c>
      <c r="I2031" s="1">
        <v>5</v>
      </c>
      <c r="J2031" s="4">
        <v>1710</v>
      </c>
      <c r="K2031" s="4">
        <v>1323.35</v>
      </c>
      <c r="L2031" s="4">
        <v>386.65</v>
      </c>
      <c r="M2031" s="1" t="str">
        <f>TEXT(Table1[[#This Row],[Order_Date]], "MMM")</f>
        <v>Jan</v>
      </c>
      <c r="N2031" s="1">
        <f>YEAR(Table1[[#This Row],[Order_Date]])</f>
        <v>2023</v>
      </c>
      <c r="O2031" s="7">
        <f>Table1[[#This Row],[Profit]]/Table1[[#This Row],[Total_Sales]]</f>
        <v>0.2261111111111111</v>
      </c>
    </row>
    <row r="2032" spans="1:15" x14ac:dyDescent="0.25">
      <c r="A2032" s="1">
        <v>2031</v>
      </c>
      <c r="B2032" s="2">
        <v>45633</v>
      </c>
      <c r="C2032" s="1" t="s">
        <v>16</v>
      </c>
      <c r="D2032" s="1" t="s">
        <v>26</v>
      </c>
      <c r="E2032" s="1" t="s">
        <v>46</v>
      </c>
      <c r="F2032" s="1" t="s">
        <v>24</v>
      </c>
      <c r="G2032" s="1">
        <v>2</v>
      </c>
      <c r="H2032" s="1">
        <v>960</v>
      </c>
      <c r="I2032" s="1">
        <v>15</v>
      </c>
      <c r="J2032" s="4">
        <v>1632</v>
      </c>
      <c r="K2032" s="4">
        <v>1067.3900000000001</v>
      </c>
      <c r="L2032" s="4">
        <v>564.61</v>
      </c>
      <c r="M2032" s="1" t="str">
        <f>TEXT(Table1[[#This Row],[Order_Date]], "MMM")</f>
        <v>Dec</v>
      </c>
      <c r="N2032" s="1">
        <f>YEAR(Table1[[#This Row],[Order_Date]])</f>
        <v>2024</v>
      </c>
      <c r="O2032" s="7">
        <f>Table1[[#This Row],[Profit]]/Table1[[#This Row],[Total_Sales]]</f>
        <v>0.34596200980392156</v>
      </c>
    </row>
    <row r="2033" spans="1:15" x14ac:dyDescent="0.25">
      <c r="A2033" s="1">
        <v>2032</v>
      </c>
      <c r="B2033" s="2">
        <v>45145</v>
      </c>
      <c r="C2033" s="1" t="s">
        <v>19</v>
      </c>
      <c r="D2033" s="1" t="s">
        <v>13</v>
      </c>
      <c r="E2033" s="1" t="s">
        <v>17</v>
      </c>
      <c r="F2033" s="1" t="s">
        <v>24</v>
      </c>
      <c r="G2033" s="1">
        <v>5</v>
      </c>
      <c r="H2033" s="1">
        <v>905</v>
      </c>
      <c r="I2033" s="1">
        <v>20</v>
      </c>
      <c r="J2033" s="4">
        <v>3620</v>
      </c>
      <c r="K2033" s="4">
        <v>2800.94</v>
      </c>
      <c r="L2033" s="4">
        <v>819.06</v>
      </c>
      <c r="M2033" s="1" t="str">
        <f>TEXT(Table1[[#This Row],[Order_Date]], "MMM")</f>
        <v>Aug</v>
      </c>
      <c r="N2033" s="1">
        <f>YEAR(Table1[[#This Row],[Order_Date]])</f>
        <v>2023</v>
      </c>
      <c r="O2033" s="7">
        <f>Table1[[#This Row],[Profit]]/Table1[[#This Row],[Total_Sales]]</f>
        <v>0.22625966850828727</v>
      </c>
    </row>
    <row r="2034" spans="1:15" x14ac:dyDescent="0.25">
      <c r="A2034" s="1">
        <v>2033</v>
      </c>
      <c r="B2034" s="2">
        <v>45633</v>
      </c>
      <c r="C2034" s="1" t="s">
        <v>16</v>
      </c>
      <c r="D2034" s="1" t="s">
        <v>32</v>
      </c>
      <c r="E2034" s="1" t="s">
        <v>34</v>
      </c>
      <c r="F2034" s="1" t="s">
        <v>18</v>
      </c>
      <c r="G2034" s="1">
        <v>3</v>
      </c>
      <c r="H2034" s="1">
        <v>307</v>
      </c>
      <c r="I2034" s="1">
        <v>10</v>
      </c>
      <c r="J2034" s="4">
        <v>828.9</v>
      </c>
      <c r="K2034" s="4">
        <v>422.95</v>
      </c>
      <c r="L2034" s="4">
        <v>405.95</v>
      </c>
      <c r="M2034" s="1" t="str">
        <f>TEXT(Table1[[#This Row],[Order_Date]], "MMM")</f>
        <v>Dec</v>
      </c>
      <c r="N2034" s="1">
        <f>YEAR(Table1[[#This Row],[Order_Date]])</f>
        <v>2024</v>
      </c>
      <c r="O2034" s="7">
        <f>Table1[[#This Row],[Profit]]/Table1[[#This Row],[Total_Sales]]</f>
        <v>0.48974544577150442</v>
      </c>
    </row>
    <row r="2035" spans="1:15" x14ac:dyDescent="0.25">
      <c r="A2035" s="1">
        <v>2034</v>
      </c>
      <c r="B2035" s="2">
        <v>45386</v>
      </c>
      <c r="C2035" s="1" t="s">
        <v>25</v>
      </c>
      <c r="D2035" s="1" t="s">
        <v>26</v>
      </c>
      <c r="E2035" s="1" t="s">
        <v>46</v>
      </c>
      <c r="F2035" s="1" t="s">
        <v>18</v>
      </c>
      <c r="G2035" s="1">
        <v>2</v>
      </c>
      <c r="H2035" s="1">
        <v>82</v>
      </c>
      <c r="I2035" s="1">
        <v>15</v>
      </c>
      <c r="J2035" s="4">
        <v>139.4</v>
      </c>
      <c r="K2035" s="4">
        <v>82.32</v>
      </c>
      <c r="L2035" s="4">
        <v>57.08</v>
      </c>
      <c r="M2035" s="1" t="str">
        <f>TEXT(Table1[[#This Row],[Order_Date]], "MMM")</f>
        <v>Apr</v>
      </c>
      <c r="N2035" s="1">
        <f>YEAR(Table1[[#This Row],[Order_Date]])</f>
        <v>2024</v>
      </c>
      <c r="O2035" s="7">
        <f>Table1[[#This Row],[Profit]]/Table1[[#This Row],[Total_Sales]]</f>
        <v>0.40946915351506452</v>
      </c>
    </row>
    <row r="2036" spans="1:15" x14ac:dyDescent="0.25">
      <c r="A2036" s="1">
        <v>2035</v>
      </c>
      <c r="B2036" s="2">
        <v>45590</v>
      </c>
      <c r="C2036" s="1" t="s">
        <v>16</v>
      </c>
      <c r="D2036" s="1" t="s">
        <v>13</v>
      </c>
      <c r="E2036" s="1" t="s">
        <v>39</v>
      </c>
      <c r="F2036" s="1" t="s">
        <v>15</v>
      </c>
      <c r="G2036" s="1">
        <v>2</v>
      </c>
      <c r="H2036" s="1">
        <v>747</v>
      </c>
      <c r="I2036" s="1">
        <v>20</v>
      </c>
      <c r="J2036" s="4">
        <v>1195.2</v>
      </c>
      <c r="K2036" s="4">
        <v>607.88</v>
      </c>
      <c r="L2036" s="4">
        <v>587.32000000000005</v>
      </c>
      <c r="M2036" s="1" t="str">
        <f>TEXT(Table1[[#This Row],[Order_Date]], "MMM")</f>
        <v>Oct</v>
      </c>
      <c r="N2036" s="1">
        <f>YEAR(Table1[[#This Row],[Order_Date]])</f>
        <v>2024</v>
      </c>
      <c r="O2036" s="7">
        <f>Table1[[#This Row],[Profit]]/Table1[[#This Row],[Total_Sales]]</f>
        <v>0.49139892904953147</v>
      </c>
    </row>
    <row r="2037" spans="1:15" x14ac:dyDescent="0.25">
      <c r="A2037" s="1">
        <v>2036</v>
      </c>
      <c r="B2037" s="2">
        <v>45585</v>
      </c>
      <c r="C2037" s="1" t="s">
        <v>16</v>
      </c>
      <c r="D2037" s="1" t="s">
        <v>13</v>
      </c>
      <c r="E2037" s="1" t="s">
        <v>38</v>
      </c>
      <c r="F2037" s="1" t="s">
        <v>15</v>
      </c>
      <c r="G2037" s="1">
        <v>9</v>
      </c>
      <c r="H2037" s="1">
        <v>401</v>
      </c>
      <c r="I2037" s="1">
        <v>20</v>
      </c>
      <c r="J2037" s="4">
        <v>2887.2</v>
      </c>
      <c r="K2037" s="4">
        <v>2088.4</v>
      </c>
      <c r="L2037" s="4">
        <v>798.8</v>
      </c>
      <c r="M2037" s="1" t="str">
        <f>TEXT(Table1[[#This Row],[Order_Date]], "MMM")</f>
        <v>Oct</v>
      </c>
      <c r="N2037" s="1">
        <f>YEAR(Table1[[#This Row],[Order_Date]])</f>
        <v>2024</v>
      </c>
      <c r="O2037" s="7">
        <f>Table1[[#This Row],[Profit]]/Table1[[#This Row],[Total_Sales]]</f>
        <v>0.27666943751731782</v>
      </c>
    </row>
    <row r="2038" spans="1:15" x14ac:dyDescent="0.25">
      <c r="A2038" s="1">
        <v>2037</v>
      </c>
      <c r="B2038" s="2">
        <v>44953</v>
      </c>
      <c r="C2038" s="1" t="s">
        <v>19</v>
      </c>
      <c r="D2038" s="1" t="s">
        <v>32</v>
      </c>
      <c r="E2038" s="1" t="s">
        <v>41</v>
      </c>
      <c r="F2038" s="1" t="s">
        <v>15</v>
      </c>
      <c r="G2038" s="1">
        <v>9</v>
      </c>
      <c r="H2038" s="1">
        <v>289</v>
      </c>
      <c r="I2038" s="1">
        <v>5</v>
      </c>
      <c r="J2038" s="4">
        <v>2470.9499999999998</v>
      </c>
      <c r="K2038" s="4">
        <v>1966.98</v>
      </c>
      <c r="L2038" s="4">
        <v>503.97</v>
      </c>
      <c r="M2038" s="1" t="str">
        <f>TEXT(Table1[[#This Row],[Order_Date]], "MMM")</f>
        <v>Jan</v>
      </c>
      <c r="N2038" s="1">
        <f>YEAR(Table1[[#This Row],[Order_Date]])</f>
        <v>2023</v>
      </c>
      <c r="O2038" s="7">
        <f>Table1[[#This Row],[Profit]]/Table1[[#This Row],[Total_Sales]]</f>
        <v>0.20395799186547686</v>
      </c>
    </row>
    <row r="2039" spans="1:15" x14ac:dyDescent="0.25">
      <c r="A2039" s="1">
        <v>2038</v>
      </c>
      <c r="B2039" s="2">
        <v>45061</v>
      </c>
      <c r="C2039" s="1" t="s">
        <v>12</v>
      </c>
      <c r="D2039" s="1" t="s">
        <v>22</v>
      </c>
      <c r="E2039" s="1" t="s">
        <v>23</v>
      </c>
      <c r="F2039" s="1" t="s">
        <v>35</v>
      </c>
      <c r="G2039" s="1">
        <v>2</v>
      </c>
      <c r="H2039" s="1">
        <v>957</v>
      </c>
      <c r="I2039" s="1">
        <v>15</v>
      </c>
      <c r="J2039" s="4">
        <v>1626.9</v>
      </c>
      <c r="K2039" s="4">
        <v>915.71</v>
      </c>
      <c r="L2039" s="4">
        <v>711.19</v>
      </c>
      <c r="M2039" s="1" t="str">
        <f>TEXT(Table1[[#This Row],[Order_Date]], "MMM")</f>
        <v>May</v>
      </c>
      <c r="N2039" s="1">
        <f>YEAR(Table1[[#This Row],[Order_Date]])</f>
        <v>2023</v>
      </c>
      <c r="O2039" s="7">
        <f>Table1[[#This Row],[Profit]]/Table1[[#This Row],[Total_Sales]]</f>
        <v>0.43714426209355217</v>
      </c>
    </row>
    <row r="2040" spans="1:15" x14ac:dyDescent="0.25">
      <c r="A2040" s="1">
        <v>2039</v>
      </c>
      <c r="B2040" s="2">
        <v>45570</v>
      </c>
      <c r="C2040" s="1" t="s">
        <v>16</v>
      </c>
      <c r="D2040" s="1" t="s">
        <v>13</v>
      </c>
      <c r="E2040" s="1" t="s">
        <v>14</v>
      </c>
      <c r="F2040" s="1" t="s">
        <v>40</v>
      </c>
      <c r="G2040" s="1">
        <v>4</v>
      </c>
      <c r="H2040" s="1">
        <v>602</v>
      </c>
      <c r="I2040" s="1">
        <v>10</v>
      </c>
      <c r="J2040" s="4">
        <v>2167.1999999999998</v>
      </c>
      <c r="K2040" s="4">
        <v>1498.85</v>
      </c>
      <c r="L2040" s="4">
        <v>668.35</v>
      </c>
      <c r="M2040" s="1" t="str">
        <f>TEXT(Table1[[#This Row],[Order_Date]], "MMM")</f>
        <v>Oct</v>
      </c>
      <c r="N2040" s="1">
        <f>YEAR(Table1[[#This Row],[Order_Date]])</f>
        <v>2024</v>
      </c>
      <c r="O2040" s="7">
        <f>Table1[[#This Row],[Profit]]/Table1[[#This Row],[Total_Sales]]</f>
        <v>0.30839331856773722</v>
      </c>
    </row>
    <row r="2041" spans="1:15" x14ac:dyDescent="0.25">
      <c r="A2041" s="1">
        <v>2040</v>
      </c>
      <c r="B2041" s="2">
        <v>45385</v>
      </c>
      <c r="C2041" s="1" t="s">
        <v>25</v>
      </c>
      <c r="D2041" s="1" t="s">
        <v>26</v>
      </c>
      <c r="E2041" s="1" t="s">
        <v>46</v>
      </c>
      <c r="F2041" s="1" t="s">
        <v>24</v>
      </c>
      <c r="G2041" s="1">
        <v>7</v>
      </c>
      <c r="H2041" s="1">
        <v>727</v>
      </c>
      <c r="I2041" s="1">
        <v>20</v>
      </c>
      <c r="J2041" s="4">
        <v>4071.2</v>
      </c>
      <c r="K2041" s="4">
        <v>2055.44</v>
      </c>
      <c r="L2041" s="4">
        <v>2015.76</v>
      </c>
      <c r="M2041" s="1" t="str">
        <f>TEXT(Table1[[#This Row],[Order_Date]], "MMM")</f>
        <v>Apr</v>
      </c>
      <c r="N2041" s="1">
        <f>YEAR(Table1[[#This Row],[Order_Date]])</f>
        <v>2024</v>
      </c>
      <c r="O2041" s="7">
        <f>Table1[[#This Row],[Profit]]/Table1[[#This Row],[Total_Sales]]</f>
        <v>0.49512674395755552</v>
      </c>
    </row>
    <row r="2042" spans="1:15" x14ac:dyDescent="0.25">
      <c r="A2042" s="1">
        <v>2041</v>
      </c>
      <c r="B2042" s="2">
        <v>45019</v>
      </c>
      <c r="C2042" s="1" t="s">
        <v>16</v>
      </c>
      <c r="D2042" s="1" t="s">
        <v>22</v>
      </c>
      <c r="E2042" s="1" t="s">
        <v>44</v>
      </c>
      <c r="F2042" s="1" t="s">
        <v>24</v>
      </c>
      <c r="G2042" s="1">
        <v>7</v>
      </c>
      <c r="H2042" s="1">
        <v>986</v>
      </c>
      <c r="I2042" s="1">
        <v>20</v>
      </c>
      <c r="J2042" s="4">
        <v>5521.6</v>
      </c>
      <c r="K2042" s="4">
        <v>3497.32</v>
      </c>
      <c r="L2042" s="4">
        <v>2024.28</v>
      </c>
      <c r="M2042" s="1" t="str">
        <f>TEXT(Table1[[#This Row],[Order_Date]], "MMM")</f>
        <v>Apr</v>
      </c>
      <c r="N2042" s="1">
        <f>YEAR(Table1[[#This Row],[Order_Date]])</f>
        <v>2023</v>
      </c>
      <c r="O2042" s="7">
        <f>Table1[[#This Row],[Profit]]/Table1[[#This Row],[Total_Sales]]</f>
        <v>0.36661112720950445</v>
      </c>
    </row>
    <row r="2043" spans="1:15" x14ac:dyDescent="0.25">
      <c r="A2043" s="1">
        <v>2042</v>
      </c>
      <c r="B2043" s="2">
        <v>45222</v>
      </c>
      <c r="C2043" s="1" t="s">
        <v>12</v>
      </c>
      <c r="D2043" s="1" t="s">
        <v>26</v>
      </c>
      <c r="E2043" s="1" t="s">
        <v>46</v>
      </c>
      <c r="F2043" s="1" t="s">
        <v>31</v>
      </c>
      <c r="G2043" s="1">
        <v>3</v>
      </c>
      <c r="H2043" s="1">
        <v>871</v>
      </c>
      <c r="I2043" s="1">
        <v>15</v>
      </c>
      <c r="J2043" s="4">
        <v>2221.0500000000002</v>
      </c>
      <c r="K2043" s="4">
        <v>1721.29</v>
      </c>
      <c r="L2043" s="4">
        <v>499.76</v>
      </c>
      <c r="M2043" s="1" t="str">
        <f>TEXT(Table1[[#This Row],[Order_Date]], "MMM")</f>
        <v>Oct</v>
      </c>
      <c r="N2043" s="1">
        <f>YEAR(Table1[[#This Row],[Order_Date]])</f>
        <v>2023</v>
      </c>
      <c r="O2043" s="7">
        <f>Table1[[#This Row],[Profit]]/Table1[[#This Row],[Total_Sales]]</f>
        <v>0.22501069314063166</v>
      </c>
    </row>
    <row r="2044" spans="1:15" x14ac:dyDescent="0.25">
      <c r="A2044" s="1">
        <v>2043</v>
      </c>
      <c r="B2044" s="2">
        <v>45012</v>
      </c>
      <c r="C2044" s="1" t="s">
        <v>25</v>
      </c>
      <c r="D2044" s="1" t="s">
        <v>20</v>
      </c>
      <c r="E2044" s="1" t="s">
        <v>28</v>
      </c>
      <c r="F2044" s="1" t="s">
        <v>35</v>
      </c>
      <c r="G2044" s="1">
        <v>8</v>
      </c>
      <c r="H2044" s="1">
        <v>698</v>
      </c>
      <c r="I2044" s="1">
        <v>5</v>
      </c>
      <c r="J2044" s="4">
        <v>5304.8</v>
      </c>
      <c r="K2044" s="4">
        <v>3211.47</v>
      </c>
      <c r="L2044" s="4">
        <v>2093.33</v>
      </c>
      <c r="M2044" s="1" t="str">
        <f>TEXT(Table1[[#This Row],[Order_Date]], "MMM")</f>
        <v>Mar</v>
      </c>
      <c r="N2044" s="1">
        <f>YEAR(Table1[[#This Row],[Order_Date]])</f>
        <v>2023</v>
      </c>
      <c r="O2044" s="7">
        <f>Table1[[#This Row],[Profit]]/Table1[[#This Row],[Total_Sales]]</f>
        <v>0.39461054139647112</v>
      </c>
    </row>
    <row r="2045" spans="1:15" x14ac:dyDescent="0.25">
      <c r="A2045" s="1">
        <v>2044</v>
      </c>
      <c r="B2045" s="2">
        <v>45035</v>
      </c>
      <c r="C2045" s="1" t="s">
        <v>16</v>
      </c>
      <c r="D2045" s="1" t="s">
        <v>13</v>
      </c>
      <c r="E2045" s="1" t="s">
        <v>38</v>
      </c>
      <c r="F2045" s="1" t="s">
        <v>18</v>
      </c>
      <c r="G2045" s="1">
        <v>1</v>
      </c>
      <c r="H2045" s="1">
        <v>242</v>
      </c>
      <c r="I2045" s="1">
        <v>0</v>
      </c>
      <c r="J2045" s="4">
        <v>242</v>
      </c>
      <c r="K2045" s="4">
        <v>123.56</v>
      </c>
      <c r="L2045" s="4">
        <v>118.44</v>
      </c>
      <c r="M2045" s="1" t="str">
        <f>TEXT(Table1[[#This Row],[Order_Date]], "MMM")</f>
        <v>Apr</v>
      </c>
      <c r="N2045" s="1">
        <f>YEAR(Table1[[#This Row],[Order_Date]])</f>
        <v>2023</v>
      </c>
      <c r="O2045" s="7">
        <f>Table1[[#This Row],[Profit]]/Table1[[#This Row],[Total_Sales]]</f>
        <v>0.48942148760330578</v>
      </c>
    </row>
    <row r="2046" spans="1:15" x14ac:dyDescent="0.25">
      <c r="A2046" s="1">
        <v>2045</v>
      </c>
      <c r="B2046" s="2">
        <v>45478</v>
      </c>
      <c r="C2046" s="1" t="s">
        <v>12</v>
      </c>
      <c r="D2046" s="1" t="s">
        <v>20</v>
      </c>
      <c r="E2046" s="1" t="s">
        <v>28</v>
      </c>
      <c r="F2046" s="1" t="s">
        <v>15</v>
      </c>
      <c r="G2046" s="1">
        <v>8</v>
      </c>
      <c r="H2046" s="1">
        <v>154</v>
      </c>
      <c r="I2046" s="1">
        <v>10</v>
      </c>
      <c r="J2046" s="4">
        <v>1108.8</v>
      </c>
      <c r="K2046" s="4">
        <v>634.41</v>
      </c>
      <c r="L2046" s="4">
        <v>474.39</v>
      </c>
      <c r="M2046" s="1" t="str">
        <f>TEXT(Table1[[#This Row],[Order_Date]], "MMM")</f>
        <v>Jul</v>
      </c>
      <c r="N2046" s="1">
        <f>YEAR(Table1[[#This Row],[Order_Date]])</f>
        <v>2024</v>
      </c>
      <c r="O2046" s="7">
        <f>Table1[[#This Row],[Profit]]/Table1[[#This Row],[Total_Sales]]</f>
        <v>0.42784090909090911</v>
      </c>
    </row>
    <row r="2047" spans="1:15" x14ac:dyDescent="0.25">
      <c r="A2047" s="1">
        <v>2046</v>
      </c>
      <c r="B2047" s="2">
        <v>45612</v>
      </c>
      <c r="C2047" s="1" t="s">
        <v>25</v>
      </c>
      <c r="D2047" s="1" t="s">
        <v>13</v>
      </c>
      <c r="E2047" s="1" t="s">
        <v>38</v>
      </c>
      <c r="F2047" s="1" t="s">
        <v>31</v>
      </c>
      <c r="G2047" s="1">
        <v>3</v>
      </c>
      <c r="H2047" s="1">
        <v>748</v>
      </c>
      <c r="I2047" s="1">
        <v>10</v>
      </c>
      <c r="J2047" s="4">
        <v>2019.6</v>
      </c>
      <c r="K2047" s="4">
        <v>1490.05</v>
      </c>
      <c r="L2047" s="4">
        <v>529.54999999999995</v>
      </c>
      <c r="M2047" s="1" t="str">
        <f>TEXT(Table1[[#This Row],[Order_Date]], "MMM")</f>
        <v>Nov</v>
      </c>
      <c r="N2047" s="1">
        <f>YEAR(Table1[[#This Row],[Order_Date]])</f>
        <v>2024</v>
      </c>
      <c r="O2047" s="7">
        <f>Table1[[#This Row],[Profit]]/Table1[[#This Row],[Total_Sales]]</f>
        <v>0.26220538720538722</v>
      </c>
    </row>
    <row r="2048" spans="1:15" x14ac:dyDescent="0.25">
      <c r="A2048" s="1">
        <v>2047</v>
      </c>
      <c r="B2048" s="2">
        <v>45195</v>
      </c>
      <c r="C2048" s="1" t="s">
        <v>25</v>
      </c>
      <c r="D2048" s="1" t="s">
        <v>26</v>
      </c>
      <c r="E2048" s="1" t="s">
        <v>42</v>
      </c>
      <c r="F2048" s="1" t="s">
        <v>15</v>
      </c>
      <c r="G2048" s="1">
        <v>7</v>
      </c>
      <c r="H2048" s="1">
        <v>307</v>
      </c>
      <c r="I2048" s="1">
        <v>20</v>
      </c>
      <c r="J2048" s="4">
        <v>1719.2</v>
      </c>
      <c r="K2048" s="4">
        <v>1030.1300000000001</v>
      </c>
      <c r="L2048" s="4">
        <v>689.07</v>
      </c>
      <c r="M2048" s="1" t="str">
        <f>TEXT(Table1[[#This Row],[Order_Date]], "MMM")</f>
        <v>Sep</v>
      </c>
      <c r="N2048" s="1">
        <f>YEAR(Table1[[#This Row],[Order_Date]])</f>
        <v>2023</v>
      </c>
      <c r="O2048" s="7">
        <f>Table1[[#This Row],[Profit]]/Table1[[#This Row],[Total_Sales]]</f>
        <v>0.40080851558864589</v>
      </c>
    </row>
    <row r="2049" spans="1:15" x14ac:dyDescent="0.25">
      <c r="A2049" s="1">
        <v>2048</v>
      </c>
      <c r="B2049" s="2">
        <v>45225</v>
      </c>
      <c r="C2049" s="1" t="s">
        <v>12</v>
      </c>
      <c r="D2049" s="1" t="s">
        <v>32</v>
      </c>
      <c r="E2049" s="1" t="s">
        <v>34</v>
      </c>
      <c r="F2049" s="1" t="s">
        <v>35</v>
      </c>
      <c r="G2049" s="1">
        <v>4</v>
      </c>
      <c r="H2049" s="1">
        <v>958</v>
      </c>
      <c r="I2049" s="1">
        <v>15</v>
      </c>
      <c r="J2049" s="4">
        <v>3257.2</v>
      </c>
      <c r="K2049" s="4">
        <v>2535.12</v>
      </c>
      <c r="L2049" s="4">
        <v>722.08</v>
      </c>
      <c r="M2049" s="1" t="str">
        <f>TEXT(Table1[[#This Row],[Order_Date]], "MMM")</f>
        <v>Oct</v>
      </c>
      <c r="N2049" s="1">
        <f>YEAR(Table1[[#This Row],[Order_Date]])</f>
        <v>2023</v>
      </c>
      <c r="O2049" s="7">
        <f>Table1[[#This Row],[Profit]]/Table1[[#This Row],[Total_Sales]]</f>
        <v>0.22168733881861724</v>
      </c>
    </row>
    <row r="2050" spans="1:15" x14ac:dyDescent="0.25">
      <c r="A2050" s="1">
        <v>2049</v>
      </c>
      <c r="B2050" s="2">
        <v>45463</v>
      </c>
      <c r="C2050" s="1" t="s">
        <v>25</v>
      </c>
      <c r="D2050" s="1" t="s">
        <v>26</v>
      </c>
      <c r="E2050" s="1" t="s">
        <v>27</v>
      </c>
      <c r="F2050" s="1" t="s">
        <v>31</v>
      </c>
      <c r="G2050" s="1">
        <v>7</v>
      </c>
      <c r="H2050" s="1">
        <v>43</v>
      </c>
      <c r="I2050" s="1">
        <v>10</v>
      </c>
      <c r="J2050" s="4">
        <v>270.89999999999998</v>
      </c>
      <c r="K2050" s="4">
        <v>149.80000000000001</v>
      </c>
      <c r="L2050" s="4">
        <v>121.1</v>
      </c>
      <c r="M2050" s="1" t="str">
        <f>TEXT(Table1[[#This Row],[Order_Date]], "MMM")</f>
        <v>Jun</v>
      </c>
      <c r="N2050" s="1">
        <f>YEAR(Table1[[#This Row],[Order_Date]])</f>
        <v>2024</v>
      </c>
      <c r="O2050" s="7">
        <f>Table1[[#This Row],[Profit]]/Table1[[#This Row],[Total_Sales]]</f>
        <v>0.44702842377260982</v>
      </c>
    </row>
    <row r="2051" spans="1:15" x14ac:dyDescent="0.25">
      <c r="A2051" s="1">
        <v>2050</v>
      </c>
      <c r="B2051" s="2">
        <v>45617</v>
      </c>
      <c r="C2051" s="1" t="s">
        <v>16</v>
      </c>
      <c r="D2051" s="1" t="s">
        <v>32</v>
      </c>
      <c r="E2051" s="1" t="s">
        <v>45</v>
      </c>
      <c r="F2051" s="1" t="s">
        <v>40</v>
      </c>
      <c r="G2051" s="1">
        <v>9</v>
      </c>
      <c r="H2051" s="1">
        <v>125</v>
      </c>
      <c r="I2051" s="1">
        <v>15</v>
      </c>
      <c r="J2051" s="4">
        <v>956.25</v>
      </c>
      <c r="K2051" s="4">
        <v>591.19000000000005</v>
      </c>
      <c r="L2051" s="4">
        <v>365.06</v>
      </c>
      <c r="M2051" s="1" t="str">
        <f>TEXT(Table1[[#This Row],[Order_Date]], "MMM")</f>
        <v>Nov</v>
      </c>
      <c r="N2051" s="1">
        <f>YEAR(Table1[[#This Row],[Order_Date]])</f>
        <v>2024</v>
      </c>
      <c r="O2051" s="7">
        <f>Table1[[#This Row],[Profit]]/Table1[[#This Row],[Total_Sales]]</f>
        <v>0.38176209150326795</v>
      </c>
    </row>
    <row r="2052" spans="1:15" x14ac:dyDescent="0.25">
      <c r="A2052" s="1">
        <v>2051</v>
      </c>
      <c r="B2052" s="2">
        <v>45609</v>
      </c>
      <c r="C2052" s="1" t="s">
        <v>16</v>
      </c>
      <c r="D2052" s="1" t="s">
        <v>13</v>
      </c>
      <c r="E2052" s="1" t="s">
        <v>14</v>
      </c>
      <c r="F2052" s="1" t="s">
        <v>31</v>
      </c>
      <c r="G2052" s="1">
        <v>5</v>
      </c>
      <c r="H2052" s="1">
        <v>69</v>
      </c>
      <c r="I2052" s="1">
        <v>0</v>
      </c>
      <c r="J2052" s="4">
        <v>345</v>
      </c>
      <c r="K2052" s="4">
        <v>227.65</v>
      </c>
      <c r="L2052" s="4">
        <v>117.35</v>
      </c>
      <c r="M2052" s="1" t="str">
        <f>TEXT(Table1[[#This Row],[Order_Date]], "MMM")</f>
        <v>Nov</v>
      </c>
      <c r="N2052" s="1">
        <f>YEAR(Table1[[#This Row],[Order_Date]])</f>
        <v>2024</v>
      </c>
      <c r="O2052" s="7">
        <f>Table1[[#This Row],[Profit]]/Table1[[#This Row],[Total_Sales]]</f>
        <v>0.34014492753623188</v>
      </c>
    </row>
    <row r="2053" spans="1:15" x14ac:dyDescent="0.25">
      <c r="A2053" s="1">
        <v>2052</v>
      </c>
      <c r="B2053" s="2">
        <v>45420</v>
      </c>
      <c r="C2053" s="1" t="s">
        <v>25</v>
      </c>
      <c r="D2053" s="1" t="s">
        <v>22</v>
      </c>
      <c r="E2053" s="1" t="s">
        <v>36</v>
      </c>
      <c r="F2053" s="1" t="s">
        <v>31</v>
      </c>
      <c r="G2053" s="1">
        <v>4</v>
      </c>
      <c r="H2053" s="1">
        <v>479</v>
      </c>
      <c r="I2053" s="1">
        <v>15</v>
      </c>
      <c r="J2053" s="4">
        <v>1628.6</v>
      </c>
      <c r="K2053" s="4">
        <v>816.38</v>
      </c>
      <c r="L2053" s="4">
        <v>812.22</v>
      </c>
      <c r="M2053" s="1" t="str">
        <f>TEXT(Table1[[#This Row],[Order_Date]], "MMM")</f>
        <v>May</v>
      </c>
      <c r="N2053" s="1">
        <f>YEAR(Table1[[#This Row],[Order_Date]])</f>
        <v>2024</v>
      </c>
      <c r="O2053" s="7">
        <f>Table1[[#This Row],[Profit]]/Table1[[#This Row],[Total_Sales]]</f>
        <v>0.49872282942404522</v>
      </c>
    </row>
    <row r="2054" spans="1:15" x14ac:dyDescent="0.25">
      <c r="A2054" s="1">
        <v>2053</v>
      </c>
      <c r="B2054" s="2">
        <v>45026</v>
      </c>
      <c r="C2054" s="1" t="s">
        <v>25</v>
      </c>
      <c r="D2054" s="1" t="s">
        <v>32</v>
      </c>
      <c r="E2054" s="1" t="s">
        <v>41</v>
      </c>
      <c r="F2054" s="1" t="s">
        <v>15</v>
      </c>
      <c r="G2054" s="1">
        <v>9</v>
      </c>
      <c r="H2054" s="1">
        <v>793</v>
      </c>
      <c r="I2054" s="1">
        <v>10</v>
      </c>
      <c r="J2054" s="4">
        <v>6423.3</v>
      </c>
      <c r="K2054" s="4">
        <v>4093.14</v>
      </c>
      <c r="L2054" s="4">
        <v>2330.16</v>
      </c>
      <c r="M2054" s="1" t="str">
        <f>TEXT(Table1[[#This Row],[Order_Date]], "MMM")</f>
        <v>Apr</v>
      </c>
      <c r="N2054" s="1">
        <f>YEAR(Table1[[#This Row],[Order_Date]])</f>
        <v>2023</v>
      </c>
      <c r="O2054" s="7">
        <f>Table1[[#This Row],[Profit]]/Table1[[#This Row],[Total_Sales]]</f>
        <v>0.36276680211106438</v>
      </c>
    </row>
    <row r="2055" spans="1:15" x14ac:dyDescent="0.25">
      <c r="A2055" s="1">
        <v>2054</v>
      </c>
      <c r="B2055" s="2">
        <v>45073</v>
      </c>
      <c r="C2055" s="1" t="s">
        <v>16</v>
      </c>
      <c r="D2055" s="1" t="s">
        <v>32</v>
      </c>
      <c r="E2055" s="1" t="s">
        <v>41</v>
      </c>
      <c r="F2055" s="1" t="s">
        <v>18</v>
      </c>
      <c r="G2055" s="1">
        <v>2</v>
      </c>
      <c r="H2055" s="1">
        <v>884</v>
      </c>
      <c r="I2055" s="1">
        <v>20</v>
      </c>
      <c r="J2055" s="4">
        <v>1414.4</v>
      </c>
      <c r="K2055" s="4">
        <v>850.79</v>
      </c>
      <c r="L2055" s="4">
        <v>563.61</v>
      </c>
      <c r="M2055" s="1" t="str">
        <f>TEXT(Table1[[#This Row],[Order_Date]], "MMM")</f>
        <v>May</v>
      </c>
      <c r="N2055" s="1">
        <f>YEAR(Table1[[#This Row],[Order_Date]])</f>
        <v>2023</v>
      </c>
      <c r="O2055" s="7">
        <f>Table1[[#This Row],[Profit]]/Table1[[#This Row],[Total_Sales]]</f>
        <v>0.39847992081447964</v>
      </c>
    </row>
    <row r="2056" spans="1:15" x14ac:dyDescent="0.25">
      <c r="A2056" s="1">
        <v>2055</v>
      </c>
      <c r="B2056" s="2">
        <v>45308</v>
      </c>
      <c r="C2056" s="1" t="s">
        <v>16</v>
      </c>
      <c r="D2056" s="1" t="s">
        <v>20</v>
      </c>
      <c r="E2056" s="1" t="s">
        <v>28</v>
      </c>
      <c r="F2056" s="1" t="s">
        <v>15</v>
      </c>
      <c r="G2056" s="1">
        <v>8</v>
      </c>
      <c r="H2056" s="1">
        <v>295</v>
      </c>
      <c r="I2056" s="1">
        <v>5</v>
      </c>
      <c r="J2056" s="4">
        <v>2242</v>
      </c>
      <c r="K2056" s="4">
        <v>1170.6099999999999</v>
      </c>
      <c r="L2056" s="4">
        <v>1071.3900000000001</v>
      </c>
      <c r="M2056" s="1" t="str">
        <f>TEXT(Table1[[#This Row],[Order_Date]], "MMM")</f>
        <v>Jan</v>
      </c>
      <c r="N2056" s="1">
        <f>YEAR(Table1[[#This Row],[Order_Date]])</f>
        <v>2024</v>
      </c>
      <c r="O2056" s="7">
        <f>Table1[[#This Row],[Profit]]/Table1[[#This Row],[Total_Sales]]</f>
        <v>0.4778724353256022</v>
      </c>
    </row>
    <row r="2057" spans="1:15" x14ac:dyDescent="0.25">
      <c r="A2057" s="1">
        <v>2056</v>
      </c>
      <c r="B2057" s="2">
        <v>45341</v>
      </c>
      <c r="C2057" s="1" t="s">
        <v>19</v>
      </c>
      <c r="D2057" s="1" t="s">
        <v>26</v>
      </c>
      <c r="E2057" s="1" t="s">
        <v>27</v>
      </c>
      <c r="F2057" s="1" t="s">
        <v>24</v>
      </c>
      <c r="G2057" s="1">
        <v>1</v>
      </c>
      <c r="H2057" s="1">
        <v>149</v>
      </c>
      <c r="I2057" s="1">
        <v>10</v>
      </c>
      <c r="J2057" s="4">
        <v>134.1</v>
      </c>
      <c r="K2057" s="4">
        <v>70.790000000000006</v>
      </c>
      <c r="L2057" s="4">
        <v>63.31</v>
      </c>
      <c r="M2057" s="1" t="str">
        <f>TEXT(Table1[[#This Row],[Order_Date]], "MMM")</f>
        <v>Feb</v>
      </c>
      <c r="N2057" s="1">
        <f>YEAR(Table1[[#This Row],[Order_Date]])</f>
        <v>2024</v>
      </c>
      <c r="O2057" s="7">
        <f>Table1[[#This Row],[Profit]]/Table1[[#This Row],[Total_Sales]]</f>
        <v>0.47211036539895607</v>
      </c>
    </row>
    <row r="2058" spans="1:15" x14ac:dyDescent="0.25">
      <c r="A2058" s="1">
        <v>2057</v>
      </c>
      <c r="B2058" s="2">
        <v>45496</v>
      </c>
      <c r="C2058" s="1" t="s">
        <v>12</v>
      </c>
      <c r="D2058" s="1" t="s">
        <v>32</v>
      </c>
      <c r="E2058" s="1" t="s">
        <v>41</v>
      </c>
      <c r="F2058" s="1" t="s">
        <v>24</v>
      </c>
      <c r="G2058" s="1">
        <v>8</v>
      </c>
      <c r="H2058" s="1">
        <v>406</v>
      </c>
      <c r="I2058" s="1">
        <v>20</v>
      </c>
      <c r="J2058" s="4">
        <v>2598.4</v>
      </c>
      <c r="K2058" s="4">
        <v>1855.86</v>
      </c>
      <c r="L2058" s="4">
        <v>742.54</v>
      </c>
      <c r="M2058" s="1" t="str">
        <f>TEXT(Table1[[#This Row],[Order_Date]], "MMM")</f>
        <v>Jul</v>
      </c>
      <c r="N2058" s="1">
        <f>YEAR(Table1[[#This Row],[Order_Date]])</f>
        <v>2024</v>
      </c>
      <c r="O2058" s="7">
        <f>Table1[[#This Row],[Profit]]/Table1[[#This Row],[Total_Sales]]</f>
        <v>0.28576816502463054</v>
      </c>
    </row>
    <row r="2059" spans="1:15" x14ac:dyDescent="0.25">
      <c r="A2059" s="1">
        <v>2058</v>
      </c>
      <c r="B2059" s="2">
        <v>45359</v>
      </c>
      <c r="C2059" s="1" t="s">
        <v>16</v>
      </c>
      <c r="D2059" s="1" t="s">
        <v>20</v>
      </c>
      <c r="E2059" s="1" t="s">
        <v>28</v>
      </c>
      <c r="F2059" s="1" t="s">
        <v>40</v>
      </c>
      <c r="G2059" s="1">
        <v>1</v>
      </c>
      <c r="H2059" s="1">
        <v>702</v>
      </c>
      <c r="I2059" s="1">
        <v>15</v>
      </c>
      <c r="J2059" s="4">
        <v>596.70000000000005</v>
      </c>
      <c r="K2059" s="4">
        <v>363.66</v>
      </c>
      <c r="L2059" s="4">
        <v>233.04</v>
      </c>
      <c r="M2059" s="1" t="str">
        <f>TEXT(Table1[[#This Row],[Order_Date]], "MMM")</f>
        <v>Mar</v>
      </c>
      <c r="N2059" s="1">
        <f>YEAR(Table1[[#This Row],[Order_Date]])</f>
        <v>2024</v>
      </c>
      <c r="O2059" s="7">
        <f>Table1[[#This Row],[Profit]]/Table1[[#This Row],[Total_Sales]]</f>
        <v>0.39054801407742579</v>
      </c>
    </row>
    <row r="2060" spans="1:15" x14ac:dyDescent="0.25">
      <c r="A2060" s="1">
        <v>2059</v>
      </c>
      <c r="B2060" s="2">
        <v>45458</v>
      </c>
      <c r="C2060" s="1" t="s">
        <v>19</v>
      </c>
      <c r="D2060" s="1" t="s">
        <v>13</v>
      </c>
      <c r="E2060" s="1" t="s">
        <v>17</v>
      </c>
      <c r="F2060" s="1" t="s">
        <v>40</v>
      </c>
      <c r="G2060" s="1">
        <v>3</v>
      </c>
      <c r="H2060" s="1">
        <v>486</v>
      </c>
      <c r="I2060" s="1">
        <v>5</v>
      </c>
      <c r="J2060" s="4">
        <v>1385.1</v>
      </c>
      <c r="K2060" s="4">
        <v>954.49</v>
      </c>
      <c r="L2060" s="4">
        <v>430.61</v>
      </c>
      <c r="M2060" s="1" t="str">
        <f>TEXT(Table1[[#This Row],[Order_Date]], "MMM")</f>
        <v>Jun</v>
      </c>
      <c r="N2060" s="1">
        <f>YEAR(Table1[[#This Row],[Order_Date]])</f>
        <v>2024</v>
      </c>
      <c r="O2060" s="7">
        <f>Table1[[#This Row],[Profit]]/Table1[[#This Row],[Total_Sales]]</f>
        <v>0.31088730055591657</v>
      </c>
    </row>
    <row r="2061" spans="1:15" x14ac:dyDescent="0.25">
      <c r="A2061" s="1">
        <v>2060</v>
      </c>
      <c r="B2061" s="2">
        <v>45481</v>
      </c>
      <c r="C2061" s="1" t="s">
        <v>12</v>
      </c>
      <c r="D2061" s="1" t="s">
        <v>13</v>
      </c>
      <c r="E2061" s="1" t="s">
        <v>38</v>
      </c>
      <c r="F2061" s="1" t="s">
        <v>31</v>
      </c>
      <c r="G2061" s="1">
        <v>4</v>
      </c>
      <c r="H2061" s="1">
        <v>541</v>
      </c>
      <c r="I2061" s="1">
        <v>10</v>
      </c>
      <c r="J2061" s="4">
        <v>1947.6</v>
      </c>
      <c r="K2061" s="4">
        <v>1219.6400000000001</v>
      </c>
      <c r="L2061" s="4">
        <v>727.96</v>
      </c>
      <c r="M2061" s="1" t="str">
        <f>TEXT(Table1[[#This Row],[Order_Date]], "MMM")</f>
        <v>Jul</v>
      </c>
      <c r="N2061" s="1">
        <f>YEAR(Table1[[#This Row],[Order_Date]])</f>
        <v>2024</v>
      </c>
      <c r="O2061" s="7">
        <f>Table1[[#This Row],[Profit]]/Table1[[#This Row],[Total_Sales]]</f>
        <v>0.3737728486342165</v>
      </c>
    </row>
    <row r="2062" spans="1:15" x14ac:dyDescent="0.25">
      <c r="A2062" s="1">
        <v>2061</v>
      </c>
      <c r="B2062" s="2">
        <v>45003</v>
      </c>
      <c r="C2062" s="1" t="s">
        <v>12</v>
      </c>
      <c r="D2062" s="1" t="s">
        <v>22</v>
      </c>
      <c r="E2062" s="1" t="s">
        <v>23</v>
      </c>
      <c r="F2062" s="1" t="s">
        <v>15</v>
      </c>
      <c r="G2062" s="1">
        <v>1</v>
      </c>
      <c r="H2062" s="1">
        <v>160</v>
      </c>
      <c r="I2062" s="1">
        <v>15</v>
      </c>
      <c r="J2062" s="4">
        <v>136</v>
      </c>
      <c r="K2062" s="4">
        <v>99.67</v>
      </c>
      <c r="L2062" s="4">
        <v>36.33</v>
      </c>
      <c r="M2062" s="1" t="str">
        <f>TEXT(Table1[[#This Row],[Order_Date]], "MMM")</f>
        <v>Mar</v>
      </c>
      <c r="N2062" s="1">
        <f>YEAR(Table1[[#This Row],[Order_Date]])</f>
        <v>2023</v>
      </c>
      <c r="O2062" s="7">
        <f>Table1[[#This Row],[Profit]]/Table1[[#This Row],[Total_Sales]]</f>
        <v>0.26713235294117643</v>
      </c>
    </row>
    <row r="2063" spans="1:15" x14ac:dyDescent="0.25">
      <c r="A2063" s="1">
        <v>2062</v>
      </c>
      <c r="B2063" s="2">
        <v>45286</v>
      </c>
      <c r="C2063" s="1" t="s">
        <v>16</v>
      </c>
      <c r="D2063" s="1" t="s">
        <v>20</v>
      </c>
      <c r="E2063" s="1" t="s">
        <v>21</v>
      </c>
      <c r="F2063" s="1" t="s">
        <v>15</v>
      </c>
      <c r="G2063" s="1">
        <v>2</v>
      </c>
      <c r="H2063" s="1">
        <v>980</v>
      </c>
      <c r="I2063" s="1">
        <v>0</v>
      </c>
      <c r="J2063" s="4">
        <v>1960</v>
      </c>
      <c r="K2063" s="4">
        <v>1137.1199999999999</v>
      </c>
      <c r="L2063" s="4">
        <v>822.88</v>
      </c>
      <c r="M2063" s="1" t="str">
        <f>TEXT(Table1[[#This Row],[Order_Date]], "MMM")</f>
        <v>Dec</v>
      </c>
      <c r="N2063" s="1">
        <f>YEAR(Table1[[#This Row],[Order_Date]])</f>
        <v>2023</v>
      </c>
      <c r="O2063" s="7">
        <f>Table1[[#This Row],[Profit]]/Table1[[#This Row],[Total_Sales]]</f>
        <v>0.41983673469387756</v>
      </c>
    </row>
    <row r="2064" spans="1:15" x14ac:dyDescent="0.25">
      <c r="A2064" s="1">
        <v>2063</v>
      </c>
      <c r="B2064" s="2">
        <v>45094</v>
      </c>
      <c r="C2064" s="1" t="s">
        <v>16</v>
      </c>
      <c r="D2064" s="1" t="s">
        <v>22</v>
      </c>
      <c r="E2064" s="1" t="s">
        <v>44</v>
      </c>
      <c r="F2064" s="1" t="s">
        <v>24</v>
      </c>
      <c r="G2064" s="1">
        <v>2</v>
      </c>
      <c r="H2064" s="1">
        <v>932</v>
      </c>
      <c r="I2064" s="1">
        <v>15</v>
      </c>
      <c r="J2064" s="4">
        <v>1584.4</v>
      </c>
      <c r="K2064" s="4">
        <v>1142.33</v>
      </c>
      <c r="L2064" s="4">
        <v>442.07</v>
      </c>
      <c r="M2064" s="1" t="str">
        <f>TEXT(Table1[[#This Row],[Order_Date]], "MMM")</f>
        <v>Jun</v>
      </c>
      <c r="N2064" s="1">
        <f>YEAR(Table1[[#This Row],[Order_Date]])</f>
        <v>2023</v>
      </c>
      <c r="O2064" s="7">
        <f>Table1[[#This Row],[Profit]]/Table1[[#This Row],[Total_Sales]]</f>
        <v>0.27901413784397877</v>
      </c>
    </row>
    <row r="2065" spans="1:15" x14ac:dyDescent="0.25">
      <c r="A2065" s="1">
        <v>2064</v>
      </c>
      <c r="B2065" s="2">
        <v>45471</v>
      </c>
      <c r="C2065" s="1" t="s">
        <v>16</v>
      </c>
      <c r="D2065" s="1" t="s">
        <v>32</v>
      </c>
      <c r="E2065" s="1" t="s">
        <v>41</v>
      </c>
      <c r="F2065" s="1" t="s">
        <v>31</v>
      </c>
      <c r="G2065" s="1">
        <v>7</v>
      </c>
      <c r="H2065" s="1">
        <v>671</v>
      </c>
      <c r="I2065" s="1">
        <v>10</v>
      </c>
      <c r="J2065" s="4">
        <v>4227.3</v>
      </c>
      <c r="K2065" s="4">
        <v>2848.46</v>
      </c>
      <c r="L2065" s="4">
        <v>1378.84</v>
      </c>
      <c r="M2065" s="1" t="str">
        <f>TEXT(Table1[[#This Row],[Order_Date]], "MMM")</f>
        <v>Jun</v>
      </c>
      <c r="N2065" s="1">
        <f>YEAR(Table1[[#This Row],[Order_Date]])</f>
        <v>2024</v>
      </c>
      <c r="O2065" s="7">
        <f>Table1[[#This Row],[Profit]]/Table1[[#This Row],[Total_Sales]]</f>
        <v>0.32617509994559174</v>
      </c>
    </row>
    <row r="2066" spans="1:15" x14ac:dyDescent="0.25">
      <c r="A2066" s="1">
        <v>2065</v>
      </c>
      <c r="B2066" s="2">
        <v>44966</v>
      </c>
      <c r="C2066" s="1" t="s">
        <v>16</v>
      </c>
      <c r="D2066" s="1" t="s">
        <v>20</v>
      </c>
      <c r="E2066" s="1" t="s">
        <v>43</v>
      </c>
      <c r="F2066" s="1" t="s">
        <v>40</v>
      </c>
      <c r="G2066" s="1">
        <v>3</v>
      </c>
      <c r="H2066" s="1">
        <v>98</v>
      </c>
      <c r="I2066" s="1">
        <v>10</v>
      </c>
      <c r="J2066" s="4">
        <v>264.60000000000002</v>
      </c>
      <c r="K2066" s="4">
        <v>149.81</v>
      </c>
      <c r="L2066" s="4">
        <v>114.79</v>
      </c>
      <c r="M2066" s="1" t="str">
        <f>TEXT(Table1[[#This Row],[Order_Date]], "MMM")</f>
        <v>Feb</v>
      </c>
      <c r="N2066" s="1">
        <f>YEAR(Table1[[#This Row],[Order_Date]])</f>
        <v>2023</v>
      </c>
      <c r="O2066" s="7">
        <f>Table1[[#This Row],[Profit]]/Table1[[#This Row],[Total_Sales]]</f>
        <v>0.43382464096749812</v>
      </c>
    </row>
    <row r="2067" spans="1:15" x14ac:dyDescent="0.25">
      <c r="A2067" s="1">
        <v>2066</v>
      </c>
      <c r="B2067" s="2">
        <v>45335</v>
      </c>
      <c r="C2067" s="1" t="s">
        <v>12</v>
      </c>
      <c r="D2067" s="1" t="s">
        <v>22</v>
      </c>
      <c r="E2067" s="1" t="s">
        <v>44</v>
      </c>
      <c r="F2067" s="1" t="s">
        <v>40</v>
      </c>
      <c r="G2067" s="1">
        <v>4</v>
      </c>
      <c r="H2067" s="1">
        <v>83</v>
      </c>
      <c r="I2067" s="1">
        <v>0</v>
      </c>
      <c r="J2067" s="4">
        <v>332</v>
      </c>
      <c r="K2067" s="4">
        <v>229.74</v>
      </c>
      <c r="L2067" s="4">
        <v>102.26</v>
      </c>
      <c r="M2067" s="1" t="str">
        <f>TEXT(Table1[[#This Row],[Order_Date]], "MMM")</f>
        <v>Feb</v>
      </c>
      <c r="N2067" s="1">
        <f>YEAR(Table1[[#This Row],[Order_Date]])</f>
        <v>2024</v>
      </c>
      <c r="O2067" s="7">
        <f>Table1[[#This Row],[Profit]]/Table1[[#This Row],[Total_Sales]]</f>
        <v>0.30801204819277112</v>
      </c>
    </row>
    <row r="2068" spans="1:15" x14ac:dyDescent="0.25">
      <c r="A2068" s="1">
        <v>2067</v>
      </c>
      <c r="B2068" s="2">
        <v>45433</v>
      </c>
      <c r="C2068" s="1" t="s">
        <v>12</v>
      </c>
      <c r="D2068" s="1" t="s">
        <v>22</v>
      </c>
      <c r="E2068" s="1" t="s">
        <v>36</v>
      </c>
      <c r="F2068" s="1" t="s">
        <v>18</v>
      </c>
      <c r="G2068" s="1">
        <v>6</v>
      </c>
      <c r="H2068" s="1">
        <v>299</v>
      </c>
      <c r="I2068" s="1">
        <v>15</v>
      </c>
      <c r="J2068" s="4">
        <v>1524.9</v>
      </c>
      <c r="K2068" s="4">
        <v>1059.2</v>
      </c>
      <c r="L2068" s="4">
        <v>465.7</v>
      </c>
      <c r="M2068" s="1" t="str">
        <f>TEXT(Table1[[#This Row],[Order_Date]], "MMM")</f>
        <v>May</v>
      </c>
      <c r="N2068" s="1">
        <f>YEAR(Table1[[#This Row],[Order_Date]])</f>
        <v>2024</v>
      </c>
      <c r="O2068" s="7">
        <f>Table1[[#This Row],[Profit]]/Table1[[#This Row],[Total_Sales]]</f>
        <v>0.30539707521804704</v>
      </c>
    </row>
    <row r="2069" spans="1:15" x14ac:dyDescent="0.25">
      <c r="A2069" s="1">
        <v>2068</v>
      </c>
      <c r="B2069" s="2">
        <v>45397</v>
      </c>
      <c r="C2069" s="1" t="s">
        <v>12</v>
      </c>
      <c r="D2069" s="1" t="s">
        <v>32</v>
      </c>
      <c r="E2069" s="1" t="s">
        <v>33</v>
      </c>
      <c r="F2069" s="1" t="s">
        <v>18</v>
      </c>
      <c r="G2069" s="1">
        <v>8</v>
      </c>
      <c r="H2069" s="1">
        <v>394</v>
      </c>
      <c r="I2069" s="1">
        <v>0</v>
      </c>
      <c r="J2069" s="4">
        <v>3152</v>
      </c>
      <c r="K2069" s="4">
        <v>2230.41</v>
      </c>
      <c r="L2069" s="4">
        <v>921.59</v>
      </c>
      <c r="M2069" s="1" t="str">
        <f>TEXT(Table1[[#This Row],[Order_Date]], "MMM")</f>
        <v>Apr</v>
      </c>
      <c r="N2069" s="1">
        <f>YEAR(Table1[[#This Row],[Order_Date]])</f>
        <v>2024</v>
      </c>
      <c r="O2069" s="7">
        <f>Table1[[#This Row],[Profit]]/Table1[[#This Row],[Total_Sales]]</f>
        <v>0.292382614213198</v>
      </c>
    </row>
    <row r="2070" spans="1:15" x14ac:dyDescent="0.25">
      <c r="A2070" s="1">
        <v>2069</v>
      </c>
      <c r="B2070" s="2">
        <v>45384</v>
      </c>
      <c r="C2070" s="1" t="s">
        <v>16</v>
      </c>
      <c r="D2070" s="1" t="s">
        <v>13</v>
      </c>
      <c r="E2070" s="1" t="s">
        <v>38</v>
      </c>
      <c r="F2070" s="1" t="s">
        <v>35</v>
      </c>
      <c r="G2070" s="1">
        <v>4</v>
      </c>
      <c r="H2070" s="1">
        <v>407</v>
      </c>
      <c r="I2070" s="1">
        <v>20</v>
      </c>
      <c r="J2070" s="4">
        <v>1302.4000000000001</v>
      </c>
      <c r="K2070" s="4">
        <v>823.28</v>
      </c>
      <c r="L2070" s="4">
        <v>479.12</v>
      </c>
      <c r="M2070" s="1" t="str">
        <f>TEXT(Table1[[#This Row],[Order_Date]], "MMM")</f>
        <v>Apr</v>
      </c>
      <c r="N2070" s="1">
        <f>YEAR(Table1[[#This Row],[Order_Date]])</f>
        <v>2024</v>
      </c>
      <c r="O2070" s="7">
        <f>Table1[[#This Row],[Profit]]/Table1[[#This Row],[Total_Sales]]</f>
        <v>0.36787469287469288</v>
      </c>
    </row>
    <row r="2071" spans="1:15" x14ac:dyDescent="0.25">
      <c r="A2071" s="1">
        <v>2070</v>
      </c>
      <c r="B2071" s="2">
        <v>45578</v>
      </c>
      <c r="C2071" s="1" t="s">
        <v>16</v>
      </c>
      <c r="D2071" s="1" t="s">
        <v>32</v>
      </c>
      <c r="E2071" s="1" t="s">
        <v>34</v>
      </c>
      <c r="F2071" s="1" t="s">
        <v>18</v>
      </c>
      <c r="G2071" s="1">
        <v>2</v>
      </c>
      <c r="H2071" s="1">
        <v>82</v>
      </c>
      <c r="I2071" s="1">
        <v>20</v>
      </c>
      <c r="J2071" s="4">
        <v>131.19999999999999</v>
      </c>
      <c r="K2071" s="4">
        <v>93.95</v>
      </c>
      <c r="L2071" s="4">
        <v>37.25</v>
      </c>
      <c r="M2071" s="1" t="str">
        <f>TEXT(Table1[[#This Row],[Order_Date]], "MMM")</f>
        <v>Oct</v>
      </c>
      <c r="N2071" s="1">
        <f>YEAR(Table1[[#This Row],[Order_Date]])</f>
        <v>2024</v>
      </c>
      <c r="O2071" s="7">
        <f>Table1[[#This Row],[Profit]]/Table1[[#This Row],[Total_Sales]]</f>
        <v>0.28391768292682928</v>
      </c>
    </row>
    <row r="2072" spans="1:15" x14ac:dyDescent="0.25">
      <c r="A2072" s="1">
        <v>2071</v>
      </c>
      <c r="B2072" s="2">
        <v>45501</v>
      </c>
      <c r="C2072" s="1" t="s">
        <v>12</v>
      </c>
      <c r="D2072" s="1" t="s">
        <v>20</v>
      </c>
      <c r="E2072" s="1" t="s">
        <v>28</v>
      </c>
      <c r="F2072" s="1" t="s">
        <v>40</v>
      </c>
      <c r="G2072" s="1">
        <v>1</v>
      </c>
      <c r="H2072" s="1">
        <v>902</v>
      </c>
      <c r="I2072" s="1">
        <v>20</v>
      </c>
      <c r="J2072" s="4">
        <v>721.6</v>
      </c>
      <c r="K2072" s="4">
        <v>539.05999999999995</v>
      </c>
      <c r="L2072" s="4">
        <v>182.54</v>
      </c>
      <c r="M2072" s="1" t="str">
        <f>TEXT(Table1[[#This Row],[Order_Date]], "MMM")</f>
        <v>Jul</v>
      </c>
      <c r="N2072" s="1">
        <f>YEAR(Table1[[#This Row],[Order_Date]])</f>
        <v>2024</v>
      </c>
      <c r="O2072" s="7">
        <f>Table1[[#This Row],[Profit]]/Table1[[#This Row],[Total_Sales]]</f>
        <v>0.25296563192904653</v>
      </c>
    </row>
    <row r="2073" spans="1:15" x14ac:dyDescent="0.25">
      <c r="A2073" s="1">
        <v>2072</v>
      </c>
      <c r="B2073" s="2">
        <v>45289</v>
      </c>
      <c r="C2073" s="1" t="s">
        <v>12</v>
      </c>
      <c r="D2073" s="1" t="s">
        <v>20</v>
      </c>
      <c r="E2073" s="1" t="s">
        <v>30</v>
      </c>
      <c r="F2073" s="1" t="s">
        <v>24</v>
      </c>
      <c r="G2073" s="1">
        <v>4</v>
      </c>
      <c r="H2073" s="1">
        <v>638</v>
      </c>
      <c r="I2073" s="1">
        <v>5</v>
      </c>
      <c r="J2073" s="4">
        <v>2424.4</v>
      </c>
      <c r="K2073" s="4">
        <v>1486.83</v>
      </c>
      <c r="L2073" s="4">
        <v>937.57</v>
      </c>
      <c r="M2073" s="1" t="str">
        <f>TEXT(Table1[[#This Row],[Order_Date]], "MMM")</f>
        <v>Dec</v>
      </c>
      <c r="N2073" s="1">
        <f>YEAR(Table1[[#This Row],[Order_Date]])</f>
        <v>2023</v>
      </c>
      <c r="O2073" s="7">
        <f>Table1[[#This Row],[Profit]]/Table1[[#This Row],[Total_Sales]]</f>
        <v>0.38672248803827752</v>
      </c>
    </row>
    <row r="2074" spans="1:15" x14ac:dyDescent="0.25">
      <c r="A2074" s="1">
        <v>2073</v>
      </c>
      <c r="B2074" s="2">
        <v>45437</v>
      </c>
      <c r="C2074" s="1" t="s">
        <v>25</v>
      </c>
      <c r="D2074" s="1" t="s">
        <v>22</v>
      </c>
      <c r="E2074" s="1" t="s">
        <v>36</v>
      </c>
      <c r="F2074" s="1" t="s">
        <v>31</v>
      </c>
      <c r="G2074" s="1">
        <v>4</v>
      </c>
      <c r="H2074" s="1">
        <v>762</v>
      </c>
      <c r="I2074" s="1">
        <v>15</v>
      </c>
      <c r="J2074" s="4">
        <v>2590.8000000000002</v>
      </c>
      <c r="K2074" s="4">
        <v>1554.16</v>
      </c>
      <c r="L2074" s="4">
        <v>1036.6400000000001</v>
      </c>
      <c r="M2074" s="1" t="str">
        <f>TEXT(Table1[[#This Row],[Order_Date]], "MMM")</f>
        <v>May</v>
      </c>
      <c r="N2074" s="1">
        <f>YEAR(Table1[[#This Row],[Order_Date]])</f>
        <v>2024</v>
      </c>
      <c r="O2074" s="7">
        <f>Table1[[#This Row],[Profit]]/Table1[[#This Row],[Total_Sales]]</f>
        <v>0.40012351397251816</v>
      </c>
    </row>
    <row r="2075" spans="1:15" x14ac:dyDescent="0.25">
      <c r="A2075" s="1">
        <v>2074</v>
      </c>
      <c r="B2075" s="2">
        <v>45386</v>
      </c>
      <c r="C2075" s="1" t="s">
        <v>12</v>
      </c>
      <c r="D2075" s="1" t="s">
        <v>20</v>
      </c>
      <c r="E2075" s="1" t="s">
        <v>21</v>
      </c>
      <c r="F2075" s="1" t="s">
        <v>18</v>
      </c>
      <c r="G2075" s="1">
        <v>8</v>
      </c>
      <c r="H2075" s="1">
        <v>843</v>
      </c>
      <c r="I2075" s="1">
        <v>20</v>
      </c>
      <c r="J2075" s="4">
        <v>5395.2</v>
      </c>
      <c r="K2075" s="4">
        <v>2700.46</v>
      </c>
      <c r="L2075" s="4">
        <v>2694.74</v>
      </c>
      <c r="M2075" s="1" t="str">
        <f>TEXT(Table1[[#This Row],[Order_Date]], "MMM")</f>
        <v>Apr</v>
      </c>
      <c r="N2075" s="1">
        <f>YEAR(Table1[[#This Row],[Order_Date]])</f>
        <v>2024</v>
      </c>
      <c r="O2075" s="7">
        <f>Table1[[#This Row],[Profit]]/Table1[[#This Row],[Total_Sales]]</f>
        <v>0.49946989916963225</v>
      </c>
    </row>
    <row r="2076" spans="1:15" x14ac:dyDescent="0.25">
      <c r="A2076" s="1">
        <v>2075</v>
      </c>
      <c r="B2076" s="2">
        <v>45259</v>
      </c>
      <c r="C2076" s="1" t="s">
        <v>16</v>
      </c>
      <c r="D2076" s="1" t="s">
        <v>20</v>
      </c>
      <c r="E2076" s="1" t="s">
        <v>43</v>
      </c>
      <c r="F2076" s="1" t="s">
        <v>31</v>
      </c>
      <c r="G2076" s="1">
        <v>3</v>
      </c>
      <c r="H2076" s="1">
        <v>982</v>
      </c>
      <c r="I2076" s="1">
        <v>15</v>
      </c>
      <c r="J2076" s="4">
        <v>2504.1</v>
      </c>
      <c r="K2076" s="4">
        <v>1701.93</v>
      </c>
      <c r="L2076" s="4">
        <v>802.17</v>
      </c>
      <c r="M2076" s="1" t="str">
        <f>TEXT(Table1[[#This Row],[Order_Date]], "MMM")</f>
        <v>Nov</v>
      </c>
      <c r="N2076" s="1">
        <f>YEAR(Table1[[#This Row],[Order_Date]])</f>
        <v>2023</v>
      </c>
      <c r="O2076" s="7">
        <f>Table1[[#This Row],[Profit]]/Table1[[#This Row],[Total_Sales]]</f>
        <v>0.32034263807355934</v>
      </c>
    </row>
    <row r="2077" spans="1:15" x14ac:dyDescent="0.25">
      <c r="A2077" s="1">
        <v>2076</v>
      </c>
      <c r="B2077" s="2">
        <v>45270</v>
      </c>
      <c r="C2077" s="1" t="s">
        <v>16</v>
      </c>
      <c r="D2077" s="1" t="s">
        <v>26</v>
      </c>
      <c r="E2077" s="1" t="s">
        <v>37</v>
      </c>
      <c r="F2077" s="1" t="s">
        <v>15</v>
      </c>
      <c r="G2077" s="1">
        <v>6</v>
      </c>
      <c r="H2077" s="1">
        <v>140</v>
      </c>
      <c r="I2077" s="1">
        <v>20</v>
      </c>
      <c r="J2077" s="4">
        <v>672</v>
      </c>
      <c r="K2077" s="4">
        <v>381.85</v>
      </c>
      <c r="L2077" s="4">
        <v>290.14999999999998</v>
      </c>
      <c r="M2077" s="1" t="str">
        <f>TEXT(Table1[[#This Row],[Order_Date]], "MMM")</f>
        <v>Dec</v>
      </c>
      <c r="N2077" s="1">
        <f>YEAR(Table1[[#This Row],[Order_Date]])</f>
        <v>2023</v>
      </c>
      <c r="O2077" s="7">
        <f>Table1[[#This Row],[Profit]]/Table1[[#This Row],[Total_Sales]]</f>
        <v>0.43177083333333333</v>
      </c>
    </row>
    <row r="2078" spans="1:15" x14ac:dyDescent="0.25">
      <c r="A2078" s="1">
        <v>2077</v>
      </c>
      <c r="B2078" s="2">
        <v>45141</v>
      </c>
      <c r="C2078" s="1" t="s">
        <v>25</v>
      </c>
      <c r="D2078" s="1" t="s">
        <v>26</v>
      </c>
      <c r="E2078" s="1" t="s">
        <v>27</v>
      </c>
      <c r="F2078" s="1" t="s">
        <v>31</v>
      </c>
      <c r="G2078" s="1">
        <v>6</v>
      </c>
      <c r="H2078" s="1">
        <v>420</v>
      </c>
      <c r="I2078" s="1">
        <v>20</v>
      </c>
      <c r="J2078" s="4">
        <v>2016</v>
      </c>
      <c r="K2078" s="4">
        <v>1171.6400000000001</v>
      </c>
      <c r="L2078" s="4">
        <v>844.36</v>
      </c>
      <c r="M2078" s="1" t="str">
        <f>TEXT(Table1[[#This Row],[Order_Date]], "MMM")</f>
        <v>Aug</v>
      </c>
      <c r="N2078" s="1">
        <f>YEAR(Table1[[#This Row],[Order_Date]])</f>
        <v>2023</v>
      </c>
      <c r="O2078" s="7">
        <f>Table1[[#This Row],[Profit]]/Table1[[#This Row],[Total_Sales]]</f>
        <v>0.41882936507936508</v>
      </c>
    </row>
    <row r="2079" spans="1:15" x14ac:dyDescent="0.25">
      <c r="A2079" s="1">
        <v>2078</v>
      </c>
      <c r="B2079" s="2">
        <v>45410</v>
      </c>
      <c r="C2079" s="1" t="s">
        <v>16</v>
      </c>
      <c r="D2079" s="1" t="s">
        <v>32</v>
      </c>
      <c r="E2079" s="1" t="s">
        <v>45</v>
      </c>
      <c r="F2079" s="1" t="s">
        <v>35</v>
      </c>
      <c r="G2079" s="1">
        <v>8</v>
      </c>
      <c r="H2079" s="1">
        <v>277</v>
      </c>
      <c r="I2079" s="1">
        <v>15</v>
      </c>
      <c r="J2079" s="4">
        <v>1883.6</v>
      </c>
      <c r="K2079" s="4">
        <v>1007.94</v>
      </c>
      <c r="L2079" s="4">
        <v>875.66</v>
      </c>
      <c r="M2079" s="1" t="str">
        <f>TEXT(Table1[[#This Row],[Order_Date]], "MMM")</f>
        <v>Apr</v>
      </c>
      <c r="N2079" s="1">
        <f>YEAR(Table1[[#This Row],[Order_Date]])</f>
        <v>2024</v>
      </c>
      <c r="O2079" s="7">
        <f>Table1[[#This Row],[Profit]]/Table1[[#This Row],[Total_Sales]]</f>
        <v>0.46488638776810365</v>
      </c>
    </row>
    <row r="2080" spans="1:15" x14ac:dyDescent="0.25">
      <c r="A2080" s="1">
        <v>2079</v>
      </c>
      <c r="B2080" s="2">
        <v>45307</v>
      </c>
      <c r="C2080" s="1" t="s">
        <v>12</v>
      </c>
      <c r="D2080" s="1" t="s">
        <v>26</v>
      </c>
      <c r="E2080" s="1" t="s">
        <v>37</v>
      </c>
      <c r="F2080" s="1" t="s">
        <v>18</v>
      </c>
      <c r="G2080" s="1">
        <v>1</v>
      </c>
      <c r="H2080" s="1">
        <v>47</v>
      </c>
      <c r="I2080" s="1">
        <v>0</v>
      </c>
      <c r="J2080" s="4">
        <v>47</v>
      </c>
      <c r="K2080" s="4">
        <v>29.46</v>
      </c>
      <c r="L2080" s="4">
        <v>17.54</v>
      </c>
      <c r="M2080" s="1" t="str">
        <f>TEXT(Table1[[#This Row],[Order_Date]], "MMM")</f>
        <v>Jan</v>
      </c>
      <c r="N2080" s="1">
        <f>YEAR(Table1[[#This Row],[Order_Date]])</f>
        <v>2024</v>
      </c>
      <c r="O2080" s="7">
        <f>Table1[[#This Row],[Profit]]/Table1[[#This Row],[Total_Sales]]</f>
        <v>0.3731914893617021</v>
      </c>
    </row>
    <row r="2081" spans="1:15" x14ac:dyDescent="0.25">
      <c r="A2081" s="1">
        <v>2080</v>
      </c>
      <c r="B2081" s="2">
        <v>44971</v>
      </c>
      <c r="C2081" s="1" t="s">
        <v>12</v>
      </c>
      <c r="D2081" s="1" t="s">
        <v>26</v>
      </c>
      <c r="E2081" s="1" t="s">
        <v>37</v>
      </c>
      <c r="F2081" s="1" t="s">
        <v>31</v>
      </c>
      <c r="G2081" s="1">
        <v>7</v>
      </c>
      <c r="H2081" s="1">
        <v>633</v>
      </c>
      <c r="I2081" s="1">
        <v>20</v>
      </c>
      <c r="J2081" s="4">
        <v>3544.8</v>
      </c>
      <c r="K2081" s="4">
        <v>2699.05</v>
      </c>
      <c r="L2081" s="4">
        <v>845.75</v>
      </c>
      <c r="M2081" s="1" t="str">
        <f>TEXT(Table1[[#This Row],[Order_Date]], "MMM")</f>
        <v>Feb</v>
      </c>
      <c r="N2081" s="1">
        <f>YEAR(Table1[[#This Row],[Order_Date]])</f>
        <v>2023</v>
      </c>
      <c r="O2081" s="7">
        <f>Table1[[#This Row],[Profit]]/Table1[[#This Row],[Total_Sales]]</f>
        <v>0.23858891897991422</v>
      </c>
    </row>
    <row r="2082" spans="1:15" x14ac:dyDescent="0.25">
      <c r="A2082" s="1">
        <v>2081</v>
      </c>
      <c r="B2082" s="2">
        <v>45606</v>
      </c>
      <c r="C2082" s="1" t="s">
        <v>16</v>
      </c>
      <c r="D2082" s="1" t="s">
        <v>26</v>
      </c>
      <c r="E2082" s="1" t="s">
        <v>27</v>
      </c>
      <c r="F2082" s="1" t="s">
        <v>24</v>
      </c>
      <c r="G2082" s="1">
        <v>1</v>
      </c>
      <c r="H2082" s="1">
        <v>622</v>
      </c>
      <c r="I2082" s="1">
        <v>10</v>
      </c>
      <c r="J2082" s="4">
        <v>559.79999999999995</v>
      </c>
      <c r="K2082" s="4">
        <v>304.8</v>
      </c>
      <c r="L2082" s="4">
        <v>255</v>
      </c>
      <c r="M2082" s="1" t="str">
        <f>TEXT(Table1[[#This Row],[Order_Date]], "MMM")</f>
        <v>Nov</v>
      </c>
      <c r="N2082" s="1">
        <f>YEAR(Table1[[#This Row],[Order_Date]])</f>
        <v>2024</v>
      </c>
      <c r="O2082" s="7">
        <f>Table1[[#This Row],[Profit]]/Table1[[#This Row],[Total_Sales]]</f>
        <v>0.45551982851018225</v>
      </c>
    </row>
    <row r="2083" spans="1:15" x14ac:dyDescent="0.25">
      <c r="A2083" s="1">
        <v>2082</v>
      </c>
      <c r="B2083" s="2">
        <v>45068</v>
      </c>
      <c r="C2083" s="1" t="s">
        <v>25</v>
      </c>
      <c r="D2083" s="1" t="s">
        <v>22</v>
      </c>
      <c r="E2083" s="1" t="s">
        <v>29</v>
      </c>
      <c r="F2083" s="1" t="s">
        <v>40</v>
      </c>
      <c r="G2083" s="1">
        <v>4</v>
      </c>
      <c r="H2083" s="1">
        <v>113</v>
      </c>
      <c r="I2083" s="1">
        <v>0</v>
      </c>
      <c r="J2083" s="4">
        <v>452</v>
      </c>
      <c r="K2083" s="4">
        <v>325.35000000000002</v>
      </c>
      <c r="L2083" s="4">
        <v>126.65</v>
      </c>
      <c r="M2083" s="1" t="str">
        <f>TEXT(Table1[[#This Row],[Order_Date]], "MMM")</f>
        <v>May</v>
      </c>
      <c r="N2083" s="1">
        <f>YEAR(Table1[[#This Row],[Order_Date]])</f>
        <v>2023</v>
      </c>
      <c r="O2083" s="7">
        <f>Table1[[#This Row],[Profit]]/Table1[[#This Row],[Total_Sales]]</f>
        <v>0.28019911504424783</v>
      </c>
    </row>
    <row r="2084" spans="1:15" x14ac:dyDescent="0.25">
      <c r="A2084" s="1">
        <v>2083</v>
      </c>
      <c r="B2084" s="2">
        <v>45378</v>
      </c>
      <c r="C2084" s="1" t="s">
        <v>16</v>
      </c>
      <c r="D2084" s="1" t="s">
        <v>26</v>
      </c>
      <c r="E2084" s="1" t="s">
        <v>46</v>
      </c>
      <c r="F2084" s="1" t="s">
        <v>31</v>
      </c>
      <c r="G2084" s="1">
        <v>6</v>
      </c>
      <c r="H2084" s="1">
        <v>981</v>
      </c>
      <c r="I2084" s="1">
        <v>10</v>
      </c>
      <c r="J2084" s="4">
        <v>5297.4</v>
      </c>
      <c r="K2084" s="4">
        <v>3642.18</v>
      </c>
      <c r="L2084" s="4">
        <v>1655.22</v>
      </c>
      <c r="M2084" s="1" t="str">
        <f>TEXT(Table1[[#This Row],[Order_Date]], "MMM")</f>
        <v>Mar</v>
      </c>
      <c r="N2084" s="1">
        <f>YEAR(Table1[[#This Row],[Order_Date]])</f>
        <v>2024</v>
      </c>
      <c r="O2084" s="7">
        <f>Table1[[#This Row],[Profit]]/Table1[[#This Row],[Total_Sales]]</f>
        <v>0.31245894212255071</v>
      </c>
    </row>
    <row r="2085" spans="1:15" x14ac:dyDescent="0.25">
      <c r="A2085" s="1">
        <v>2084</v>
      </c>
      <c r="B2085" s="2">
        <v>45452</v>
      </c>
      <c r="C2085" s="1" t="s">
        <v>25</v>
      </c>
      <c r="D2085" s="1" t="s">
        <v>22</v>
      </c>
      <c r="E2085" s="1" t="s">
        <v>44</v>
      </c>
      <c r="F2085" s="1" t="s">
        <v>40</v>
      </c>
      <c r="G2085" s="1">
        <v>3</v>
      </c>
      <c r="H2085" s="1">
        <v>344</v>
      </c>
      <c r="I2085" s="1">
        <v>0</v>
      </c>
      <c r="J2085" s="4">
        <v>1032</v>
      </c>
      <c r="K2085" s="4">
        <v>552.66</v>
      </c>
      <c r="L2085" s="4">
        <v>479.34</v>
      </c>
      <c r="M2085" s="1" t="str">
        <f>TEXT(Table1[[#This Row],[Order_Date]], "MMM")</f>
        <v>Jun</v>
      </c>
      <c r="N2085" s="1">
        <f>YEAR(Table1[[#This Row],[Order_Date]])</f>
        <v>2024</v>
      </c>
      <c r="O2085" s="7">
        <f>Table1[[#This Row],[Profit]]/Table1[[#This Row],[Total_Sales]]</f>
        <v>0.46447674418604651</v>
      </c>
    </row>
    <row r="2086" spans="1:15" x14ac:dyDescent="0.25">
      <c r="A2086" s="1">
        <v>2085</v>
      </c>
      <c r="B2086" s="2">
        <v>45595</v>
      </c>
      <c r="C2086" s="1" t="s">
        <v>19</v>
      </c>
      <c r="D2086" s="1" t="s">
        <v>20</v>
      </c>
      <c r="E2086" s="1" t="s">
        <v>28</v>
      </c>
      <c r="F2086" s="1" t="s">
        <v>35</v>
      </c>
      <c r="G2086" s="1">
        <v>4</v>
      </c>
      <c r="H2086" s="1">
        <v>758</v>
      </c>
      <c r="I2086" s="1">
        <v>20</v>
      </c>
      <c r="J2086" s="4">
        <v>2425.6</v>
      </c>
      <c r="K2086" s="4">
        <v>1483.74</v>
      </c>
      <c r="L2086" s="4">
        <v>941.86</v>
      </c>
      <c r="M2086" s="1" t="str">
        <f>TEXT(Table1[[#This Row],[Order_Date]], "MMM")</f>
        <v>Oct</v>
      </c>
      <c r="N2086" s="1">
        <f>YEAR(Table1[[#This Row],[Order_Date]])</f>
        <v>2024</v>
      </c>
      <c r="O2086" s="7">
        <f>Table1[[#This Row],[Profit]]/Table1[[#This Row],[Total_Sales]]</f>
        <v>0.38829980211081794</v>
      </c>
    </row>
    <row r="2087" spans="1:15" x14ac:dyDescent="0.25">
      <c r="A2087" s="1">
        <v>2086</v>
      </c>
      <c r="B2087" s="2">
        <v>45003</v>
      </c>
      <c r="C2087" s="1" t="s">
        <v>16</v>
      </c>
      <c r="D2087" s="1" t="s">
        <v>22</v>
      </c>
      <c r="E2087" s="1" t="s">
        <v>29</v>
      </c>
      <c r="F2087" s="1" t="s">
        <v>24</v>
      </c>
      <c r="G2087" s="1">
        <v>6</v>
      </c>
      <c r="H2087" s="1">
        <v>57</v>
      </c>
      <c r="I2087" s="1">
        <v>5</v>
      </c>
      <c r="J2087" s="4">
        <v>324.89999999999998</v>
      </c>
      <c r="K2087" s="4">
        <v>210.45</v>
      </c>
      <c r="L2087" s="4">
        <v>114.45</v>
      </c>
      <c r="M2087" s="1" t="str">
        <f>TEXT(Table1[[#This Row],[Order_Date]], "MMM")</f>
        <v>Mar</v>
      </c>
      <c r="N2087" s="1">
        <f>YEAR(Table1[[#This Row],[Order_Date]])</f>
        <v>2023</v>
      </c>
      <c r="O2087" s="7">
        <f>Table1[[#This Row],[Profit]]/Table1[[#This Row],[Total_Sales]]</f>
        <v>0.3522622345337027</v>
      </c>
    </row>
    <row r="2088" spans="1:15" x14ac:dyDescent="0.25">
      <c r="A2088" s="1">
        <v>2087</v>
      </c>
      <c r="B2088" s="2">
        <v>45264</v>
      </c>
      <c r="C2088" s="1" t="s">
        <v>25</v>
      </c>
      <c r="D2088" s="1" t="s">
        <v>13</v>
      </c>
      <c r="E2088" s="1" t="s">
        <v>17</v>
      </c>
      <c r="F2088" s="1" t="s">
        <v>15</v>
      </c>
      <c r="G2088" s="1">
        <v>8</v>
      </c>
      <c r="H2088" s="1">
        <v>629</v>
      </c>
      <c r="I2088" s="1">
        <v>5</v>
      </c>
      <c r="J2088" s="4">
        <v>4780.3999999999996</v>
      </c>
      <c r="K2088" s="4">
        <v>2832.14</v>
      </c>
      <c r="L2088" s="4">
        <v>1948.26</v>
      </c>
      <c r="M2088" s="1" t="str">
        <f>TEXT(Table1[[#This Row],[Order_Date]], "MMM")</f>
        <v>Dec</v>
      </c>
      <c r="N2088" s="1">
        <f>YEAR(Table1[[#This Row],[Order_Date]])</f>
        <v>2023</v>
      </c>
      <c r="O2088" s="7">
        <f>Table1[[#This Row],[Profit]]/Table1[[#This Row],[Total_Sales]]</f>
        <v>0.40755166931637521</v>
      </c>
    </row>
    <row r="2089" spans="1:15" x14ac:dyDescent="0.25">
      <c r="A2089" s="1">
        <v>2088</v>
      </c>
      <c r="B2089" s="2">
        <v>45148</v>
      </c>
      <c r="C2089" s="1" t="s">
        <v>12</v>
      </c>
      <c r="D2089" s="1" t="s">
        <v>22</v>
      </c>
      <c r="E2089" s="1" t="s">
        <v>23</v>
      </c>
      <c r="F2089" s="1" t="s">
        <v>35</v>
      </c>
      <c r="G2089" s="1">
        <v>4</v>
      </c>
      <c r="H2089" s="1">
        <v>908</v>
      </c>
      <c r="I2089" s="1">
        <v>15</v>
      </c>
      <c r="J2089" s="4">
        <v>3087.2</v>
      </c>
      <c r="K2089" s="4">
        <v>1618.57</v>
      </c>
      <c r="L2089" s="4">
        <v>1468.63</v>
      </c>
      <c r="M2089" s="1" t="str">
        <f>TEXT(Table1[[#This Row],[Order_Date]], "MMM")</f>
        <v>Aug</v>
      </c>
      <c r="N2089" s="1">
        <f>YEAR(Table1[[#This Row],[Order_Date]])</f>
        <v>2023</v>
      </c>
      <c r="O2089" s="7">
        <f>Table1[[#This Row],[Profit]]/Table1[[#This Row],[Total_Sales]]</f>
        <v>0.47571585903083707</v>
      </c>
    </row>
    <row r="2090" spans="1:15" x14ac:dyDescent="0.25">
      <c r="A2090" s="1">
        <v>2089</v>
      </c>
      <c r="B2090" s="2">
        <v>45473</v>
      </c>
      <c r="C2090" s="1" t="s">
        <v>16</v>
      </c>
      <c r="D2090" s="1" t="s">
        <v>20</v>
      </c>
      <c r="E2090" s="1" t="s">
        <v>21</v>
      </c>
      <c r="F2090" s="1" t="s">
        <v>18</v>
      </c>
      <c r="G2090" s="1">
        <v>8</v>
      </c>
      <c r="H2090" s="1">
        <v>467</v>
      </c>
      <c r="I2090" s="1">
        <v>10</v>
      </c>
      <c r="J2090" s="4">
        <v>3362.4</v>
      </c>
      <c r="K2090" s="4">
        <v>1859.82</v>
      </c>
      <c r="L2090" s="4">
        <v>1502.58</v>
      </c>
      <c r="M2090" s="1" t="str">
        <f>TEXT(Table1[[#This Row],[Order_Date]], "MMM")</f>
        <v>Jun</v>
      </c>
      <c r="N2090" s="1">
        <f>YEAR(Table1[[#This Row],[Order_Date]])</f>
        <v>2024</v>
      </c>
      <c r="O2090" s="7">
        <f>Table1[[#This Row],[Profit]]/Table1[[#This Row],[Total_Sales]]</f>
        <v>0.44687723054960737</v>
      </c>
    </row>
    <row r="2091" spans="1:15" x14ac:dyDescent="0.25">
      <c r="A2091" s="1">
        <v>2090</v>
      </c>
      <c r="B2091" s="2">
        <v>45460</v>
      </c>
      <c r="C2091" s="1" t="s">
        <v>16</v>
      </c>
      <c r="D2091" s="1" t="s">
        <v>26</v>
      </c>
      <c r="E2091" s="1" t="s">
        <v>37</v>
      </c>
      <c r="F2091" s="1" t="s">
        <v>35</v>
      </c>
      <c r="G2091" s="1">
        <v>2</v>
      </c>
      <c r="H2091" s="1">
        <v>484</v>
      </c>
      <c r="I2091" s="1">
        <v>0</v>
      </c>
      <c r="J2091" s="4">
        <v>968</v>
      </c>
      <c r="K2091" s="4">
        <v>593.24</v>
      </c>
      <c r="L2091" s="4">
        <v>374.76</v>
      </c>
      <c r="M2091" s="1" t="str">
        <f>TEXT(Table1[[#This Row],[Order_Date]], "MMM")</f>
        <v>Jun</v>
      </c>
      <c r="N2091" s="1">
        <f>YEAR(Table1[[#This Row],[Order_Date]])</f>
        <v>2024</v>
      </c>
      <c r="O2091" s="7">
        <f>Table1[[#This Row],[Profit]]/Table1[[#This Row],[Total_Sales]]</f>
        <v>0.38714876033057849</v>
      </c>
    </row>
    <row r="2092" spans="1:15" x14ac:dyDescent="0.25">
      <c r="A2092" s="1">
        <v>2091</v>
      </c>
      <c r="B2092" s="2">
        <v>45103</v>
      </c>
      <c r="C2092" s="1" t="s">
        <v>16</v>
      </c>
      <c r="D2092" s="1" t="s">
        <v>22</v>
      </c>
      <c r="E2092" s="1" t="s">
        <v>23</v>
      </c>
      <c r="F2092" s="1" t="s">
        <v>31</v>
      </c>
      <c r="G2092" s="1">
        <v>3</v>
      </c>
      <c r="H2092" s="1">
        <v>69</v>
      </c>
      <c r="I2092" s="1">
        <v>0</v>
      </c>
      <c r="J2092" s="4">
        <v>207</v>
      </c>
      <c r="K2092" s="4">
        <v>149.04</v>
      </c>
      <c r="L2092" s="4">
        <v>57.96</v>
      </c>
      <c r="M2092" s="1" t="str">
        <f>TEXT(Table1[[#This Row],[Order_Date]], "MMM")</f>
        <v>Jun</v>
      </c>
      <c r="N2092" s="1">
        <f>YEAR(Table1[[#This Row],[Order_Date]])</f>
        <v>2023</v>
      </c>
      <c r="O2092" s="7">
        <f>Table1[[#This Row],[Profit]]/Table1[[#This Row],[Total_Sales]]</f>
        <v>0.28000000000000003</v>
      </c>
    </row>
    <row r="2093" spans="1:15" x14ac:dyDescent="0.25">
      <c r="A2093" s="1">
        <v>2092</v>
      </c>
      <c r="B2093" s="2">
        <v>44972</v>
      </c>
      <c r="C2093" s="1" t="s">
        <v>25</v>
      </c>
      <c r="D2093" s="1" t="s">
        <v>32</v>
      </c>
      <c r="E2093" s="1" t="s">
        <v>41</v>
      </c>
      <c r="F2093" s="1" t="s">
        <v>31</v>
      </c>
      <c r="G2093" s="1">
        <v>3</v>
      </c>
      <c r="H2093" s="1">
        <v>15</v>
      </c>
      <c r="I2093" s="1">
        <v>5</v>
      </c>
      <c r="J2093" s="4">
        <v>42.75</v>
      </c>
      <c r="K2093" s="4">
        <v>32.159999999999997</v>
      </c>
      <c r="L2093" s="4">
        <v>10.59</v>
      </c>
      <c r="M2093" s="1" t="str">
        <f>TEXT(Table1[[#This Row],[Order_Date]], "MMM")</f>
        <v>Feb</v>
      </c>
      <c r="N2093" s="1">
        <f>YEAR(Table1[[#This Row],[Order_Date]])</f>
        <v>2023</v>
      </c>
      <c r="O2093" s="7">
        <f>Table1[[#This Row],[Profit]]/Table1[[#This Row],[Total_Sales]]</f>
        <v>0.24771929824561403</v>
      </c>
    </row>
    <row r="2094" spans="1:15" x14ac:dyDescent="0.25">
      <c r="A2094" s="1">
        <v>2093</v>
      </c>
      <c r="B2094" s="2">
        <v>45119</v>
      </c>
      <c r="C2094" s="1" t="s">
        <v>16</v>
      </c>
      <c r="D2094" s="1" t="s">
        <v>26</v>
      </c>
      <c r="E2094" s="1" t="s">
        <v>42</v>
      </c>
      <c r="F2094" s="1" t="s">
        <v>40</v>
      </c>
      <c r="G2094" s="1">
        <v>10</v>
      </c>
      <c r="H2094" s="1">
        <v>70</v>
      </c>
      <c r="I2094" s="1">
        <v>0</v>
      </c>
      <c r="J2094" s="4">
        <v>700</v>
      </c>
      <c r="K2094" s="4">
        <v>510.19</v>
      </c>
      <c r="L2094" s="4">
        <v>189.81</v>
      </c>
      <c r="M2094" s="1" t="str">
        <f>TEXT(Table1[[#This Row],[Order_Date]], "MMM")</f>
        <v>Jul</v>
      </c>
      <c r="N2094" s="1">
        <f>YEAR(Table1[[#This Row],[Order_Date]])</f>
        <v>2023</v>
      </c>
      <c r="O2094" s="7">
        <f>Table1[[#This Row],[Profit]]/Table1[[#This Row],[Total_Sales]]</f>
        <v>0.27115714285714287</v>
      </c>
    </row>
    <row r="2095" spans="1:15" x14ac:dyDescent="0.25">
      <c r="A2095" s="1">
        <v>2094</v>
      </c>
      <c r="B2095" s="2">
        <v>45250</v>
      </c>
      <c r="C2095" s="1" t="s">
        <v>25</v>
      </c>
      <c r="D2095" s="1" t="s">
        <v>13</v>
      </c>
      <c r="E2095" s="1" t="s">
        <v>17</v>
      </c>
      <c r="F2095" s="1" t="s">
        <v>31</v>
      </c>
      <c r="G2095" s="1">
        <v>2</v>
      </c>
      <c r="H2095" s="1">
        <v>226</v>
      </c>
      <c r="I2095" s="1">
        <v>0</v>
      </c>
      <c r="J2095" s="4">
        <v>452</v>
      </c>
      <c r="K2095" s="4">
        <v>344.85</v>
      </c>
      <c r="L2095" s="4">
        <v>107.15</v>
      </c>
      <c r="M2095" s="1" t="str">
        <f>TEXT(Table1[[#This Row],[Order_Date]], "MMM")</f>
        <v>Nov</v>
      </c>
      <c r="N2095" s="1">
        <f>YEAR(Table1[[#This Row],[Order_Date]])</f>
        <v>2023</v>
      </c>
      <c r="O2095" s="7">
        <f>Table1[[#This Row],[Profit]]/Table1[[#This Row],[Total_Sales]]</f>
        <v>0.2370575221238938</v>
      </c>
    </row>
    <row r="2096" spans="1:15" x14ac:dyDescent="0.25">
      <c r="A2096" s="1">
        <v>2095</v>
      </c>
      <c r="B2096" s="2">
        <v>45314</v>
      </c>
      <c r="C2096" s="1" t="s">
        <v>12</v>
      </c>
      <c r="D2096" s="1" t="s">
        <v>13</v>
      </c>
      <c r="E2096" s="1" t="s">
        <v>38</v>
      </c>
      <c r="F2096" s="1" t="s">
        <v>15</v>
      </c>
      <c r="G2096" s="1">
        <v>4</v>
      </c>
      <c r="H2096" s="1">
        <v>927</v>
      </c>
      <c r="I2096" s="1">
        <v>15</v>
      </c>
      <c r="J2096" s="4">
        <v>3151.8</v>
      </c>
      <c r="K2096" s="4">
        <v>1964.4</v>
      </c>
      <c r="L2096" s="4">
        <v>1187.4000000000001</v>
      </c>
      <c r="M2096" s="1" t="str">
        <f>TEXT(Table1[[#This Row],[Order_Date]], "MMM")</f>
        <v>Jan</v>
      </c>
      <c r="N2096" s="1">
        <f>YEAR(Table1[[#This Row],[Order_Date]])</f>
        <v>2024</v>
      </c>
      <c r="O2096" s="7">
        <f>Table1[[#This Row],[Profit]]/Table1[[#This Row],[Total_Sales]]</f>
        <v>0.3767371026080335</v>
      </c>
    </row>
    <row r="2097" spans="1:15" x14ac:dyDescent="0.25">
      <c r="A2097" s="1">
        <v>2096</v>
      </c>
      <c r="B2097" s="2">
        <v>45315</v>
      </c>
      <c r="C2097" s="1" t="s">
        <v>12</v>
      </c>
      <c r="D2097" s="1" t="s">
        <v>26</v>
      </c>
      <c r="E2097" s="1" t="s">
        <v>42</v>
      </c>
      <c r="F2097" s="1" t="s">
        <v>40</v>
      </c>
      <c r="G2097" s="1">
        <v>7</v>
      </c>
      <c r="H2097" s="1">
        <v>890</v>
      </c>
      <c r="I2097" s="1">
        <v>20</v>
      </c>
      <c r="J2097" s="4">
        <v>4984</v>
      </c>
      <c r="K2097" s="4">
        <v>3533.55</v>
      </c>
      <c r="L2097" s="4">
        <v>1450.45</v>
      </c>
      <c r="M2097" s="1" t="str">
        <f>TEXT(Table1[[#This Row],[Order_Date]], "MMM")</f>
        <v>Jan</v>
      </c>
      <c r="N2097" s="1">
        <f>YEAR(Table1[[#This Row],[Order_Date]])</f>
        <v>2024</v>
      </c>
      <c r="O2097" s="7">
        <f>Table1[[#This Row],[Profit]]/Table1[[#This Row],[Total_Sales]]</f>
        <v>0.29102126805778494</v>
      </c>
    </row>
    <row r="2098" spans="1:15" x14ac:dyDescent="0.25">
      <c r="A2098" s="1">
        <v>2097</v>
      </c>
      <c r="B2098" s="2">
        <v>45263</v>
      </c>
      <c r="C2098" s="1" t="s">
        <v>16</v>
      </c>
      <c r="D2098" s="1" t="s">
        <v>13</v>
      </c>
      <c r="E2098" s="1" t="s">
        <v>14</v>
      </c>
      <c r="F2098" s="1" t="s">
        <v>24</v>
      </c>
      <c r="G2098" s="1">
        <v>8</v>
      </c>
      <c r="H2098" s="1">
        <v>89</v>
      </c>
      <c r="I2098" s="1">
        <v>20</v>
      </c>
      <c r="J2098" s="4">
        <v>569.6</v>
      </c>
      <c r="K2098" s="4">
        <v>320.81</v>
      </c>
      <c r="L2098" s="4">
        <v>248.79</v>
      </c>
      <c r="M2098" s="1" t="str">
        <f>TEXT(Table1[[#This Row],[Order_Date]], "MMM")</f>
        <v>Dec</v>
      </c>
      <c r="N2098" s="1">
        <f>YEAR(Table1[[#This Row],[Order_Date]])</f>
        <v>2023</v>
      </c>
      <c r="O2098" s="7">
        <f>Table1[[#This Row],[Profit]]/Table1[[#This Row],[Total_Sales]]</f>
        <v>0.43678019662921347</v>
      </c>
    </row>
    <row r="2099" spans="1:15" x14ac:dyDescent="0.25">
      <c r="A2099" s="1">
        <v>2098</v>
      </c>
      <c r="B2099" s="2">
        <v>45194</v>
      </c>
      <c r="C2099" s="1" t="s">
        <v>12</v>
      </c>
      <c r="D2099" s="1" t="s">
        <v>20</v>
      </c>
      <c r="E2099" s="1" t="s">
        <v>28</v>
      </c>
      <c r="F2099" s="1" t="s">
        <v>15</v>
      </c>
      <c r="G2099" s="1">
        <v>4</v>
      </c>
      <c r="H2099" s="1">
        <v>885</v>
      </c>
      <c r="I2099" s="1">
        <v>20</v>
      </c>
      <c r="J2099" s="4">
        <v>2832</v>
      </c>
      <c r="K2099" s="4">
        <v>2121.64</v>
      </c>
      <c r="L2099" s="4">
        <v>710.36</v>
      </c>
      <c r="M2099" s="1" t="str">
        <f>TEXT(Table1[[#This Row],[Order_Date]], "MMM")</f>
        <v>Sep</v>
      </c>
      <c r="N2099" s="1">
        <f>YEAR(Table1[[#This Row],[Order_Date]])</f>
        <v>2023</v>
      </c>
      <c r="O2099" s="7">
        <f>Table1[[#This Row],[Profit]]/Table1[[#This Row],[Total_Sales]]</f>
        <v>0.25083333333333335</v>
      </c>
    </row>
    <row r="2100" spans="1:15" x14ac:dyDescent="0.25">
      <c r="A2100" s="1">
        <v>2099</v>
      </c>
      <c r="B2100" s="2">
        <v>45339</v>
      </c>
      <c r="C2100" s="1" t="s">
        <v>16</v>
      </c>
      <c r="D2100" s="1" t="s">
        <v>32</v>
      </c>
      <c r="E2100" s="1" t="s">
        <v>34</v>
      </c>
      <c r="F2100" s="1" t="s">
        <v>24</v>
      </c>
      <c r="G2100" s="1">
        <v>6</v>
      </c>
      <c r="H2100" s="1">
        <v>155</v>
      </c>
      <c r="I2100" s="1">
        <v>10</v>
      </c>
      <c r="J2100" s="4">
        <v>837</v>
      </c>
      <c r="K2100" s="4">
        <v>547.66999999999996</v>
      </c>
      <c r="L2100" s="4">
        <v>289.33</v>
      </c>
      <c r="M2100" s="1" t="str">
        <f>TEXT(Table1[[#This Row],[Order_Date]], "MMM")</f>
        <v>Feb</v>
      </c>
      <c r="N2100" s="1">
        <f>YEAR(Table1[[#This Row],[Order_Date]])</f>
        <v>2024</v>
      </c>
      <c r="O2100" s="7">
        <f>Table1[[#This Row],[Profit]]/Table1[[#This Row],[Total_Sales]]</f>
        <v>0.34567502986857823</v>
      </c>
    </row>
    <row r="2101" spans="1:15" x14ac:dyDescent="0.25">
      <c r="A2101" s="1">
        <v>2100</v>
      </c>
      <c r="B2101" s="2">
        <v>44946</v>
      </c>
      <c r="C2101" s="1" t="s">
        <v>16</v>
      </c>
      <c r="D2101" s="1" t="s">
        <v>32</v>
      </c>
      <c r="E2101" s="1" t="s">
        <v>34</v>
      </c>
      <c r="F2101" s="1" t="s">
        <v>15</v>
      </c>
      <c r="G2101" s="1">
        <v>10</v>
      </c>
      <c r="H2101" s="1">
        <v>499</v>
      </c>
      <c r="I2101" s="1">
        <v>15</v>
      </c>
      <c r="J2101" s="4">
        <v>4241.5</v>
      </c>
      <c r="K2101" s="4">
        <v>2456.3000000000002</v>
      </c>
      <c r="L2101" s="4">
        <v>1785.2</v>
      </c>
      <c r="M2101" s="1" t="str">
        <f>TEXT(Table1[[#This Row],[Order_Date]], "MMM")</f>
        <v>Jan</v>
      </c>
      <c r="N2101" s="1">
        <f>YEAR(Table1[[#This Row],[Order_Date]])</f>
        <v>2023</v>
      </c>
      <c r="O2101" s="7">
        <f>Table1[[#This Row],[Profit]]/Table1[[#This Row],[Total_Sales]]</f>
        <v>0.42088883649652248</v>
      </c>
    </row>
    <row r="2102" spans="1:15" x14ac:dyDescent="0.25">
      <c r="A2102" s="1">
        <v>2101</v>
      </c>
      <c r="B2102" s="2">
        <v>45442</v>
      </c>
      <c r="C2102" s="1" t="s">
        <v>25</v>
      </c>
      <c r="D2102" s="1" t="s">
        <v>13</v>
      </c>
      <c r="E2102" s="1" t="s">
        <v>38</v>
      </c>
      <c r="F2102" s="1" t="s">
        <v>35</v>
      </c>
      <c r="G2102" s="1">
        <v>6</v>
      </c>
      <c r="H2102" s="1">
        <v>47</v>
      </c>
      <c r="I2102" s="1">
        <v>10</v>
      </c>
      <c r="J2102" s="4">
        <v>253.8</v>
      </c>
      <c r="K2102" s="4">
        <v>174.67</v>
      </c>
      <c r="L2102" s="4">
        <v>79.13</v>
      </c>
      <c r="M2102" s="1" t="str">
        <f>TEXT(Table1[[#This Row],[Order_Date]], "MMM")</f>
        <v>May</v>
      </c>
      <c r="N2102" s="1">
        <f>YEAR(Table1[[#This Row],[Order_Date]])</f>
        <v>2024</v>
      </c>
      <c r="O2102" s="7">
        <f>Table1[[#This Row],[Profit]]/Table1[[#This Row],[Total_Sales]]</f>
        <v>0.31178092986603623</v>
      </c>
    </row>
    <row r="2103" spans="1:15" x14ac:dyDescent="0.25">
      <c r="A2103" s="1">
        <v>2102</v>
      </c>
      <c r="B2103" s="2">
        <v>45349</v>
      </c>
      <c r="C2103" s="1" t="s">
        <v>25</v>
      </c>
      <c r="D2103" s="1" t="s">
        <v>22</v>
      </c>
      <c r="E2103" s="1" t="s">
        <v>23</v>
      </c>
      <c r="F2103" s="1" t="s">
        <v>35</v>
      </c>
      <c r="G2103" s="1">
        <v>10</v>
      </c>
      <c r="H2103" s="1">
        <v>506</v>
      </c>
      <c r="I2103" s="1">
        <v>20</v>
      </c>
      <c r="J2103" s="4">
        <v>4048</v>
      </c>
      <c r="K2103" s="4">
        <v>3038.54</v>
      </c>
      <c r="L2103" s="4">
        <v>1009.46</v>
      </c>
      <c r="M2103" s="1" t="str">
        <f>TEXT(Table1[[#This Row],[Order_Date]], "MMM")</f>
        <v>Feb</v>
      </c>
      <c r="N2103" s="1">
        <f>YEAR(Table1[[#This Row],[Order_Date]])</f>
        <v>2024</v>
      </c>
      <c r="O2103" s="7">
        <f>Table1[[#This Row],[Profit]]/Table1[[#This Row],[Total_Sales]]</f>
        <v>0.24937252964426879</v>
      </c>
    </row>
    <row r="2104" spans="1:15" x14ac:dyDescent="0.25">
      <c r="A2104" s="1">
        <v>2103</v>
      </c>
      <c r="B2104" s="2">
        <v>45349</v>
      </c>
      <c r="C2104" s="1" t="s">
        <v>25</v>
      </c>
      <c r="D2104" s="1" t="s">
        <v>20</v>
      </c>
      <c r="E2104" s="1" t="s">
        <v>21</v>
      </c>
      <c r="F2104" s="1" t="s">
        <v>18</v>
      </c>
      <c r="G2104" s="1">
        <v>1</v>
      </c>
      <c r="H2104" s="1">
        <v>774</v>
      </c>
      <c r="I2104" s="1">
        <v>20</v>
      </c>
      <c r="J2104" s="4">
        <v>619.20000000000005</v>
      </c>
      <c r="K2104" s="4">
        <v>479.37</v>
      </c>
      <c r="L2104" s="4">
        <v>139.83000000000001</v>
      </c>
      <c r="M2104" s="1" t="str">
        <f>TEXT(Table1[[#This Row],[Order_Date]], "MMM")</f>
        <v>Feb</v>
      </c>
      <c r="N2104" s="1">
        <f>YEAR(Table1[[#This Row],[Order_Date]])</f>
        <v>2024</v>
      </c>
      <c r="O2104" s="7">
        <f>Table1[[#This Row],[Profit]]/Table1[[#This Row],[Total_Sales]]</f>
        <v>0.2258236434108527</v>
      </c>
    </row>
    <row r="2105" spans="1:15" x14ac:dyDescent="0.25">
      <c r="A2105" s="1">
        <v>2104</v>
      </c>
      <c r="B2105" s="2">
        <v>45109</v>
      </c>
      <c r="C2105" s="1" t="s">
        <v>25</v>
      </c>
      <c r="D2105" s="1" t="s">
        <v>32</v>
      </c>
      <c r="E2105" s="1" t="s">
        <v>34</v>
      </c>
      <c r="F2105" s="1" t="s">
        <v>40</v>
      </c>
      <c r="G2105" s="1">
        <v>5</v>
      </c>
      <c r="H2105" s="1">
        <v>964</v>
      </c>
      <c r="I2105" s="1">
        <v>0</v>
      </c>
      <c r="J2105" s="4">
        <v>4820</v>
      </c>
      <c r="K2105" s="4">
        <v>3099.32</v>
      </c>
      <c r="L2105" s="4">
        <v>1720.68</v>
      </c>
      <c r="M2105" s="1" t="str">
        <f>TEXT(Table1[[#This Row],[Order_Date]], "MMM")</f>
        <v>Jul</v>
      </c>
      <c r="N2105" s="1">
        <f>YEAR(Table1[[#This Row],[Order_Date]])</f>
        <v>2023</v>
      </c>
      <c r="O2105" s="7">
        <f>Table1[[#This Row],[Profit]]/Table1[[#This Row],[Total_Sales]]</f>
        <v>0.35698755186721992</v>
      </c>
    </row>
    <row r="2106" spans="1:15" x14ac:dyDescent="0.25">
      <c r="A2106" s="1">
        <v>2105</v>
      </c>
      <c r="B2106" s="2">
        <v>45150</v>
      </c>
      <c r="C2106" s="1" t="s">
        <v>25</v>
      </c>
      <c r="D2106" s="1" t="s">
        <v>20</v>
      </c>
      <c r="E2106" s="1" t="s">
        <v>28</v>
      </c>
      <c r="F2106" s="1" t="s">
        <v>35</v>
      </c>
      <c r="G2106" s="1">
        <v>10</v>
      </c>
      <c r="H2106" s="1">
        <v>187</v>
      </c>
      <c r="I2106" s="1">
        <v>5</v>
      </c>
      <c r="J2106" s="4">
        <v>1776.5</v>
      </c>
      <c r="K2106" s="4">
        <v>1267.03</v>
      </c>
      <c r="L2106" s="4">
        <v>509.47</v>
      </c>
      <c r="M2106" s="1" t="str">
        <f>TEXT(Table1[[#This Row],[Order_Date]], "MMM")</f>
        <v>Aug</v>
      </c>
      <c r="N2106" s="1">
        <f>YEAR(Table1[[#This Row],[Order_Date]])</f>
        <v>2023</v>
      </c>
      <c r="O2106" s="7">
        <f>Table1[[#This Row],[Profit]]/Table1[[#This Row],[Total_Sales]]</f>
        <v>0.28678300028145232</v>
      </c>
    </row>
    <row r="2107" spans="1:15" x14ac:dyDescent="0.25">
      <c r="A2107" s="1">
        <v>2106</v>
      </c>
      <c r="B2107" s="2">
        <v>45562</v>
      </c>
      <c r="C2107" s="1" t="s">
        <v>25</v>
      </c>
      <c r="D2107" s="1" t="s">
        <v>20</v>
      </c>
      <c r="E2107" s="1" t="s">
        <v>30</v>
      </c>
      <c r="F2107" s="1" t="s">
        <v>31</v>
      </c>
      <c r="G2107" s="1">
        <v>7</v>
      </c>
      <c r="H2107" s="1">
        <v>115</v>
      </c>
      <c r="I2107" s="1">
        <v>20</v>
      </c>
      <c r="J2107" s="4">
        <v>644</v>
      </c>
      <c r="K2107" s="4">
        <v>490.84</v>
      </c>
      <c r="L2107" s="4">
        <v>153.16</v>
      </c>
      <c r="M2107" s="1" t="str">
        <f>TEXT(Table1[[#This Row],[Order_Date]], "MMM")</f>
        <v>Sep</v>
      </c>
      <c r="N2107" s="1">
        <f>YEAR(Table1[[#This Row],[Order_Date]])</f>
        <v>2024</v>
      </c>
      <c r="O2107" s="7">
        <f>Table1[[#This Row],[Profit]]/Table1[[#This Row],[Total_Sales]]</f>
        <v>0.23782608695652174</v>
      </c>
    </row>
    <row r="2108" spans="1:15" x14ac:dyDescent="0.25">
      <c r="A2108" s="1">
        <v>2107</v>
      </c>
      <c r="B2108" s="2">
        <v>45570</v>
      </c>
      <c r="C2108" s="1" t="s">
        <v>16</v>
      </c>
      <c r="D2108" s="1" t="s">
        <v>13</v>
      </c>
      <c r="E2108" s="1" t="s">
        <v>14</v>
      </c>
      <c r="F2108" s="1" t="s">
        <v>15</v>
      </c>
      <c r="G2108" s="1">
        <v>2</v>
      </c>
      <c r="H2108" s="1">
        <v>38</v>
      </c>
      <c r="I2108" s="1">
        <v>10</v>
      </c>
      <c r="J2108" s="4">
        <v>68.400000000000006</v>
      </c>
      <c r="K2108" s="4">
        <v>43.96</v>
      </c>
      <c r="L2108" s="4">
        <v>24.44</v>
      </c>
      <c r="M2108" s="1" t="str">
        <f>TEXT(Table1[[#This Row],[Order_Date]], "MMM")</f>
        <v>Oct</v>
      </c>
      <c r="N2108" s="1">
        <f>YEAR(Table1[[#This Row],[Order_Date]])</f>
        <v>2024</v>
      </c>
      <c r="O2108" s="7">
        <f>Table1[[#This Row],[Profit]]/Table1[[#This Row],[Total_Sales]]</f>
        <v>0.3573099415204678</v>
      </c>
    </row>
    <row r="2109" spans="1:15" x14ac:dyDescent="0.25">
      <c r="A2109" s="1">
        <v>2108</v>
      </c>
      <c r="B2109" s="2">
        <v>45461</v>
      </c>
      <c r="C2109" s="1" t="s">
        <v>25</v>
      </c>
      <c r="D2109" s="1" t="s">
        <v>26</v>
      </c>
      <c r="E2109" s="1" t="s">
        <v>42</v>
      </c>
      <c r="F2109" s="1" t="s">
        <v>35</v>
      </c>
      <c r="G2109" s="1">
        <v>5</v>
      </c>
      <c r="H2109" s="1">
        <v>630</v>
      </c>
      <c r="I2109" s="1">
        <v>0</v>
      </c>
      <c r="J2109" s="4">
        <v>3150</v>
      </c>
      <c r="K2109" s="4">
        <v>2095.23</v>
      </c>
      <c r="L2109" s="4">
        <v>1054.77</v>
      </c>
      <c r="M2109" s="1" t="str">
        <f>TEXT(Table1[[#This Row],[Order_Date]], "MMM")</f>
        <v>Jun</v>
      </c>
      <c r="N2109" s="1">
        <f>YEAR(Table1[[#This Row],[Order_Date]])</f>
        <v>2024</v>
      </c>
      <c r="O2109" s="7">
        <f>Table1[[#This Row],[Profit]]/Table1[[#This Row],[Total_Sales]]</f>
        <v>0.33484761904761906</v>
      </c>
    </row>
    <row r="2110" spans="1:15" x14ac:dyDescent="0.25">
      <c r="A2110" s="1">
        <v>2109</v>
      </c>
      <c r="B2110" s="2">
        <v>45128</v>
      </c>
      <c r="C2110" s="1" t="s">
        <v>12</v>
      </c>
      <c r="D2110" s="1" t="s">
        <v>32</v>
      </c>
      <c r="E2110" s="1" t="s">
        <v>41</v>
      </c>
      <c r="F2110" s="1" t="s">
        <v>31</v>
      </c>
      <c r="G2110" s="1">
        <v>10</v>
      </c>
      <c r="H2110" s="1">
        <v>314</v>
      </c>
      <c r="I2110" s="1">
        <v>20</v>
      </c>
      <c r="J2110" s="4">
        <v>2512</v>
      </c>
      <c r="K2110" s="4">
        <v>1568.87</v>
      </c>
      <c r="L2110" s="4">
        <v>943.13</v>
      </c>
      <c r="M2110" s="1" t="str">
        <f>TEXT(Table1[[#This Row],[Order_Date]], "MMM")</f>
        <v>Jul</v>
      </c>
      <c r="N2110" s="1">
        <f>YEAR(Table1[[#This Row],[Order_Date]])</f>
        <v>2023</v>
      </c>
      <c r="O2110" s="7">
        <f>Table1[[#This Row],[Profit]]/Table1[[#This Row],[Total_Sales]]</f>
        <v>0.37544984076433119</v>
      </c>
    </row>
    <row r="2111" spans="1:15" x14ac:dyDescent="0.25">
      <c r="A2111" s="1">
        <v>2110</v>
      </c>
      <c r="B2111" s="2">
        <v>45020</v>
      </c>
      <c r="C2111" s="1" t="s">
        <v>25</v>
      </c>
      <c r="D2111" s="1" t="s">
        <v>32</v>
      </c>
      <c r="E2111" s="1" t="s">
        <v>34</v>
      </c>
      <c r="F2111" s="1" t="s">
        <v>31</v>
      </c>
      <c r="G2111" s="1">
        <v>1</v>
      </c>
      <c r="H2111" s="1">
        <v>789</v>
      </c>
      <c r="I2111" s="1">
        <v>5</v>
      </c>
      <c r="J2111" s="4">
        <v>749.55</v>
      </c>
      <c r="K2111" s="4">
        <v>487.34</v>
      </c>
      <c r="L2111" s="4">
        <v>262.20999999999998</v>
      </c>
      <c r="M2111" s="1" t="str">
        <f>TEXT(Table1[[#This Row],[Order_Date]], "MMM")</f>
        <v>Apr</v>
      </c>
      <c r="N2111" s="1">
        <f>YEAR(Table1[[#This Row],[Order_Date]])</f>
        <v>2023</v>
      </c>
      <c r="O2111" s="7">
        <f>Table1[[#This Row],[Profit]]/Table1[[#This Row],[Total_Sales]]</f>
        <v>0.34982322726969517</v>
      </c>
    </row>
    <row r="2112" spans="1:15" x14ac:dyDescent="0.25">
      <c r="A2112" s="1">
        <v>2111</v>
      </c>
      <c r="B2112" s="2">
        <v>45228</v>
      </c>
      <c r="C2112" s="1" t="s">
        <v>16</v>
      </c>
      <c r="D2112" s="1" t="s">
        <v>32</v>
      </c>
      <c r="E2112" s="1" t="s">
        <v>34</v>
      </c>
      <c r="F2112" s="1" t="s">
        <v>31</v>
      </c>
      <c r="G2112" s="1">
        <v>4</v>
      </c>
      <c r="H2112" s="1">
        <v>652</v>
      </c>
      <c r="I2112" s="1">
        <v>0</v>
      </c>
      <c r="J2112" s="4">
        <v>2608</v>
      </c>
      <c r="K2112" s="4">
        <v>1525.62</v>
      </c>
      <c r="L2112" s="4">
        <v>1082.3800000000001</v>
      </c>
      <c r="M2112" s="1" t="str">
        <f>TEXT(Table1[[#This Row],[Order_Date]], "MMM")</f>
        <v>Oct</v>
      </c>
      <c r="N2112" s="1">
        <f>YEAR(Table1[[#This Row],[Order_Date]])</f>
        <v>2023</v>
      </c>
      <c r="O2112" s="7">
        <f>Table1[[#This Row],[Profit]]/Table1[[#This Row],[Total_Sales]]</f>
        <v>0.41502300613496934</v>
      </c>
    </row>
    <row r="2113" spans="1:15" x14ac:dyDescent="0.25">
      <c r="A2113" s="1">
        <v>2112</v>
      </c>
      <c r="B2113" s="2">
        <v>45400</v>
      </c>
      <c r="C2113" s="1" t="s">
        <v>16</v>
      </c>
      <c r="D2113" s="1" t="s">
        <v>32</v>
      </c>
      <c r="E2113" s="1" t="s">
        <v>45</v>
      </c>
      <c r="F2113" s="1" t="s">
        <v>40</v>
      </c>
      <c r="G2113" s="1">
        <v>5</v>
      </c>
      <c r="H2113" s="1">
        <v>335</v>
      </c>
      <c r="I2113" s="1">
        <v>10</v>
      </c>
      <c r="J2113" s="4">
        <v>1507.5</v>
      </c>
      <c r="K2113" s="4">
        <v>1080.6500000000001</v>
      </c>
      <c r="L2113" s="4">
        <v>426.85</v>
      </c>
      <c r="M2113" s="1" t="str">
        <f>TEXT(Table1[[#This Row],[Order_Date]], "MMM")</f>
        <v>Apr</v>
      </c>
      <c r="N2113" s="1">
        <f>YEAR(Table1[[#This Row],[Order_Date]])</f>
        <v>2024</v>
      </c>
      <c r="O2113" s="7">
        <f>Table1[[#This Row],[Profit]]/Table1[[#This Row],[Total_Sales]]</f>
        <v>0.28315091210613602</v>
      </c>
    </row>
    <row r="2114" spans="1:15" x14ac:dyDescent="0.25">
      <c r="A2114" s="1">
        <v>2113</v>
      </c>
      <c r="B2114" s="2">
        <v>45471</v>
      </c>
      <c r="C2114" s="1" t="s">
        <v>25</v>
      </c>
      <c r="D2114" s="1" t="s">
        <v>26</v>
      </c>
      <c r="E2114" s="1" t="s">
        <v>27</v>
      </c>
      <c r="F2114" s="1" t="s">
        <v>35</v>
      </c>
      <c r="G2114" s="1">
        <v>6</v>
      </c>
      <c r="H2114" s="1">
        <v>357</v>
      </c>
      <c r="I2114" s="1">
        <v>5</v>
      </c>
      <c r="J2114" s="4">
        <v>2034.9</v>
      </c>
      <c r="K2114" s="4">
        <v>1361.14</v>
      </c>
      <c r="L2114" s="4">
        <v>673.76</v>
      </c>
      <c r="M2114" s="1" t="str">
        <f>TEXT(Table1[[#This Row],[Order_Date]], "MMM")</f>
        <v>Jun</v>
      </c>
      <c r="N2114" s="1">
        <f>YEAR(Table1[[#This Row],[Order_Date]])</f>
        <v>2024</v>
      </c>
      <c r="O2114" s="7">
        <f>Table1[[#This Row],[Profit]]/Table1[[#This Row],[Total_Sales]]</f>
        <v>0.33110226546759053</v>
      </c>
    </row>
    <row r="2115" spans="1:15" x14ac:dyDescent="0.25">
      <c r="A2115" s="1">
        <v>2114</v>
      </c>
      <c r="B2115" s="2">
        <v>45181</v>
      </c>
      <c r="C2115" s="1" t="s">
        <v>16</v>
      </c>
      <c r="D2115" s="1" t="s">
        <v>32</v>
      </c>
      <c r="E2115" s="1" t="s">
        <v>33</v>
      </c>
      <c r="F2115" s="1" t="s">
        <v>40</v>
      </c>
      <c r="G2115" s="1">
        <v>8</v>
      </c>
      <c r="H2115" s="1">
        <v>135</v>
      </c>
      <c r="I2115" s="1">
        <v>5</v>
      </c>
      <c r="J2115" s="4">
        <v>1026</v>
      </c>
      <c r="K2115" s="4">
        <v>556.59</v>
      </c>
      <c r="L2115" s="4">
        <v>469.41</v>
      </c>
      <c r="M2115" s="1" t="str">
        <f>TEXT(Table1[[#This Row],[Order_Date]], "MMM")</f>
        <v>Sep</v>
      </c>
      <c r="N2115" s="1">
        <f>YEAR(Table1[[#This Row],[Order_Date]])</f>
        <v>2023</v>
      </c>
      <c r="O2115" s="7">
        <f>Table1[[#This Row],[Profit]]/Table1[[#This Row],[Total_Sales]]</f>
        <v>0.45751461988304098</v>
      </c>
    </row>
    <row r="2116" spans="1:15" x14ac:dyDescent="0.25">
      <c r="A2116" s="1">
        <v>2115</v>
      </c>
      <c r="B2116" s="2">
        <v>45507</v>
      </c>
      <c r="C2116" s="1" t="s">
        <v>12</v>
      </c>
      <c r="D2116" s="1" t="s">
        <v>22</v>
      </c>
      <c r="E2116" s="1" t="s">
        <v>23</v>
      </c>
      <c r="F2116" s="1" t="s">
        <v>40</v>
      </c>
      <c r="G2116" s="1">
        <v>1</v>
      </c>
      <c r="H2116" s="1">
        <v>80</v>
      </c>
      <c r="I2116" s="1">
        <v>0</v>
      </c>
      <c r="J2116" s="4">
        <v>80</v>
      </c>
      <c r="K2116" s="4">
        <v>55.3</v>
      </c>
      <c r="L2116" s="4">
        <v>24.7</v>
      </c>
      <c r="M2116" s="1" t="str">
        <f>TEXT(Table1[[#This Row],[Order_Date]], "MMM")</f>
        <v>Aug</v>
      </c>
      <c r="N2116" s="1">
        <f>YEAR(Table1[[#This Row],[Order_Date]])</f>
        <v>2024</v>
      </c>
      <c r="O2116" s="7">
        <f>Table1[[#This Row],[Profit]]/Table1[[#This Row],[Total_Sales]]</f>
        <v>0.30874999999999997</v>
      </c>
    </row>
    <row r="2117" spans="1:15" x14ac:dyDescent="0.25">
      <c r="A2117" s="1">
        <v>2116</v>
      </c>
      <c r="B2117" s="2">
        <v>45097</v>
      </c>
      <c r="C2117" s="1" t="s">
        <v>16</v>
      </c>
      <c r="D2117" s="1" t="s">
        <v>20</v>
      </c>
      <c r="E2117" s="1" t="s">
        <v>28</v>
      </c>
      <c r="F2117" s="1" t="s">
        <v>24</v>
      </c>
      <c r="G2117" s="1">
        <v>9</v>
      </c>
      <c r="H2117" s="1">
        <v>266</v>
      </c>
      <c r="I2117" s="1">
        <v>15</v>
      </c>
      <c r="J2117" s="4">
        <v>2034.9</v>
      </c>
      <c r="K2117" s="4">
        <v>1624.43</v>
      </c>
      <c r="L2117" s="4">
        <v>410.47</v>
      </c>
      <c r="M2117" s="1" t="str">
        <f>TEXT(Table1[[#This Row],[Order_Date]], "MMM")</f>
        <v>Jun</v>
      </c>
      <c r="N2117" s="1">
        <f>YEAR(Table1[[#This Row],[Order_Date]])</f>
        <v>2023</v>
      </c>
      <c r="O2117" s="7">
        <f>Table1[[#This Row],[Profit]]/Table1[[#This Row],[Total_Sales]]</f>
        <v>0.20171507199370978</v>
      </c>
    </row>
    <row r="2118" spans="1:15" x14ac:dyDescent="0.25">
      <c r="A2118" s="1">
        <v>2117</v>
      </c>
      <c r="B2118" s="2">
        <v>45419</v>
      </c>
      <c r="C2118" s="1" t="s">
        <v>25</v>
      </c>
      <c r="D2118" s="1" t="s">
        <v>32</v>
      </c>
      <c r="E2118" s="1" t="s">
        <v>33</v>
      </c>
      <c r="F2118" s="1" t="s">
        <v>15</v>
      </c>
      <c r="G2118" s="1">
        <v>1</v>
      </c>
      <c r="H2118" s="1">
        <v>901</v>
      </c>
      <c r="I2118" s="1">
        <v>0</v>
      </c>
      <c r="J2118" s="4">
        <v>901</v>
      </c>
      <c r="K2118" s="4">
        <v>473.12</v>
      </c>
      <c r="L2118" s="4">
        <v>427.88</v>
      </c>
      <c r="M2118" s="1" t="str">
        <f>TEXT(Table1[[#This Row],[Order_Date]], "MMM")</f>
        <v>May</v>
      </c>
      <c r="N2118" s="1">
        <f>YEAR(Table1[[#This Row],[Order_Date]])</f>
        <v>2024</v>
      </c>
      <c r="O2118" s="7">
        <f>Table1[[#This Row],[Profit]]/Table1[[#This Row],[Total_Sales]]</f>
        <v>0.47489456159822419</v>
      </c>
    </row>
    <row r="2119" spans="1:15" x14ac:dyDescent="0.25">
      <c r="A2119" s="1">
        <v>2118</v>
      </c>
      <c r="B2119" s="2">
        <v>44929</v>
      </c>
      <c r="C2119" s="1" t="s">
        <v>19</v>
      </c>
      <c r="D2119" s="1" t="s">
        <v>13</v>
      </c>
      <c r="E2119" s="1" t="s">
        <v>38</v>
      </c>
      <c r="F2119" s="1" t="s">
        <v>40</v>
      </c>
      <c r="G2119" s="1">
        <v>2</v>
      </c>
      <c r="H2119" s="1">
        <v>790</v>
      </c>
      <c r="I2119" s="1">
        <v>5</v>
      </c>
      <c r="J2119" s="4">
        <v>1501</v>
      </c>
      <c r="K2119" s="4">
        <v>892.68</v>
      </c>
      <c r="L2119" s="4">
        <v>608.32000000000005</v>
      </c>
      <c r="M2119" s="1" t="str">
        <f>TEXT(Table1[[#This Row],[Order_Date]], "MMM")</f>
        <v>Jan</v>
      </c>
      <c r="N2119" s="1">
        <f>YEAR(Table1[[#This Row],[Order_Date]])</f>
        <v>2023</v>
      </c>
      <c r="O2119" s="7">
        <f>Table1[[#This Row],[Profit]]/Table1[[#This Row],[Total_Sales]]</f>
        <v>0.40527648234510327</v>
      </c>
    </row>
    <row r="2120" spans="1:15" x14ac:dyDescent="0.25">
      <c r="A2120" s="1">
        <v>2119</v>
      </c>
      <c r="B2120" s="2">
        <v>44961</v>
      </c>
      <c r="C2120" s="1" t="s">
        <v>25</v>
      </c>
      <c r="D2120" s="1" t="s">
        <v>22</v>
      </c>
      <c r="E2120" s="1" t="s">
        <v>44</v>
      </c>
      <c r="F2120" s="1" t="s">
        <v>18</v>
      </c>
      <c r="G2120" s="1">
        <v>6</v>
      </c>
      <c r="H2120" s="1">
        <v>562</v>
      </c>
      <c r="I2120" s="1">
        <v>0</v>
      </c>
      <c r="J2120" s="4">
        <v>3372</v>
      </c>
      <c r="K2120" s="4">
        <v>2483.5700000000002</v>
      </c>
      <c r="L2120" s="4">
        <v>888.43</v>
      </c>
      <c r="M2120" s="1" t="str">
        <f>TEXT(Table1[[#This Row],[Order_Date]], "MMM")</f>
        <v>Feb</v>
      </c>
      <c r="N2120" s="1">
        <f>YEAR(Table1[[#This Row],[Order_Date]])</f>
        <v>2023</v>
      </c>
      <c r="O2120" s="7">
        <f>Table1[[#This Row],[Profit]]/Table1[[#This Row],[Total_Sales]]</f>
        <v>0.26347271648873072</v>
      </c>
    </row>
    <row r="2121" spans="1:15" x14ac:dyDescent="0.25">
      <c r="A2121" s="1">
        <v>2120</v>
      </c>
      <c r="B2121" s="2">
        <v>45179</v>
      </c>
      <c r="C2121" s="1" t="s">
        <v>25</v>
      </c>
      <c r="D2121" s="1" t="s">
        <v>26</v>
      </c>
      <c r="E2121" s="1" t="s">
        <v>46</v>
      </c>
      <c r="F2121" s="1" t="s">
        <v>35</v>
      </c>
      <c r="G2121" s="1">
        <v>1</v>
      </c>
      <c r="H2121" s="1">
        <v>886</v>
      </c>
      <c r="I2121" s="1">
        <v>5</v>
      </c>
      <c r="J2121" s="4">
        <v>841.7</v>
      </c>
      <c r="K2121" s="4">
        <v>461.75</v>
      </c>
      <c r="L2121" s="4">
        <v>379.95</v>
      </c>
      <c r="M2121" s="1" t="str">
        <f>TEXT(Table1[[#This Row],[Order_Date]], "MMM")</f>
        <v>Sep</v>
      </c>
      <c r="N2121" s="1">
        <f>YEAR(Table1[[#This Row],[Order_Date]])</f>
        <v>2023</v>
      </c>
      <c r="O2121" s="7">
        <f>Table1[[#This Row],[Profit]]/Table1[[#This Row],[Total_Sales]]</f>
        <v>0.45140786503504809</v>
      </c>
    </row>
    <row r="2122" spans="1:15" x14ac:dyDescent="0.25">
      <c r="A2122" s="1">
        <v>2121</v>
      </c>
      <c r="B2122" s="2">
        <v>45521</v>
      </c>
      <c r="C2122" s="1" t="s">
        <v>16</v>
      </c>
      <c r="D2122" s="1" t="s">
        <v>26</v>
      </c>
      <c r="E2122" s="1" t="s">
        <v>37</v>
      </c>
      <c r="F2122" s="1" t="s">
        <v>18</v>
      </c>
      <c r="G2122" s="1">
        <v>5</v>
      </c>
      <c r="H2122" s="1">
        <v>272</v>
      </c>
      <c r="I2122" s="1">
        <v>0</v>
      </c>
      <c r="J2122" s="4">
        <v>1360</v>
      </c>
      <c r="K2122" s="4">
        <v>901.99</v>
      </c>
      <c r="L2122" s="4">
        <v>458.01</v>
      </c>
      <c r="M2122" s="1" t="str">
        <f>TEXT(Table1[[#This Row],[Order_Date]], "MMM")</f>
        <v>Aug</v>
      </c>
      <c r="N2122" s="1">
        <f>YEAR(Table1[[#This Row],[Order_Date]])</f>
        <v>2024</v>
      </c>
      <c r="O2122" s="7">
        <f>Table1[[#This Row],[Profit]]/Table1[[#This Row],[Total_Sales]]</f>
        <v>0.3367720588235294</v>
      </c>
    </row>
    <row r="2123" spans="1:15" x14ac:dyDescent="0.25">
      <c r="A2123" s="1">
        <v>2122</v>
      </c>
      <c r="B2123" s="2">
        <v>45626</v>
      </c>
      <c r="C2123" s="1" t="s">
        <v>25</v>
      </c>
      <c r="D2123" s="1" t="s">
        <v>20</v>
      </c>
      <c r="E2123" s="1" t="s">
        <v>30</v>
      </c>
      <c r="F2123" s="1" t="s">
        <v>15</v>
      </c>
      <c r="G2123" s="1">
        <v>5</v>
      </c>
      <c r="H2123" s="1">
        <v>628</v>
      </c>
      <c r="I2123" s="1">
        <v>20</v>
      </c>
      <c r="J2123" s="4">
        <v>2512</v>
      </c>
      <c r="K2123" s="4">
        <v>1523.86</v>
      </c>
      <c r="L2123" s="4">
        <v>988.14</v>
      </c>
      <c r="M2123" s="1" t="str">
        <f>TEXT(Table1[[#This Row],[Order_Date]], "MMM")</f>
        <v>Nov</v>
      </c>
      <c r="N2123" s="1">
        <f>YEAR(Table1[[#This Row],[Order_Date]])</f>
        <v>2024</v>
      </c>
      <c r="O2123" s="7">
        <f>Table1[[#This Row],[Profit]]/Table1[[#This Row],[Total_Sales]]</f>
        <v>0.39336783439490447</v>
      </c>
    </row>
    <row r="2124" spans="1:15" x14ac:dyDescent="0.25">
      <c r="A2124" s="1">
        <v>2123</v>
      </c>
      <c r="B2124" s="2">
        <v>45369</v>
      </c>
      <c r="C2124" s="1" t="s">
        <v>19</v>
      </c>
      <c r="D2124" s="1" t="s">
        <v>20</v>
      </c>
      <c r="E2124" s="1" t="s">
        <v>21</v>
      </c>
      <c r="F2124" s="1" t="s">
        <v>15</v>
      </c>
      <c r="G2124" s="1">
        <v>2</v>
      </c>
      <c r="H2124" s="1">
        <v>973</v>
      </c>
      <c r="I2124" s="1">
        <v>15</v>
      </c>
      <c r="J2124" s="4">
        <v>1654.1</v>
      </c>
      <c r="K2124" s="4">
        <v>1009.18</v>
      </c>
      <c r="L2124" s="4">
        <v>644.91999999999996</v>
      </c>
      <c r="M2124" s="1" t="str">
        <f>TEXT(Table1[[#This Row],[Order_Date]], "MMM")</f>
        <v>Mar</v>
      </c>
      <c r="N2124" s="1">
        <f>YEAR(Table1[[#This Row],[Order_Date]])</f>
        <v>2024</v>
      </c>
      <c r="O2124" s="7">
        <f>Table1[[#This Row],[Profit]]/Table1[[#This Row],[Total_Sales]]</f>
        <v>0.38989178405175018</v>
      </c>
    </row>
    <row r="2125" spans="1:15" x14ac:dyDescent="0.25">
      <c r="A2125" s="1">
        <v>2124</v>
      </c>
      <c r="B2125" s="2">
        <v>44987</v>
      </c>
      <c r="C2125" s="1" t="s">
        <v>25</v>
      </c>
      <c r="D2125" s="1" t="s">
        <v>20</v>
      </c>
      <c r="E2125" s="1" t="s">
        <v>43</v>
      </c>
      <c r="F2125" s="1" t="s">
        <v>40</v>
      </c>
      <c r="G2125" s="1">
        <v>2</v>
      </c>
      <c r="H2125" s="1">
        <v>292</v>
      </c>
      <c r="I2125" s="1">
        <v>5</v>
      </c>
      <c r="J2125" s="4">
        <v>554.79999999999995</v>
      </c>
      <c r="K2125" s="4">
        <v>329.01</v>
      </c>
      <c r="L2125" s="4">
        <v>225.79</v>
      </c>
      <c r="M2125" s="1" t="str">
        <f>TEXT(Table1[[#This Row],[Order_Date]], "MMM")</f>
        <v>Mar</v>
      </c>
      <c r="N2125" s="1">
        <f>YEAR(Table1[[#This Row],[Order_Date]])</f>
        <v>2023</v>
      </c>
      <c r="O2125" s="7">
        <f>Table1[[#This Row],[Profit]]/Table1[[#This Row],[Total_Sales]]</f>
        <v>0.40697548666186018</v>
      </c>
    </row>
    <row r="2126" spans="1:15" x14ac:dyDescent="0.25">
      <c r="A2126" s="1">
        <v>2125</v>
      </c>
      <c r="B2126" s="2">
        <v>45500</v>
      </c>
      <c r="C2126" s="1" t="s">
        <v>12</v>
      </c>
      <c r="D2126" s="1" t="s">
        <v>20</v>
      </c>
      <c r="E2126" s="1" t="s">
        <v>43</v>
      </c>
      <c r="F2126" s="1" t="s">
        <v>15</v>
      </c>
      <c r="G2126" s="1">
        <v>7</v>
      </c>
      <c r="H2126" s="1">
        <v>305</v>
      </c>
      <c r="I2126" s="1">
        <v>5</v>
      </c>
      <c r="J2126" s="4">
        <v>2028.25</v>
      </c>
      <c r="K2126" s="4">
        <v>1571.22</v>
      </c>
      <c r="L2126" s="4">
        <v>457.03</v>
      </c>
      <c r="M2126" s="1" t="str">
        <f>TEXT(Table1[[#This Row],[Order_Date]], "MMM")</f>
        <v>Jul</v>
      </c>
      <c r="N2126" s="1">
        <f>YEAR(Table1[[#This Row],[Order_Date]])</f>
        <v>2024</v>
      </c>
      <c r="O2126" s="7">
        <f>Table1[[#This Row],[Profit]]/Table1[[#This Row],[Total_Sales]]</f>
        <v>0.22533218291630716</v>
      </c>
    </row>
    <row r="2127" spans="1:15" x14ac:dyDescent="0.25">
      <c r="A2127" s="1">
        <v>2126</v>
      </c>
      <c r="B2127" s="2">
        <v>45369</v>
      </c>
      <c r="C2127" s="1" t="s">
        <v>19</v>
      </c>
      <c r="D2127" s="1" t="s">
        <v>20</v>
      </c>
      <c r="E2127" s="1" t="s">
        <v>30</v>
      </c>
      <c r="F2127" s="1" t="s">
        <v>31</v>
      </c>
      <c r="G2127" s="1">
        <v>7</v>
      </c>
      <c r="H2127" s="1">
        <v>650</v>
      </c>
      <c r="I2127" s="1">
        <v>20</v>
      </c>
      <c r="J2127" s="4">
        <v>3640</v>
      </c>
      <c r="K2127" s="4">
        <v>2565.4699999999998</v>
      </c>
      <c r="L2127" s="4">
        <v>1074.53</v>
      </c>
      <c r="M2127" s="1" t="str">
        <f>TEXT(Table1[[#This Row],[Order_Date]], "MMM")</f>
        <v>Mar</v>
      </c>
      <c r="N2127" s="1">
        <f>YEAR(Table1[[#This Row],[Order_Date]])</f>
        <v>2024</v>
      </c>
      <c r="O2127" s="7">
        <f>Table1[[#This Row],[Profit]]/Table1[[#This Row],[Total_Sales]]</f>
        <v>0.29520054945054947</v>
      </c>
    </row>
    <row r="2128" spans="1:15" x14ac:dyDescent="0.25">
      <c r="A2128" s="1">
        <v>2127</v>
      </c>
      <c r="B2128" s="2">
        <v>45579</v>
      </c>
      <c r="C2128" s="1" t="s">
        <v>19</v>
      </c>
      <c r="D2128" s="1" t="s">
        <v>26</v>
      </c>
      <c r="E2128" s="1" t="s">
        <v>42</v>
      </c>
      <c r="F2128" s="1" t="s">
        <v>40</v>
      </c>
      <c r="G2128" s="1">
        <v>9</v>
      </c>
      <c r="H2128" s="1">
        <v>887</v>
      </c>
      <c r="I2128" s="1">
        <v>0</v>
      </c>
      <c r="J2128" s="4">
        <v>7983</v>
      </c>
      <c r="K2128" s="4">
        <v>4124.74</v>
      </c>
      <c r="L2128" s="4">
        <v>3858.26</v>
      </c>
      <c r="M2128" s="1" t="str">
        <f>TEXT(Table1[[#This Row],[Order_Date]], "MMM")</f>
        <v>Oct</v>
      </c>
      <c r="N2128" s="1">
        <f>YEAR(Table1[[#This Row],[Order_Date]])</f>
        <v>2024</v>
      </c>
      <c r="O2128" s="7">
        <f>Table1[[#This Row],[Profit]]/Table1[[#This Row],[Total_Sales]]</f>
        <v>0.48330953275710886</v>
      </c>
    </row>
    <row r="2129" spans="1:15" x14ac:dyDescent="0.25">
      <c r="A2129" s="1">
        <v>2128</v>
      </c>
      <c r="B2129" s="2">
        <v>45522</v>
      </c>
      <c r="C2129" s="1" t="s">
        <v>12</v>
      </c>
      <c r="D2129" s="1" t="s">
        <v>13</v>
      </c>
      <c r="E2129" s="1" t="s">
        <v>17</v>
      </c>
      <c r="F2129" s="1" t="s">
        <v>24</v>
      </c>
      <c r="G2129" s="1">
        <v>5</v>
      </c>
      <c r="H2129" s="1">
        <v>849</v>
      </c>
      <c r="I2129" s="1">
        <v>10</v>
      </c>
      <c r="J2129" s="4">
        <v>3820.5</v>
      </c>
      <c r="K2129" s="4">
        <v>2344.48</v>
      </c>
      <c r="L2129" s="4">
        <v>1476.02</v>
      </c>
      <c r="M2129" s="1" t="str">
        <f>TEXT(Table1[[#This Row],[Order_Date]], "MMM")</f>
        <v>Aug</v>
      </c>
      <c r="N2129" s="1">
        <f>YEAR(Table1[[#This Row],[Order_Date]])</f>
        <v>2024</v>
      </c>
      <c r="O2129" s="7">
        <f>Table1[[#This Row],[Profit]]/Table1[[#This Row],[Total_Sales]]</f>
        <v>0.38634210181913364</v>
      </c>
    </row>
    <row r="2130" spans="1:15" x14ac:dyDescent="0.25">
      <c r="A2130" s="1">
        <v>2129</v>
      </c>
      <c r="B2130" s="2">
        <v>45268</v>
      </c>
      <c r="C2130" s="1" t="s">
        <v>19</v>
      </c>
      <c r="D2130" s="1" t="s">
        <v>26</v>
      </c>
      <c r="E2130" s="1" t="s">
        <v>42</v>
      </c>
      <c r="F2130" s="1" t="s">
        <v>40</v>
      </c>
      <c r="G2130" s="1">
        <v>1</v>
      </c>
      <c r="H2130" s="1">
        <v>657</v>
      </c>
      <c r="I2130" s="1">
        <v>20</v>
      </c>
      <c r="J2130" s="4">
        <v>525.6</v>
      </c>
      <c r="K2130" s="4">
        <v>389.9</v>
      </c>
      <c r="L2130" s="4">
        <v>135.69999999999999</v>
      </c>
      <c r="M2130" s="1" t="str">
        <f>TEXT(Table1[[#This Row],[Order_Date]], "MMM")</f>
        <v>Dec</v>
      </c>
      <c r="N2130" s="1">
        <f>YEAR(Table1[[#This Row],[Order_Date]])</f>
        <v>2023</v>
      </c>
      <c r="O2130" s="7">
        <f>Table1[[#This Row],[Profit]]/Table1[[#This Row],[Total_Sales]]</f>
        <v>0.25818112633181123</v>
      </c>
    </row>
    <row r="2131" spans="1:15" x14ac:dyDescent="0.25">
      <c r="A2131" s="1">
        <v>2130</v>
      </c>
      <c r="B2131" s="2">
        <v>45562</v>
      </c>
      <c r="C2131" s="1" t="s">
        <v>16</v>
      </c>
      <c r="D2131" s="1" t="s">
        <v>22</v>
      </c>
      <c r="E2131" s="1" t="s">
        <v>44</v>
      </c>
      <c r="F2131" s="1" t="s">
        <v>15</v>
      </c>
      <c r="G2131" s="1">
        <v>1</v>
      </c>
      <c r="H2131" s="1">
        <v>239</v>
      </c>
      <c r="I2131" s="1">
        <v>20</v>
      </c>
      <c r="J2131" s="4">
        <v>191.2</v>
      </c>
      <c r="K2131" s="4">
        <v>136.55000000000001</v>
      </c>
      <c r="L2131" s="4">
        <v>54.65</v>
      </c>
      <c r="M2131" s="1" t="str">
        <f>TEXT(Table1[[#This Row],[Order_Date]], "MMM")</f>
        <v>Sep</v>
      </c>
      <c r="N2131" s="1">
        <f>YEAR(Table1[[#This Row],[Order_Date]])</f>
        <v>2024</v>
      </c>
      <c r="O2131" s="7">
        <f>Table1[[#This Row],[Profit]]/Table1[[#This Row],[Total_Sales]]</f>
        <v>0.28582635983263599</v>
      </c>
    </row>
    <row r="2132" spans="1:15" x14ac:dyDescent="0.25">
      <c r="A2132" s="1">
        <v>2131</v>
      </c>
      <c r="B2132" s="2">
        <v>45506</v>
      </c>
      <c r="C2132" s="1" t="s">
        <v>19</v>
      </c>
      <c r="D2132" s="1" t="s">
        <v>22</v>
      </c>
      <c r="E2132" s="1" t="s">
        <v>23</v>
      </c>
      <c r="F2132" s="1" t="s">
        <v>40</v>
      </c>
      <c r="G2132" s="1">
        <v>2</v>
      </c>
      <c r="H2132" s="1">
        <v>82</v>
      </c>
      <c r="I2132" s="1">
        <v>15</v>
      </c>
      <c r="J2132" s="4">
        <v>139.4</v>
      </c>
      <c r="K2132" s="4">
        <v>96.41</v>
      </c>
      <c r="L2132" s="4">
        <v>42.99</v>
      </c>
      <c r="M2132" s="1" t="str">
        <f>TEXT(Table1[[#This Row],[Order_Date]], "MMM")</f>
        <v>Aug</v>
      </c>
      <c r="N2132" s="1">
        <f>YEAR(Table1[[#This Row],[Order_Date]])</f>
        <v>2024</v>
      </c>
      <c r="O2132" s="7">
        <f>Table1[[#This Row],[Profit]]/Table1[[#This Row],[Total_Sales]]</f>
        <v>0.30839311334289815</v>
      </c>
    </row>
    <row r="2133" spans="1:15" x14ac:dyDescent="0.25">
      <c r="A2133" s="1">
        <v>2132</v>
      </c>
      <c r="B2133" s="2">
        <v>45541</v>
      </c>
      <c r="C2133" s="1" t="s">
        <v>19</v>
      </c>
      <c r="D2133" s="1" t="s">
        <v>20</v>
      </c>
      <c r="E2133" s="1" t="s">
        <v>28</v>
      </c>
      <c r="F2133" s="1" t="s">
        <v>40</v>
      </c>
      <c r="G2133" s="1">
        <v>5</v>
      </c>
      <c r="H2133" s="1">
        <v>706</v>
      </c>
      <c r="I2133" s="1">
        <v>5</v>
      </c>
      <c r="J2133" s="4">
        <v>3353.5</v>
      </c>
      <c r="K2133" s="4">
        <v>2597.12</v>
      </c>
      <c r="L2133" s="4">
        <v>756.38</v>
      </c>
      <c r="M2133" s="1" t="str">
        <f>TEXT(Table1[[#This Row],[Order_Date]], "MMM")</f>
        <v>Sep</v>
      </c>
      <c r="N2133" s="1">
        <f>YEAR(Table1[[#This Row],[Order_Date]])</f>
        <v>2024</v>
      </c>
      <c r="O2133" s="7">
        <f>Table1[[#This Row],[Profit]]/Table1[[#This Row],[Total_Sales]]</f>
        <v>0.22554942597286418</v>
      </c>
    </row>
    <row r="2134" spans="1:15" x14ac:dyDescent="0.25">
      <c r="A2134" s="1">
        <v>2133</v>
      </c>
      <c r="B2134" s="2">
        <v>44968</v>
      </c>
      <c r="C2134" s="1" t="s">
        <v>12</v>
      </c>
      <c r="D2134" s="1" t="s">
        <v>20</v>
      </c>
      <c r="E2134" s="1" t="s">
        <v>43</v>
      </c>
      <c r="F2134" s="1" t="s">
        <v>18</v>
      </c>
      <c r="G2134" s="1">
        <v>10</v>
      </c>
      <c r="H2134" s="1">
        <v>129</v>
      </c>
      <c r="I2134" s="1">
        <v>20</v>
      </c>
      <c r="J2134" s="4">
        <v>1032</v>
      </c>
      <c r="K2134" s="4">
        <v>702.19</v>
      </c>
      <c r="L2134" s="4">
        <v>329.81</v>
      </c>
      <c r="M2134" s="1" t="str">
        <f>TEXT(Table1[[#This Row],[Order_Date]], "MMM")</f>
        <v>Feb</v>
      </c>
      <c r="N2134" s="1">
        <f>YEAR(Table1[[#This Row],[Order_Date]])</f>
        <v>2023</v>
      </c>
      <c r="O2134" s="7">
        <f>Table1[[#This Row],[Profit]]/Table1[[#This Row],[Total_Sales]]</f>
        <v>0.31958333333333333</v>
      </c>
    </row>
    <row r="2135" spans="1:15" x14ac:dyDescent="0.25">
      <c r="A2135" s="1">
        <v>2134</v>
      </c>
      <c r="B2135" s="2">
        <v>45204</v>
      </c>
      <c r="C2135" s="1" t="s">
        <v>25</v>
      </c>
      <c r="D2135" s="1" t="s">
        <v>13</v>
      </c>
      <c r="E2135" s="1" t="s">
        <v>14</v>
      </c>
      <c r="F2135" s="1" t="s">
        <v>18</v>
      </c>
      <c r="G2135" s="1">
        <v>6</v>
      </c>
      <c r="H2135" s="1">
        <v>347</v>
      </c>
      <c r="I2135" s="1">
        <v>15</v>
      </c>
      <c r="J2135" s="4">
        <v>1769.7</v>
      </c>
      <c r="K2135" s="4">
        <v>1356.83</v>
      </c>
      <c r="L2135" s="4">
        <v>412.87</v>
      </c>
      <c r="M2135" s="1" t="str">
        <f>TEXT(Table1[[#This Row],[Order_Date]], "MMM")</f>
        <v>Oct</v>
      </c>
      <c r="N2135" s="1">
        <f>YEAR(Table1[[#This Row],[Order_Date]])</f>
        <v>2023</v>
      </c>
      <c r="O2135" s="7">
        <f>Table1[[#This Row],[Profit]]/Table1[[#This Row],[Total_Sales]]</f>
        <v>0.23329942928179917</v>
      </c>
    </row>
    <row r="2136" spans="1:15" x14ac:dyDescent="0.25">
      <c r="A2136" s="1">
        <v>2135</v>
      </c>
      <c r="B2136" s="2">
        <v>45281</v>
      </c>
      <c r="C2136" s="1" t="s">
        <v>19</v>
      </c>
      <c r="D2136" s="1" t="s">
        <v>32</v>
      </c>
      <c r="E2136" s="1" t="s">
        <v>41</v>
      </c>
      <c r="F2136" s="1" t="s">
        <v>31</v>
      </c>
      <c r="G2136" s="1">
        <v>2</v>
      </c>
      <c r="H2136" s="1">
        <v>458</v>
      </c>
      <c r="I2136" s="1">
        <v>15</v>
      </c>
      <c r="J2136" s="4">
        <v>778.6</v>
      </c>
      <c r="K2136" s="4">
        <v>501.23</v>
      </c>
      <c r="L2136" s="4">
        <v>277.37</v>
      </c>
      <c r="M2136" s="1" t="str">
        <f>TEXT(Table1[[#This Row],[Order_Date]], "MMM")</f>
        <v>Dec</v>
      </c>
      <c r="N2136" s="1">
        <f>YEAR(Table1[[#This Row],[Order_Date]])</f>
        <v>2023</v>
      </c>
      <c r="O2136" s="7">
        <f>Table1[[#This Row],[Profit]]/Table1[[#This Row],[Total_Sales]]</f>
        <v>0.35624197277164138</v>
      </c>
    </row>
    <row r="2137" spans="1:15" x14ac:dyDescent="0.25">
      <c r="A2137" s="1">
        <v>2136</v>
      </c>
      <c r="B2137" s="2">
        <v>45181</v>
      </c>
      <c r="C2137" s="1" t="s">
        <v>12</v>
      </c>
      <c r="D2137" s="1" t="s">
        <v>20</v>
      </c>
      <c r="E2137" s="1" t="s">
        <v>28</v>
      </c>
      <c r="F2137" s="1" t="s">
        <v>31</v>
      </c>
      <c r="G2137" s="1">
        <v>4</v>
      </c>
      <c r="H2137" s="1">
        <v>78</v>
      </c>
      <c r="I2137" s="1">
        <v>10</v>
      </c>
      <c r="J2137" s="4">
        <v>280.8</v>
      </c>
      <c r="K2137" s="4">
        <v>193.21</v>
      </c>
      <c r="L2137" s="4">
        <v>87.59</v>
      </c>
      <c r="M2137" s="1" t="str">
        <f>TEXT(Table1[[#This Row],[Order_Date]], "MMM")</f>
        <v>Sep</v>
      </c>
      <c r="N2137" s="1">
        <f>YEAR(Table1[[#This Row],[Order_Date]])</f>
        <v>2023</v>
      </c>
      <c r="O2137" s="7">
        <f>Table1[[#This Row],[Profit]]/Table1[[#This Row],[Total_Sales]]</f>
        <v>0.31193019943019945</v>
      </c>
    </row>
    <row r="2138" spans="1:15" x14ac:dyDescent="0.25">
      <c r="A2138" s="1">
        <v>2137</v>
      </c>
      <c r="B2138" s="2">
        <v>45491</v>
      </c>
      <c r="C2138" s="1" t="s">
        <v>19</v>
      </c>
      <c r="D2138" s="1" t="s">
        <v>22</v>
      </c>
      <c r="E2138" s="1" t="s">
        <v>29</v>
      </c>
      <c r="F2138" s="1" t="s">
        <v>40</v>
      </c>
      <c r="G2138" s="1">
        <v>1</v>
      </c>
      <c r="H2138" s="1">
        <v>765</v>
      </c>
      <c r="I2138" s="1">
        <v>15</v>
      </c>
      <c r="J2138" s="4">
        <v>650.25</v>
      </c>
      <c r="K2138" s="4">
        <v>382.83</v>
      </c>
      <c r="L2138" s="4">
        <v>267.42</v>
      </c>
      <c r="M2138" s="1" t="str">
        <f>TEXT(Table1[[#This Row],[Order_Date]], "MMM")</f>
        <v>Jul</v>
      </c>
      <c r="N2138" s="1">
        <f>YEAR(Table1[[#This Row],[Order_Date]])</f>
        <v>2024</v>
      </c>
      <c r="O2138" s="7">
        <f>Table1[[#This Row],[Profit]]/Table1[[#This Row],[Total_Sales]]</f>
        <v>0.41125720876585931</v>
      </c>
    </row>
    <row r="2139" spans="1:15" x14ac:dyDescent="0.25">
      <c r="A2139" s="1">
        <v>2138</v>
      </c>
      <c r="B2139" s="2">
        <v>45428</v>
      </c>
      <c r="C2139" s="1" t="s">
        <v>16</v>
      </c>
      <c r="D2139" s="1" t="s">
        <v>32</v>
      </c>
      <c r="E2139" s="1" t="s">
        <v>33</v>
      </c>
      <c r="F2139" s="1" t="s">
        <v>24</v>
      </c>
      <c r="G2139" s="1">
        <v>9</v>
      </c>
      <c r="H2139" s="1">
        <v>365</v>
      </c>
      <c r="I2139" s="1">
        <v>0</v>
      </c>
      <c r="J2139" s="4">
        <v>3285</v>
      </c>
      <c r="K2139" s="4">
        <v>2475.39</v>
      </c>
      <c r="L2139" s="4">
        <v>809.61</v>
      </c>
      <c r="M2139" s="1" t="str">
        <f>TEXT(Table1[[#This Row],[Order_Date]], "MMM")</f>
        <v>May</v>
      </c>
      <c r="N2139" s="1">
        <f>YEAR(Table1[[#This Row],[Order_Date]])</f>
        <v>2024</v>
      </c>
      <c r="O2139" s="7">
        <f>Table1[[#This Row],[Profit]]/Table1[[#This Row],[Total_Sales]]</f>
        <v>0.24645662100456622</v>
      </c>
    </row>
    <row r="2140" spans="1:15" x14ac:dyDescent="0.25">
      <c r="A2140" s="1">
        <v>2139</v>
      </c>
      <c r="B2140" s="2">
        <v>45169</v>
      </c>
      <c r="C2140" s="1" t="s">
        <v>12</v>
      </c>
      <c r="D2140" s="1" t="s">
        <v>20</v>
      </c>
      <c r="E2140" s="1" t="s">
        <v>43</v>
      </c>
      <c r="F2140" s="1" t="s">
        <v>40</v>
      </c>
      <c r="G2140" s="1">
        <v>4</v>
      </c>
      <c r="H2140" s="1">
        <v>20</v>
      </c>
      <c r="I2140" s="1">
        <v>15</v>
      </c>
      <c r="J2140" s="4">
        <v>68</v>
      </c>
      <c r="K2140" s="4">
        <v>36.200000000000003</v>
      </c>
      <c r="L2140" s="4">
        <v>31.8</v>
      </c>
      <c r="M2140" s="1" t="str">
        <f>TEXT(Table1[[#This Row],[Order_Date]], "MMM")</f>
        <v>Aug</v>
      </c>
      <c r="N2140" s="1">
        <f>YEAR(Table1[[#This Row],[Order_Date]])</f>
        <v>2023</v>
      </c>
      <c r="O2140" s="7">
        <f>Table1[[#This Row],[Profit]]/Table1[[#This Row],[Total_Sales]]</f>
        <v>0.46764705882352942</v>
      </c>
    </row>
    <row r="2141" spans="1:15" x14ac:dyDescent="0.25">
      <c r="A2141" s="1">
        <v>2140</v>
      </c>
      <c r="B2141" s="2">
        <v>45477</v>
      </c>
      <c r="C2141" s="1" t="s">
        <v>19</v>
      </c>
      <c r="D2141" s="1" t="s">
        <v>32</v>
      </c>
      <c r="E2141" s="1" t="s">
        <v>33</v>
      </c>
      <c r="F2141" s="1" t="s">
        <v>18</v>
      </c>
      <c r="G2141" s="1">
        <v>7</v>
      </c>
      <c r="H2141" s="1">
        <v>145</v>
      </c>
      <c r="I2141" s="1">
        <v>10</v>
      </c>
      <c r="J2141" s="4">
        <v>913.5</v>
      </c>
      <c r="K2141" s="4">
        <v>537.04999999999995</v>
      </c>
      <c r="L2141" s="4">
        <v>376.45</v>
      </c>
      <c r="M2141" s="1" t="str">
        <f>TEXT(Table1[[#This Row],[Order_Date]], "MMM")</f>
        <v>Jul</v>
      </c>
      <c r="N2141" s="1">
        <f>YEAR(Table1[[#This Row],[Order_Date]])</f>
        <v>2024</v>
      </c>
      <c r="O2141" s="7">
        <f>Table1[[#This Row],[Profit]]/Table1[[#This Row],[Total_Sales]]</f>
        <v>0.41209633278598795</v>
      </c>
    </row>
    <row r="2142" spans="1:15" x14ac:dyDescent="0.25">
      <c r="A2142" s="1">
        <v>2141</v>
      </c>
      <c r="B2142" s="2">
        <v>45548</v>
      </c>
      <c r="C2142" s="1" t="s">
        <v>16</v>
      </c>
      <c r="D2142" s="1" t="s">
        <v>20</v>
      </c>
      <c r="E2142" s="1" t="s">
        <v>30</v>
      </c>
      <c r="F2142" s="1" t="s">
        <v>18</v>
      </c>
      <c r="G2142" s="1">
        <v>2</v>
      </c>
      <c r="H2142" s="1">
        <v>533</v>
      </c>
      <c r="I2142" s="1">
        <v>0</v>
      </c>
      <c r="J2142" s="4">
        <v>1066</v>
      </c>
      <c r="K2142" s="4">
        <v>755.51</v>
      </c>
      <c r="L2142" s="4">
        <v>310.49</v>
      </c>
      <c r="M2142" s="1" t="str">
        <f>TEXT(Table1[[#This Row],[Order_Date]], "MMM")</f>
        <v>Sep</v>
      </c>
      <c r="N2142" s="1">
        <f>YEAR(Table1[[#This Row],[Order_Date]])</f>
        <v>2024</v>
      </c>
      <c r="O2142" s="7">
        <f>Table1[[#This Row],[Profit]]/Table1[[#This Row],[Total_Sales]]</f>
        <v>0.29126641651031898</v>
      </c>
    </row>
    <row r="2143" spans="1:15" x14ac:dyDescent="0.25">
      <c r="A2143" s="1">
        <v>2142</v>
      </c>
      <c r="B2143" s="2">
        <v>45024</v>
      </c>
      <c r="C2143" s="1" t="s">
        <v>12</v>
      </c>
      <c r="D2143" s="1" t="s">
        <v>32</v>
      </c>
      <c r="E2143" s="1" t="s">
        <v>45</v>
      </c>
      <c r="F2143" s="1" t="s">
        <v>40</v>
      </c>
      <c r="G2143" s="1">
        <v>7</v>
      </c>
      <c r="H2143" s="1">
        <v>90</v>
      </c>
      <c r="I2143" s="1">
        <v>5</v>
      </c>
      <c r="J2143" s="4">
        <v>598.5</v>
      </c>
      <c r="K2143" s="4">
        <v>339.42</v>
      </c>
      <c r="L2143" s="4">
        <v>259.08</v>
      </c>
      <c r="M2143" s="1" t="str">
        <f>TEXT(Table1[[#This Row],[Order_Date]], "MMM")</f>
        <v>Apr</v>
      </c>
      <c r="N2143" s="1">
        <f>YEAR(Table1[[#This Row],[Order_Date]])</f>
        <v>2023</v>
      </c>
      <c r="O2143" s="7">
        <f>Table1[[#This Row],[Profit]]/Table1[[#This Row],[Total_Sales]]</f>
        <v>0.43288220551378442</v>
      </c>
    </row>
    <row r="2144" spans="1:15" x14ac:dyDescent="0.25">
      <c r="A2144" s="1">
        <v>2143</v>
      </c>
      <c r="B2144" s="2">
        <v>45444</v>
      </c>
      <c r="C2144" s="1" t="s">
        <v>19</v>
      </c>
      <c r="D2144" s="1" t="s">
        <v>22</v>
      </c>
      <c r="E2144" s="1" t="s">
        <v>23</v>
      </c>
      <c r="F2144" s="1" t="s">
        <v>31</v>
      </c>
      <c r="G2144" s="1">
        <v>1</v>
      </c>
      <c r="H2144" s="1">
        <v>444</v>
      </c>
      <c r="I2144" s="1">
        <v>10</v>
      </c>
      <c r="J2144" s="4">
        <v>399.6</v>
      </c>
      <c r="K2144" s="4">
        <v>302.08999999999997</v>
      </c>
      <c r="L2144" s="4">
        <v>97.51</v>
      </c>
      <c r="M2144" s="1" t="str">
        <f>TEXT(Table1[[#This Row],[Order_Date]], "MMM")</f>
        <v>Jun</v>
      </c>
      <c r="N2144" s="1">
        <f>YEAR(Table1[[#This Row],[Order_Date]])</f>
        <v>2024</v>
      </c>
      <c r="O2144" s="7">
        <f>Table1[[#This Row],[Profit]]/Table1[[#This Row],[Total_Sales]]</f>
        <v>0.24401901901901901</v>
      </c>
    </row>
    <row r="2145" spans="1:15" x14ac:dyDescent="0.25">
      <c r="A2145" s="1">
        <v>2144</v>
      </c>
      <c r="B2145" s="2">
        <v>45437</v>
      </c>
      <c r="C2145" s="1" t="s">
        <v>25</v>
      </c>
      <c r="D2145" s="1" t="s">
        <v>32</v>
      </c>
      <c r="E2145" s="1" t="s">
        <v>34</v>
      </c>
      <c r="F2145" s="1" t="s">
        <v>31</v>
      </c>
      <c r="G2145" s="1">
        <v>1</v>
      </c>
      <c r="H2145" s="1">
        <v>796</v>
      </c>
      <c r="I2145" s="1">
        <v>10</v>
      </c>
      <c r="J2145" s="4">
        <v>716.4</v>
      </c>
      <c r="K2145" s="4">
        <v>501.96</v>
      </c>
      <c r="L2145" s="4">
        <v>214.44</v>
      </c>
      <c r="M2145" s="1" t="str">
        <f>TEXT(Table1[[#This Row],[Order_Date]], "MMM")</f>
        <v>May</v>
      </c>
      <c r="N2145" s="1">
        <f>YEAR(Table1[[#This Row],[Order_Date]])</f>
        <v>2024</v>
      </c>
      <c r="O2145" s="7">
        <f>Table1[[#This Row],[Profit]]/Table1[[#This Row],[Total_Sales]]</f>
        <v>0.29932998324958127</v>
      </c>
    </row>
    <row r="2146" spans="1:15" x14ac:dyDescent="0.25">
      <c r="A2146" s="1">
        <v>2145</v>
      </c>
      <c r="B2146" s="2">
        <v>45395</v>
      </c>
      <c r="C2146" s="1" t="s">
        <v>12</v>
      </c>
      <c r="D2146" s="1" t="s">
        <v>26</v>
      </c>
      <c r="E2146" s="1" t="s">
        <v>42</v>
      </c>
      <c r="F2146" s="1" t="s">
        <v>35</v>
      </c>
      <c r="G2146" s="1">
        <v>6</v>
      </c>
      <c r="H2146" s="1">
        <v>569</v>
      </c>
      <c r="I2146" s="1">
        <v>10</v>
      </c>
      <c r="J2146" s="4">
        <v>3072.6</v>
      </c>
      <c r="K2146" s="4">
        <v>2377.91</v>
      </c>
      <c r="L2146" s="4">
        <v>694.69</v>
      </c>
      <c r="M2146" s="1" t="str">
        <f>TEXT(Table1[[#This Row],[Order_Date]], "MMM")</f>
        <v>Apr</v>
      </c>
      <c r="N2146" s="1">
        <f>YEAR(Table1[[#This Row],[Order_Date]])</f>
        <v>2024</v>
      </c>
      <c r="O2146" s="7">
        <f>Table1[[#This Row],[Profit]]/Table1[[#This Row],[Total_Sales]]</f>
        <v>0.22609190913233096</v>
      </c>
    </row>
    <row r="2147" spans="1:15" x14ac:dyDescent="0.25">
      <c r="A2147" s="1">
        <v>2146</v>
      </c>
      <c r="B2147" s="2">
        <v>45230</v>
      </c>
      <c r="C2147" s="1" t="s">
        <v>19</v>
      </c>
      <c r="D2147" s="1" t="s">
        <v>32</v>
      </c>
      <c r="E2147" s="1" t="s">
        <v>33</v>
      </c>
      <c r="F2147" s="1" t="s">
        <v>15</v>
      </c>
      <c r="G2147" s="1">
        <v>1</v>
      </c>
      <c r="H2147" s="1">
        <v>393</v>
      </c>
      <c r="I2147" s="1">
        <v>0</v>
      </c>
      <c r="J2147" s="4">
        <v>393</v>
      </c>
      <c r="K2147" s="4">
        <v>268.22000000000003</v>
      </c>
      <c r="L2147" s="4">
        <v>124.78</v>
      </c>
      <c r="M2147" s="1" t="str">
        <f>TEXT(Table1[[#This Row],[Order_Date]], "MMM")</f>
        <v>Oct</v>
      </c>
      <c r="N2147" s="1">
        <f>YEAR(Table1[[#This Row],[Order_Date]])</f>
        <v>2023</v>
      </c>
      <c r="O2147" s="7">
        <f>Table1[[#This Row],[Profit]]/Table1[[#This Row],[Total_Sales]]</f>
        <v>0.31750636132315524</v>
      </c>
    </row>
    <row r="2148" spans="1:15" x14ac:dyDescent="0.25">
      <c r="A2148" s="1">
        <v>2147</v>
      </c>
      <c r="B2148" s="2">
        <v>45647</v>
      </c>
      <c r="C2148" s="1" t="s">
        <v>25</v>
      </c>
      <c r="D2148" s="1" t="s">
        <v>13</v>
      </c>
      <c r="E2148" s="1" t="s">
        <v>17</v>
      </c>
      <c r="F2148" s="1" t="s">
        <v>31</v>
      </c>
      <c r="G2148" s="1">
        <v>4</v>
      </c>
      <c r="H2148" s="1">
        <v>479</v>
      </c>
      <c r="I2148" s="1">
        <v>0</v>
      </c>
      <c r="J2148" s="4">
        <v>1916</v>
      </c>
      <c r="K2148" s="4">
        <v>1419</v>
      </c>
      <c r="L2148" s="4">
        <v>497</v>
      </c>
      <c r="M2148" s="1" t="str">
        <f>TEXT(Table1[[#This Row],[Order_Date]], "MMM")</f>
        <v>Dec</v>
      </c>
      <c r="N2148" s="1">
        <f>YEAR(Table1[[#This Row],[Order_Date]])</f>
        <v>2024</v>
      </c>
      <c r="O2148" s="7">
        <f>Table1[[#This Row],[Profit]]/Table1[[#This Row],[Total_Sales]]</f>
        <v>0.25939457202505217</v>
      </c>
    </row>
    <row r="2149" spans="1:15" x14ac:dyDescent="0.25">
      <c r="A2149" s="1">
        <v>2148</v>
      </c>
      <c r="B2149" s="2">
        <v>45027</v>
      </c>
      <c r="C2149" s="1" t="s">
        <v>19</v>
      </c>
      <c r="D2149" s="1" t="s">
        <v>20</v>
      </c>
      <c r="E2149" s="1" t="s">
        <v>30</v>
      </c>
      <c r="F2149" s="1" t="s">
        <v>18</v>
      </c>
      <c r="G2149" s="1">
        <v>10</v>
      </c>
      <c r="H2149" s="1">
        <v>842</v>
      </c>
      <c r="I2149" s="1">
        <v>10</v>
      </c>
      <c r="J2149" s="4">
        <v>7578</v>
      </c>
      <c r="K2149" s="4">
        <v>4666.2</v>
      </c>
      <c r="L2149" s="4">
        <v>2911.8</v>
      </c>
      <c r="M2149" s="1" t="str">
        <f>TEXT(Table1[[#This Row],[Order_Date]], "MMM")</f>
        <v>Apr</v>
      </c>
      <c r="N2149" s="1">
        <f>YEAR(Table1[[#This Row],[Order_Date]])</f>
        <v>2023</v>
      </c>
      <c r="O2149" s="7">
        <f>Table1[[#This Row],[Profit]]/Table1[[#This Row],[Total_Sales]]</f>
        <v>0.38424386381631037</v>
      </c>
    </row>
    <row r="2150" spans="1:15" x14ac:dyDescent="0.25">
      <c r="A2150" s="1">
        <v>2149</v>
      </c>
      <c r="B2150" s="2">
        <v>45450</v>
      </c>
      <c r="C2150" s="1" t="s">
        <v>12</v>
      </c>
      <c r="D2150" s="1" t="s">
        <v>26</v>
      </c>
      <c r="E2150" s="1" t="s">
        <v>27</v>
      </c>
      <c r="F2150" s="1" t="s">
        <v>18</v>
      </c>
      <c r="G2150" s="1">
        <v>8</v>
      </c>
      <c r="H2150" s="1">
        <v>765</v>
      </c>
      <c r="I2150" s="1">
        <v>0</v>
      </c>
      <c r="J2150" s="4">
        <v>6120</v>
      </c>
      <c r="K2150" s="4">
        <v>3067.04</v>
      </c>
      <c r="L2150" s="4">
        <v>3052.96</v>
      </c>
      <c r="M2150" s="1" t="str">
        <f>TEXT(Table1[[#This Row],[Order_Date]], "MMM")</f>
        <v>Jun</v>
      </c>
      <c r="N2150" s="1">
        <f>YEAR(Table1[[#This Row],[Order_Date]])</f>
        <v>2024</v>
      </c>
      <c r="O2150" s="7">
        <f>Table1[[#This Row],[Profit]]/Table1[[#This Row],[Total_Sales]]</f>
        <v>0.49884967320261436</v>
      </c>
    </row>
    <row r="2151" spans="1:15" x14ac:dyDescent="0.25">
      <c r="A2151" s="1">
        <v>2150</v>
      </c>
      <c r="B2151" s="2">
        <v>45156</v>
      </c>
      <c r="C2151" s="1" t="s">
        <v>12</v>
      </c>
      <c r="D2151" s="1" t="s">
        <v>13</v>
      </c>
      <c r="E2151" s="1" t="s">
        <v>14</v>
      </c>
      <c r="F2151" s="1" t="s">
        <v>18</v>
      </c>
      <c r="G2151" s="1">
        <v>10</v>
      </c>
      <c r="H2151" s="1">
        <v>385</v>
      </c>
      <c r="I2151" s="1">
        <v>10</v>
      </c>
      <c r="J2151" s="4">
        <v>3465</v>
      </c>
      <c r="K2151" s="4">
        <v>1831.71</v>
      </c>
      <c r="L2151" s="4">
        <v>1633.29</v>
      </c>
      <c r="M2151" s="1" t="str">
        <f>TEXT(Table1[[#This Row],[Order_Date]], "MMM")</f>
        <v>Aug</v>
      </c>
      <c r="N2151" s="1">
        <f>YEAR(Table1[[#This Row],[Order_Date]])</f>
        <v>2023</v>
      </c>
      <c r="O2151" s="7">
        <f>Table1[[#This Row],[Profit]]/Table1[[#This Row],[Total_Sales]]</f>
        <v>0.47136796536796538</v>
      </c>
    </row>
    <row r="2152" spans="1:15" x14ac:dyDescent="0.25">
      <c r="A2152" s="1">
        <v>2151</v>
      </c>
      <c r="B2152" s="2">
        <v>45168</v>
      </c>
      <c r="C2152" s="1" t="s">
        <v>12</v>
      </c>
      <c r="D2152" s="1" t="s">
        <v>20</v>
      </c>
      <c r="E2152" s="1" t="s">
        <v>43</v>
      </c>
      <c r="F2152" s="1" t="s">
        <v>24</v>
      </c>
      <c r="G2152" s="1">
        <v>10</v>
      </c>
      <c r="H2152" s="1">
        <v>908</v>
      </c>
      <c r="I2152" s="1">
        <v>5</v>
      </c>
      <c r="J2152" s="4">
        <v>8626</v>
      </c>
      <c r="K2152" s="4">
        <v>6444.5</v>
      </c>
      <c r="L2152" s="4">
        <v>2181.5</v>
      </c>
      <c r="M2152" s="1" t="str">
        <f>TEXT(Table1[[#This Row],[Order_Date]], "MMM")</f>
        <v>Aug</v>
      </c>
      <c r="N2152" s="1">
        <f>YEAR(Table1[[#This Row],[Order_Date]])</f>
        <v>2023</v>
      </c>
      <c r="O2152" s="7">
        <f>Table1[[#This Row],[Profit]]/Table1[[#This Row],[Total_Sales]]</f>
        <v>0.25289821469974494</v>
      </c>
    </row>
    <row r="2153" spans="1:15" x14ac:dyDescent="0.25">
      <c r="A2153" s="1">
        <v>2152</v>
      </c>
      <c r="B2153" s="2">
        <v>45186</v>
      </c>
      <c r="C2153" s="1" t="s">
        <v>16</v>
      </c>
      <c r="D2153" s="1" t="s">
        <v>32</v>
      </c>
      <c r="E2153" s="1" t="s">
        <v>33</v>
      </c>
      <c r="F2153" s="1" t="s">
        <v>15</v>
      </c>
      <c r="G2153" s="1">
        <v>4</v>
      </c>
      <c r="H2153" s="1">
        <v>285</v>
      </c>
      <c r="I2153" s="1">
        <v>0</v>
      </c>
      <c r="J2153" s="4">
        <v>1140</v>
      </c>
      <c r="K2153" s="4">
        <v>677.45</v>
      </c>
      <c r="L2153" s="4">
        <v>462.55</v>
      </c>
      <c r="M2153" s="1" t="str">
        <f>TEXT(Table1[[#This Row],[Order_Date]], "MMM")</f>
        <v>Sep</v>
      </c>
      <c r="N2153" s="1">
        <f>YEAR(Table1[[#This Row],[Order_Date]])</f>
        <v>2023</v>
      </c>
      <c r="O2153" s="7">
        <f>Table1[[#This Row],[Profit]]/Table1[[#This Row],[Total_Sales]]</f>
        <v>0.40574561403508774</v>
      </c>
    </row>
    <row r="2154" spans="1:15" x14ac:dyDescent="0.25">
      <c r="A2154" s="1">
        <v>2153</v>
      </c>
      <c r="B2154" s="2">
        <v>45302</v>
      </c>
      <c r="C2154" s="1" t="s">
        <v>16</v>
      </c>
      <c r="D2154" s="1" t="s">
        <v>32</v>
      </c>
      <c r="E2154" s="1" t="s">
        <v>41</v>
      </c>
      <c r="F2154" s="1" t="s">
        <v>18</v>
      </c>
      <c r="G2154" s="1">
        <v>10</v>
      </c>
      <c r="H2154" s="1">
        <v>481</v>
      </c>
      <c r="I2154" s="1">
        <v>0</v>
      </c>
      <c r="J2154" s="4">
        <v>4810</v>
      </c>
      <c r="K2154" s="4">
        <v>3238.51</v>
      </c>
      <c r="L2154" s="4">
        <v>1571.49</v>
      </c>
      <c r="M2154" s="1" t="str">
        <f>TEXT(Table1[[#This Row],[Order_Date]], "MMM")</f>
        <v>Jan</v>
      </c>
      <c r="N2154" s="1">
        <f>YEAR(Table1[[#This Row],[Order_Date]])</f>
        <v>2024</v>
      </c>
      <c r="O2154" s="7">
        <f>Table1[[#This Row],[Profit]]/Table1[[#This Row],[Total_Sales]]</f>
        <v>0.3267130977130977</v>
      </c>
    </row>
    <row r="2155" spans="1:15" x14ac:dyDescent="0.25">
      <c r="A2155" s="1">
        <v>2154</v>
      </c>
      <c r="B2155" s="2">
        <v>45109</v>
      </c>
      <c r="C2155" s="1" t="s">
        <v>12</v>
      </c>
      <c r="D2155" s="1" t="s">
        <v>26</v>
      </c>
      <c r="E2155" s="1" t="s">
        <v>42</v>
      </c>
      <c r="F2155" s="1" t="s">
        <v>18</v>
      </c>
      <c r="G2155" s="1">
        <v>6</v>
      </c>
      <c r="H2155" s="1">
        <v>769</v>
      </c>
      <c r="I2155" s="1">
        <v>5</v>
      </c>
      <c r="J2155" s="4">
        <v>4383.3</v>
      </c>
      <c r="K2155" s="4">
        <v>2959.61</v>
      </c>
      <c r="L2155" s="4">
        <v>1423.69</v>
      </c>
      <c r="M2155" s="1" t="str">
        <f>TEXT(Table1[[#This Row],[Order_Date]], "MMM")</f>
        <v>Jul</v>
      </c>
      <c r="N2155" s="1">
        <f>YEAR(Table1[[#This Row],[Order_Date]])</f>
        <v>2023</v>
      </c>
      <c r="O2155" s="7">
        <f>Table1[[#This Row],[Profit]]/Table1[[#This Row],[Total_Sales]]</f>
        <v>0.3247986676704766</v>
      </c>
    </row>
    <row r="2156" spans="1:15" x14ac:dyDescent="0.25">
      <c r="A2156" s="1">
        <v>2155</v>
      </c>
      <c r="B2156" s="2">
        <v>45009</v>
      </c>
      <c r="C2156" s="1" t="s">
        <v>12</v>
      </c>
      <c r="D2156" s="1" t="s">
        <v>32</v>
      </c>
      <c r="E2156" s="1" t="s">
        <v>45</v>
      </c>
      <c r="F2156" s="1" t="s">
        <v>35</v>
      </c>
      <c r="G2156" s="1">
        <v>10</v>
      </c>
      <c r="H2156" s="1">
        <v>792</v>
      </c>
      <c r="I2156" s="1">
        <v>20</v>
      </c>
      <c r="J2156" s="4">
        <v>6336</v>
      </c>
      <c r="K2156" s="4">
        <v>4540.88</v>
      </c>
      <c r="L2156" s="4">
        <v>1795.12</v>
      </c>
      <c r="M2156" s="1" t="str">
        <f>TEXT(Table1[[#This Row],[Order_Date]], "MMM")</f>
        <v>Mar</v>
      </c>
      <c r="N2156" s="1">
        <f>YEAR(Table1[[#This Row],[Order_Date]])</f>
        <v>2023</v>
      </c>
      <c r="O2156" s="7">
        <f>Table1[[#This Row],[Profit]]/Table1[[#This Row],[Total_Sales]]</f>
        <v>0.28332070707070706</v>
      </c>
    </row>
    <row r="2157" spans="1:15" x14ac:dyDescent="0.25">
      <c r="A2157" s="1">
        <v>2156</v>
      </c>
      <c r="B2157" s="2">
        <v>45372</v>
      </c>
      <c r="C2157" s="1" t="s">
        <v>19</v>
      </c>
      <c r="D2157" s="1" t="s">
        <v>22</v>
      </c>
      <c r="E2157" s="1" t="s">
        <v>23</v>
      </c>
      <c r="F2157" s="1" t="s">
        <v>15</v>
      </c>
      <c r="G2157" s="1">
        <v>8</v>
      </c>
      <c r="H2157" s="1">
        <v>379</v>
      </c>
      <c r="I2157" s="1">
        <v>5</v>
      </c>
      <c r="J2157" s="4">
        <v>2880.4</v>
      </c>
      <c r="K2157" s="4">
        <v>1724.33</v>
      </c>
      <c r="L2157" s="4">
        <v>1156.07</v>
      </c>
      <c r="M2157" s="1" t="str">
        <f>TEXT(Table1[[#This Row],[Order_Date]], "MMM")</f>
        <v>Mar</v>
      </c>
      <c r="N2157" s="1">
        <f>YEAR(Table1[[#This Row],[Order_Date]])</f>
        <v>2024</v>
      </c>
      <c r="O2157" s="7">
        <f>Table1[[#This Row],[Profit]]/Table1[[#This Row],[Total_Sales]]</f>
        <v>0.40135745035411746</v>
      </c>
    </row>
    <row r="2158" spans="1:15" x14ac:dyDescent="0.25">
      <c r="A2158" s="1">
        <v>2157</v>
      </c>
      <c r="B2158" s="2">
        <v>45268</v>
      </c>
      <c r="C2158" s="1" t="s">
        <v>16</v>
      </c>
      <c r="D2158" s="1" t="s">
        <v>13</v>
      </c>
      <c r="E2158" s="1" t="s">
        <v>38</v>
      </c>
      <c r="F2158" s="1" t="s">
        <v>40</v>
      </c>
      <c r="G2158" s="1">
        <v>6</v>
      </c>
      <c r="H2158" s="1">
        <v>661</v>
      </c>
      <c r="I2158" s="1">
        <v>10</v>
      </c>
      <c r="J2158" s="4">
        <v>3569.4</v>
      </c>
      <c r="K2158" s="4">
        <v>2158.8000000000002</v>
      </c>
      <c r="L2158" s="4">
        <v>1410.6</v>
      </c>
      <c r="M2158" s="1" t="str">
        <f>TEXT(Table1[[#This Row],[Order_Date]], "MMM")</f>
        <v>Dec</v>
      </c>
      <c r="N2158" s="1">
        <f>YEAR(Table1[[#This Row],[Order_Date]])</f>
        <v>2023</v>
      </c>
      <c r="O2158" s="7">
        <f>Table1[[#This Row],[Profit]]/Table1[[#This Row],[Total_Sales]]</f>
        <v>0.39519246932257518</v>
      </c>
    </row>
    <row r="2159" spans="1:15" x14ac:dyDescent="0.25">
      <c r="A2159" s="1">
        <v>2158</v>
      </c>
      <c r="B2159" s="2">
        <v>45125</v>
      </c>
      <c r="C2159" s="1" t="s">
        <v>19</v>
      </c>
      <c r="D2159" s="1" t="s">
        <v>20</v>
      </c>
      <c r="E2159" s="1" t="s">
        <v>21</v>
      </c>
      <c r="F2159" s="1" t="s">
        <v>15</v>
      </c>
      <c r="G2159" s="1">
        <v>5</v>
      </c>
      <c r="H2159" s="1">
        <v>949</v>
      </c>
      <c r="I2159" s="1">
        <v>5</v>
      </c>
      <c r="J2159" s="4">
        <v>4507.75</v>
      </c>
      <c r="K2159" s="4">
        <v>3316.88</v>
      </c>
      <c r="L2159" s="4">
        <v>1190.8699999999999</v>
      </c>
      <c r="M2159" s="1" t="str">
        <f>TEXT(Table1[[#This Row],[Order_Date]], "MMM")</f>
        <v>Jul</v>
      </c>
      <c r="N2159" s="1">
        <f>YEAR(Table1[[#This Row],[Order_Date]])</f>
        <v>2023</v>
      </c>
      <c r="O2159" s="7">
        <f>Table1[[#This Row],[Profit]]/Table1[[#This Row],[Total_Sales]]</f>
        <v>0.26418279629526925</v>
      </c>
    </row>
    <row r="2160" spans="1:15" x14ac:dyDescent="0.25">
      <c r="A2160" s="1">
        <v>2159</v>
      </c>
      <c r="B2160" s="2">
        <v>45386</v>
      </c>
      <c r="C2160" s="1" t="s">
        <v>12</v>
      </c>
      <c r="D2160" s="1" t="s">
        <v>32</v>
      </c>
      <c r="E2160" s="1" t="s">
        <v>45</v>
      </c>
      <c r="F2160" s="1" t="s">
        <v>31</v>
      </c>
      <c r="G2160" s="1">
        <v>4</v>
      </c>
      <c r="H2160" s="1">
        <v>368</v>
      </c>
      <c r="I2160" s="1">
        <v>10</v>
      </c>
      <c r="J2160" s="4">
        <v>1324.8</v>
      </c>
      <c r="K2160" s="4">
        <v>825.72</v>
      </c>
      <c r="L2160" s="4">
        <v>499.08</v>
      </c>
      <c r="M2160" s="1" t="str">
        <f>TEXT(Table1[[#This Row],[Order_Date]], "MMM")</f>
        <v>Apr</v>
      </c>
      <c r="N2160" s="1">
        <f>YEAR(Table1[[#This Row],[Order_Date]])</f>
        <v>2024</v>
      </c>
      <c r="O2160" s="7">
        <f>Table1[[#This Row],[Profit]]/Table1[[#This Row],[Total_Sales]]</f>
        <v>0.37672101449275364</v>
      </c>
    </row>
    <row r="2161" spans="1:15" x14ac:dyDescent="0.25">
      <c r="A2161" s="1">
        <v>2160</v>
      </c>
      <c r="B2161" s="2">
        <v>45083</v>
      </c>
      <c r="C2161" s="1" t="s">
        <v>19</v>
      </c>
      <c r="D2161" s="1" t="s">
        <v>32</v>
      </c>
      <c r="E2161" s="1" t="s">
        <v>34</v>
      </c>
      <c r="F2161" s="1" t="s">
        <v>18</v>
      </c>
      <c r="G2161" s="1">
        <v>1</v>
      </c>
      <c r="H2161" s="1">
        <v>851</v>
      </c>
      <c r="I2161" s="1">
        <v>10</v>
      </c>
      <c r="J2161" s="4">
        <v>765.9</v>
      </c>
      <c r="K2161" s="4">
        <v>553.63</v>
      </c>
      <c r="L2161" s="4">
        <v>212.27</v>
      </c>
      <c r="M2161" s="1" t="str">
        <f>TEXT(Table1[[#This Row],[Order_Date]], "MMM")</f>
        <v>Jun</v>
      </c>
      <c r="N2161" s="1">
        <f>YEAR(Table1[[#This Row],[Order_Date]])</f>
        <v>2023</v>
      </c>
      <c r="O2161" s="7">
        <f>Table1[[#This Row],[Profit]]/Table1[[#This Row],[Total_Sales]]</f>
        <v>0.27715106410758589</v>
      </c>
    </row>
    <row r="2162" spans="1:15" x14ac:dyDescent="0.25">
      <c r="A2162" s="1">
        <v>2161</v>
      </c>
      <c r="B2162" s="2">
        <v>45129</v>
      </c>
      <c r="C2162" s="1" t="s">
        <v>16</v>
      </c>
      <c r="D2162" s="1" t="s">
        <v>26</v>
      </c>
      <c r="E2162" s="1" t="s">
        <v>42</v>
      </c>
      <c r="F2162" s="1" t="s">
        <v>15</v>
      </c>
      <c r="G2162" s="1">
        <v>9</v>
      </c>
      <c r="H2162" s="1">
        <v>611</v>
      </c>
      <c r="I2162" s="1">
        <v>20</v>
      </c>
      <c r="J2162" s="4">
        <v>4399.2</v>
      </c>
      <c r="K2162" s="4">
        <v>3051.93</v>
      </c>
      <c r="L2162" s="4">
        <v>1347.27</v>
      </c>
      <c r="M2162" s="1" t="str">
        <f>TEXT(Table1[[#This Row],[Order_Date]], "MMM")</f>
        <v>Jul</v>
      </c>
      <c r="N2162" s="1">
        <f>YEAR(Table1[[#This Row],[Order_Date]])</f>
        <v>2023</v>
      </c>
      <c r="O2162" s="7">
        <f>Table1[[#This Row],[Profit]]/Table1[[#This Row],[Total_Sales]]</f>
        <v>0.30625340971085652</v>
      </c>
    </row>
    <row r="2163" spans="1:15" x14ac:dyDescent="0.25">
      <c r="A2163" s="1">
        <v>2162</v>
      </c>
      <c r="B2163" s="2">
        <v>45187</v>
      </c>
      <c r="C2163" s="1" t="s">
        <v>19</v>
      </c>
      <c r="D2163" s="1" t="s">
        <v>32</v>
      </c>
      <c r="E2163" s="1" t="s">
        <v>33</v>
      </c>
      <c r="F2163" s="1" t="s">
        <v>15</v>
      </c>
      <c r="G2163" s="1">
        <v>3</v>
      </c>
      <c r="H2163" s="1">
        <v>954</v>
      </c>
      <c r="I2163" s="1">
        <v>15</v>
      </c>
      <c r="J2163" s="4">
        <v>2432.6999999999998</v>
      </c>
      <c r="K2163" s="4">
        <v>1303.1500000000001</v>
      </c>
      <c r="L2163" s="4">
        <v>1129.55</v>
      </c>
      <c r="M2163" s="1" t="str">
        <f>TEXT(Table1[[#This Row],[Order_Date]], "MMM")</f>
        <v>Sep</v>
      </c>
      <c r="N2163" s="1">
        <f>YEAR(Table1[[#This Row],[Order_Date]])</f>
        <v>2023</v>
      </c>
      <c r="O2163" s="7">
        <f>Table1[[#This Row],[Profit]]/Table1[[#This Row],[Total_Sales]]</f>
        <v>0.46431948041271015</v>
      </c>
    </row>
    <row r="2164" spans="1:15" x14ac:dyDescent="0.25">
      <c r="A2164" s="1">
        <v>2163</v>
      </c>
      <c r="B2164" s="2">
        <v>45429</v>
      </c>
      <c r="C2164" s="1" t="s">
        <v>25</v>
      </c>
      <c r="D2164" s="1" t="s">
        <v>13</v>
      </c>
      <c r="E2164" s="1" t="s">
        <v>14</v>
      </c>
      <c r="F2164" s="1" t="s">
        <v>18</v>
      </c>
      <c r="G2164" s="1">
        <v>6</v>
      </c>
      <c r="H2164" s="1">
        <v>294</v>
      </c>
      <c r="I2164" s="1">
        <v>15</v>
      </c>
      <c r="J2164" s="4">
        <v>1499.4</v>
      </c>
      <c r="K2164" s="4">
        <v>1124.6099999999999</v>
      </c>
      <c r="L2164" s="4">
        <v>374.79</v>
      </c>
      <c r="M2164" s="1" t="str">
        <f>TEXT(Table1[[#This Row],[Order_Date]], "MMM")</f>
        <v>May</v>
      </c>
      <c r="N2164" s="1">
        <f>YEAR(Table1[[#This Row],[Order_Date]])</f>
        <v>2024</v>
      </c>
      <c r="O2164" s="7">
        <f>Table1[[#This Row],[Profit]]/Table1[[#This Row],[Total_Sales]]</f>
        <v>0.24995998399359745</v>
      </c>
    </row>
    <row r="2165" spans="1:15" x14ac:dyDescent="0.25">
      <c r="A2165" s="1">
        <v>2164</v>
      </c>
      <c r="B2165" s="2">
        <v>45195</v>
      </c>
      <c r="C2165" s="1" t="s">
        <v>16</v>
      </c>
      <c r="D2165" s="1" t="s">
        <v>13</v>
      </c>
      <c r="E2165" s="1" t="s">
        <v>38</v>
      </c>
      <c r="F2165" s="1" t="s">
        <v>31</v>
      </c>
      <c r="G2165" s="1">
        <v>5</v>
      </c>
      <c r="H2165" s="1">
        <v>226</v>
      </c>
      <c r="I2165" s="1">
        <v>0</v>
      </c>
      <c r="J2165" s="4">
        <v>1130</v>
      </c>
      <c r="K2165" s="4">
        <v>678.07</v>
      </c>
      <c r="L2165" s="4">
        <v>451.93</v>
      </c>
      <c r="M2165" s="1" t="str">
        <f>TEXT(Table1[[#This Row],[Order_Date]], "MMM")</f>
        <v>Sep</v>
      </c>
      <c r="N2165" s="1">
        <f>YEAR(Table1[[#This Row],[Order_Date]])</f>
        <v>2023</v>
      </c>
      <c r="O2165" s="7">
        <f>Table1[[#This Row],[Profit]]/Table1[[#This Row],[Total_Sales]]</f>
        <v>0.39993805309734515</v>
      </c>
    </row>
    <row r="2166" spans="1:15" x14ac:dyDescent="0.25">
      <c r="A2166" s="1">
        <v>2165</v>
      </c>
      <c r="B2166" s="2">
        <v>45577</v>
      </c>
      <c r="C2166" s="1" t="s">
        <v>25</v>
      </c>
      <c r="D2166" s="1" t="s">
        <v>20</v>
      </c>
      <c r="E2166" s="1" t="s">
        <v>30</v>
      </c>
      <c r="F2166" s="1" t="s">
        <v>15</v>
      </c>
      <c r="G2166" s="1">
        <v>10</v>
      </c>
      <c r="H2166" s="1">
        <v>847</v>
      </c>
      <c r="I2166" s="1">
        <v>10</v>
      </c>
      <c r="J2166" s="4">
        <v>7623</v>
      </c>
      <c r="K2166" s="4">
        <v>6087.24</v>
      </c>
      <c r="L2166" s="4">
        <v>1535.76</v>
      </c>
      <c r="M2166" s="1" t="str">
        <f>TEXT(Table1[[#This Row],[Order_Date]], "MMM")</f>
        <v>Oct</v>
      </c>
      <c r="N2166" s="1">
        <f>YEAR(Table1[[#This Row],[Order_Date]])</f>
        <v>2024</v>
      </c>
      <c r="O2166" s="7">
        <f>Table1[[#This Row],[Profit]]/Table1[[#This Row],[Total_Sales]]</f>
        <v>0.20146399055489964</v>
      </c>
    </row>
    <row r="2167" spans="1:15" x14ac:dyDescent="0.25">
      <c r="A2167" s="1">
        <v>2166</v>
      </c>
      <c r="B2167" s="2">
        <v>45569</v>
      </c>
      <c r="C2167" s="1" t="s">
        <v>19</v>
      </c>
      <c r="D2167" s="1" t="s">
        <v>22</v>
      </c>
      <c r="E2167" s="1" t="s">
        <v>23</v>
      </c>
      <c r="F2167" s="1" t="s">
        <v>40</v>
      </c>
      <c r="G2167" s="1">
        <v>3</v>
      </c>
      <c r="H2167" s="1">
        <v>150</v>
      </c>
      <c r="I2167" s="1">
        <v>0</v>
      </c>
      <c r="J2167" s="4">
        <v>450</v>
      </c>
      <c r="K2167" s="4">
        <v>239.49</v>
      </c>
      <c r="L2167" s="4">
        <v>210.51</v>
      </c>
      <c r="M2167" s="1" t="str">
        <f>TEXT(Table1[[#This Row],[Order_Date]], "MMM")</f>
        <v>Oct</v>
      </c>
      <c r="N2167" s="1">
        <f>YEAR(Table1[[#This Row],[Order_Date]])</f>
        <v>2024</v>
      </c>
      <c r="O2167" s="7">
        <f>Table1[[#This Row],[Profit]]/Table1[[#This Row],[Total_Sales]]</f>
        <v>0.46779999999999999</v>
      </c>
    </row>
    <row r="2168" spans="1:15" x14ac:dyDescent="0.25">
      <c r="A2168" s="1">
        <v>2167</v>
      </c>
      <c r="B2168" s="2">
        <v>45370</v>
      </c>
      <c r="C2168" s="1" t="s">
        <v>19</v>
      </c>
      <c r="D2168" s="1" t="s">
        <v>22</v>
      </c>
      <c r="E2168" s="1" t="s">
        <v>36</v>
      </c>
      <c r="F2168" s="1" t="s">
        <v>35</v>
      </c>
      <c r="G2168" s="1">
        <v>3</v>
      </c>
      <c r="H2168" s="1">
        <v>355</v>
      </c>
      <c r="I2168" s="1">
        <v>15</v>
      </c>
      <c r="J2168" s="4">
        <v>905.25</v>
      </c>
      <c r="K2168" s="4">
        <v>480.13</v>
      </c>
      <c r="L2168" s="4">
        <v>425.12</v>
      </c>
      <c r="M2168" s="1" t="str">
        <f>TEXT(Table1[[#This Row],[Order_Date]], "MMM")</f>
        <v>Mar</v>
      </c>
      <c r="N2168" s="1">
        <f>YEAR(Table1[[#This Row],[Order_Date]])</f>
        <v>2024</v>
      </c>
      <c r="O2168" s="7">
        <f>Table1[[#This Row],[Profit]]/Table1[[#This Row],[Total_Sales]]</f>
        <v>0.46961612814139742</v>
      </c>
    </row>
    <row r="2169" spans="1:15" x14ac:dyDescent="0.25">
      <c r="A2169" s="1">
        <v>2168</v>
      </c>
      <c r="B2169" s="2">
        <v>45426</v>
      </c>
      <c r="C2169" s="1" t="s">
        <v>19</v>
      </c>
      <c r="D2169" s="1" t="s">
        <v>13</v>
      </c>
      <c r="E2169" s="1" t="s">
        <v>38</v>
      </c>
      <c r="F2169" s="1" t="s">
        <v>24</v>
      </c>
      <c r="G2169" s="1">
        <v>8</v>
      </c>
      <c r="H2169" s="1">
        <v>478</v>
      </c>
      <c r="I2169" s="1">
        <v>15</v>
      </c>
      <c r="J2169" s="4">
        <v>3250.4</v>
      </c>
      <c r="K2169" s="4">
        <v>2073.4699999999998</v>
      </c>
      <c r="L2169" s="4">
        <v>1176.93</v>
      </c>
      <c r="M2169" s="1" t="str">
        <f>TEXT(Table1[[#This Row],[Order_Date]], "MMM")</f>
        <v>May</v>
      </c>
      <c r="N2169" s="1">
        <f>YEAR(Table1[[#This Row],[Order_Date]])</f>
        <v>2024</v>
      </c>
      <c r="O2169" s="7">
        <f>Table1[[#This Row],[Profit]]/Table1[[#This Row],[Total_Sales]]</f>
        <v>0.36208774304700964</v>
      </c>
    </row>
    <row r="2170" spans="1:15" x14ac:dyDescent="0.25">
      <c r="A2170" s="1">
        <v>2169</v>
      </c>
      <c r="B2170" s="2">
        <v>45508</v>
      </c>
      <c r="C2170" s="1" t="s">
        <v>25</v>
      </c>
      <c r="D2170" s="1" t="s">
        <v>20</v>
      </c>
      <c r="E2170" s="1" t="s">
        <v>28</v>
      </c>
      <c r="F2170" s="1" t="s">
        <v>31</v>
      </c>
      <c r="G2170" s="1">
        <v>1</v>
      </c>
      <c r="H2170" s="1">
        <v>868</v>
      </c>
      <c r="I2170" s="1">
        <v>0</v>
      </c>
      <c r="J2170" s="4">
        <v>868</v>
      </c>
      <c r="K2170" s="4">
        <v>671.49</v>
      </c>
      <c r="L2170" s="4">
        <v>196.51</v>
      </c>
      <c r="M2170" s="1" t="str">
        <f>TEXT(Table1[[#This Row],[Order_Date]], "MMM")</f>
        <v>Aug</v>
      </c>
      <c r="N2170" s="1">
        <f>YEAR(Table1[[#This Row],[Order_Date]])</f>
        <v>2024</v>
      </c>
      <c r="O2170" s="7">
        <f>Table1[[#This Row],[Profit]]/Table1[[#This Row],[Total_Sales]]</f>
        <v>0.22639400921658986</v>
      </c>
    </row>
    <row r="2171" spans="1:15" x14ac:dyDescent="0.25">
      <c r="A2171" s="1">
        <v>2170</v>
      </c>
      <c r="B2171" s="2">
        <v>45567</v>
      </c>
      <c r="C2171" s="1" t="s">
        <v>12</v>
      </c>
      <c r="D2171" s="1" t="s">
        <v>26</v>
      </c>
      <c r="E2171" s="1" t="s">
        <v>42</v>
      </c>
      <c r="F2171" s="1" t="s">
        <v>31</v>
      </c>
      <c r="G2171" s="1">
        <v>5</v>
      </c>
      <c r="H2171" s="1">
        <v>487</v>
      </c>
      <c r="I2171" s="1">
        <v>0</v>
      </c>
      <c r="J2171" s="4">
        <v>2435</v>
      </c>
      <c r="K2171" s="4">
        <v>1865.32</v>
      </c>
      <c r="L2171" s="4">
        <v>569.67999999999995</v>
      </c>
      <c r="M2171" s="1" t="str">
        <f>TEXT(Table1[[#This Row],[Order_Date]], "MMM")</f>
        <v>Oct</v>
      </c>
      <c r="N2171" s="1">
        <f>YEAR(Table1[[#This Row],[Order_Date]])</f>
        <v>2024</v>
      </c>
      <c r="O2171" s="7">
        <f>Table1[[#This Row],[Profit]]/Table1[[#This Row],[Total_Sales]]</f>
        <v>0.23395482546201229</v>
      </c>
    </row>
    <row r="2172" spans="1:15" x14ac:dyDescent="0.25">
      <c r="A2172" s="1">
        <v>2171</v>
      </c>
      <c r="B2172" s="2">
        <v>44987</v>
      </c>
      <c r="C2172" s="1" t="s">
        <v>16</v>
      </c>
      <c r="D2172" s="1" t="s">
        <v>13</v>
      </c>
      <c r="E2172" s="1" t="s">
        <v>39</v>
      </c>
      <c r="F2172" s="1" t="s">
        <v>18</v>
      </c>
      <c r="G2172" s="1">
        <v>6</v>
      </c>
      <c r="H2172" s="1">
        <v>462</v>
      </c>
      <c r="I2172" s="1">
        <v>15</v>
      </c>
      <c r="J2172" s="4">
        <v>2356.1999999999998</v>
      </c>
      <c r="K2172" s="4">
        <v>1719.41</v>
      </c>
      <c r="L2172" s="4">
        <v>636.79</v>
      </c>
      <c r="M2172" s="1" t="str">
        <f>TEXT(Table1[[#This Row],[Order_Date]], "MMM")</f>
        <v>Mar</v>
      </c>
      <c r="N2172" s="1">
        <f>YEAR(Table1[[#This Row],[Order_Date]])</f>
        <v>2023</v>
      </c>
      <c r="O2172" s="7">
        <f>Table1[[#This Row],[Profit]]/Table1[[#This Row],[Total_Sales]]</f>
        <v>0.27026143790849672</v>
      </c>
    </row>
    <row r="2173" spans="1:15" x14ac:dyDescent="0.25">
      <c r="A2173" s="1">
        <v>2172</v>
      </c>
      <c r="B2173" s="2">
        <v>45220</v>
      </c>
      <c r="C2173" s="1" t="s">
        <v>19</v>
      </c>
      <c r="D2173" s="1" t="s">
        <v>32</v>
      </c>
      <c r="E2173" s="1" t="s">
        <v>34</v>
      </c>
      <c r="F2173" s="1" t="s">
        <v>40</v>
      </c>
      <c r="G2173" s="1">
        <v>6</v>
      </c>
      <c r="H2173" s="1">
        <v>289</v>
      </c>
      <c r="I2173" s="1">
        <v>5</v>
      </c>
      <c r="J2173" s="4">
        <v>1647.3</v>
      </c>
      <c r="K2173" s="4">
        <v>866.51</v>
      </c>
      <c r="L2173" s="4">
        <v>780.79</v>
      </c>
      <c r="M2173" s="1" t="str">
        <f>TEXT(Table1[[#This Row],[Order_Date]], "MMM")</f>
        <v>Oct</v>
      </c>
      <c r="N2173" s="1">
        <f>YEAR(Table1[[#This Row],[Order_Date]])</f>
        <v>2023</v>
      </c>
      <c r="O2173" s="7">
        <f>Table1[[#This Row],[Profit]]/Table1[[#This Row],[Total_Sales]]</f>
        <v>0.47398166697019362</v>
      </c>
    </row>
    <row r="2174" spans="1:15" x14ac:dyDescent="0.25">
      <c r="A2174" s="1">
        <v>2173</v>
      </c>
      <c r="B2174" s="2">
        <v>45534</v>
      </c>
      <c r="C2174" s="1" t="s">
        <v>12</v>
      </c>
      <c r="D2174" s="1" t="s">
        <v>32</v>
      </c>
      <c r="E2174" s="1" t="s">
        <v>41</v>
      </c>
      <c r="F2174" s="1" t="s">
        <v>35</v>
      </c>
      <c r="G2174" s="1">
        <v>9</v>
      </c>
      <c r="H2174" s="1">
        <v>807</v>
      </c>
      <c r="I2174" s="1">
        <v>20</v>
      </c>
      <c r="J2174" s="4">
        <v>5810.4</v>
      </c>
      <c r="K2174" s="4">
        <v>2943.52</v>
      </c>
      <c r="L2174" s="4">
        <v>2866.88</v>
      </c>
      <c r="M2174" s="1" t="str">
        <f>TEXT(Table1[[#This Row],[Order_Date]], "MMM")</f>
        <v>Aug</v>
      </c>
      <c r="N2174" s="1">
        <f>YEAR(Table1[[#This Row],[Order_Date]])</f>
        <v>2024</v>
      </c>
      <c r="O2174" s="7">
        <f>Table1[[#This Row],[Profit]]/Table1[[#This Row],[Total_Sales]]</f>
        <v>0.49340492909266148</v>
      </c>
    </row>
    <row r="2175" spans="1:15" x14ac:dyDescent="0.25">
      <c r="A2175" s="1">
        <v>2174</v>
      </c>
      <c r="B2175" s="2">
        <v>45072</v>
      </c>
      <c r="C2175" s="1" t="s">
        <v>25</v>
      </c>
      <c r="D2175" s="1" t="s">
        <v>26</v>
      </c>
      <c r="E2175" s="1" t="s">
        <v>27</v>
      </c>
      <c r="F2175" s="1" t="s">
        <v>18</v>
      </c>
      <c r="G2175" s="1">
        <v>3</v>
      </c>
      <c r="H2175" s="1">
        <v>88</v>
      </c>
      <c r="I2175" s="1">
        <v>0</v>
      </c>
      <c r="J2175" s="4">
        <v>264</v>
      </c>
      <c r="K2175" s="4">
        <v>180.09</v>
      </c>
      <c r="L2175" s="4">
        <v>83.91</v>
      </c>
      <c r="M2175" s="1" t="str">
        <f>TEXT(Table1[[#This Row],[Order_Date]], "MMM")</f>
        <v>May</v>
      </c>
      <c r="N2175" s="1">
        <f>YEAR(Table1[[#This Row],[Order_Date]])</f>
        <v>2023</v>
      </c>
      <c r="O2175" s="7">
        <f>Table1[[#This Row],[Profit]]/Table1[[#This Row],[Total_Sales]]</f>
        <v>0.31784090909090906</v>
      </c>
    </row>
    <row r="2176" spans="1:15" x14ac:dyDescent="0.25">
      <c r="A2176" s="1">
        <v>2175</v>
      </c>
      <c r="B2176" s="2">
        <v>45476</v>
      </c>
      <c r="C2176" s="1" t="s">
        <v>25</v>
      </c>
      <c r="D2176" s="1" t="s">
        <v>22</v>
      </c>
      <c r="E2176" s="1" t="s">
        <v>36</v>
      </c>
      <c r="F2176" s="1" t="s">
        <v>31</v>
      </c>
      <c r="G2176" s="1">
        <v>9</v>
      </c>
      <c r="H2176" s="1">
        <v>848</v>
      </c>
      <c r="I2176" s="1">
        <v>5</v>
      </c>
      <c r="J2176" s="4">
        <v>7250.4</v>
      </c>
      <c r="K2176" s="4">
        <v>5381.73</v>
      </c>
      <c r="L2176" s="4">
        <v>1868.67</v>
      </c>
      <c r="M2176" s="1" t="str">
        <f>TEXT(Table1[[#This Row],[Order_Date]], "MMM")</f>
        <v>Jul</v>
      </c>
      <c r="N2176" s="1">
        <f>YEAR(Table1[[#This Row],[Order_Date]])</f>
        <v>2024</v>
      </c>
      <c r="O2176" s="7">
        <f>Table1[[#This Row],[Profit]]/Table1[[#This Row],[Total_Sales]]</f>
        <v>0.25773336643495531</v>
      </c>
    </row>
    <row r="2177" spans="1:15" x14ac:dyDescent="0.25">
      <c r="A2177" s="1">
        <v>2176</v>
      </c>
      <c r="B2177" s="2">
        <v>45588</v>
      </c>
      <c r="C2177" s="1" t="s">
        <v>19</v>
      </c>
      <c r="D2177" s="1" t="s">
        <v>13</v>
      </c>
      <c r="E2177" s="1" t="s">
        <v>14</v>
      </c>
      <c r="F2177" s="1" t="s">
        <v>35</v>
      </c>
      <c r="G2177" s="1">
        <v>2</v>
      </c>
      <c r="H2177" s="1">
        <v>547</v>
      </c>
      <c r="I2177" s="1">
        <v>20</v>
      </c>
      <c r="J2177" s="4">
        <v>875.2</v>
      </c>
      <c r="K2177" s="4">
        <v>441.5</v>
      </c>
      <c r="L2177" s="4">
        <v>433.7</v>
      </c>
      <c r="M2177" s="1" t="str">
        <f>TEXT(Table1[[#This Row],[Order_Date]], "MMM")</f>
        <v>Oct</v>
      </c>
      <c r="N2177" s="1">
        <f>YEAR(Table1[[#This Row],[Order_Date]])</f>
        <v>2024</v>
      </c>
      <c r="O2177" s="7">
        <f>Table1[[#This Row],[Profit]]/Table1[[#This Row],[Total_Sales]]</f>
        <v>0.49554387568555752</v>
      </c>
    </row>
    <row r="2178" spans="1:15" x14ac:dyDescent="0.25">
      <c r="A2178" s="1">
        <v>2177</v>
      </c>
      <c r="B2178" s="2">
        <v>45391</v>
      </c>
      <c r="C2178" s="1" t="s">
        <v>25</v>
      </c>
      <c r="D2178" s="1" t="s">
        <v>32</v>
      </c>
      <c r="E2178" s="1" t="s">
        <v>34</v>
      </c>
      <c r="F2178" s="1" t="s">
        <v>24</v>
      </c>
      <c r="G2178" s="1">
        <v>2</v>
      </c>
      <c r="H2178" s="1">
        <v>455</v>
      </c>
      <c r="I2178" s="1">
        <v>20</v>
      </c>
      <c r="J2178" s="4">
        <v>728</v>
      </c>
      <c r="K2178" s="4">
        <v>531.84</v>
      </c>
      <c r="L2178" s="4">
        <v>196.16</v>
      </c>
      <c r="M2178" s="1" t="str">
        <f>TEXT(Table1[[#This Row],[Order_Date]], "MMM")</f>
        <v>Apr</v>
      </c>
      <c r="N2178" s="1">
        <f>YEAR(Table1[[#This Row],[Order_Date]])</f>
        <v>2024</v>
      </c>
      <c r="O2178" s="7">
        <f>Table1[[#This Row],[Profit]]/Table1[[#This Row],[Total_Sales]]</f>
        <v>0.26945054945054947</v>
      </c>
    </row>
    <row r="2179" spans="1:15" x14ac:dyDescent="0.25">
      <c r="A2179" s="1">
        <v>2178</v>
      </c>
      <c r="B2179" s="2">
        <v>45099</v>
      </c>
      <c r="C2179" s="1" t="s">
        <v>25</v>
      </c>
      <c r="D2179" s="1" t="s">
        <v>20</v>
      </c>
      <c r="E2179" s="1" t="s">
        <v>28</v>
      </c>
      <c r="F2179" s="1" t="s">
        <v>18</v>
      </c>
      <c r="G2179" s="1">
        <v>3</v>
      </c>
      <c r="H2179" s="1">
        <v>837</v>
      </c>
      <c r="I2179" s="1">
        <v>10</v>
      </c>
      <c r="J2179" s="4">
        <v>2259.9</v>
      </c>
      <c r="K2179" s="4">
        <v>1445.63</v>
      </c>
      <c r="L2179" s="4">
        <v>814.27</v>
      </c>
      <c r="M2179" s="1" t="str">
        <f>TEXT(Table1[[#This Row],[Order_Date]], "MMM")</f>
        <v>Jun</v>
      </c>
      <c r="N2179" s="1">
        <f>YEAR(Table1[[#This Row],[Order_Date]])</f>
        <v>2023</v>
      </c>
      <c r="O2179" s="7">
        <f>Table1[[#This Row],[Profit]]/Table1[[#This Row],[Total_Sales]]</f>
        <v>0.36031240320368157</v>
      </c>
    </row>
    <row r="2180" spans="1:15" x14ac:dyDescent="0.25">
      <c r="A2180" s="1">
        <v>2179</v>
      </c>
      <c r="B2180" s="2">
        <v>45333</v>
      </c>
      <c r="C2180" s="1" t="s">
        <v>12</v>
      </c>
      <c r="D2180" s="1" t="s">
        <v>13</v>
      </c>
      <c r="E2180" s="1" t="s">
        <v>14</v>
      </c>
      <c r="F2180" s="1" t="s">
        <v>15</v>
      </c>
      <c r="G2180" s="1">
        <v>3</v>
      </c>
      <c r="H2180" s="1">
        <v>884</v>
      </c>
      <c r="I2180" s="1">
        <v>10</v>
      </c>
      <c r="J2180" s="4">
        <v>2386.8000000000002</v>
      </c>
      <c r="K2180" s="4">
        <v>1886.2</v>
      </c>
      <c r="L2180" s="4">
        <v>500.6</v>
      </c>
      <c r="M2180" s="1" t="str">
        <f>TEXT(Table1[[#This Row],[Order_Date]], "MMM")</f>
        <v>Feb</v>
      </c>
      <c r="N2180" s="1">
        <f>YEAR(Table1[[#This Row],[Order_Date]])</f>
        <v>2024</v>
      </c>
      <c r="O2180" s="7">
        <f>Table1[[#This Row],[Profit]]/Table1[[#This Row],[Total_Sales]]</f>
        <v>0.20973688620747444</v>
      </c>
    </row>
    <row r="2181" spans="1:15" x14ac:dyDescent="0.25">
      <c r="A2181" s="1">
        <v>2180</v>
      </c>
      <c r="B2181" s="2">
        <v>45151</v>
      </c>
      <c r="C2181" s="1" t="s">
        <v>16</v>
      </c>
      <c r="D2181" s="1" t="s">
        <v>13</v>
      </c>
      <c r="E2181" s="1" t="s">
        <v>39</v>
      </c>
      <c r="F2181" s="1" t="s">
        <v>35</v>
      </c>
      <c r="G2181" s="1">
        <v>8</v>
      </c>
      <c r="H2181" s="1">
        <v>578</v>
      </c>
      <c r="I2181" s="1">
        <v>10</v>
      </c>
      <c r="J2181" s="4">
        <v>4161.6000000000004</v>
      </c>
      <c r="K2181" s="4">
        <v>3251.99</v>
      </c>
      <c r="L2181" s="4">
        <v>909.61</v>
      </c>
      <c r="M2181" s="1" t="str">
        <f>TEXT(Table1[[#This Row],[Order_Date]], "MMM")</f>
        <v>Aug</v>
      </c>
      <c r="N2181" s="1">
        <f>YEAR(Table1[[#This Row],[Order_Date]])</f>
        <v>2023</v>
      </c>
      <c r="O2181" s="7">
        <f>Table1[[#This Row],[Profit]]/Table1[[#This Row],[Total_Sales]]</f>
        <v>0.21857218377547097</v>
      </c>
    </row>
    <row r="2182" spans="1:15" x14ac:dyDescent="0.25">
      <c r="A2182" s="1">
        <v>2181</v>
      </c>
      <c r="B2182" s="2">
        <v>45553</v>
      </c>
      <c r="C2182" s="1" t="s">
        <v>19</v>
      </c>
      <c r="D2182" s="1" t="s">
        <v>20</v>
      </c>
      <c r="E2182" s="1" t="s">
        <v>28</v>
      </c>
      <c r="F2182" s="1" t="s">
        <v>24</v>
      </c>
      <c r="G2182" s="1">
        <v>9</v>
      </c>
      <c r="H2182" s="1">
        <v>974</v>
      </c>
      <c r="I2182" s="1">
        <v>0</v>
      </c>
      <c r="J2182" s="4">
        <v>8766</v>
      </c>
      <c r="K2182" s="4">
        <v>4816.2</v>
      </c>
      <c r="L2182" s="4">
        <v>3949.8</v>
      </c>
      <c r="M2182" s="1" t="str">
        <f>TEXT(Table1[[#This Row],[Order_Date]], "MMM")</f>
        <v>Sep</v>
      </c>
      <c r="N2182" s="1">
        <f>YEAR(Table1[[#This Row],[Order_Date]])</f>
        <v>2024</v>
      </c>
      <c r="O2182" s="7">
        <f>Table1[[#This Row],[Profit]]/Table1[[#This Row],[Total_Sales]]</f>
        <v>0.45058179329226561</v>
      </c>
    </row>
    <row r="2183" spans="1:15" x14ac:dyDescent="0.25">
      <c r="A2183" s="1">
        <v>2182</v>
      </c>
      <c r="B2183" s="2">
        <v>45478</v>
      </c>
      <c r="C2183" s="1" t="s">
        <v>25</v>
      </c>
      <c r="D2183" s="1" t="s">
        <v>32</v>
      </c>
      <c r="E2183" s="1" t="s">
        <v>41</v>
      </c>
      <c r="F2183" s="1" t="s">
        <v>35</v>
      </c>
      <c r="G2183" s="1">
        <v>3</v>
      </c>
      <c r="H2183" s="1">
        <v>753</v>
      </c>
      <c r="I2183" s="1">
        <v>5</v>
      </c>
      <c r="J2183" s="4">
        <v>2146.0500000000002</v>
      </c>
      <c r="K2183" s="4">
        <v>1443.87</v>
      </c>
      <c r="L2183" s="4">
        <v>702.18</v>
      </c>
      <c r="M2183" s="1" t="str">
        <f>TEXT(Table1[[#This Row],[Order_Date]], "MMM")</f>
        <v>Jul</v>
      </c>
      <c r="N2183" s="1">
        <f>YEAR(Table1[[#This Row],[Order_Date]])</f>
        <v>2024</v>
      </c>
      <c r="O2183" s="7">
        <f>Table1[[#This Row],[Profit]]/Table1[[#This Row],[Total_Sales]]</f>
        <v>0.32719647724889911</v>
      </c>
    </row>
    <row r="2184" spans="1:15" x14ac:dyDescent="0.25">
      <c r="A2184" s="1">
        <v>2183</v>
      </c>
      <c r="B2184" s="2">
        <v>45120</v>
      </c>
      <c r="C2184" s="1" t="s">
        <v>19</v>
      </c>
      <c r="D2184" s="1" t="s">
        <v>22</v>
      </c>
      <c r="E2184" s="1" t="s">
        <v>36</v>
      </c>
      <c r="F2184" s="1" t="s">
        <v>40</v>
      </c>
      <c r="G2184" s="1">
        <v>8</v>
      </c>
      <c r="H2184" s="1">
        <v>260</v>
      </c>
      <c r="I2184" s="1">
        <v>15</v>
      </c>
      <c r="J2184" s="4">
        <v>1768</v>
      </c>
      <c r="K2184" s="4">
        <v>1073.2</v>
      </c>
      <c r="L2184" s="4">
        <v>694.8</v>
      </c>
      <c r="M2184" s="1" t="str">
        <f>TEXT(Table1[[#This Row],[Order_Date]], "MMM")</f>
        <v>Jul</v>
      </c>
      <c r="N2184" s="1">
        <f>YEAR(Table1[[#This Row],[Order_Date]])</f>
        <v>2023</v>
      </c>
      <c r="O2184" s="7">
        <f>Table1[[#This Row],[Profit]]/Table1[[#This Row],[Total_Sales]]</f>
        <v>0.39298642533936651</v>
      </c>
    </row>
    <row r="2185" spans="1:15" x14ac:dyDescent="0.25">
      <c r="A2185" s="1">
        <v>2184</v>
      </c>
      <c r="B2185" s="2">
        <v>45005</v>
      </c>
      <c r="C2185" s="1" t="s">
        <v>16</v>
      </c>
      <c r="D2185" s="1" t="s">
        <v>20</v>
      </c>
      <c r="E2185" s="1" t="s">
        <v>43</v>
      </c>
      <c r="F2185" s="1" t="s">
        <v>35</v>
      </c>
      <c r="G2185" s="1">
        <v>5</v>
      </c>
      <c r="H2185" s="1">
        <v>191</v>
      </c>
      <c r="I2185" s="1">
        <v>0</v>
      </c>
      <c r="J2185" s="4">
        <v>955</v>
      </c>
      <c r="K2185" s="4">
        <v>483.83</v>
      </c>
      <c r="L2185" s="4">
        <v>471.17</v>
      </c>
      <c r="M2185" s="1" t="str">
        <f>TEXT(Table1[[#This Row],[Order_Date]], "MMM")</f>
        <v>Mar</v>
      </c>
      <c r="N2185" s="1">
        <f>YEAR(Table1[[#This Row],[Order_Date]])</f>
        <v>2023</v>
      </c>
      <c r="O2185" s="7">
        <f>Table1[[#This Row],[Profit]]/Table1[[#This Row],[Total_Sales]]</f>
        <v>0.49337172774869109</v>
      </c>
    </row>
    <row r="2186" spans="1:15" x14ac:dyDescent="0.25">
      <c r="A2186" s="1">
        <v>2185</v>
      </c>
      <c r="B2186" s="2">
        <v>45208</v>
      </c>
      <c r="C2186" s="1" t="s">
        <v>19</v>
      </c>
      <c r="D2186" s="1" t="s">
        <v>22</v>
      </c>
      <c r="E2186" s="1" t="s">
        <v>36</v>
      </c>
      <c r="F2186" s="1" t="s">
        <v>18</v>
      </c>
      <c r="G2186" s="1">
        <v>3</v>
      </c>
      <c r="H2186" s="1">
        <v>131</v>
      </c>
      <c r="I2186" s="1">
        <v>15</v>
      </c>
      <c r="J2186" s="4">
        <v>334.05</v>
      </c>
      <c r="K2186" s="4">
        <v>176.78</v>
      </c>
      <c r="L2186" s="4">
        <v>157.27000000000001</v>
      </c>
      <c r="M2186" s="1" t="str">
        <f>TEXT(Table1[[#This Row],[Order_Date]], "MMM")</f>
        <v>Oct</v>
      </c>
      <c r="N2186" s="1">
        <f>YEAR(Table1[[#This Row],[Order_Date]])</f>
        <v>2023</v>
      </c>
      <c r="O2186" s="7">
        <f>Table1[[#This Row],[Profit]]/Table1[[#This Row],[Total_Sales]]</f>
        <v>0.47079778476276007</v>
      </c>
    </row>
    <row r="2187" spans="1:15" x14ac:dyDescent="0.25">
      <c r="A2187" s="1">
        <v>2186</v>
      </c>
      <c r="B2187" s="2">
        <v>45043</v>
      </c>
      <c r="C2187" s="1" t="s">
        <v>12</v>
      </c>
      <c r="D2187" s="1" t="s">
        <v>22</v>
      </c>
      <c r="E2187" s="1" t="s">
        <v>23</v>
      </c>
      <c r="F2187" s="1" t="s">
        <v>31</v>
      </c>
      <c r="G2187" s="1">
        <v>2</v>
      </c>
      <c r="H2187" s="1">
        <v>97</v>
      </c>
      <c r="I2187" s="1">
        <v>5</v>
      </c>
      <c r="J2187" s="4">
        <v>184.3</v>
      </c>
      <c r="K2187" s="4">
        <v>96.79</v>
      </c>
      <c r="L2187" s="4">
        <v>87.51</v>
      </c>
      <c r="M2187" s="1" t="str">
        <f>TEXT(Table1[[#This Row],[Order_Date]], "MMM")</f>
        <v>Apr</v>
      </c>
      <c r="N2187" s="1">
        <f>YEAR(Table1[[#This Row],[Order_Date]])</f>
        <v>2023</v>
      </c>
      <c r="O2187" s="7">
        <f>Table1[[#This Row],[Profit]]/Table1[[#This Row],[Total_Sales]]</f>
        <v>0.47482365708084645</v>
      </c>
    </row>
    <row r="2188" spans="1:15" x14ac:dyDescent="0.25">
      <c r="A2188" s="1">
        <v>2187</v>
      </c>
      <c r="B2188" s="2">
        <v>45252</v>
      </c>
      <c r="C2188" s="1" t="s">
        <v>12</v>
      </c>
      <c r="D2188" s="1" t="s">
        <v>26</v>
      </c>
      <c r="E2188" s="1" t="s">
        <v>46</v>
      </c>
      <c r="F2188" s="1" t="s">
        <v>31</v>
      </c>
      <c r="G2188" s="1">
        <v>7</v>
      </c>
      <c r="H2188" s="1">
        <v>908</v>
      </c>
      <c r="I2188" s="1">
        <v>15</v>
      </c>
      <c r="J2188" s="4">
        <v>5402.6</v>
      </c>
      <c r="K2188" s="4">
        <v>3357.21</v>
      </c>
      <c r="L2188" s="4">
        <v>2045.39</v>
      </c>
      <c r="M2188" s="1" t="str">
        <f>TEXT(Table1[[#This Row],[Order_Date]], "MMM")</f>
        <v>Nov</v>
      </c>
      <c r="N2188" s="1">
        <f>YEAR(Table1[[#This Row],[Order_Date]])</f>
        <v>2023</v>
      </c>
      <c r="O2188" s="7">
        <f>Table1[[#This Row],[Profit]]/Table1[[#This Row],[Total_Sales]]</f>
        <v>0.37859364009921148</v>
      </c>
    </row>
    <row r="2189" spans="1:15" x14ac:dyDescent="0.25">
      <c r="A2189" s="1">
        <v>2188</v>
      </c>
      <c r="B2189" s="2">
        <v>45166</v>
      </c>
      <c r="C2189" s="1" t="s">
        <v>25</v>
      </c>
      <c r="D2189" s="1" t="s">
        <v>20</v>
      </c>
      <c r="E2189" s="1" t="s">
        <v>30</v>
      </c>
      <c r="F2189" s="1" t="s">
        <v>18</v>
      </c>
      <c r="G2189" s="1">
        <v>3</v>
      </c>
      <c r="H2189" s="1">
        <v>254</v>
      </c>
      <c r="I2189" s="1">
        <v>15</v>
      </c>
      <c r="J2189" s="4">
        <v>647.70000000000005</v>
      </c>
      <c r="K2189" s="4">
        <v>451.06</v>
      </c>
      <c r="L2189" s="4">
        <v>196.64</v>
      </c>
      <c r="M2189" s="1" t="str">
        <f>TEXT(Table1[[#This Row],[Order_Date]], "MMM")</f>
        <v>Aug</v>
      </c>
      <c r="N2189" s="1">
        <f>YEAR(Table1[[#This Row],[Order_Date]])</f>
        <v>2023</v>
      </c>
      <c r="O2189" s="7">
        <f>Table1[[#This Row],[Profit]]/Table1[[#This Row],[Total_Sales]]</f>
        <v>0.3035973444495908</v>
      </c>
    </row>
    <row r="2190" spans="1:15" x14ac:dyDescent="0.25">
      <c r="A2190" s="1">
        <v>2189</v>
      </c>
      <c r="B2190" s="2">
        <v>45016</v>
      </c>
      <c r="C2190" s="1" t="s">
        <v>16</v>
      </c>
      <c r="D2190" s="1" t="s">
        <v>13</v>
      </c>
      <c r="E2190" s="1" t="s">
        <v>38</v>
      </c>
      <c r="F2190" s="1" t="s">
        <v>40</v>
      </c>
      <c r="G2190" s="1">
        <v>8</v>
      </c>
      <c r="H2190" s="1">
        <v>724</v>
      </c>
      <c r="I2190" s="1">
        <v>0</v>
      </c>
      <c r="J2190" s="4">
        <v>5792</v>
      </c>
      <c r="K2190" s="4">
        <v>4107.88</v>
      </c>
      <c r="L2190" s="4">
        <v>1684.12</v>
      </c>
      <c r="M2190" s="1" t="str">
        <f>TEXT(Table1[[#This Row],[Order_Date]], "MMM")</f>
        <v>Mar</v>
      </c>
      <c r="N2190" s="1">
        <f>YEAR(Table1[[#This Row],[Order_Date]])</f>
        <v>2023</v>
      </c>
      <c r="O2190" s="7">
        <f>Table1[[#This Row],[Profit]]/Table1[[#This Row],[Total_Sales]]</f>
        <v>0.29076657458563532</v>
      </c>
    </row>
    <row r="2191" spans="1:15" x14ac:dyDescent="0.25">
      <c r="A2191" s="1">
        <v>2190</v>
      </c>
      <c r="B2191" s="2">
        <v>44946</v>
      </c>
      <c r="C2191" s="1" t="s">
        <v>19</v>
      </c>
      <c r="D2191" s="1" t="s">
        <v>26</v>
      </c>
      <c r="E2191" s="1" t="s">
        <v>27</v>
      </c>
      <c r="F2191" s="1" t="s">
        <v>35</v>
      </c>
      <c r="G2191" s="1">
        <v>3</v>
      </c>
      <c r="H2191" s="1">
        <v>865</v>
      </c>
      <c r="I2191" s="1">
        <v>10</v>
      </c>
      <c r="J2191" s="4">
        <v>2335.5</v>
      </c>
      <c r="K2191" s="4">
        <v>1225.22</v>
      </c>
      <c r="L2191" s="4">
        <v>1110.28</v>
      </c>
      <c r="M2191" s="1" t="str">
        <f>TEXT(Table1[[#This Row],[Order_Date]], "MMM")</f>
        <v>Jan</v>
      </c>
      <c r="N2191" s="1">
        <f>YEAR(Table1[[#This Row],[Order_Date]])</f>
        <v>2023</v>
      </c>
      <c r="O2191" s="7">
        <f>Table1[[#This Row],[Profit]]/Table1[[#This Row],[Total_Sales]]</f>
        <v>0.47539284949689575</v>
      </c>
    </row>
    <row r="2192" spans="1:15" x14ac:dyDescent="0.25">
      <c r="A2192" s="1">
        <v>2191</v>
      </c>
      <c r="B2192" s="2">
        <v>45146</v>
      </c>
      <c r="C2192" s="1" t="s">
        <v>16</v>
      </c>
      <c r="D2192" s="1" t="s">
        <v>22</v>
      </c>
      <c r="E2192" s="1" t="s">
        <v>29</v>
      </c>
      <c r="F2192" s="1" t="s">
        <v>40</v>
      </c>
      <c r="G2192" s="1">
        <v>8</v>
      </c>
      <c r="H2192" s="1">
        <v>912</v>
      </c>
      <c r="I2192" s="1">
        <v>10</v>
      </c>
      <c r="J2192" s="4">
        <v>6566.4</v>
      </c>
      <c r="K2192" s="4">
        <v>3352.08</v>
      </c>
      <c r="L2192" s="4">
        <v>3214.32</v>
      </c>
      <c r="M2192" s="1" t="str">
        <f>TEXT(Table1[[#This Row],[Order_Date]], "MMM")</f>
        <v>Aug</v>
      </c>
      <c r="N2192" s="1">
        <f>YEAR(Table1[[#This Row],[Order_Date]])</f>
        <v>2023</v>
      </c>
      <c r="O2192" s="7">
        <f>Table1[[#This Row],[Profit]]/Table1[[#This Row],[Total_Sales]]</f>
        <v>0.4895102339181287</v>
      </c>
    </row>
    <row r="2193" spans="1:15" x14ac:dyDescent="0.25">
      <c r="A2193" s="1">
        <v>2192</v>
      </c>
      <c r="B2193" s="2">
        <v>45644</v>
      </c>
      <c r="C2193" s="1" t="s">
        <v>25</v>
      </c>
      <c r="D2193" s="1" t="s">
        <v>26</v>
      </c>
      <c r="E2193" s="1" t="s">
        <v>27</v>
      </c>
      <c r="F2193" s="1" t="s">
        <v>15</v>
      </c>
      <c r="G2193" s="1">
        <v>8</v>
      </c>
      <c r="H2193" s="1">
        <v>795</v>
      </c>
      <c r="I2193" s="1">
        <v>20</v>
      </c>
      <c r="J2193" s="4">
        <v>5088</v>
      </c>
      <c r="K2193" s="4">
        <v>3684.71</v>
      </c>
      <c r="L2193" s="4">
        <v>1403.29</v>
      </c>
      <c r="M2193" s="1" t="str">
        <f>TEXT(Table1[[#This Row],[Order_Date]], "MMM")</f>
        <v>Dec</v>
      </c>
      <c r="N2193" s="1">
        <f>YEAR(Table1[[#This Row],[Order_Date]])</f>
        <v>2024</v>
      </c>
      <c r="O2193" s="7">
        <f>Table1[[#This Row],[Profit]]/Table1[[#This Row],[Total_Sales]]</f>
        <v>0.27580385220125786</v>
      </c>
    </row>
    <row r="2194" spans="1:15" x14ac:dyDescent="0.25">
      <c r="A2194" s="1">
        <v>2193</v>
      </c>
      <c r="B2194" s="2">
        <v>45169</v>
      </c>
      <c r="C2194" s="1" t="s">
        <v>12</v>
      </c>
      <c r="D2194" s="1" t="s">
        <v>22</v>
      </c>
      <c r="E2194" s="1" t="s">
        <v>44</v>
      </c>
      <c r="F2194" s="1" t="s">
        <v>31</v>
      </c>
      <c r="G2194" s="1">
        <v>2</v>
      </c>
      <c r="H2194" s="1">
        <v>478</v>
      </c>
      <c r="I2194" s="1">
        <v>0</v>
      </c>
      <c r="J2194" s="4">
        <v>956</v>
      </c>
      <c r="K2194" s="4">
        <v>690.37</v>
      </c>
      <c r="L2194" s="4">
        <v>265.63</v>
      </c>
      <c r="M2194" s="1" t="str">
        <f>TEXT(Table1[[#This Row],[Order_Date]], "MMM")</f>
        <v>Aug</v>
      </c>
      <c r="N2194" s="1">
        <f>YEAR(Table1[[#This Row],[Order_Date]])</f>
        <v>2023</v>
      </c>
      <c r="O2194" s="7">
        <f>Table1[[#This Row],[Profit]]/Table1[[#This Row],[Total_Sales]]</f>
        <v>0.27785564853556483</v>
      </c>
    </row>
    <row r="2195" spans="1:15" x14ac:dyDescent="0.25">
      <c r="A2195" s="1">
        <v>2194</v>
      </c>
      <c r="B2195" s="2">
        <v>45031</v>
      </c>
      <c r="C2195" s="1" t="s">
        <v>25</v>
      </c>
      <c r="D2195" s="1" t="s">
        <v>22</v>
      </c>
      <c r="E2195" s="1" t="s">
        <v>36</v>
      </c>
      <c r="F2195" s="1" t="s">
        <v>18</v>
      </c>
      <c r="G2195" s="1">
        <v>10</v>
      </c>
      <c r="H2195" s="1">
        <v>52</v>
      </c>
      <c r="I2195" s="1">
        <v>20</v>
      </c>
      <c r="J2195" s="4">
        <v>416</v>
      </c>
      <c r="K2195" s="4">
        <v>320.43</v>
      </c>
      <c r="L2195" s="4">
        <v>95.57</v>
      </c>
      <c r="M2195" s="1" t="str">
        <f>TEXT(Table1[[#This Row],[Order_Date]], "MMM")</f>
        <v>Apr</v>
      </c>
      <c r="N2195" s="1">
        <f>YEAR(Table1[[#This Row],[Order_Date]])</f>
        <v>2023</v>
      </c>
      <c r="O2195" s="7">
        <f>Table1[[#This Row],[Profit]]/Table1[[#This Row],[Total_Sales]]</f>
        <v>0.22973557692307692</v>
      </c>
    </row>
    <row r="2196" spans="1:15" x14ac:dyDescent="0.25">
      <c r="A2196" s="1">
        <v>2195</v>
      </c>
      <c r="B2196" s="2">
        <v>45570</v>
      </c>
      <c r="C2196" s="1" t="s">
        <v>19</v>
      </c>
      <c r="D2196" s="1" t="s">
        <v>26</v>
      </c>
      <c r="E2196" s="1" t="s">
        <v>46</v>
      </c>
      <c r="F2196" s="1" t="s">
        <v>24</v>
      </c>
      <c r="G2196" s="1">
        <v>9</v>
      </c>
      <c r="H2196" s="1">
        <v>386</v>
      </c>
      <c r="I2196" s="1">
        <v>20</v>
      </c>
      <c r="J2196" s="4">
        <v>2779.2</v>
      </c>
      <c r="K2196" s="4">
        <v>1434.09</v>
      </c>
      <c r="L2196" s="4">
        <v>1345.11</v>
      </c>
      <c r="M2196" s="1" t="str">
        <f>TEXT(Table1[[#This Row],[Order_Date]], "MMM")</f>
        <v>Oct</v>
      </c>
      <c r="N2196" s="1">
        <f>YEAR(Table1[[#This Row],[Order_Date]])</f>
        <v>2024</v>
      </c>
      <c r="O2196" s="7">
        <f>Table1[[#This Row],[Profit]]/Table1[[#This Row],[Total_Sales]]</f>
        <v>0.48399179620034544</v>
      </c>
    </row>
    <row r="2197" spans="1:15" x14ac:dyDescent="0.25">
      <c r="A2197" s="1">
        <v>2196</v>
      </c>
      <c r="B2197" s="2">
        <v>44991</v>
      </c>
      <c r="C2197" s="1" t="s">
        <v>12</v>
      </c>
      <c r="D2197" s="1" t="s">
        <v>13</v>
      </c>
      <c r="E2197" s="1" t="s">
        <v>14</v>
      </c>
      <c r="F2197" s="1" t="s">
        <v>15</v>
      </c>
      <c r="G2197" s="1">
        <v>4</v>
      </c>
      <c r="H2197" s="1">
        <v>296</v>
      </c>
      <c r="I2197" s="1">
        <v>0</v>
      </c>
      <c r="J2197" s="4">
        <v>1184</v>
      </c>
      <c r="K2197" s="4">
        <v>734.27</v>
      </c>
      <c r="L2197" s="4">
        <v>449.73</v>
      </c>
      <c r="M2197" s="1" t="str">
        <f>TEXT(Table1[[#This Row],[Order_Date]], "MMM")</f>
        <v>Mar</v>
      </c>
      <c r="N2197" s="1">
        <f>YEAR(Table1[[#This Row],[Order_Date]])</f>
        <v>2023</v>
      </c>
      <c r="O2197" s="7">
        <f>Table1[[#This Row],[Profit]]/Table1[[#This Row],[Total_Sales]]</f>
        <v>0.37983952702702706</v>
      </c>
    </row>
    <row r="2198" spans="1:15" x14ac:dyDescent="0.25">
      <c r="A2198" s="1">
        <v>2197</v>
      </c>
      <c r="B2198" s="2">
        <v>45476</v>
      </c>
      <c r="C2198" s="1" t="s">
        <v>19</v>
      </c>
      <c r="D2198" s="1" t="s">
        <v>32</v>
      </c>
      <c r="E2198" s="1" t="s">
        <v>45</v>
      </c>
      <c r="F2198" s="1" t="s">
        <v>31</v>
      </c>
      <c r="G2198" s="1">
        <v>10</v>
      </c>
      <c r="H2198" s="1">
        <v>977</v>
      </c>
      <c r="I2198" s="1">
        <v>20</v>
      </c>
      <c r="J2198" s="4">
        <v>7816</v>
      </c>
      <c r="K2198" s="4">
        <v>6098.12</v>
      </c>
      <c r="L2198" s="4">
        <v>1717.88</v>
      </c>
      <c r="M2198" s="1" t="str">
        <f>TEXT(Table1[[#This Row],[Order_Date]], "MMM")</f>
        <v>Jul</v>
      </c>
      <c r="N2198" s="1">
        <f>YEAR(Table1[[#This Row],[Order_Date]])</f>
        <v>2024</v>
      </c>
      <c r="O2198" s="7">
        <f>Table1[[#This Row],[Profit]]/Table1[[#This Row],[Total_Sales]]</f>
        <v>0.21979017400204709</v>
      </c>
    </row>
    <row r="2199" spans="1:15" x14ac:dyDescent="0.25">
      <c r="A2199" s="1">
        <v>2198</v>
      </c>
      <c r="B2199" s="2">
        <v>45148</v>
      </c>
      <c r="C2199" s="1" t="s">
        <v>16</v>
      </c>
      <c r="D2199" s="1" t="s">
        <v>20</v>
      </c>
      <c r="E2199" s="1" t="s">
        <v>21</v>
      </c>
      <c r="F2199" s="1" t="s">
        <v>24</v>
      </c>
      <c r="G2199" s="1">
        <v>3</v>
      </c>
      <c r="H2199" s="1">
        <v>951</v>
      </c>
      <c r="I2199" s="1">
        <v>5</v>
      </c>
      <c r="J2199" s="4">
        <v>2710.35</v>
      </c>
      <c r="K2199" s="4">
        <v>1628.21</v>
      </c>
      <c r="L2199" s="4">
        <v>1082.1400000000001</v>
      </c>
      <c r="M2199" s="1" t="str">
        <f>TEXT(Table1[[#This Row],[Order_Date]], "MMM")</f>
        <v>Aug</v>
      </c>
      <c r="N2199" s="1">
        <f>YEAR(Table1[[#This Row],[Order_Date]])</f>
        <v>2023</v>
      </c>
      <c r="O2199" s="7">
        <f>Table1[[#This Row],[Profit]]/Table1[[#This Row],[Total_Sales]]</f>
        <v>0.39926208792222412</v>
      </c>
    </row>
    <row r="2200" spans="1:15" x14ac:dyDescent="0.25">
      <c r="A2200" s="1">
        <v>2199</v>
      </c>
      <c r="B2200" s="2">
        <v>45120</v>
      </c>
      <c r="C2200" s="1" t="s">
        <v>25</v>
      </c>
      <c r="D2200" s="1" t="s">
        <v>26</v>
      </c>
      <c r="E2200" s="1" t="s">
        <v>37</v>
      </c>
      <c r="F2200" s="1" t="s">
        <v>18</v>
      </c>
      <c r="G2200" s="1">
        <v>6</v>
      </c>
      <c r="H2200" s="1">
        <v>449</v>
      </c>
      <c r="I2200" s="1">
        <v>0</v>
      </c>
      <c r="J2200" s="4">
        <v>2694</v>
      </c>
      <c r="K2200" s="4">
        <v>1544.89</v>
      </c>
      <c r="L2200" s="4">
        <v>1149.1099999999999</v>
      </c>
      <c r="M2200" s="1" t="str">
        <f>TEXT(Table1[[#This Row],[Order_Date]], "MMM")</f>
        <v>Jul</v>
      </c>
      <c r="N2200" s="1">
        <f>YEAR(Table1[[#This Row],[Order_Date]])</f>
        <v>2023</v>
      </c>
      <c r="O2200" s="7">
        <f>Table1[[#This Row],[Profit]]/Table1[[#This Row],[Total_Sales]]</f>
        <v>0.42654417223459534</v>
      </c>
    </row>
    <row r="2201" spans="1:15" x14ac:dyDescent="0.25">
      <c r="A2201" s="1">
        <v>2200</v>
      </c>
      <c r="B2201" s="2">
        <v>45360</v>
      </c>
      <c r="C2201" s="1" t="s">
        <v>25</v>
      </c>
      <c r="D2201" s="1" t="s">
        <v>20</v>
      </c>
      <c r="E2201" s="1" t="s">
        <v>43</v>
      </c>
      <c r="F2201" s="1" t="s">
        <v>15</v>
      </c>
      <c r="G2201" s="1">
        <v>7</v>
      </c>
      <c r="H2201" s="1">
        <v>483</v>
      </c>
      <c r="I2201" s="1">
        <v>5</v>
      </c>
      <c r="J2201" s="4">
        <v>3211.95</v>
      </c>
      <c r="K2201" s="4">
        <v>2540.2600000000002</v>
      </c>
      <c r="L2201" s="4">
        <v>671.69</v>
      </c>
      <c r="M2201" s="1" t="str">
        <f>TEXT(Table1[[#This Row],[Order_Date]], "MMM")</f>
        <v>Mar</v>
      </c>
      <c r="N2201" s="1">
        <f>YEAR(Table1[[#This Row],[Order_Date]])</f>
        <v>2024</v>
      </c>
      <c r="O2201" s="7">
        <f>Table1[[#This Row],[Profit]]/Table1[[#This Row],[Total_Sales]]</f>
        <v>0.20912218434284471</v>
      </c>
    </row>
    <row r="2202" spans="1:15" x14ac:dyDescent="0.25">
      <c r="A2202" s="1">
        <v>2201</v>
      </c>
      <c r="B2202" s="2">
        <v>45050</v>
      </c>
      <c r="C2202" s="1" t="s">
        <v>12</v>
      </c>
      <c r="D2202" s="1" t="s">
        <v>22</v>
      </c>
      <c r="E2202" s="1" t="s">
        <v>23</v>
      </c>
      <c r="F2202" s="1" t="s">
        <v>35</v>
      </c>
      <c r="G2202" s="1">
        <v>4</v>
      </c>
      <c r="H2202" s="1">
        <v>975</v>
      </c>
      <c r="I2202" s="1">
        <v>10</v>
      </c>
      <c r="J2202" s="4">
        <v>3510</v>
      </c>
      <c r="K2202" s="4">
        <v>1940.38</v>
      </c>
      <c r="L2202" s="4">
        <v>1569.62</v>
      </c>
      <c r="M2202" s="1" t="str">
        <f>TEXT(Table1[[#This Row],[Order_Date]], "MMM")</f>
        <v>May</v>
      </c>
      <c r="N2202" s="1">
        <f>YEAR(Table1[[#This Row],[Order_Date]])</f>
        <v>2023</v>
      </c>
      <c r="O2202" s="7">
        <f>Table1[[#This Row],[Profit]]/Table1[[#This Row],[Total_Sales]]</f>
        <v>0.44718518518518513</v>
      </c>
    </row>
    <row r="2203" spans="1:15" x14ac:dyDescent="0.25">
      <c r="A2203" s="1">
        <v>2202</v>
      </c>
      <c r="B2203" s="2">
        <v>45485</v>
      </c>
      <c r="C2203" s="1" t="s">
        <v>25</v>
      </c>
      <c r="D2203" s="1" t="s">
        <v>26</v>
      </c>
      <c r="E2203" s="1" t="s">
        <v>37</v>
      </c>
      <c r="F2203" s="1" t="s">
        <v>35</v>
      </c>
      <c r="G2203" s="1">
        <v>6</v>
      </c>
      <c r="H2203" s="1">
        <v>731</v>
      </c>
      <c r="I2203" s="1">
        <v>5</v>
      </c>
      <c r="J2203" s="4">
        <v>4166.7</v>
      </c>
      <c r="K2203" s="4">
        <v>3015.3</v>
      </c>
      <c r="L2203" s="4">
        <v>1151.4000000000001</v>
      </c>
      <c r="M2203" s="1" t="str">
        <f>TEXT(Table1[[#This Row],[Order_Date]], "MMM")</f>
        <v>Jul</v>
      </c>
      <c r="N2203" s="1">
        <f>YEAR(Table1[[#This Row],[Order_Date]])</f>
        <v>2024</v>
      </c>
      <c r="O2203" s="7">
        <f>Table1[[#This Row],[Profit]]/Table1[[#This Row],[Total_Sales]]</f>
        <v>0.27633378932968539</v>
      </c>
    </row>
    <row r="2204" spans="1:15" x14ac:dyDescent="0.25">
      <c r="A2204" s="1">
        <v>2203</v>
      </c>
      <c r="B2204" s="2">
        <v>45549</v>
      </c>
      <c r="C2204" s="1" t="s">
        <v>12</v>
      </c>
      <c r="D2204" s="1" t="s">
        <v>26</v>
      </c>
      <c r="E2204" s="1" t="s">
        <v>37</v>
      </c>
      <c r="F2204" s="1" t="s">
        <v>35</v>
      </c>
      <c r="G2204" s="1">
        <v>3</v>
      </c>
      <c r="H2204" s="1">
        <v>103</v>
      </c>
      <c r="I2204" s="1">
        <v>0</v>
      </c>
      <c r="J2204" s="4">
        <v>309</v>
      </c>
      <c r="K2204" s="4">
        <v>208.37</v>
      </c>
      <c r="L2204" s="4">
        <v>100.63</v>
      </c>
      <c r="M2204" s="1" t="str">
        <f>TEXT(Table1[[#This Row],[Order_Date]], "MMM")</f>
        <v>Sep</v>
      </c>
      <c r="N2204" s="1">
        <f>YEAR(Table1[[#This Row],[Order_Date]])</f>
        <v>2024</v>
      </c>
      <c r="O2204" s="7">
        <f>Table1[[#This Row],[Profit]]/Table1[[#This Row],[Total_Sales]]</f>
        <v>0.32566343042071194</v>
      </c>
    </row>
    <row r="2205" spans="1:15" x14ac:dyDescent="0.25">
      <c r="A2205" s="1">
        <v>2204</v>
      </c>
      <c r="B2205" s="2">
        <v>45455</v>
      </c>
      <c r="C2205" s="1" t="s">
        <v>16</v>
      </c>
      <c r="D2205" s="1" t="s">
        <v>13</v>
      </c>
      <c r="E2205" s="1" t="s">
        <v>17</v>
      </c>
      <c r="F2205" s="1" t="s">
        <v>18</v>
      </c>
      <c r="G2205" s="1">
        <v>2</v>
      </c>
      <c r="H2205" s="1">
        <v>207</v>
      </c>
      <c r="I2205" s="1">
        <v>5</v>
      </c>
      <c r="J2205" s="4">
        <v>393.3</v>
      </c>
      <c r="K2205" s="4">
        <v>248.37</v>
      </c>
      <c r="L2205" s="4">
        <v>144.93</v>
      </c>
      <c r="M2205" s="1" t="str">
        <f>TEXT(Table1[[#This Row],[Order_Date]], "MMM")</f>
        <v>Jun</v>
      </c>
      <c r="N2205" s="1">
        <f>YEAR(Table1[[#This Row],[Order_Date]])</f>
        <v>2024</v>
      </c>
      <c r="O2205" s="7">
        <f>Table1[[#This Row],[Profit]]/Table1[[#This Row],[Total_Sales]]</f>
        <v>0.36849733028222731</v>
      </c>
    </row>
    <row r="2206" spans="1:15" x14ac:dyDescent="0.25">
      <c r="A2206" s="1">
        <v>2205</v>
      </c>
      <c r="B2206" s="2">
        <v>45225</v>
      </c>
      <c r="C2206" s="1" t="s">
        <v>19</v>
      </c>
      <c r="D2206" s="1" t="s">
        <v>20</v>
      </c>
      <c r="E2206" s="1" t="s">
        <v>28</v>
      </c>
      <c r="F2206" s="1" t="s">
        <v>24</v>
      </c>
      <c r="G2206" s="1">
        <v>7</v>
      </c>
      <c r="H2206" s="1">
        <v>757</v>
      </c>
      <c r="I2206" s="1">
        <v>20</v>
      </c>
      <c r="J2206" s="4">
        <v>4239.2</v>
      </c>
      <c r="K2206" s="4">
        <v>3110.48</v>
      </c>
      <c r="L2206" s="4">
        <v>1128.72</v>
      </c>
      <c r="M2206" s="1" t="str">
        <f>TEXT(Table1[[#This Row],[Order_Date]], "MMM")</f>
        <v>Oct</v>
      </c>
      <c r="N2206" s="1">
        <f>YEAR(Table1[[#This Row],[Order_Date]])</f>
        <v>2023</v>
      </c>
      <c r="O2206" s="7">
        <f>Table1[[#This Row],[Profit]]/Table1[[#This Row],[Total_Sales]]</f>
        <v>0.2662577844876392</v>
      </c>
    </row>
    <row r="2207" spans="1:15" x14ac:dyDescent="0.25">
      <c r="A2207" s="1">
        <v>2206</v>
      </c>
      <c r="B2207" s="2">
        <v>45115</v>
      </c>
      <c r="C2207" s="1" t="s">
        <v>12</v>
      </c>
      <c r="D2207" s="1" t="s">
        <v>32</v>
      </c>
      <c r="E2207" s="1" t="s">
        <v>34</v>
      </c>
      <c r="F2207" s="1" t="s">
        <v>18</v>
      </c>
      <c r="G2207" s="1">
        <v>10</v>
      </c>
      <c r="H2207" s="1">
        <v>767</v>
      </c>
      <c r="I2207" s="1">
        <v>5</v>
      </c>
      <c r="J2207" s="4">
        <v>7286.5</v>
      </c>
      <c r="K2207" s="4">
        <v>3719.97</v>
      </c>
      <c r="L2207" s="4">
        <v>3566.53</v>
      </c>
      <c r="M2207" s="1" t="str">
        <f>TEXT(Table1[[#This Row],[Order_Date]], "MMM")</f>
        <v>Jul</v>
      </c>
      <c r="N2207" s="1">
        <f>YEAR(Table1[[#This Row],[Order_Date]])</f>
        <v>2023</v>
      </c>
      <c r="O2207" s="7">
        <f>Table1[[#This Row],[Profit]]/Table1[[#This Row],[Total_Sales]]</f>
        <v>0.48947093940849518</v>
      </c>
    </row>
    <row r="2208" spans="1:15" x14ac:dyDescent="0.25">
      <c r="A2208" s="1">
        <v>2207</v>
      </c>
      <c r="B2208" s="2">
        <v>45557</v>
      </c>
      <c r="C2208" s="1" t="s">
        <v>19</v>
      </c>
      <c r="D2208" s="1" t="s">
        <v>13</v>
      </c>
      <c r="E2208" s="1" t="s">
        <v>17</v>
      </c>
      <c r="F2208" s="1" t="s">
        <v>40</v>
      </c>
      <c r="G2208" s="1">
        <v>3</v>
      </c>
      <c r="H2208" s="1">
        <v>861</v>
      </c>
      <c r="I2208" s="1">
        <v>10</v>
      </c>
      <c r="J2208" s="4">
        <v>2324.6999999999998</v>
      </c>
      <c r="K2208" s="4">
        <v>1476.06</v>
      </c>
      <c r="L2208" s="4">
        <v>848.64</v>
      </c>
      <c r="M2208" s="1" t="str">
        <f>TEXT(Table1[[#This Row],[Order_Date]], "MMM")</f>
        <v>Sep</v>
      </c>
      <c r="N2208" s="1">
        <f>YEAR(Table1[[#This Row],[Order_Date]])</f>
        <v>2024</v>
      </c>
      <c r="O2208" s="7">
        <f>Table1[[#This Row],[Profit]]/Table1[[#This Row],[Total_Sales]]</f>
        <v>0.36505355529745775</v>
      </c>
    </row>
    <row r="2209" spans="1:15" x14ac:dyDescent="0.25">
      <c r="A2209" s="1">
        <v>2208</v>
      </c>
      <c r="B2209" s="2">
        <v>44949</v>
      </c>
      <c r="C2209" s="1" t="s">
        <v>12</v>
      </c>
      <c r="D2209" s="1" t="s">
        <v>13</v>
      </c>
      <c r="E2209" s="1" t="s">
        <v>38</v>
      </c>
      <c r="F2209" s="1" t="s">
        <v>24</v>
      </c>
      <c r="G2209" s="1">
        <v>7</v>
      </c>
      <c r="H2209" s="1">
        <v>272</v>
      </c>
      <c r="I2209" s="1">
        <v>20</v>
      </c>
      <c r="J2209" s="4">
        <v>1523.2</v>
      </c>
      <c r="K2209" s="4">
        <v>977.12</v>
      </c>
      <c r="L2209" s="4">
        <v>546.08000000000004</v>
      </c>
      <c r="M2209" s="1" t="str">
        <f>TEXT(Table1[[#This Row],[Order_Date]], "MMM")</f>
        <v>Jan</v>
      </c>
      <c r="N2209" s="1">
        <f>YEAR(Table1[[#This Row],[Order_Date]])</f>
        <v>2023</v>
      </c>
      <c r="O2209" s="7">
        <f>Table1[[#This Row],[Profit]]/Table1[[#This Row],[Total_Sales]]</f>
        <v>0.35850840336134454</v>
      </c>
    </row>
    <row r="2210" spans="1:15" x14ac:dyDescent="0.25">
      <c r="A2210" s="1">
        <v>2209</v>
      </c>
      <c r="B2210" s="2">
        <v>45226</v>
      </c>
      <c r="C2210" s="1" t="s">
        <v>25</v>
      </c>
      <c r="D2210" s="1" t="s">
        <v>32</v>
      </c>
      <c r="E2210" s="1" t="s">
        <v>41</v>
      </c>
      <c r="F2210" s="1" t="s">
        <v>31</v>
      </c>
      <c r="G2210" s="1">
        <v>4</v>
      </c>
      <c r="H2210" s="1">
        <v>405</v>
      </c>
      <c r="I2210" s="1">
        <v>20</v>
      </c>
      <c r="J2210" s="4">
        <v>1296</v>
      </c>
      <c r="K2210" s="4">
        <v>911.39</v>
      </c>
      <c r="L2210" s="4">
        <v>384.61</v>
      </c>
      <c r="M2210" s="1" t="str">
        <f>TEXT(Table1[[#This Row],[Order_Date]], "MMM")</f>
        <v>Oct</v>
      </c>
      <c r="N2210" s="1">
        <f>YEAR(Table1[[#This Row],[Order_Date]])</f>
        <v>2023</v>
      </c>
      <c r="O2210" s="7">
        <f>Table1[[#This Row],[Profit]]/Table1[[#This Row],[Total_Sales]]</f>
        <v>0.29676697530864199</v>
      </c>
    </row>
    <row r="2211" spans="1:15" x14ac:dyDescent="0.25">
      <c r="A2211" s="1">
        <v>2210</v>
      </c>
      <c r="B2211" s="2">
        <v>45188</v>
      </c>
      <c r="C2211" s="1" t="s">
        <v>12</v>
      </c>
      <c r="D2211" s="1" t="s">
        <v>22</v>
      </c>
      <c r="E2211" s="1" t="s">
        <v>36</v>
      </c>
      <c r="F2211" s="1" t="s">
        <v>35</v>
      </c>
      <c r="G2211" s="1">
        <v>9</v>
      </c>
      <c r="H2211" s="1">
        <v>931</v>
      </c>
      <c r="I2211" s="1">
        <v>5</v>
      </c>
      <c r="J2211" s="4">
        <v>7960.05</v>
      </c>
      <c r="K2211" s="4">
        <v>4843.16</v>
      </c>
      <c r="L2211" s="4">
        <v>3116.89</v>
      </c>
      <c r="M2211" s="1" t="str">
        <f>TEXT(Table1[[#This Row],[Order_Date]], "MMM")</f>
        <v>Sep</v>
      </c>
      <c r="N2211" s="1">
        <f>YEAR(Table1[[#This Row],[Order_Date]])</f>
        <v>2023</v>
      </c>
      <c r="O2211" s="7">
        <f>Table1[[#This Row],[Profit]]/Table1[[#This Row],[Total_Sales]]</f>
        <v>0.39156663588796548</v>
      </c>
    </row>
    <row r="2212" spans="1:15" x14ac:dyDescent="0.25">
      <c r="A2212" s="1">
        <v>2211</v>
      </c>
      <c r="B2212" s="2">
        <v>45388</v>
      </c>
      <c r="C2212" s="1" t="s">
        <v>12</v>
      </c>
      <c r="D2212" s="1" t="s">
        <v>26</v>
      </c>
      <c r="E2212" s="1" t="s">
        <v>37</v>
      </c>
      <c r="F2212" s="1" t="s">
        <v>35</v>
      </c>
      <c r="G2212" s="1">
        <v>2</v>
      </c>
      <c r="H2212" s="1">
        <v>407</v>
      </c>
      <c r="I2212" s="1">
        <v>10</v>
      </c>
      <c r="J2212" s="4">
        <v>732.6</v>
      </c>
      <c r="K2212" s="4">
        <v>367</v>
      </c>
      <c r="L2212" s="4">
        <v>365.6</v>
      </c>
      <c r="M2212" s="1" t="str">
        <f>TEXT(Table1[[#This Row],[Order_Date]], "MMM")</f>
        <v>Apr</v>
      </c>
      <c r="N2212" s="1">
        <f>YEAR(Table1[[#This Row],[Order_Date]])</f>
        <v>2024</v>
      </c>
      <c r="O2212" s="7">
        <f>Table1[[#This Row],[Profit]]/Table1[[#This Row],[Total_Sales]]</f>
        <v>0.49904449904449905</v>
      </c>
    </row>
    <row r="2213" spans="1:15" x14ac:dyDescent="0.25">
      <c r="A2213" s="1">
        <v>2212</v>
      </c>
      <c r="B2213" s="2">
        <v>45353</v>
      </c>
      <c r="C2213" s="1" t="s">
        <v>12</v>
      </c>
      <c r="D2213" s="1" t="s">
        <v>20</v>
      </c>
      <c r="E2213" s="1" t="s">
        <v>43</v>
      </c>
      <c r="F2213" s="1" t="s">
        <v>15</v>
      </c>
      <c r="G2213" s="1">
        <v>5</v>
      </c>
      <c r="H2213" s="1">
        <v>459</v>
      </c>
      <c r="I2213" s="1">
        <v>0</v>
      </c>
      <c r="J2213" s="4">
        <v>2295</v>
      </c>
      <c r="K2213" s="4">
        <v>1200.8599999999999</v>
      </c>
      <c r="L2213" s="4">
        <v>1094.1400000000001</v>
      </c>
      <c r="M2213" s="1" t="str">
        <f>TEXT(Table1[[#This Row],[Order_Date]], "MMM")</f>
        <v>Mar</v>
      </c>
      <c r="N2213" s="1">
        <f>YEAR(Table1[[#This Row],[Order_Date]])</f>
        <v>2024</v>
      </c>
      <c r="O2213" s="7">
        <f>Table1[[#This Row],[Profit]]/Table1[[#This Row],[Total_Sales]]</f>
        <v>0.4767494553376907</v>
      </c>
    </row>
    <row r="2214" spans="1:15" x14ac:dyDescent="0.25">
      <c r="A2214" s="1">
        <v>2213</v>
      </c>
      <c r="B2214" s="2">
        <v>45168</v>
      </c>
      <c r="C2214" s="1" t="s">
        <v>12</v>
      </c>
      <c r="D2214" s="1" t="s">
        <v>26</v>
      </c>
      <c r="E2214" s="1" t="s">
        <v>37</v>
      </c>
      <c r="F2214" s="1" t="s">
        <v>24</v>
      </c>
      <c r="G2214" s="1">
        <v>7</v>
      </c>
      <c r="H2214" s="1">
        <v>751</v>
      </c>
      <c r="I2214" s="1">
        <v>15</v>
      </c>
      <c r="J2214" s="4">
        <v>4468.45</v>
      </c>
      <c r="K2214" s="4">
        <v>2551.11</v>
      </c>
      <c r="L2214" s="4">
        <v>1917.34</v>
      </c>
      <c r="M2214" s="1" t="str">
        <f>TEXT(Table1[[#This Row],[Order_Date]], "MMM")</f>
        <v>Aug</v>
      </c>
      <c r="N2214" s="1">
        <f>YEAR(Table1[[#This Row],[Order_Date]])</f>
        <v>2023</v>
      </c>
      <c r="O2214" s="7">
        <f>Table1[[#This Row],[Profit]]/Table1[[#This Row],[Total_Sales]]</f>
        <v>0.42908391052825923</v>
      </c>
    </row>
    <row r="2215" spans="1:15" x14ac:dyDescent="0.25">
      <c r="A2215" s="1">
        <v>2214</v>
      </c>
      <c r="B2215" s="2">
        <v>45509</v>
      </c>
      <c r="C2215" s="1" t="s">
        <v>16</v>
      </c>
      <c r="D2215" s="1" t="s">
        <v>13</v>
      </c>
      <c r="E2215" s="1" t="s">
        <v>39</v>
      </c>
      <c r="F2215" s="1" t="s">
        <v>18</v>
      </c>
      <c r="G2215" s="1">
        <v>6</v>
      </c>
      <c r="H2215" s="1">
        <v>741</v>
      </c>
      <c r="I2215" s="1">
        <v>5</v>
      </c>
      <c r="J2215" s="4">
        <v>4223.7</v>
      </c>
      <c r="K2215" s="4">
        <v>3193.69</v>
      </c>
      <c r="L2215" s="4">
        <v>1030.01</v>
      </c>
      <c r="M2215" s="1" t="str">
        <f>TEXT(Table1[[#This Row],[Order_Date]], "MMM")</f>
        <v>Aug</v>
      </c>
      <c r="N2215" s="1">
        <f>YEAR(Table1[[#This Row],[Order_Date]])</f>
        <v>2024</v>
      </c>
      <c r="O2215" s="7">
        <f>Table1[[#This Row],[Profit]]/Table1[[#This Row],[Total_Sales]]</f>
        <v>0.2438643843075976</v>
      </c>
    </row>
    <row r="2216" spans="1:15" x14ac:dyDescent="0.25">
      <c r="A2216" s="1">
        <v>2215</v>
      </c>
      <c r="B2216" s="2">
        <v>45564</v>
      </c>
      <c r="C2216" s="1" t="s">
        <v>19</v>
      </c>
      <c r="D2216" s="1" t="s">
        <v>22</v>
      </c>
      <c r="E2216" s="1" t="s">
        <v>44</v>
      </c>
      <c r="F2216" s="1" t="s">
        <v>31</v>
      </c>
      <c r="G2216" s="1">
        <v>8</v>
      </c>
      <c r="H2216" s="1">
        <v>332</v>
      </c>
      <c r="I2216" s="1">
        <v>20</v>
      </c>
      <c r="J2216" s="4">
        <v>2124.8000000000002</v>
      </c>
      <c r="K2216" s="4">
        <v>1338.22</v>
      </c>
      <c r="L2216" s="4">
        <v>786.58</v>
      </c>
      <c r="M2216" s="1" t="str">
        <f>TEXT(Table1[[#This Row],[Order_Date]], "MMM")</f>
        <v>Sep</v>
      </c>
      <c r="N2216" s="1">
        <f>YEAR(Table1[[#This Row],[Order_Date]])</f>
        <v>2024</v>
      </c>
      <c r="O2216" s="7">
        <f>Table1[[#This Row],[Profit]]/Table1[[#This Row],[Total_Sales]]</f>
        <v>0.37019013554216867</v>
      </c>
    </row>
    <row r="2217" spans="1:15" x14ac:dyDescent="0.25">
      <c r="A2217" s="1">
        <v>2216</v>
      </c>
      <c r="B2217" s="2">
        <v>45161</v>
      </c>
      <c r="C2217" s="1" t="s">
        <v>25</v>
      </c>
      <c r="D2217" s="1" t="s">
        <v>32</v>
      </c>
      <c r="E2217" s="1" t="s">
        <v>33</v>
      </c>
      <c r="F2217" s="1" t="s">
        <v>31</v>
      </c>
      <c r="G2217" s="1">
        <v>10</v>
      </c>
      <c r="H2217" s="1">
        <v>568</v>
      </c>
      <c r="I2217" s="1">
        <v>5</v>
      </c>
      <c r="J2217" s="4">
        <v>5396</v>
      </c>
      <c r="K2217" s="4">
        <v>4197.4399999999996</v>
      </c>
      <c r="L2217" s="4">
        <v>1198.56</v>
      </c>
      <c r="M2217" s="1" t="str">
        <f>TEXT(Table1[[#This Row],[Order_Date]], "MMM")</f>
        <v>Aug</v>
      </c>
      <c r="N2217" s="1">
        <f>YEAR(Table1[[#This Row],[Order_Date]])</f>
        <v>2023</v>
      </c>
      <c r="O2217" s="7">
        <f>Table1[[#This Row],[Profit]]/Table1[[#This Row],[Total_Sales]]</f>
        <v>0.2221200889547813</v>
      </c>
    </row>
    <row r="2218" spans="1:15" x14ac:dyDescent="0.25">
      <c r="A2218" s="1">
        <v>2217</v>
      </c>
      <c r="B2218" s="2">
        <v>45193</v>
      </c>
      <c r="C2218" s="1" t="s">
        <v>12</v>
      </c>
      <c r="D2218" s="1" t="s">
        <v>26</v>
      </c>
      <c r="E2218" s="1" t="s">
        <v>27</v>
      </c>
      <c r="F2218" s="1" t="s">
        <v>15</v>
      </c>
      <c r="G2218" s="1">
        <v>10</v>
      </c>
      <c r="H2218" s="1">
        <v>205</v>
      </c>
      <c r="I2218" s="1">
        <v>10</v>
      </c>
      <c r="J2218" s="4">
        <v>1845</v>
      </c>
      <c r="K2218" s="4">
        <v>1051.79</v>
      </c>
      <c r="L2218" s="4">
        <v>793.21</v>
      </c>
      <c r="M2218" s="1" t="str">
        <f>TEXT(Table1[[#This Row],[Order_Date]], "MMM")</f>
        <v>Sep</v>
      </c>
      <c r="N2218" s="1">
        <f>YEAR(Table1[[#This Row],[Order_Date]])</f>
        <v>2023</v>
      </c>
      <c r="O2218" s="7">
        <f>Table1[[#This Row],[Profit]]/Table1[[#This Row],[Total_Sales]]</f>
        <v>0.42992411924119245</v>
      </c>
    </row>
    <row r="2219" spans="1:15" x14ac:dyDescent="0.25">
      <c r="A2219" s="1">
        <v>2218</v>
      </c>
      <c r="B2219" s="2">
        <v>44991</v>
      </c>
      <c r="C2219" s="1" t="s">
        <v>25</v>
      </c>
      <c r="D2219" s="1" t="s">
        <v>22</v>
      </c>
      <c r="E2219" s="1" t="s">
        <v>36</v>
      </c>
      <c r="F2219" s="1" t="s">
        <v>40</v>
      </c>
      <c r="G2219" s="1">
        <v>7</v>
      </c>
      <c r="H2219" s="1">
        <v>285</v>
      </c>
      <c r="I2219" s="1">
        <v>0</v>
      </c>
      <c r="J2219" s="4">
        <v>1995</v>
      </c>
      <c r="K2219" s="4">
        <v>1516.64</v>
      </c>
      <c r="L2219" s="4">
        <v>478.36</v>
      </c>
      <c r="M2219" s="1" t="str">
        <f>TEXT(Table1[[#This Row],[Order_Date]], "MMM")</f>
        <v>Mar</v>
      </c>
      <c r="N2219" s="1">
        <f>YEAR(Table1[[#This Row],[Order_Date]])</f>
        <v>2023</v>
      </c>
      <c r="O2219" s="7">
        <f>Table1[[#This Row],[Profit]]/Table1[[#This Row],[Total_Sales]]</f>
        <v>0.2397794486215539</v>
      </c>
    </row>
    <row r="2220" spans="1:15" x14ac:dyDescent="0.25">
      <c r="A2220" s="1">
        <v>2219</v>
      </c>
      <c r="B2220" s="2">
        <v>45282</v>
      </c>
      <c r="C2220" s="1" t="s">
        <v>12</v>
      </c>
      <c r="D2220" s="1" t="s">
        <v>13</v>
      </c>
      <c r="E2220" s="1" t="s">
        <v>38</v>
      </c>
      <c r="F2220" s="1" t="s">
        <v>31</v>
      </c>
      <c r="G2220" s="1">
        <v>7</v>
      </c>
      <c r="H2220" s="1">
        <v>491</v>
      </c>
      <c r="I2220" s="1">
        <v>15</v>
      </c>
      <c r="J2220" s="4">
        <v>2921.45</v>
      </c>
      <c r="K2220" s="4">
        <v>1877.47</v>
      </c>
      <c r="L2220" s="4">
        <v>1043.98</v>
      </c>
      <c r="M2220" s="1" t="str">
        <f>TEXT(Table1[[#This Row],[Order_Date]], "MMM")</f>
        <v>Dec</v>
      </c>
      <c r="N2220" s="1">
        <f>YEAR(Table1[[#This Row],[Order_Date]])</f>
        <v>2023</v>
      </c>
      <c r="O2220" s="7">
        <f>Table1[[#This Row],[Profit]]/Table1[[#This Row],[Total_Sales]]</f>
        <v>0.35734994608841503</v>
      </c>
    </row>
    <row r="2221" spans="1:15" x14ac:dyDescent="0.25">
      <c r="A2221" s="1">
        <v>2220</v>
      </c>
      <c r="B2221" s="2">
        <v>45147</v>
      </c>
      <c r="C2221" s="1" t="s">
        <v>25</v>
      </c>
      <c r="D2221" s="1" t="s">
        <v>26</v>
      </c>
      <c r="E2221" s="1" t="s">
        <v>37</v>
      </c>
      <c r="F2221" s="1" t="s">
        <v>35</v>
      </c>
      <c r="G2221" s="1">
        <v>2</v>
      </c>
      <c r="H2221" s="1">
        <v>581</v>
      </c>
      <c r="I2221" s="1">
        <v>0</v>
      </c>
      <c r="J2221" s="4">
        <v>1162</v>
      </c>
      <c r="K2221" s="4">
        <v>908.18</v>
      </c>
      <c r="L2221" s="4">
        <v>253.82</v>
      </c>
      <c r="M2221" s="1" t="str">
        <f>TEXT(Table1[[#This Row],[Order_Date]], "MMM")</f>
        <v>Aug</v>
      </c>
      <c r="N2221" s="1">
        <f>YEAR(Table1[[#This Row],[Order_Date]])</f>
        <v>2023</v>
      </c>
      <c r="O2221" s="7">
        <f>Table1[[#This Row],[Profit]]/Table1[[#This Row],[Total_Sales]]</f>
        <v>0.21843373493975904</v>
      </c>
    </row>
    <row r="2222" spans="1:15" x14ac:dyDescent="0.25">
      <c r="A2222" s="1">
        <v>2221</v>
      </c>
      <c r="B2222" s="2">
        <v>45426</v>
      </c>
      <c r="C2222" s="1" t="s">
        <v>16</v>
      </c>
      <c r="D2222" s="1" t="s">
        <v>20</v>
      </c>
      <c r="E2222" s="1" t="s">
        <v>43</v>
      </c>
      <c r="F2222" s="1" t="s">
        <v>40</v>
      </c>
      <c r="G2222" s="1">
        <v>6</v>
      </c>
      <c r="H2222" s="1">
        <v>874</v>
      </c>
      <c r="I2222" s="1">
        <v>20</v>
      </c>
      <c r="J2222" s="4">
        <v>4195.2</v>
      </c>
      <c r="K2222" s="4">
        <v>3168.51</v>
      </c>
      <c r="L2222" s="4">
        <v>1026.69</v>
      </c>
      <c r="M2222" s="1" t="str">
        <f>TEXT(Table1[[#This Row],[Order_Date]], "MMM")</f>
        <v>May</v>
      </c>
      <c r="N2222" s="1">
        <f>YEAR(Table1[[#This Row],[Order_Date]])</f>
        <v>2024</v>
      </c>
      <c r="O2222" s="7">
        <f>Table1[[#This Row],[Profit]]/Table1[[#This Row],[Total_Sales]]</f>
        <v>0.2447296910755149</v>
      </c>
    </row>
    <row r="2223" spans="1:15" x14ac:dyDescent="0.25">
      <c r="A2223" s="1">
        <v>2222</v>
      </c>
      <c r="B2223" s="2">
        <v>45151</v>
      </c>
      <c r="C2223" s="1" t="s">
        <v>25</v>
      </c>
      <c r="D2223" s="1" t="s">
        <v>22</v>
      </c>
      <c r="E2223" s="1" t="s">
        <v>36</v>
      </c>
      <c r="F2223" s="1" t="s">
        <v>40</v>
      </c>
      <c r="G2223" s="1">
        <v>8</v>
      </c>
      <c r="H2223" s="1">
        <v>80</v>
      </c>
      <c r="I2223" s="1">
        <v>0</v>
      </c>
      <c r="J2223" s="4">
        <v>640</v>
      </c>
      <c r="K2223" s="4">
        <v>469.26</v>
      </c>
      <c r="L2223" s="4">
        <v>170.74</v>
      </c>
      <c r="M2223" s="1" t="str">
        <f>TEXT(Table1[[#This Row],[Order_Date]], "MMM")</f>
        <v>Aug</v>
      </c>
      <c r="N2223" s="1">
        <f>YEAR(Table1[[#This Row],[Order_Date]])</f>
        <v>2023</v>
      </c>
      <c r="O2223" s="7">
        <f>Table1[[#This Row],[Profit]]/Table1[[#This Row],[Total_Sales]]</f>
        <v>0.26678125000000003</v>
      </c>
    </row>
    <row r="2224" spans="1:15" x14ac:dyDescent="0.25">
      <c r="A2224" s="1">
        <v>2223</v>
      </c>
      <c r="B2224" s="2">
        <v>45473</v>
      </c>
      <c r="C2224" s="1" t="s">
        <v>12</v>
      </c>
      <c r="D2224" s="1" t="s">
        <v>26</v>
      </c>
      <c r="E2224" s="1" t="s">
        <v>46</v>
      </c>
      <c r="F2224" s="1" t="s">
        <v>18</v>
      </c>
      <c r="G2224" s="1">
        <v>10</v>
      </c>
      <c r="H2224" s="1">
        <v>477</v>
      </c>
      <c r="I2224" s="1">
        <v>0</v>
      </c>
      <c r="J2224" s="4">
        <v>4770</v>
      </c>
      <c r="K2224" s="4">
        <v>3603.96</v>
      </c>
      <c r="L2224" s="4">
        <v>1166.04</v>
      </c>
      <c r="M2224" s="1" t="str">
        <f>TEXT(Table1[[#This Row],[Order_Date]], "MMM")</f>
        <v>Jun</v>
      </c>
      <c r="N2224" s="1">
        <f>YEAR(Table1[[#This Row],[Order_Date]])</f>
        <v>2024</v>
      </c>
      <c r="O2224" s="7">
        <f>Table1[[#This Row],[Profit]]/Table1[[#This Row],[Total_Sales]]</f>
        <v>0.24445283018867925</v>
      </c>
    </row>
    <row r="2225" spans="1:15" x14ac:dyDescent="0.25">
      <c r="A2225" s="1">
        <v>2224</v>
      </c>
      <c r="B2225" s="2">
        <v>45203</v>
      </c>
      <c r="C2225" s="1" t="s">
        <v>25</v>
      </c>
      <c r="D2225" s="1" t="s">
        <v>22</v>
      </c>
      <c r="E2225" s="1" t="s">
        <v>23</v>
      </c>
      <c r="F2225" s="1" t="s">
        <v>35</v>
      </c>
      <c r="G2225" s="1">
        <v>5</v>
      </c>
      <c r="H2225" s="1">
        <v>251</v>
      </c>
      <c r="I2225" s="1">
        <v>10</v>
      </c>
      <c r="J2225" s="4">
        <v>1129.5</v>
      </c>
      <c r="K2225" s="4">
        <v>747.2</v>
      </c>
      <c r="L2225" s="4">
        <v>382.3</v>
      </c>
      <c r="M2225" s="1" t="str">
        <f>TEXT(Table1[[#This Row],[Order_Date]], "MMM")</f>
        <v>Oct</v>
      </c>
      <c r="N2225" s="1">
        <f>YEAR(Table1[[#This Row],[Order_Date]])</f>
        <v>2023</v>
      </c>
      <c r="O2225" s="7">
        <f>Table1[[#This Row],[Profit]]/Table1[[#This Row],[Total_Sales]]</f>
        <v>0.33846834882691457</v>
      </c>
    </row>
    <row r="2226" spans="1:15" x14ac:dyDescent="0.25">
      <c r="A2226" s="1">
        <v>2225</v>
      </c>
      <c r="B2226" s="2">
        <v>44964</v>
      </c>
      <c r="C2226" s="1" t="s">
        <v>25</v>
      </c>
      <c r="D2226" s="1" t="s">
        <v>20</v>
      </c>
      <c r="E2226" s="1" t="s">
        <v>43</v>
      </c>
      <c r="F2226" s="1" t="s">
        <v>24</v>
      </c>
      <c r="G2226" s="1">
        <v>10</v>
      </c>
      <c r="H2226" s="1">
        <v>709</v>
      </c>
      <c r="I2226" s="1">
        <v>10</v>
      </c>
      <c r="J2226" s="4">
        <v>6381</v>
      </c>
      <c r="K2226" s="4">
        <v>3780.55</v>
      </c>
      <c r="L2226" s="4">
        <v>2600.4499999999998</v>
      </c>
      <c r="M2226" s="1" t="str">
        <f>TEXT(Table1[[#This Row],[Order_Date]], "MMM")</f>
        <v>Feb</v>
      </c>
      <c r="N2226" s="1">
        <f>YEAR(Table1[[#This Row],[Order_Date]])</f>
        <v>2023</v>
      </c>
      <c r="O2226" s="7">
        <f>Table1[[#This Row],[Profit]]/Table1[[#This Row],[Total_Sales]]</f>
        <v>0.40753016768531575</v>
      </c>
    </row>
    <row r="2227" spans="1:15" x14ac:dyDescent="0.25">
      <c r="A2227" s="1">
        <v>2226</v>
      </c>
      <c r="B2227" s="2">
        <v>45218</v>
      </c>
      <c r="C2227" s="1" t="s">
        <v>25</v>
      </c>
      <c r="D2227" s="1" t="s">
        <v>22</v>
      </c>
      <c r="E2227" s="1" t="s">
        <v>29</v>
      </c>
      <c r="F2227" s="1" t="s">
        <v>15</v>
      </c>
      <c r="G2227" s="1">
        <v>7</v>
      </c>
      <c r="H2227" s="1">
        <v>450</v>
      </c>
      <c r="I2227" s="1">
        <v>0</v>
      </c>
      <c r="J2227" s="4">
        <v>3150</v>
      </c>
      <c r="K2227" s="4">
        <v>1888.66</v>
      </c>
      <c r="L2227" s="4">
        <v>1261.3399999999999</v>
      </c>
      <c r="M2227" s="1" t="str">
        <f>TEXT(Table1[[#This Row],[Order_Date]], "MMM")</f>
        <v>Oct</v>
      </c>
      <c r="N2227" s="1">
        <f>YEAR(Table1[[#This Row],[Order_Date]])</f>
        <v>2023</v>
      </c>
      <c r="O2227" s="7">
        <f>Table1[[#This Row],[Profit]]/Table1[[#This Row],[Total_Sales]]</f>
        <v>0.4004253968253968</v>
      </c>
    </row>
    <row r="2228" spans="1:15" x14ac:dyDescent="0.25">
      <c r="A2228" s="1">
        <v>2227</v>
      </c>
      <c r="B2228" s="2">
        <v>45161</v>
      </c>
      <c r="C2228" s="1" t="s">
        <v>16</v>
      </c>
      <c r="D2228" s="1" t="s">
        <v>32</v>
      </c>
      <c r="E2228" s="1" t="s">
        <v>34</v>
      </c>
      <c r="F2228" s="1" t="s">
        <v>15</v>
      </c>
      <c r="G2228" s="1">
        <v>6</v>
      </c>
      <c r="H2228" s="1">
        <v>55</v>
      </c>
      <c r="I2228" s="1">
        <v>0</v>
      </c>
      <c r="J2228" s="4">
        <v>330</v>
      </c>
      <c r="K2228" s="4">
        <v>246.08</v>
      </c>
      <c r="L2228" s="4">
        <v>83.92</v>
      </c>
      <c r="M2228" s="1" t="str">
        <f>TEXT(Table1[[#This Row],[Order_Date]], "MMM")</f>
        <v>Aug</v>
      </c>
      <c r="N2228" s="1">
        <f>YEAR(Table1[[#This Row],[Order_Date]])</f>
        <v>2023</v>
      </c>
      <c r="O2228" s="7">
        <f>Table1[[#This Row],[Profit]]/Table1[[#This Row],[Total_Sales]]</f>
        <v>0.25430303030303031</v>
      </c>
    </row>
    <row r="2229" spans="1:15" x14ac:dyDescent="0.25">
      <c r="A2229" s="1">
        <v>2228</v>
      </c>
      <c r="B2229" s="2">
        <v>45264</v>
      </c>
      <c r="C2229" s="1" t="s">
        <v>25</v>
      </c>
      <c r="D2229" s="1" t="s">
        <v>26</v>
      </c>
      <c r="E2229" s="1" t="s">
        <v>27</v>
      </c>
      <c r="F2229" s="1" t="s">
        <v>24</v>
      </c>
      <c r="G2229" s="1">
        <v>1</v>
      </c>
      <c r="H2229" s="1">
        <v>789</v>
      </c>
      <c r="I2229" s="1">
        <v>5</v>
      </c>
      <c r="J2229" s="4">
        <v>749.55</v>
      </c>
      <c r="K2229" s="4">
        <v>533.27</v>
      </c>
      <c r="L2229" s="4">
        <v>216.28</v>
      </c>
      <c r="M2229" s="1" t="str">
        <f>TEXT(Table1[[#This Row],[Order_Date]], "MMM")</f>
        <v>Dec</v>
      </c>
      <c r="N2229" s="1">
        <f>YEAR(Table1[[#This Row],[Order_Date]])</f>
        <v>2023</v>
      </c>
      <c r="O2229" s="7">
        <f>Table1[[#This Row],[Profit]]/Table1[[#This Row],[Total_Sales]]</f>
        <v>0.28854646121005939</v>
      </c>
    </row>
    <row r="2230" spans="1:15" x14ac:dyDescent="0.25">
      <c r="A2230" s="1">
        <v>2229</v>
      </c>
      <c r="B2230" s="2">
        <v>45348</v>
      </c>
      <c r="C2230" s="1" t="s">
        <v>25</v>
      </c>
      <c r="D2230" s="1" t="s">
        <v>26</v>
      </c>
      <c r="E2230" s="1" t="s">
        <v>46</v>
      </c>
      <c r="F2230" s="1" t="s">
        <v>31</v>
      </c>
      <c r="G2230" s="1">
        <v>1</v>
      </c>
      <c r="H2230" s="1">
        <v>976</v>
      </c>
      <c r="I2230" s="1">
        <v>15</v>
      </c>
      <c r="J2230" s="4">
        <v>829.6</v>
      </c>
      <c r="K2230" s="4">
        <v>471</v>
      </c>
      <c r="L2230" s="4">
        <v>358.6</v>
      </c>
      <c r="M2230" s="1" t="str">
        <f>TEXT(Table1[[#This Row],[Order_Date]], "MMM")</f>
        <v>Feb</v>
      </c>
      <c r="N2230" s="1">
        <f>YEAR(Table1[[#This Row],[Order_Date]])</f>
        <v>2024</v>
      </c>
      <c r="O2230" s="7">
        <f>Table1[[#This Row],[Profit]]/Table1[[#This Row],[Total_Sales]]</f>
        <v>0.43225650916104147</v>
      </c>
    </row>
    <row r="2231" spans="1:15" x14ac:dyDescent="0.25">
      <c r="A2231" s="1">
        <v>2230</v>
      </c>
      <c r="B2231" s="2">
        <v>44974</v>
      </c>
      <c r="C2231" s="1" t="s">
        <v>19</v>
      </c>
      <c r="D2231" s="1" t="s">
        <v>13</v>
      </c>
      <c r="E2231" s="1" t="s">
        <v>17</v>
      </c>
      <c r="F2231" s="1" t="s">
        <v>18</v>
      </c>
      <c r="G2231" s="1">
        <v>8</v>
      </c>
      <c r="H2231" s="1">
        <v>524</v>
      </c>
      <c r="I2231" s="1">
        <v>20</v>
      </c>
      <c r="J2231" s="4">
        <v>3353.6</v>
      </c>
      <c r="K2231" s="4">
        <v>1719.35</v>
      </c>
      <c r="L2231" s="4">
        <v>1634.25</v>
      </c>
      <c r="M2231" s="1" t="str">
        <f>TEXT(Table1[[#This Row],[Order_Date]], "MMM")</f>
        <v>Feb</v>
      </c>
      <c r="N2231" s="1">
        <f>YEAR(Table1[[#This Row],[Order_Date]])</f>
        <v>2023</v>
      </c>
      <c r="O2231" s="7">
        <f>Table1[[#This Row],[Profit]]/Table1[[#This Row],[Total_Sales]]</f>
        <v>0.4873121421755725</v>
      </c>
    </row>
    <row r="2232" spans="1:15" x14ac:dyDescent="0.25">
      <c r="A2232" s="1">
        <v>2231</v>
      </c>
      <c r="B2232" s="2">
        <v>45457</v>
      </c>
      <c r="C2232" s="1" t="s">
        <v>16</v>
      </c>
      <c r="D2232" s="1" t="s">
        <v>22</v>
      </c>
      <c r="E2232" s="1" t="s">
        <v>23</v>
      </c>
      <c r="F2232" s="1" t="s">
        <v>15</v>
      </c>
      <c r="G2232" s="1">
        <v>7</v>
      </c>
      <c r="H2232" s="1">
        <v>203</v>
      </c>
      <c r="I2232" s="1">
        <v>5</v>
      </c>
      <c r="J2232" s="4">
        <v>1349.95</v>
      </c>
      <c r="K2232" s="4">
        <v>938.5</v>
      </c>
      <c r="L2232" s="4">
        <v>411.45</v>
      </c>
      <c r="M2232" s="1" t="str">
        <f>TEXT(Table1[[#This Row],[Order_Date]], "MMM")</f>
        <v>Jun</v>
      </c>
      <c r="N2232" s="1">
        <f>YEAR(Table1[[#This Row],[Order_Date]])</f>
        <v>2024</v>
      </c>
      <c r="O2232" s="7">
        <f>Table1[[#This Row],[Profit]]/Table1[[#This Row],[Total_Sales]]</f>
        <v>0.30478906626171337</v>
      </c>
    </row>
    <row r="2233" spans="1:15" x14ac:dyDescent="0.25">
      <c r="A2233" s="1">
        <v>2232</v>
      </c>
      <c r="B2233" s="2">
        <v>44938</v>
      </c>
      <c r="C2233" s="1" t="s">
        <v>19</v>
      </c>
      <c r="D2233" s="1" t="s">
        <v>22</v>
      </c>
      <c r="E2233" s="1" t="s">
        <v>36</v>
      </c>
      <c r="F2233" s="1" t="s">
        <v>31</v>
      </c>
      <c r="G2233" s="1">
        <v>9</v>
      </c>
      <c r="H2233" s="1">
        <v>621</v>
      </c>
      <c r="I2233" s="1">
        <v>15</v>
      </c>
      <c r="J2233" s="4">
        <v>4750.6499999999996</v>
      </c>
      <c r="K2233" s="4">
        <v>2844.39</v>
      </c>
      <c r="L2233" s="4">
        <v>1906.26</v>
      </c>
      <c r="M2233" s="1" t="str">
        <f>TEXT(Table1[[#This Row],[Order_Date]], "MMM")</f>
        <v>Jan</v>
      </c>
      <c r="N2233" s="1">
        <f>YEAR(Table1[[#This Row],[Order_Date]])</f>
        <v>2023</v>
      </c>
      <c r="O2233" s="7">
        <f>Table1[[#This Row],[Profit]]/Table1[[#This Row],[Total_Sales]]</f>
        <v>0.40126298506520164</v>
      </c>
    </row>
    <row r="2234" spans="1:15" x14ac:dyDescent="0.25">
      <c r="A2234" s="1">
        <v>2233</v>
      </c>
      <c r="B2234" s="2">
        <v>45207</v>
      </c>
      <c r="C2234" s="1" t="s">
        <v>25</v>
      </c>
      <c r="D2234" s="1" t="s">
        <v>13</v>
      </c>
      <c r="E2234" s="1" t="s">
        <v>17</v>
      </c>
      <c r="F2234" s="1" t="s">
        <v>15</v>
      </c>
      <c r="G2234" s="1">
        <v>8</v>
      </c>
      <c r="H2234" s="1">
        <v>420</v>
      </c>
      <c r="I2234" s="1">
        <v>10</v>
      </c>
      <c r="J2234" s="4">
        <v>3024</v>
      </c>
      <c r="K2234" s="4">
        <v>1829.64</v>
      </c>
      <c r="L2234" s="4">
        <v>1194.3599999999999</v>
      </c>
      <c r="M2234" s="1" t="str">
        <f>TEXT(Table1[[#This Row],[Order_Date]], "MMM")</f>
        <v>Oct</v>
      </c>
      <c r="N2234" s="1">
        <f>YEAR(Table1[[#This Row],[Order_Date]])</f>
        <v>2023</v>
      </c>
      <c r="O2234" s="7">
        <f>Table1[[#This Row],[Profit]]/Table1[[#This Row],[Total_Sales]]</f>
        <v>0.3949603174603174</v>
      </c>
    </row>
    <row r="2235" spans="1:15" x14ac:dyDescent="0.25">
      <c r="A2235" s="1">
        <v>2234</v>
      </c>
      <c r="B2235" s="2">
        <v>45390</v>
      </c>
      <c r="C2235" s="1" t="s">
        <v>12</v>
      </c>
      <c r="D2235" s="1" t="s">
        <v>22</v>
      </c>
      <c r="E2235" s="1" t="s">
        <v>44</v>
      </c>
      <c r="F2235" s="1" t="s">
        <v>40</v>
      </c>
      <c r="G2235" s="1">
        <v>2</v>
      </c>
      <c r="H2235" s="1">
        <v>661</v>
      </c>
      <c r="I2235" s="1">
        <v>5</v>
      </c>
      <c r="J2235" s="4">
        <v>1255.9000000000001</v>
      </c>
      <c r="K2235" s="4">
        <v>797.15</v>
      </c>
      <c r="L2235" s="4">
        <v>458.75</v>
      </c>
      <c r="M2235" s="1" t="str">
        <f>TEXT(Table1[[#This Row],[Order_Date]], "MMM")</f>
        <v>Apr</v>
      </c>
      <c r="N2235" s="1">
        <f>YEAR(Table1[[#This Row],[Order_Date]])</f>
        <v>2024</v>
      </c>
      <c r="O2235" s="7">
        <f>Table1[[#This Row],[Profit]]/Table1[[#This Row],[Total_Sales]]</f>
        <v>0.3652758977625607</v>
      </c>
    </row>
    <row r="2236" spans="1:15" x14ac:dyDescent="0.25">
      <c r="A2236" s="1">
        <v>2235</v>
      </c>
      <c r="B2236" s="2">
        <v>45622</v>
      </c>
      <c r="C2236" s="1" t="s">
        <v>25</v>
      </c>
      <c r="D2236" s="1" t="s">
        <v>32</v>
      </c>
      <c r="E2236" s="1" t="s">
        <v>34</v>
      </c>
      <c r="F2236" s="1" t="s">
        <v>35</v>
      </c>
      <c r="G2236" s="1">
        <v>8</v>
      </c>
      <c r="H2236" s="1">
        <v>924</v>
      </c>
      <c r="I2236" s="1">
        <v>5</v>
      </c>
      <c r="J2236" s="4">
        <v>7022.4</v>
      </c>
      <c r="K2236" s="4">
        <v>5418.81</v>
      </c>
      <c r="L2236" s="4">
        <v>1603.59</v>
      </c>
      <c r="M2236" s="1" t="str">
        <f>TEXT(Table1[[#This Row],[Order_Date]], "MMM")</f>
        <v>Nov</v>
      </c>
      <c r="N2236" s="1">
        <f>YEAR(Table1[[#This Row],[Order_Date]])</f>
        <v>2024</v>
      </c>
      <c r="O2236" s="7">
        <f>Table1[[#This Row],[Profit]]/Table1[[#This Row],[Total_Sales]]</f>
        <v>0.22835355434039645</v>
      </c>
    </row>
    <row r="2237" spans="1:15" x14ac:dyDescent="0.25">
      <c r="A2237" s="1">
        <v>2236</v>
      </c>
      <c r="B2237" s="2">
        <v>44977</v>
      </c>
      <c r="C2237" s="1" t="s">
        <v>25</v>
      </c>
      <c r="D2237" s="1" t="s">
        <v>13</v>
      </c>
      <c r="E2237" s="1" t="s">
        <v>38</v>
      </c>
      <c r="F2237" s="1" t="s">
        <v>31</v>
      </c>
      <c r="G2237" s="1">
        <v>5</v>
      </c>
      <c r="H2237" s="1">
        <v>970</v>
      </c>
      <c r="I2237" s="1">
        <v>15</v>
      </c>
      <c r="J2237" s="4">
        <v>4122.5</v>
      </c>
      <c r="K2237" s="4">
        <v>2780.74</v>
      </c>
      <c r="L2237" s="4">
        <v>1341.76</v>
      </c>
      <c r="M2237" s="1" t="str">
        <f>TEXT(Table1[[#This Row],[Order_Date]], "MMM")</f>
        <v>Feb</v>
      </c>
      <c r="N2237" s="1">
        <f>YEAR(Table1[[#This Row],[Order_Date]])</f>
        <v>2023</v>
      </c>
      <c r="O2237" s="7">
        <f>Table1[[#This Row],[Profit]]/Table1[[#This Row],[Total_Sales]]</f>
        <v>0.32547240751970891</v>
      </c>
    </row>
    <row r="2238" spans="1:15" x14ac:dyDescent="0.25">
      <c r="A2238" s="1">
        <v>2237</v>
      </c>
      <c r="B2238" s="2">
        <v>45628</v>
      </c>
      <c r="C2238" s="1" t="s">
        <v>12</v>
      </c>
      <c r="D2238" s="1" t="s">
        <v>32</v>
      </c>
      <c r="E2238" s="1" t="s">
        <v>41</v>
      </c>
      <c r="F2238" s="1" t="s">
        <v>40</v>
      </c>
      <c r="G2238" s="1">
        <v>7</v>
      </c>
      <c r="H2238" s="1">
        <v>892</v>
      </c>
      <c r="I2238" s="1">
        <v>15</v>
      </c>
      <c r="J2238" s="4">
        <v>5307.4</v>
      </c>
      <c r="K2238" s="4">
        <v>3375.36</v>
      </c>
      <c r="L2238" s="4">
        <v>1932.04</v>
      </c>
      <c r="M2238" s="1" t="str">
        <f>TEXT(Table1[[#This Row],[Order_Date]], "MMM")</f>
        <v>Dec</v>
      </c>
      <c r="N2238" s="1">
        <f>YEAR(Table1[[#This Row],[Order_Date]])</f>
        <v>2024</v>
      </c>
      <c r="O2238" s="7">
        <f>Table1[[#This Row],[Profit]]/Table1[[#This Row],[Total_Sales]]</f>
        <v>0.36402758412782155</v>
      </c>
    </row>
    <row r="2239" spans="1:15" x14ac:dyDescent="0.25">
      <c r="A2239" s="1">
        <v>2238</v>
      </c>
      <c r="B2239" s="2">
        <v>45316</v>
      </c>
      <c r="C2239" s="1" t="s">
        <v>16</v>
      </c>
      <c r="D2239" s="1" t="s">
        <v>26</v>
      </c>
      <c r="E2239" s="1" t="s">
        <v>46</v>
      </c>
      <c r="F2239" s="1" t="s">
        <v>40</v>
      </c>
      <c r="G2239" s="1">
        <v>10</v>
      </c>
      <c r="H2239" s="1">
        <v>107</v>
      </c>
      <c r="I2239" s="1">
        <v>0</v>
      </c>
      <c r="J2239" s="4">
        <v>1070</v>
      </c>
      <c r="K2239" s="4">
        <v>645.5</v>
      </c>
      <c r="L2239" s="4">
        <v>424.5</v>
      </c>
      <c r="M2239" s="1" t="str">
        <f>TEXT(Table1[[#This Row],[Order_Date]], "MMM")</f>
        <v>Jan</v>
      </c>
      <c r="N2239" s="1">
        <f>YEAR(Table1[[#This Row],[Order_Date]])</f>
        <v>2024</v>
      </c>
      <c r="O2239" s="7">
        <f>Table1[[#This Row],[Profit]]/Table1[[#This Row],[Total_Sales]]</f>
        <v>0.39672897196261681</v>
      </c>
    </row>
    <row r="2240" spans="1:15" x14ac:dyDescent="0.25">
      <c r="A2240" s="1">
        <v>2239</v>
      </c>
      <c r="B2240" s="2">
        <v>44970</v>
      </c>
      <c r="C2240" s="1" t="s">
        <v>25</v>
      </c>
      <c r="D2240" s="1" t="s">
        <v>13</v>
      </c>
      <c r="E2240" s="1" t="s">
        <v>38</v>
      </c>
      <c r="F2240" s="1" t="s">
        <v>24</v>
      </c>
      <c r="G2240" s="1">
        <v>2</v>
      </c>
      <c r="H2240" s="1">
        <v>140</v>
      </c>
      <c r="I2240" s="1">
        <v>5</v>
      </c>
      <c r="J2240" s="4">
        <v>266</v>
      </c>
      <c r="K2240" s="4">
        <v>144.66999999999999</v>
      </c>
      <c r="L2240" s="4">
        <v>121.33</v>
      </c>
      <c r="M2240" s="1" t="str">
        <f>TEXT(Table1[[#This Row],[Order_Date]], "MMM")</f>
        <v>Feb</v>
      </c>
      <c r="N2240" s="1">
        <f>YEAR(Table1[[#This Row],[Order_Date]])</f>
        <v>2023</v>
      </c>
      <c r="O2240" s="7">
        <f>Table1[[#This Row],[Profit]]/Table1[[#This Row],[Total_Sales]]</f>
        <v>0.45612781954887216</v>
      </c>
    </row>
    <row r="2241" spans="1:15" x14ac:dyDescent="0.25">
      <c r="A2241" s="1">
        <v>2240</v>
      </c>
      <c r="B2241" s="2">
        <v>45180</v>
      </c>
      <c r="C2241" s="1" t="s">
        <v>25</v>
      </c>
      <c r="D2241" s="1" t="s">
        <v>22</v>
      </c>
      <c r="E2241" s="1" t="s">
        <v>23</v>
      </c>
      <c r="F2241" s="1" t="s">
        <v>18</v>
      </c>
      <c r="G2241" s="1">
        <v>9</v>
      </c>
      <c r="H2241" s="1">
        <v>656</v>
      </c>
      <c r="I2241" s="1">
        <v>10</v>
      </c>
      <c r="J2241" s="4">
        <v>5313.6</v>
      </c>
      <c r="K2241" s="4">
        <v>3422.24</v>
      </c>
      <c r="L2241" s="4">
        <v>1891.36</v>
      </c>
      <c r="M2241" s="1" t="str">
        <f>TEXT(Table1[[#This Row],[Order_Date]], "MMM")</f>
        <v>Sep</v>
      </c>
      <c r="N2241" s="1">
        <f>YEAR(Table1[[#This Row],[Order_Date]])</f>
        <v>2023</v>
      </c>
      <c r="O2241" s="7">
        <f>Table1[[#This Row],[Profit]]/Table1[[#This Row],[Total_Sales]]</f>
        <v>0.35594700391448353</v>
      </c>
    </row>
    <row r="2242" spans="1:15" x14ac:dyDescent="0.25">
      <c r="A2242" s="1">
        <v>2241</v>
      </c>
      <c r="B2242" s="2">
        <v>45321</v>
      </c>
      <c r="C2242" s="1" t="s">
        <v>19</v>
      </c>
      <c r="D2242" s="1" t="s">
        <v>13</v>
      </c>
      <c r="E2242" s="1" t="s">
        <v>39</v>
      </c>
      <c r="F2242" s="1" t="s">
        <v>40</v>
      </c>
      <c r="G2242" s="1">
        <v>1</v>
      </c>
      <c r="H2242" s="1">
        <v>764</v>
      </c>
      <c r="I2242" s="1">
        <v>10</v>
      </c>
      <c r="J2242" s="4">
        <v>687.6</v>
      </c>
      <c r="K2242" s="4">
        <v>515.70000000000005</v>
      </c>
      <c r="L2242" s="4">
        <v>171.9</v>
      </c>
      <c r="M2242" s="1" t="str">
        <f>TEXT(Table1[[#This Row],[Order_Date]], "MMM")</f>
        <v>Jan</v>
      </c>
      <c r="N2242" s="1">
        <f>YEAR(Table1[[#This Row],[Order_Date]])</f>
        <v>2024</v>
      </c>
      <c r="O2242" s="7">
        <f>Table1[[#This Row],[Profit]]/Table1[[#This Row],[Total_Sales]]</f>
        <v>0.25</v>
      </c>
    </row>
    <row r="2243" spans="1:15" x14ac:dyDescent="0.25">
      <c r="A2243" s="1">
        <v>2242</v>
      </c>
      <c r="B2243" s="2">
        <v>45357</v>
      </c>
      <c r="C2243" s="1" t="s">
        <v>25</v>
      </c>
      <c r="D2243" s="1" t="s">
        <v>32</v>
      </c>
      <c r="E2243" s="1" t="s">
        <v>41</v>
      </c>
      <c r="F2243" s="1" t="s">
        <v>31</v>
      </c>
      <c r="G2243" s="1">
        <v>4</v>
      </c>
      <c r="H2243" s="1">
        <v>869</v>
      </c>
      <c r="I2243" s="1">
        <v>0</v>
      </c>
      <c r="J2243" s="4">
        <v>3476</v>
      </c>
      <c r="K2243" s="4">
        <v>2515.98</v>
      </c>
      <c r="L2243" s="4">
        <v>960.02</v>
      </c>
      <c r="M2243" s="1" t="str">
        <f>TEXT(Table1[[#This Row],[Order_Date]], "MMM")</f>
        <v>Mar</v>
      </c>
      <c r="N2243" s="1">
        <f>YEAR(Table1[[#This Row],[Order_Date]])</f>
        <v>2024</v>
      </c>
      <c r="O2243" s="7">
        <f>Table1[[#This Row],[Profit]]/Table1[[#This Row],[Total_Sales]]</f>
        <v>0.27618527042577673</v>
      </c>
    </row>
    <row r="2244" spans="1:15" x14ac:dyDescent="0.25">
      <c r="A2244" s="1">
        <v>2243</v>
      </c>
      <c r="B2244" s="2">
        <v>45445</v>
      </c>
      <c r="C2244" s="1" t="s">
        <v>19</v>
      </c>
      <c r="D2244" s="1" t="s">
        <v>13</v>
      </c>
      <c r="E2244" s="1" t="s">
        <v>38</v>
      </c>
      <c r="F2244" s="1" t="s">
        <v>18</v>
      </c>
      <c r="G2244" s="1">
        <v>4</v>
      </c>
      <c r="H2244" s="1">
        <v>618</v>
      </c>
      <c r="I2244" s="1">
        <v>15</v>
      </c>
      <c r="J2244" s="4">
        <v>2101.1999999999998</v>
      </c>
      <c r="K2244" s="4">
        <v>1672.54</v>
      </c>
      <c r="L2244" s="4">
        <v>428.66</v>
      </c>
      <c r="M2244" s="1" t="str">
        <f>TEXT(Table1[[#This Row],[Order_Date]], "MMM")</f>
        <v>Jun</v>
      </c>
      <c r="N2244" s="1">
        <f>YEAR(Table1[[#This Row],[Order_Date]])</f>
        <v>2024</v>
      </c>
      <c r="O2244" s="7">
        <f>Table1[[#This Row],[Profit]]/Table1[[#This Row],[Total_Sales]]</f>
        <v>0.20400723396154583</v>
      </c>
    </row>
    <row r="2245" spans="1:15" x14ac:dyDescent="0.25">
      <c r="A2245" s="1">
        <v>2244</v>
      </c>
      <c r="B2245" s="2">
        <v>45227</v>
      </c>
      <c r="C2245" s="1" t="s">
        <v>25</v>
      </c>
      <c r="D2245" s="1" t="s">
        <v>32</v>
      </c>
      <c r="E2245" s="1" t="s">
        <v>41</v>
      </c>
      <c r="F2245" s="1" t="s">
        <v>15</v>
      </c>
      <c r="G2245" s="1">
        <v>3</v>
      </c>
      <c r="H2245" s="1">
        <v>282</v>
      </c>
      <c r="I2245" s="1">
        <v>10</v>
      </c>
      <c r="J2245" s="4">
        <v>761.4</v>
      </c>
      <c r="K2245" s="4">
        <v>585.87</v>
      </c>
      <c r="L2245" s="4">
        <v>175.53</v>
      </c>
      <c r="M2245" s="1" t="str">
        <f>TEXT(Table1[[#This Row],[Order_Date]], "MMM")</f>
        <v>Oct</v>
      </c>
      <c r="N2245" s="1">
        <f>YEAR(Table1[[#This Row],[Order_Date]])</f>
        <v>2023</v>
      </c>
      <c r="O2245" s="7">
        <f>Table1[[#This Row],[Profit]]/Table1[[#This Row],[Total_Sales]]</f>
        <v>0.23053585500394011</v>
      </c>
    </row>
    <row r="2246" spans="1:15" x14ac:dyDescent="0.25">
      <c r="A2246" s="1">
        <v>2245</v>
      </c>
      <c r="B2246" s="2">
        <v>45113</v>
      </c>
      <c r="C2246" s="1" t="s">
        <v>25</v>
      </c>
      <c r="D2246" s="1" t="s">
        <v>26</v>
      </c>
      <c r="E2246" s="1" t="s">
        <v>42</v>
      </c>
      <c r="F2246" s="1" t="s">
        <v>40</v>
      </c>
      <c r="G2246" s="1">
        <v>4</v>
      </c>
      <c r="H2246" s="1">
        <v>518</v>
      </c>
      <c r="I2246" s="1">
        <v>10</v>
      </c>
      <c r="J2246" s="4">
        <v>1864.8</v>
      </c>
      <c r="K2246" s="4">
        <v>1198.9100000000001</v>
      </c>
      <c r="L2246" s="4">
        <v>665.89</v>
      </c>
      <c r="M2246" s="1" t="str">
        <f>TEXT(Table1[[#This Row],[Order_Date]], "MMM")</f>
        <v>Jul</v>
      </c>
      <c r="N2246" s="1">
        <f>YEAR(Table1[[#This Row],[Order_Date]])</f>
        <v>2023</v>
      </c>
      <c r="O2246" s="7">
        <f>Table1[[#This Row],[Profit]]/Table1[[#This Row],[Total_Sales]]</f>
        <v>0.35708386958386956</v>
      </c>
    </row>
    <row r="2247" spans="1:15" x14ac:dyDescent="0.25">
      <c r="A2247" s="1">
        <v>2246</v>
      </c>
      <c r="B2247" s="2">
        <v>44927</v>
      </c>
      <c r="C2247" s="1" t="s">
        <v>12</v>
      </c>
      <c r="D2247" s="1" t="s">
        <v>13</v>
      </c>
      <c r="E2247" s="1" t="s">
        <v>38</v>
      </c>
      <c r="F2247" s="1" t="s">
        <v>15</v>
      </c>
      <c r="G2247" s="1">
        <v>10</v>
      </c>
      <c r="H2247" s="1">
        <v>515</v>
      </c>
      <c r="I2247" s="1">
        <v>20</v>
      </c>
      <c r="J2247" s="4">
        <v>4120</v>
      </c>
      <c r="K2247" s="4">
        <v>2142.1799999999998</v>
      </c>
      <c r="L2247" s="4">
        <v>1977.82</v>
      </c>
      <c r="M2247" s="1" t="str">
        <f>TEXT(Table1[[#This Row],[Order_Date]], "MMM")</f>
        <v>Jan</v>
      </c>
      <c r="N2247" s="1">
        <f>YEAR(Table1[[#This Row],[Order_Date]])</f>
        <v>2023</v>
      </c>
      <c r="O2247" s="7">
        <f>Table1[[#This Row],[Profit]]/Table1[[#This Row],[Total_Sales]]</f>
        <v>0.48005339805825242</v>
      </c>
    </row>
    <row r="2248" spans="1:15" x14ac:dyDescent="0.25">
      <c r="A2248" s="1">
        <v>2247</v>
      </c>
      <c r="B2248" s="2">
        <v>45351</v>
      </c>
      <c r="C2248" s="1" t="s">
        <v>12</v>
      </c>
      <c r="D2248" s="1" t="s">
        <v>22</v>
      </c>
      <c r="E2248" s="1" t="s">
        <v>23</v>
      </c>
      <c r="F2248" s="1" t="s">
        <v>40</v>
      </c>
      <c r="G2248" s="1">
        <v>2</v>
      </c>
      <c r="H2248" s="1">
        <v>960</v>
      </c>
      <c r="I2248" s="1">
        <v>0</v>
      </c>
      <c r="J2248" s="4">
        <v>1920</v>
      </c>
      <c r="K2248" s="4">
        <v>1098.19</v>
      </c>
      <c r="L2248" s="4">
        <v>821.81</v>
      </c>
      <c r="M2248" s="1" t="str">
        <f>TEXT(Table1[[#This Row],[Order_Date]], "MMM")</f>
        <v>Feb</v>
      </c>
      <c r="N2248" s="1">
        <f>YEAR(Table1[[#This Row],[Order_Date]])</f>
        <v>2024</v>
      </c>
      <c r="O2248" s="7">
        <f>Table1[[#This Row],[Profit]]/Table1[[#This Row],[Total_Sales]]</f>
        <v>0.42802604166666663</v>
      </c>
    </row>
    <row r="2249" spans="1:15" x14ac:dyDescent="0.25">
      <c r="A2249" s="1">
        <v>2248</v>
      </c>
      <c r="B2249" s="2">
        <v>45524</v>
      </c>
      <c r="C2249" s="1" t="s">
        <v>16</v>
      </c>
      <c r="D2249" s="1" t="s">
        <v>13</v>
      </c>
      <c r="E2249" s="1" t="s">
        <v>17</v>
      </c>
      <c r="F2249" s="1" t="s">
        <v>40</v>
      </c>
      <c r="G2249" s="1">
        <v>7</v>
      </c>
      <c r="H2249" s="1">
        <v>54</v>
      </c>
      <c r="I2249" s="1">
        <v>20</v>
      </c>
      <c r="J2249" s="4">
        <v>302.39999999999998</v>
      </c>
      <c r="K2249" s="4">
        <v>201.79</v>
      </c>
      <c r="L2249" s="4">
        <v>100.61</v>
      </c>
      <c r="M2249" s="1" t="str">
        <f>TEXT(Table1[[#This Row],[Order_Date]], "MMM")</f>
        <v>Aug</v>
      </c>
      <c r="N2249" s="1">
        <f>YEAR(Table1[[#This Row],[Order_Date]])</f>
        <v>2024</v>
      </c>
      <c r="O2249" s="7">
        <f>Table1[[#This Row],[Profit]]/Table1[[#This Row],[Total_Sales]]</f>
        <v>0.33270502645502648</v>
      </c>
    </row>
    <row r="2250" spans="1:15" x14ac:dyDescent="0.25">
      <c r="A2250" s="1">
        <v>2249</v>
      </c>
      <c r="B2250" s="2">
        <v>45285</v>
      </c>
      <c r="C2250" s="1" t="s">
        <v>12</v>
      </c>
      <c r="D2250" s="1" t="s">
        <v>20</v>
      </c>
      <c r="E2250" s="1" t="s">
        <v>30</v>
      </c>
      <c r="F2250" s="1" t="s">
        <v>15</v>
      </c>
      <c r="G2250" s="1">
        <v>4</v>
      </c>
      <c r="H2250" s="1">
        <v>427</v>
      </c>
      <c r="I2250" s="1">
        <v>20</v>
      </c>
      <c r="J2250" s="4">
        <v>1366.4</v>
      </c>
      <c r="K2250" s="4">
        <v>949</v>
      </c>
      <c r="L2250" s="4">
        <v>417.4</v>
      </c>
      <c r="M2250" s="1" t="str">
        <f>TEXT(Table1[[#This Row],[Order_Date]], "MMM")</f>
        <v>Dec</v>
      </c>
      <c r="N2250" s="1">
        <f>YEAR(Table1[[#This Row],[Order_Date]])</f>
        <v>2023</v>
      </c>
      <c r="O2250" s="7">
        <f>Table1[[#This Row],[Profit]]/Table1[[#This Row],[Total_Sales]]</f>
        <v>0.30547423887587816</v>
      </c>
    </row>
    <row r="2251" spans="1:15" x14ac:dyDescent="0.25">
      <c r="A2251" s="1">
        <v>2250</v>
      </c>
      <c r="B2251" s="2">
        <v>45052</v>
      </c>
      <c r="C2251" s="1" t="s">
        <v>25</v>
      </c>
      <c r="D2251" s="1" t="s">
        <v>22</v>
      </c>
      <c r="E2251" s="1" t="s">
        <v>29</v>
      </c>
      <c r="F2251" s="1" t="s">
        <v>31</v>
      </c>
      <c r="G2251" s="1">
        <v>5</v>
      </c>
      <c r="H2251" s="1">
        <v>534</v>
      </c>
      <c r="I2251" s="1">
        <v>0</v>
      </c>
      <c r="J2251" s="4">
        <v>2670</v>
      </c>
      <c r="K2251" s="4">
        <v>2088.7600000000002</v>
      </c>
      <c r="L2251" s="4">
        <v>581.24</v>
      </c>
      <c r="M2251" s="1" t="str">
        <f>TEXT(Table1[[#This Row],[Order_Date]], "MMM")</f>
        <v>May</v>
      </c>
      <c r="N2251" s="1">
        <f>YEAR(Table1[[#This Row],[Order_Date]])</f>
        <v>2023</v>
      </c>
      <c r="O2251" s="7">
        <f>Table1[[#This Row],[Profit]]/Table1[[#This Row],[Total_Sales]]</f>
        <v>0.21769288389513108</v>
      </c>
    </row>
    <row r="2252" spans="1:15" x14ac:dyDescent="0.25">
      <c r="A2252" s="1">
        <v>2251</v>
      </c>
      <c r="B2252" s="2">
        <v>45476</v>
      </c>
      <c r="C2252" s="1" t="s">
        <v>19</v>
      </c>
      <c r="D2252" s="1" t="s">
        <v>22</v>
      </c>
      <c r="E2252" s="1" t="s">
        <v>29</v>
      </c>
      <c r="F2252" s="1" t="s">
        <v>35</v>
      </c>
      <c r="G2252" s="1">
        <v>5</v>
      </c>
      <c r="H2252" s="1">
        <v>692</v>
      </c>
      <c r="I2252" s="1">
        <v>0</v>
      </c>
      <c r="J2252" s="4">
        <v>3460</v>
      </c>
      <c r="K2252" s="4">
        <v>2740.4</v>
      </c>
      <c r="L2252" s="4">
        <v>719.6</v>
      </c>
      <c r="M2252" s="1" t="str">
        <f>TEXT(Table1[[#This Row],[Order_Date]], "MMM")</f>
        <v>Jul</v>
      </c>
      <c r="N2252" s="1">
        <f>YEAR(Table1[[#This Row],[Order_Date]])</f>
        <v>2024</v>
      </c>
      <c r="O2252" s="7">
        <f>Table1[[#This Row],[Profit]]/Table1[[#This Row],[Total_Sales]]</f>
        <v>0.20797687861271677</v>
      </c>
    </row>
    <row r="2253" spans="1:15" x14ac:dyDescent="0.25">
      <c r="A2253" s="1">
        <v>2252</v>
      </c>
      <c r="B2253" s="2">
        <v>45447</v>
      </c>
      <c r="C2253" s="1" t="s">
        <v>12</v>
      </c>
      <c r="D2253" s="1" t="s">
        <v>22</v>
      </c>
      <c r="E2253" s="1" t="s">
        <v>36</v>
      </c>
      <c r="F2253" s="1" t="s">
        <v>40</v>
      </c>
      <c r="G2253" s="1">
        <v>9</v>
      </c>
      <c r="H2253" s="1">
        <v>800</v>
      </c>
      <c r="I2253" s="1">
        <v>10</v>
      </c>
      <c r="J2253" s="4">
        <v>6480</v>
      </c>
      <c r="K2253" s="4">
        <v>4566.38</v>
      </c>
      <c r="L2253" s="4">
        <v>1913.62</v>
      </c>
      <c r="M2253" s="1" t="str">
        <f>TEXT(Table1[[#This Row],[Order_Date]], "MMM")</f>
        <v>Jun</v>
      </c>
      <c r="N2253" s="1">
        <f>YEAR(Table1[[#This Row],[Order_Date]])</f>
        <v>2024</v>
      </c>
      <c r="O2253" s="7">
        <f>Table1[[#This Row],[Profit]]/Table1[[#This Row],[Total_Sales]]</f>
        <v>0.2953117283950617</v>
      </c>
    </row>
    <row r="2254" spans="1:15" x14ac:dyDescent="0.25">
      <c r="A2254" s="1">
        <v>2253</v>
      </c>
      <c r="B2254" s="2">
        <v>45286</v>
      </c>
      <c r="C2254" s="1" t="s">
        <v>25</v>
      </c>
      <c r="D2254" s="1" t="s">
        <v>32</v>
      </c>
      <c r="E2254" s="1" t="s">
        <v>34</v>
      </c>
      <c r="F2254" s="1" t="s">
        <v>18</v>
      </c>
      <c r="G2254" s="1">
        <v>1</v>
      </c>
      <c r="H2254" s="1">
        <v>935</v>
      </c>
      <c r="I2254" s="1">
        <v>10</v>
      </c>
      <c r="J2254" s="4">
        <v>841.5</v>
      </c>
      <c r="K2254" s="4">
        <v>630.5</v>
      </c>
      <c r="L2254" s="4">
        <v>211</v>
      </c>
      <c r="M2254" s="1" t="str">
        <f>TEXT(Table1[[#This Row],[Order_Date]], "MMM")</f>
        <v>Dec</v>
      </c>
      <c r="N2254" s="1">
        <f>YEAR(Table1[[#This Row],[Order_Date]])</f>
        <v>2023</v>
      </c>
      <c r="O2254" s="7">
        <f>Table1[[#This Row],[Profit]]/Table1[[#This Row],[Total_Sales]]</f>
        <v>0.25074272133095665</v>
      </c>
    </row>
    <row r="2255" spans="1:15" x14ac:dyDescent="0.25">
      <c r="A2255" s="1">
        <v>2254</v>
      </c>
      <c r="B2255" s="2">
        <v>44931</v>
      </c>
      <c r="C2255" s="1" t="s">
        <v>25</v>
      </c>
      <c r="D2255" s="1" t="s">
        <v>32</v>
      </c>
      <c r="E2255" s="1" t="s">
        <v>41</v>
      </c>
      <c r="F2255" s="1" t="s">
        <v>40</v>
      </c>
      <c r="G2255" s="1">
        <v>4</v>
      </c>
      <c r="H2255" s="1">
        <v>848</v>
      </c>
      <c r="I2255" s="1">
        <v>20</v>
      </c>
      <c r="J2255" s="4">
        <v>2713.6</v>
      </c>
      <c r="K2255" s="4">
        <v>1531.15</v>
      </c>
      <c r="L2255" s="4">
        <v>1182.45</v>
      </c>
      <c r="M2255" s="1" t="str">
        <f>TEXT(Table1[[#This Row],[Order_Date]], "MMM")</f>
        <v>Jan</v>
      </c>
      <c r="N2255" s="1">
        <f>YEAR(Table1[[#This Row],[Order_Date]])</f>
        <v>2023</v>
      </c>
      <c r="O2255" s="7">
        <f>Table1[[#This Row],[Profit]]/Table1[[#This Row],[Total_Sales]]</f>
        <v>0.43574955778301888</v>
      </c>
    </row>
    <row r="2256" spans="1:15" x14ac:dyDescent="0.25">
      <c r="A2256" s="1">
        <v>2255</v>
      </c>
      <c r="B2256" s="2">
        <v>45126</v>
      </c>
      <c r="C2256" s="1" t="s">
        <v>16</v>
      </c>
      <c r="D2256" s="1" t="s">
        <v>13</v>
      </c>
      <c r="E2256" s="1" t="s">
        <v>14</v>
      </c>
      <c r="F2256" s="1" t="s">
        <v>18</v>
      </c>
      <c r="G2256" s="1">
        <v>4</v>
      </c>
      <c r="H2256" s="1">
        <v>443</v>
      </c>
      <c r="I2256" s="1">
        <v>0</v>
      </c>
      <c r="J2256" s="4">
        <v>1772</v>
      </c>
      <c r="K2256" s="4">
        <v>1310.97</v>
      </c>
      <c r="L2256" s="4">
        <v>461.03</v>
      </c>
      <c r="M2256" s="1" t="str">
        <f>TEXT(Table1[[#This Row],[Order_Date]], "MMM")</f>
        <v>Jul</v>
      </c>
      <c r="N2256" s="1">
        <f>YEAR(Table1[[#This Row],[Order_Date]])</f>
        <v>2023</v>
      </c>
      <c r="O2256" s="7">
        <f>Table1[[#This Row],[Profit]]/Table1[[#This Row],[Total_Sales]]</f>
        <v>0.26017494356659143</v>
      </c>
    </row>
    <row r="2257" spans="1:15" x14ac:dyDescent="0.25">
      <c r="A2257" s="1">
        <v>2256</v>
      </c>
      <c r="B2257" s="2">
        <v>44999</v>
      </c>
      <c r="C2257" s="1" t="s">
        <v>16</v>
      </c>
      <c r="D2257" s="1" t="s">
        <v>22</v>
      </c>
      <c r="E2257" s="1" t="s">
        <v>36</v>
      </c>
      <c r="F2257" s="1" t="s">
        <v>35</v>
      </c>
      <c r="G2257" s="1">
        <v>3</v>
      </c>
      <c r="H2257" s="1">
        <v>336</v>
      </c>
      <c r="I2257" s="1">
        <v>0</v>
      </c>
      <c r="J2257" s="4">
        <v>1008</v>
      </c>
      <c r="K2257" s="4">
        <v>658.26</v>
      </c>
      <c r="L2257" s="4">
        <v>349.74</v>
      </c>
      <c r="M2257" s="1" t="str">
        <f>TEXT(Table1[[#This Row],[Order_Date]], "MMM")</f>
        <v>Mar</v>
      </c>
      <c r="N2257" s="1">
        <f>YEAR(Table1[[#This Row],[Order_Date]])</f>
        <v>2023</v>
      </c>
      <c r="O2257" s="7">
        <f>Table1[[#This Row],[Profit]]/Table1[[#This Row],[Total_Sales]]</f>
        <v>0.34696428571428573</v>
      </c>
    </row>
    <row r="2258" spans="1:15" x14ac:dyDescent="0.25">
      <c r="A2258" s="1">
        <v>2257</v>
      </c>
      <c r="B2258" s="2">
        <v>45552</v>
      </c>
      <c r="C2258" s="1" t="s">
        <v>12</v>
      </c>
      <c r="D2258" s="1" t="s">
        <v>13</v>
      </c>
      <c r="E2258" s="1" t="s">
        <v>17</v>
      </c>
      <c r="F2258" s="1" t="s">
        <v>18</v>
      </c>
      <c r="G2258" s="1">
        <v>7</v>
      </c>
      <c r="H2258" s="1">
        <v>667</v>
      </c>
      <c r="I2258" s="1">
        <v>10</v>
      </c>
      <c r="J2258" s="4">
        <v>4202.1000000000004</v>
      </c>
      <c r="K2258" s="4">
        <v>2570.9299999999998</v>
      </c>
      <c r="L2258" s="4">
        <v>1631.17</v>
      </c>
      <c r="M2258" s="1" t="str">
        <f>TEXT(Table1[[#This Row],[Order_Date]], "MMM")</f>
        <v>Sep</v>
      </c>
      <c r="N2258" s="1">
        <f>YEAR(Table1[[#This Row],[Order_Date]])</f>
        <v>2024</v>
      </c>
      <c r="O2258" s="7">
        <f>Table1[[#This Row],[Profit]]/Table1[[#This Row],[Total_Sales]]</f>
        <v>0.38817971966397752</v>
      </c>
    </row>
    <row r="2259" spans="1:15" x14ac:dyDescent="0.25">
      <c r="A2259" s="1">
        <v>2258</v>
      </c>
      <c r="B2259" s="2">
        <v>45217</v>
      </c>
      <c r="C2259" s="1" t="s">
        <v>12</v>
      </c>
      <c r="D2259" s="1" t="s">
        <v>20</v>
      </c>
      <c r="E2259" s="1" t="s">
        <v>28</v>
      </c>
      <c r="F2259" s="1" t="s">
        <v>40</v>
      </c>
      <c r="G2259" s="1">
        <v>1</v>
      </c>
      <c r="H2259" s="1">
        <v>350</v>
      </c>
      <c r="I2259" s="1">
        <v>0</v>
      </c>
      <c r="J2259" s="4">
        <v>350</v>
      </c>
      <c r="K2259" s="4">
        <v>189.86</v>
      </c>
      <c r="L2259" s="4">
        <v>160.13999999999999</v>
      </c>
      <c r="M2259" s="1" t="str">
        <f>TEXT(Table1[[#This Row],[Order_Date]], "MMM")</f>
        <v>Oct</v>
      </c>
      <c r="N2259" s="1">
        <f>YEAR(Table1[[#This Row],[Order_Date]])</f>
        <v>2023</v>
      </c>
      <c r="O2259" s="7">
        <f>Table1[[#This Row],[Profit]]/Table1[[#This Row],[Total_Sales]]</f>
        <v>0.45754285714285708</v>
      </c>
    </row>
    <row r="2260" spans="1:15" x14ac:dyDescent="0.25">
      <c r="A2260" s="1">
        <v>2259</v>
      </c>
      <c r="B2260" s="2">
        <v>45450</v>
      </c>
      <c r="C2260" s="1" t="s">
        <v>25</v>
      </c>
      <c r="D2260" s="1" t="s">
        <v>32</v>
      </c>
      <c r="E2260" s="1" t="s">
        <v>45</v>
      </c>
      <c r="F2260" s="1" t="s">
        <v>24</v>
      </c>
      <c r="G2260" s="1">
        <v>3</v>
      </c>
      <c r="H2260" s="1">
        <v>852</v>
      </c>
      <c r="I2260" s="1">
        <v>5</v>
      </c>
      <c r="J2260" s="4">
        <v>2428.1999999999998</v>
      </c>
      <c r="K2260" s="4">
        <v>1377.94</v>
      </c>
      <c r="L2260" s="4">
        <v>1050.26</v>
      </c>
      <c r="M2260" s="1" t="str">
        <f>TEXT(Table1[[#This Row],[Order_Date]], "MMM")</f>
        <v>Jun</v>
      </c>
      <c r="N2260" s="1">
        <f>YEAR(Table1[[#This Row],[Order_Date]])</f>
        <v>2024</v>
      </c>
      <c r="O2260" s="7">
        <f>Table1[[#This Row],[Profit]]/Table1[[#This Row],[Total_Sales]]</f>
        <v>0.4325261510583972</v>
      </c>
    </row>
    <row r="2261" spans="1:15" x14ac:dyDescent="0.25">
      <c r="A2261" s="1">
        <v>2260</v>
      </c>
      <c r="B2261" s="2">
        <v>45361</v>
      </c>
      <c r="C2261" s="1" t="s">
        <v>12</v>
      </c>
      <c r="D2261" s="1" t="s">
        <v>13</v>
      </c>
      <c r="E2261" s="1" t="s">
        <v>39</v>
      </c>
      <c r="F2261" s="1" t="s">
        <v>40</v>
      </c>
      <c r="G2261" s="1">
        <v>1</v>
      </c>
      <c r="H2261" s="1">
        <v>966</v>
      </c>
      <c r="I2261" s="1">
        <v>5</v>
      </c>
      <c r="J2261" s="4">
        <v>917.7</v>
      </c>
      <c r="K2261" s="4">
        <v>701.86</v>
      </c>
      <c r="L2261" s="4">
        <v>215.84</v>
      </c>
      <c r="M2261" s="1" t="str">
        <f>TEXT(Table1[[#This Row],[Order_Date]], "MMM")</f>
        <v>Mar</v>
      </c>
      <c r="N2261" s="1">
        <f>YEAR(Table1[[#This Row],[Order_Date]])</f>
        <v>2024</v>
      </c>
      <c r="O2261" s="7">
        <f>Table1[[#This Row],[Profit]]/Table1[[#This Row],[Total_Sales]]</f>
        <v>0.2351966873706004</v>
      </c>
    </row>
    <row r="2262" spans="1:15" x14ac:dyDescent="0.25">
      <c r="A2262" s="1">
        <v>2261</v>
      </c>
      <c r="B2262" s="2">
        <v>45014</v>
      </c>
      <c r="C2262" s="1" t="s">
        <v>19</v>
      </c>
      <c r="D2262" s="1" t="s">
        <v>13</v>
      </c>
      <c r="E2262" s="1" t="s">
        <v>38</v>
      </c>
      <c r="F2262" s="1" t="s">
        <v>24</v>
      </c>
      <c r="G2262" s="1">
        <v>1</v>
      </c>
      <c r="H2262" s="1">
        <v>810</v>
      </c>
      <c r="I2262" s="1">
        <v>10</v>
      </c>
      <c r="J2262" s="4">
        <v>729</v>
      </c>
      <c r="K2262" s="4">
        <v>582.98</v>
      </c>
      <c r="L2262" s="4">
        <v>146.02000000000001</v>
      </c>
      <c r="M2262" s="1" t="str">
        <f>TEXT(Table1[[#This Row],[Order_Date]], "MMM")</f>
        <v>Mar</v>
      </c>
      <c r="N2262" s="1">
        <f>YEAR(Table1[[#This Row],[Order_Date]])</f>
        <v>2023</v>
      </c>
      <c r="O2262" s="7">
        <f>Table1[[#This Row],[Profit]]/Table1[[#This Row],[Total_Sales]]</f>
        <v>0.20030178326474624</v>
      </c>
    </row>
    <row r="2263" spans="1:15" x14ac:dyDescent="0.25">
      <c r="A2263" s="1">
        <v>2262</v>
      </c>
      <c r="B2263" s="2">
        <v>45207</v>
      </c>
      <c r="C2263" s="1" t="s">
        <v>25</v>
      </c>
      <c r="D2263" s="1" t="s">
        <v>22</v>
      </c>
      <c r="E2263" s="1" t="s">
        <v>44</v>
      </c>
      <c r="F2263" s="1" t="s">
        <v>40</v>
      </c>
      <c r="G2263" s="1">
        <v>9</v>
      </c>
      <c r="H2263" s="1">
        <v>992</v>
      </c>
      <c r="I2263" s="1">
        <v>20</v>
      </c>
      <c r="J2263" s="4">
        <v>7142.4</v>
      </c>
      <c r="K2263" s="4">
        <v>4463.21</v>
      </c>
      <c r="L2263" s="4">
        <v>2679.19</v>
      </c>
      <c r="M2263" s="1" t="str">
        <f>TEXT(Table1[[#This Row],[Order_Date]], "MMM")</f>
        <v>Oct</v>
      </c>
      <c r="N2263" s="1">
        <f>YEAR(Table1[[#This Row],[Order_Date]])</f>
        <v>2023</v>
      </c>
      <c r="O2263" s="7">
        <f>Table1[[#This Row],[Profit]]/Table1[[#This Row],[Total_Sales]]</f>
        <v>0.37511060707885308</v>
      </c>
    </row>
    <row r="2264" spans="1:15" x14ac:dyDescent="0.25">
      <c r="A2264" s="1">
        <v>2263</v>
      </c>
      <c r="B2264" s="2">
        <v>45040</v>
      </c>
      <c r="C2264" s="1" t="s">
        <v>12</v>
      </c>
      <c r="D2264" s="1" t="s">
        <v>22</v>
      </c>
      <c r="E2264" s="1" t="s">
        <v>36</v>
      </c>
      <c r="F2264" s="1" t="s">
        <v>35</v>
      </c>
      <c r="G2264" s="1">
        <v>10</v>
      </c>
      <c r="H2264" s="1">
        <v>373</v>
      </c>
      <c r="I2264" s="1">
        <v>5</v>
      </c>
      <c r="J2264" s="4">
        <v>3543.5</v>
      </c>
      <c r="K2264" s="4">
        <v>2217.66</v>
      </c>
      <c r="L2264" s="4">
        <v>1325.84</v>
      </c>
      <c r="M2264" s="1" t="str">
        <f>TEXT(Table1[[#This Row],[Order_Date]], "MMM")</f>
        <v>Apr</v>
      </c>
      <c r="N2264" s="1">
        <f>YEAR(Table1[[#This Row],[Order_Date]])</f>
        <v>2023</v>
      </c>
      <c r="O2264" s="7">
        <f>Table1[[#This Row],[Profit]]/Table1[[#This Row],[Total_Sales]]</f>
        <v>0.37416114011570478</v>
      </c>
    </row>
    <row r="2265" spans="1:15" x14ac:dyDescent="0.25">
      <c r="A2265" s="1">
        <v>2264</v>
      </c>
      <c r="B2265" s="2">
        <v>45300</v>
      </c>
      <c r="C2265" s="1" t="s">
        <v>16</v>
      </c>
      <c r="D2265" s="1" t="s">
        <v>26</v>
      </c>
      <c r="E2265" s="1" t="s">
        <v>37</v>
      </c>
      <c r="F2265" s="1" t="s">
        <v>18</v>
      </c>
      <c r="G2265" s="1">
        <v>2</v>
      </c>
      <c r="H2265" s="1">
        <v>902</v>
      </c>
      <c r="I2265" s="1">
        <v>5</v>
      </c>
      <c r="J2265" s="4">
        <v>1713.8</v>
      </c>
      <c r="K2265" s="4">
        <v>994.79</v>
      </c>
      <c r="L2265" s="4">
        <v>719.01</v>
      </c>
      <c r="M2265" s="1" t="str">
        <f>TEXT(Table1[[#This Row],[Order_Date]], "MMM")</f>
        <v>Jan</v>
      </c>
      <c r="N2265" s="1">
        <f>YEAR(Table1[[#This Row],[Order_Date]])</f>
        <v>2024</v>
      </c>
      <c r="O2265" s="7">
        <f>Table1[[#This Row],[Profit]]/Table1[[#This Row],[Total_Sales]]</f>
        <v>0.41954137005484887</v>
      </c>
    </row>
    <row r="2266" spans="1:15" x14ac:dyDescent="0.25">
      <c r="A2266" s="1">
        <v>2265</v>
      </c>
      <c r="B2266" s="2">
        <v>45106</v>
      </c>
      <c r="C2266" s="1" t="s">
        <v>12</v>
      </c>
      <c r="D2266" s="1" t="s">
        <v>32</v>
      </c>
      <c r="E2266" s="1" t="s">
        <v>45</v>
      </c>
      <c r="F2266" s="1" t="s">
        <v>24</v>
      </c>
      <c r="G2266" s="1">
        <v>5</v>
      </c>
      <c r="H2266" s="1">
        <v>203</v>
      </c>
      <c r="I2266" s="1">
        <v>20</v>
      </c>
      <c r="J2266" s="4">
        <v>812</v>
      </c>
      <c r="K2266" s="4">
        <v>490.87</v>
      </c>
      <c r="L2266" s="4">
        <v>321.13</v>
      </c>
      <c r="M2266" s="1" t="str">
        <f>TEXT(Table1[[#This Row],[Order_Date]], "MMM")</f>
        <v>Jun</v>
      </c>
      <c r="N2266" s="1">
        <f>YEAR(Table1[[#This Row],[Order_Date]])</f>
        <v>2023</v>
      </c>
      <c r="O2266" s="7">
        <f>Table1[[#This Row],[Profit]]/Table1[[#This Row],[Total_Sales]]</f>
        <v>0.39548029556650244</v>
      </c>
    </row>
    <row r="2267" spans="1:15" x14ac:dyDescent="0.25">
      <c r="A2267" s="1">
        <v>2266</v>
      </c>
      <c r="B2267" s="2">
        <v>45353</v>
      </c>
      <c r="C2267" s="1" t="s">
        <v>19</v>
      </c>
      <c r="D2267" s="1" t="s">
        <v>32</v>
      </c>
      <c r="E2267" s="1" t="s">
        <v>33</v>
      </c>
      <c r="F2267" s="1" t="s">
        <v>31</v>
      </c>
      <c r="G2267" s="1">
        <v>4</v>
      </c>
      <c r="H2267" s="1">
        <v>589</v>
      </c>
      <c r="I2267" s="1">
        <v>0</v>
      </c>
      <c r="J2267" s="4">
        <v>2356</v>
      </c>
      <c r="K2267" s="4">
        <v>1564.07</v>
      </c>
      <c r="L2267" s="4">
        <v>791.93</v>
      </c>
      <c r="M2267" s="1" t="str">
        <f>TEXT(Table1[[#This Row],[Order_Date]], "MMM")</f>
        <v>Mar</v>
      </c>
      <c r="N2267" s="1">
        <f>YEAR(Table1[[#This Row],[Order_Date]])</f>
        <v>2024</v>
      </c>
      <c r="O2267" s="7">
        <f>Table1[[#This Row],[Profit]]/Table1[[#This Row],[Total_Sales]]</f>
        <v>0.33613327674023769</v>
      </c>
    </row>
    <row r="2268" spans="1:15" x14ac:dyDescent="0.25">
      <c r="A2268" s="1">
        <v>2267</v>
      </c>
      <c r="B2268" s="2">
        <v>45365</v>
      </c>
      <c r="C2268" s="1" t="s">
        <v>12</v>
      </c>
      <c r="D2268" s="1" t="s">
        <v>13</v>
      </c>
      <c r="E2268" s="1" t="s">
        <v>14</v>
      </c>
      <c r="F2268" s="1" t="s">
        <v>18</v>
      </c>
      <c r="G2268" s="1">
        <v>4</v>
      </c>
      <c r="H2268" s="1">
        <v>927</v>
      </c>
      <c r="I2268" s="1">
        <v>0</v>
      </c>
      <c r="J2268" s="4">
        <v>3708</v>
      </c>
      <c r="K2268" s="4">
        <v>2665.15</v>
      </c>
      <c r="L2268" s="4">
        <v>1042.8499999999999</v>
      </c>
      <c r="M2268" s="1" t="str">
        <f>TEXT(Table1[[#This Row],[Order_Date]], "MMM")</f>
        <v>Mar</v>
      </c>
      <c r="N2268" s="1">
        <f>YEAR(Table1[[#This Row],[Order_Date]])</f>
        <v>2024</v>
      </c>
      <c r="O2268" s="7">
        <f>Table1[[#This Row],[Profit]]/Table1[[#This Row],[Total_Sales]]</f>
        <v>0.28124325782092768</v>
      </c>
    </row>
    <row r="2269" spans="1:15" x14ac:dyDescent="0.25">
      <c r="A2269" s="1">
        <v>2268</v>
      </c>
      <c r="B2269" s="2">
        <v>45291</v>
      </c>
      <c r="C2269" s="1" t="s">
        <v>19</v>
      </c>
      <c r="D2269" s="1" t="s">
        <v>22</v>
      </c>
      <c r="E2269" s="1" t="s">
        <v>29</v>
      </c>
      <c r="F2269" s="1" t="s">
        <v>31</v>
      </c>
      <c r="G2269" s="1">
        <v>4</v>
      </c>
      <c r="H2269" s="1">
        <v>110</v>
      </c>
      <c r="I2269" s="1">
        <v>15</v>
      </c>
      <c r="J2269" s="4">
        <v>374</v>
      </c>
      <c r="K2269" s="4">
        <v>187.08</v>
      </c>
      <c r="L2269" s="4">
        <v>186.92</v>
      </c>
      <c r="M2269" s="1" t="str">
        <f>TEXT(Table1[[#This Row],[Order_Date]], "MMM")</f>
        <v>Dec</v>
      </c>
      <c r="N2269" s="1">
        <f>YEAR(Table1[[#This Row],[Order_Date]])</f>
        <v>2023</v>
      </c>
      <c r="O2269" s="7">
        <f>Table1[[#This Row],[Profit]]/Table1[[#This Row],[Total_Sales]]</f>
        <v>0.49978609625668446</v>
      </c>
    </row>
    <row r="2270" spans="1:15" x14ac:dyDescent="0.25">
      <c r="A2270" s="1">
        <v>2269</v>
      </c>
      <c r="B2270" s="2">
        <v>45048</v>
      </c>
      <c r="C2270" s="1" t="s">
        <v>12</v>
      </c>
      <c r="D2270" s="1" t="s">
        <v>22</v>
      </c>
      <c r="E2270" s="1" t="s">
        <v>36</v>
      </c>
      <c r="F2270" s="1" t="s">
        <v>40</v>
      </c>
      <c r="G2270" s="1">
        <v>8</v>
      </c>
      <c r="H2270" s="1">
        <v>133</v>
      </c>
      <c r="I2270" s="1">
        <v>15</v>
      </c>
      <c r="J2270" s="4">
        <v>904.4</v>
      </c>
      <c r="K2270" s="4">
        <v>637.30999999999995</v>
      </c>
      <c r="L2270" s="4">
        <v>267.08999999999997</v>
      </c>
      <c r="M2270" s="1" t="str">
        <f>TEXT(Table1[[#This Row],[Order_Date]], "MMM")</f>
        <v>May</v>
      </c>
      <c r="N2270" s="1">
        <f>YEAR(Table1[[#This Row],[Order_Date]])</f>
        <v>2023</v>
      </c>
      <c r="O2270" s="7">
        <f>Table1[[#This Row],[Profit]]/Table1[[#This Row],[Total_Sales]]</f>
        <v>0.29532286598850066</v>
      </c>
    </row>
    <row r="2271" spans="1:15" x14ac:dyDescent="0.25">
      <c r="A2271" s="1">
        <v>2270</v>
      </c>
      <c r="B2271" s="2">
        <v>45421</v>
      </c>
      <c r="C2271" s="1" t="s">
        <v>16</v>
      </c>
      <c r="D2271" s="1" t="s">
        <v>22</v>
      </c>
      <c r="E2271" s="1" t="s">
        <v>29</v>
      </c>
      <c r="F2271" s="1" t="s">
        <v>18</v>
      </c>
      <c r="G2271" s="1">
        <v>5</v>
      </c>
      <c r="H2271" s="1">
        <v>899</v>
      </c>
      <c r="I2271" s="1">
        <v>20</v>
      </c>
      <c r="J2271" s="4">
        <v>3596</v>
      </c>
      <c r="K2271" s="4">
        <v>1978.71</v>
      </c>
      <c r="L2271" s="4">
        <v>1617.29</v>
      </c>
      <c r="M2271" s="1" t="str">
        <f>TEXT(Table1[[#This Row],[Order_Date]], "MMM")</f>
        <v>May</v>
      </c>
      <c r="N2271" s="1">
        <f>YEAR(Table1[[#This Row],[Order_Date]])</f>
        <v>2024</v>
      </c>
      <c r="O2271" s="7">
        <f>Table1[[#This Row],[Profit]]/Table1[[#This Row],[Total_Sales]]</f>
        <v>0.4497469410456062</v>
      </c>
    </row>
    <row r="2272" spans="1:15" x14ac:dyDescent="0.25">
      <c r="A2272" s="1">
        <v>2271</v>
      </c>
      <c r="B2272" s="2">
        <v>45166</v>
      </c>
      <c r="C2272" s="1" t="s">
        <v>16</v>
      </c>
      <c r="D2272" s="1" t="s">
        <v>22</v>
      </c>
      <c r="E2272" s="1" t="s">
        <v>36</v>
      </c>
      <c r="F2272" s="1" t="s">
        <v>15</v>
      </c>
      <c r="G2272" s="1">
        <v>1</v>
      </c>
      <c r="H2272" s="1">
        <v>803</v>
      </c>
      <c r="I2272" s="1">
        <v>10</v>
      </c>
      <c r="J2272" s="4">
        <v>722.7</v>
      </c>
      <c r="K2272" s="4">
        <v>445.04</v>
      </c>
      <c r="L2272" s="4">
        <v>277.66000000000003</v>
      </c>
      <c r="M2272" s="1" t="str">
        <f>TEXT(Table1[[#This Row],[Order_Date]], "MMM")</f>
        <v>Aug</v>
      </c>
      <c r="N2272" s="1">
        <f>YEAR(Table1[[#This Row],[Order_Date]])</f>
        <v>2023</v>
      </c>
      <c r="O2272" s="7">
        <f>Table1[[#This Row],[Profit]]/Table1[[#This Row],[Total_Sales]]</f>
        <v>0.38419814584198148</v>
      </c>
    </row>
    <row r="2273" spans="1:15" x14ac:dyDescent="0.25">
      <c r="A2273" s="1">
        <v>2272</v>
      </c>
      <c r="B2273" s="2">
        <v>45349</v>
      </c>
      <c r="C2273" s="1" t="s">
        <v>16</v>
      </c>
      <c r="D2273" s="1" t="s">
        <v>32</v>
      </c>
      <c r="E2273" s="1" t="s">
        <v>41</v>
      </c>
      <c r="F2273" s="1" t="s">
        <v>40</v>
      </c>
      <c r="G2273" s="1">
        <v>7</v>
      </c>
      <c r="H2273" s="1">
        <v>953</v>
      </c>
      <c r="I2273" s="1">
        <v>15</v>
      </c>
      <c r="J2273" s="4">
        <v>5670.35</v>
      </c>
      <c r="K2273" s="4">
        <v>2891.95</v>
      </c>
      <c r="L2273" s="4">
        <v>2778.4</v>
      </c>
      <c r="M2273" s="1" t="str">
        <f>TEXT(Table1[[#This Row],[Order_Date]], "MMM")</f>
        <v>Feb</v>
      </c>
      <c r="N2273" s="1">
        <f>YEAR(Table1[[#This Row],[Order_Date]])</f>
        <v>2024</v>
      </c>
      <c r="O2273" s="7">
        <f>Table1[[#This Row],[Profit]]/Table1[[#This Row],[Total_Sales]]</f>
        <v>0.48998739054908425</v>
      </c>
    </row>
    <row r="2274" spans="1:15" x14ac:dyDescent="0.25">
      <c r="A2274" s="1">
        <v>2273</v>
      </c>
      <c r="B2274" s="2">
        <v>45337</v>
      </c>
      <c r="C2274" s="1" t="s">
        <v>25</v>
      </c>
      <c r="D2274" s="1" t="s">
        <v>13</v>
      </c>
      <c r="E2274" s="1" t="s">
        <v>38</v>
      </c>
      <c r="F2274" s="1" t="s">
        <v>35</v>
      </c>
      <c r="G2274" s="1">
        <v>10</v>
      </c>
      <c r="H2274" s="1">
        <v>96</v>
      </c>
      <c r="I2274" s="1">
        <v>15</v>
      </c>
      <c r="J2274" s="4">
        <v>816</v>
      </c>
      <c r="K2274" s="4">
        <v>414.69</v>
      </c>
      <c r="L2274" s="4">
        <v>401.31</v>
      </c>
      <c r="M2274" s="1" t="str">
        <f>TEXT(Table1[[#This Row],[Order_Date]], "MMM")</f>
        <v>Feb</v>
      </c>
      <c r="N2274" s="1">
        <f>YEAR(Table1[[#This Row],[Order_Date]])</f>
        <v>2024</v>
      </c>
      <c r="O2274" s="7">
        <f>Table1[[#This Row],[Profit]]/Table1[[#This Row],[Total_Sales]]</f>
        <v>0.49180147058823531</v>
      </c>
    </row>
    <row r="2275" spans="1:15" x14ac:dyDescent="0.25">
      <c r="A2275" s="1">
        <v>2274</v>
      </c>
      <c r="B2275" s="2">
        <v>45451</v>
      </c>
      <c r="C2275" s="1" t="s">
        <v>25</v>
      </c>
      <c r="D2275" s="1" t="s">
        <v>13</v>
      </c>
      <c r="E2275" s="1" t="s">
        <v>14</v>
      </c>
      <c r="F2275" s="1" t="s">
        <v>40</v>
      </c>
      <c r="G2275" s="1">
        <v>5</v>
      </c>
      <c r="H2275" s="1">
        <v>372</v>
      </c>
      <c r="I2275" s="1">
        <v>5</v>
      </c>
      <c r="J2275" s="4">
        <v>1767</v>
      </c>
      <c r="K2275" s="4">
        <v>1204.95</v>
      </c>
      <c r="L2275" s="4">
        <v>562.04999999999995</v>
      </c>
      <c r="M2275" s="1" t="str">
        <f>TEXT(Table1[[#This Row],[Order_Date]], "MMM")</f>
        <v>Jun</v>
      </c>
      <c r="N2275" s="1">
        <f>YEAR(Table1[[#This Row],[Order_Date]])</f>
        <v>2024</v>
      </c>
      <c r="O2275" s="7">
        <f>Table1[[#This Row],[Profit]]/Table1[[#This Row],[Total_Sales]]</f>
        <v>0.31808149405772496</v>
      </c>
    </row>
    <row r="2276" spans="1:15" x14ac:dyDescent="0.25">
      <c r="A2276" s="1">
        <v>2275</v>
      </c>
      <c r="B2276" s="2">
        <v>45057</v>
      </c>
      <c r="C2276" s="1" t="s">
        <v>19</v>
      </c>
      <c r="D2276" s="1" t="s">
        <v>22</v>
      </c>
      <c r="E2276" s="1" t="s">
        <v>29</v>
      </c>
      <c r="F2276" s="1" t="s">
        <v>40</v>
      </c>
      <c r="G2276" s="1">
        <v>6</v>
      </c>
      <c r="H2276" s="1">
        <v>700</v>
      </c>
      <c r="I2276" s="1">
        <v>0</v>
      </c>
      <c r="J2276" s="4">
        <v>4200</v>
      </c>
      <c r="K2276" s="4">
        <v>2570.09</v>
      </c>
      <c r="L2276" s="4">
        <v>1629.91</v>
      </c>
      <c r="M2276" s="1" t="str">
        <f>TEXT(Table1[[#This Row],[Order_Date]], "MMM")</f>
        <v>May</v>
      </c>
      <c r="N2276" s="1">
        <f>YEAR(Table1[[#This Row],[Order_Date]])</f>
        <v>2023</v>
      </c>
      <c r="O2276" s="7">
        <f>Table1[[#This Row],[Profit]]/Table1[[#This Row],[Total_Sales]]</f>
        <v>0.38807380952380954</v>
      </c>
    </row>
    <row r="2277" spans="1:15" x14ac:dyDescent="0.25">
      <c r="A2277" s="1">
        <v>2276</v>
      </c>
      <c r="B2277" s="2">
        <v>45085</v>
      </c>
      <c r="C2277" s="1" t="s">
        <v>16</v>
      </c>
      <c r="D2277" s="1" t="s">
        <v>32</v>
      </c>
      <c r="E2277" s="1" t="s">
        <v>34</v>
      </c>
      <c r="F2277" s="1" t="s">
        <v>35</v>
      </c>
      <c r="G2277" s="1">
        <v>2</v>
      </c>
      <c r="H2277" s="1">
        <v>176</v>
      </c>
      <c r="I2277" s="1">
        <v>0</v>
      </c>
      <c r="J2277" s="4">
        <v>352</v>
      </c>
      <c r="K2277" s="4">
        <v>255.95</v>
      </c>
      <c r="L2277" s="4">
        <v>96.05</v>
      </c>
      <c r="M2277" s="1" t="str">
        <f>TEXT(Table1[[#This Row],[Order_Date]], "MMM")</f>
        <v>Jun</v>
      </c>
      <c r="N2277" s="1">
        <f>YEAR(Table1[[#This Row],[Order_Date]])</f>
        <v>2023</v>
      </c>
      <c r="O2277" s="7">
        <f>Table1[[#This Row],[Profit]]/Table1[[#This Row],[Total_Sales]]</f>
        <v>0.2728693181818182</v>
      </c>
    </row>
    <row r="2278" spans="1:15" x14ac:dyDescent="0.25">
      <c r="A2278" s="1">
        <v>2277</v>
      </c>
      <c r="B2278" s="2">
        <v>45643</v>
      </c>
      <c r="C2278" s="1" t="s">
        <v>16</v>
      </c>
      <c r="D2278" s="1" t="s">
        <v>22</v>
      </c>
      <c r="E2278" s="1" t="s">
        <v>44</v>
      </c>
      <c r="F2278" s="1" t="s">
        <v>35</v>
      </c>
      <c r="G2278" s="1">
        <v>4</v>
      </c>
      <c r="H2278" s="1">
        <v>402</v>
      </c>
      <c r="I2278" s="1">
        <v>15</v>
      </c>
      <c r="J2278" s="4">
        <v>1366.8</v>
      </c>
      <c r="K2278" s="4">
        <v>953.4</v>
      </c>
      <c r="L2278" s="4">
        <v>413.4</v>
      </c>
      <c r="M2278" s="1" t="str">
        <f>TEXT(Table1[[#This Row],[Order_Date]], "MMM")</f>
        <v>Dec</v>
      </c>
      <c r="N2278" s="1">
        <f>YEAR(Table1[[#This Row],[Order_Date]])</f>
        <v>2024</v>
      </c>
      <c r="O2278" s="7">
        <f>Table1[[#This Row],[Profit]]/Table1[[#This Row],[Total_Sales]]</f>
        <v>0.3024582967515364</v>
      </c>
    </row>
    <row r="2279" spans="1:15" x14ac:dyDescent="0.25">
      <c r="A2279" s="1">
        <v>2278</v>
      </c>
      <c r="B2279" s="2">
        <v>45555</v>
      </c>
      <c r="C2279" s="1" t="s">
        <v>25</v>
      </c>
      <c r="D2279" s="1" t="s">
        <v>20</v>
      </c>
      <c r="E2279" s="1" t="s">
        <v>21</v>
      </c>
      <c r="F2279" s="1" t="s">
        <v>35</v>
      </c>
      <c r="G2279" s="1">
        <v>9</v>
      </c>
      <c r="H2279" s="1">
        <v>213</v>
      </c>
      <c r="I2279" s="1">
        <v>10</v>
      </c>
      <c r="J2279" s="4">
        <v>1725.3</v>
      </c>
      <c r="K2279" s="4">
        <v>970.91</v>
      </c>
      <c r="L2279" s="4">
        <v>754.39</v>
      </c>
      <c r="M2279" s="1" t="str">
        <f>TEXT(Table1[[#This Row],[Order_Date]], "MMM")</f>
        <v>Sep</v>
      </c>
      <c r="N2279" s="1">
        <f>YEAR(Table1[[#This Row],[Order_Date]])</f>
        <v>2024</v>
      </c>
      <c r="O2279" s="7">
        <f>Table1[[#This Row],[Profit]]/Table1[[#This Row],[Total_Sales]]</f>
        <v>0.43725149249405904</v>
      </c>
    </row>
    <row r="2280" spans="1:15" x14ac:dyDescent="0.25">
      <c r="A2280" s="1">
        <v>2279</v>
      </c>
      <c r="B2280" s="2">
        <v>45423</v>
      </c>
      <c r="C2280" s="1" t="s">
        <v>16</v>
      </c>
      <c r="D2280" s="1" t="s">
        <v>13</v>
      </c>
      <c r="E2280" s="1" t="s">
        <v>17</v>
      </c>
      <c r="F2280" s="1" t="s">
        <v>40</v>
      </c>
      <c r="G2280" s="1">
        <v>7</v>
      </c>
      <c r="H2280" s="1">
        <v>870</v>
      </c>
      <c r="I2280" s="1">
        <v>0</v>
      </c>
      <c r="J2280" s="4">
        <v>6090</v>
      </c>
      <c r="K2280" s="4">
        <v>4314.32</v>
      </c>
      <c r="L2280" s="4">
        <v>1775.68</v>
      </c>
      <c r="M2280" s="1" t="str">
        <f>TEXT(Table1[[#This Row],[Order_Date]], "MMM")</f>
        <v>May</v>
      </c>
      <c r="N2280" s="1">
        <f>YEAR(Table1[[#This Row],[Order_Date]])</f>
        <v>2024</v>
      </c>
      <c r="O2280" s="7">
        <f>Table1[[#This Row],[Profit]]/Table1[[#This Row],[Total_Sales]]</f>
        <v>0.29157307060755339</v>
      </c>
    </row>
    <row r="2281" spans="1:15" x14ac:dyDescent="0.25">
      <c r="A2281" s="1">
        <v>2280</v>
      </c>
      <c r="B2281" s="2">
        <v>45308</v>
      </c>
      <c r="C2281" s="1" t="s">
        <v>16</v>
      </c>
      <c r="D2281" s="1" t="s">
        <v>22</v>
      </c>
      <c r="E2281" s="1" t="s">
        <v>29</v>
      </c>
      <c r="F2281" s="1" t="s">
        <v>24</v>
      </c>
      <c r="G2281" s="1">
        <v>1</v>
      </c>
      <c r="H2281" s="1">
        <v>667</v>
      </c>
      <c r="I2281" s="1">
        <v>0</v>
      </c>
      <c r="J2281" s="4">
        <v>667</v>
      </c>
      <c r="K2281" s="4">
        <v>347.19</v>
      </c>
      <c r="L2281" s="4">
        <v>319.81</v>
      </c>
      <c r="M2281" s="1" t="str">
        <f>TEXT(Table1[[#This Row],[Order_Date]], "MMM")</f>
        <v>Jan</v>
      </c>
      <c r="N2281" s="1">
        <f>YEAR(Table1[[#This Row],[Order_Date]])</f>
        <v>2024</v>
      </c>
      <c r="O2281" s="7">
        <f>Table1[[#This Row],[Profit]]/Table1[[#This Row],[Total_Sales]]</f>
        <v>0.4794752623688156</v>
      </c>
    </row>
    <row r="2282" spans="1:15" x14ac:dyDescent="0.25">
      <c r="A2282" s="1">
        <v>2281</v>
      </c>
      <c r="B2282" s="2">
        <v>45240</v>
      </c>
      <c r="C2282" s="1" t="s">
        <v>16</v>
      </c>
      <c r="D2282" s="1" t="s">
        <v>20</v>
      </c>
      <c r="E2282" s="1" t="s">
        <v>43</v>
      </c>
      <c r="F2282" s="1" t="s">
        <v>24</v>
      </c>
      <c r="G2282" s="1">
        <v>7</v>
      </c>
      <c r="H2282" s="1">
        <v>722</v>
      </c>
      <c r="I2282" s="1">
        <v>15</v>
      </c>
      <c r="J2282" s="4">
        <v>4295.8999999999996</v>
      </c>
      <c r="K2282" s="4">
        <v>2962.73</v>
      </c>
      <c r="L2282" s="4">
        <v>1333.17</v>
      </c>
      <c r="M2282" s="1" t="str">
        <f>TEXT(Table1[[#This Row],[Order_Date]], "MMM")</f>
        <v>Nov</v>
      </c>
      <c r="N2282" s="1">
        <f>YEAR(Table1[[#This Row],[Order_Date]])</f>
        <v>2023</v>
      </c>
      <c r="O2282" s="7">
        <f>Table1[[#This Row],[Profit]]/Table1[[#This Row],[Total_Sales]]</f>
        <v>0.31033543611350362</v>
      </c>
    </row>
    <row r="2283" spans="1:15" x14ac:dyDescent="0.25">
      <c r="A2283" s="1">
        <v>2282</v>
      </c>
      <c r="B2283" s="2">
        <v>44935</v>
      </c>
      <c r="C2283" s="1" t="s">
        <v>16</v>
      </c>
      <c r="D2283" s="1" t="s">
        <v>26</v>
      </c>
      <c r="E2283" s="1" t="s">
        <v>27</v>
      </c>
      <c r="F2283" s="1" t="s">
        <v>18</v>
      </c>
      <c r="G2283" s="1">
        <v>6</v>
      </c>
      <c r="H2283" s="1">
        <v>560</v>
      </c>
      <c r="I2283" s="1">
        <v>10</v>
      </c>
      <c r="J2283" s="4">
        <v>3024</v>
      </c>
      <c r="K2283" s="4">
        <v>1708.36</v>
      </c>
      <c r="L2283" s="4">
        <v>1315.64</v>
      </c>
      <c r="M2283" s="1" t="str">
        <f>TEXT(Table1[[#This Row],[Order_Date]], "MMM")</f>
        <v>Jan</v>
      </c>
      <c r="N2283" s="1">
        <f>YEAR(Table1[[#This Row],[Order_Date]])</f>
        <v>2023</v>
      </c>
      <c r="O2283" s="7">
        <f>Table1[[#This Row],[Profit]]/Table1[[#This Row],[Total_Sales]]</f>
        <v>0.4350661375661376</v>
      </c>
    </row>
    <row r="2284" spans="1:15" x14ac:dyDescent="0.25">
      <c r="A2284" s="1">
        <v>2283</v>
      </c>
      <c r="B2284" s="2">
        <v>45336</v>
      </c>
      <c r="C2284" s="1" t="s">
        <v>25</v>
      </c>
      <c r="D2284" s="1" t="s">
        <v>22</v>
      </c>
      <c r="E2284" s="1" t="s">
        <v>36</v>
      </c>
      <c r="F2284" s="1" t="s">
        <v>24</v>
      </c>
      <c r="G2284" s="1">
        <v>10</v>
      </c>
      <c r="H2284" s="1">
        <v>934</v>
      </c>
      <c r="I2284" s="1">
        <v>0</v>
      </c>
      <c r="J2284" s="4">
        <v>9340</v>
      </c>
      <c r="K2284" s="4">
        <v>5245</v>
      </c>
      <c r="L2284" s="4">
        <v>4095</v>
      </c>
      <c r="M2284" s="1" t="str">
        <f>TEXT(Table1[[#This Row],[Order_Date]], "MMM")</f>
        <v>Feb</v>
      </c>
      <c r="N2284" s="1">
        <f>YEAR(Table1[[#This Row],[Order_Date]])</f>
        <v>2024</v>
      </c>
      <c r="O2284" s="7">
        <f>Table1[[#This Row],[Profit]]/Table1[[#This Row],[Total_Sales]]</f>
        <v>0.43843683083511775</v>
      </c>
    </row>
    <row r="2285" spans="1:15" x14ac:dyDescent="0.25">
      <c r="A2285" s="1">
        <v>2284</v>
      </c>
      <c r="B2285" s="2">
        <v>45410</v>
      </c>
      <c r="C2285" s="1" t="s">
        <v>25</v>
      </c>
      <c r="D2285" s="1" t="s">
        <v>13</v>
      </c>
      <c r="E2285" s="1" t="s">
        <v>38</v>
      </c>
      <c r="F2285" s="1" t="s">
        <v>24</v>
      </c>
      <c r="G2285" s="1">
        <v>8</v>
      </c>
      <c r="H2285" s="1">
        <v>627</v>
      </c>
      <c r="I2285" s="1">
        <v>20</v>
      </c>
      <c r="J2285" s="4">
        <v>4012.8</v>
      </c>
      <c r="K2285" s="4">
        <v>2476.42</v>
      </c>
      <c r="L2285" s="4">
        <v>1536.38</v>
      </c>
      <c r="M2285" s="1" t="str">
        <f>TEXT(Table1[[#This Row],[Order_Date]], "MMM")</f>
        <v>Apr</v>
      </c>
      <c r="N2285" s="1">
        <f>YEAR(Table1[[#This Row],[Order_Date]])</f>
        <v>2024</v>
      </c>
      <c r="O2285" s="7">
        <f>Table1[[#This Row],[Profit]]/Table1[[#This Row],[Total_Sales]]</f>
        <v>0.38286981658692187</v>
      </c>
    </row>
    <row r="2286" spans="1:15" x14ac:dyDescent="0.25">
      <c r="A2286" s="1">
        <v>2285</v>
      </c>
      <c r="B2286" s="2">
        <v>45044</v>
      </c>
      <c r="C2286" s="1" t="s">
        <v>19</v>
      </c>
      <c r="D2286" s="1" t="s">
        <v>32</v>
      </c>
      <c r="E2286" s="1" t="s">
        <v>34</v>
      </c>
      <c r="F2286" s="1" t="s">
        <v>31</v>
      </c>
      <c r="G2286" s="1">
        <v>8</v>
      </c>
      <c r="H2286" s="1">
        <v>312</v>
      </c>
      <c r="I2286" s="1">
        <v>15</v>
      </c>
      <c r="J2286" s="4">
        <v>2121.6</v>
      </c>
      <c r="K2286" s="4">
        <v>1222.3399999999999</v>
      </c>
      <c r="L2286" s="4">
        <v>899.26</v>
      </c>
      <c r="M2286" s="1" t="str">
        <f>TEXT(Table1[[#This Row],[Order_Date]], "MMM")</f>
        <v>Apr</v>
      </c>
      <c r="N2286" s="1">
        <f>YEAR(Table1[[#This Row],[Order_Date]])</f>
        <v>2023</v>
      </c>
      <c r="O2286" s="7">
        <f>Table1[[#This Row],[Profit]]/Table1[[#This Row],[Total_Sales]]</f>
        <v>0.42385935143288084</v>
      </c>
    </row>
    <row r="2287" spans="1:15" x14ac:dyDescent="0.25">
      <c r="A2287" s="1">
        <v>2286</v>
      </c>
      <c r="B2287" s="2">
        <v>45530</v>
      </c>
      <c r="C2287" s="1" t="s">
        <v>25</v>
      </c>
      <c r="D2287" s="1" t="s">
        <v>13</v>
      </c>
      <c r="E2287" s="1" t="s">
        <v>39</v>
      </c>
      <c r="F2287" s="1" t="s">
        <v>24</v>
      </c>
      <c r="G2287" s="1">
        <v>2</v>
      </c>
      <c r="H2287" s="1">
        <v>721</v>
      </c>
      <c r="I2287" s="1">
        <v>0</v>
      </c>
      <c r="J2287" s="4">
        <v>1442</v>
      </c>
      <c r="K2287" s="4">
        <v>1116.5</v>
      </c>
      <c r="L2287" s="4">
        <v>325.5</v>
      </c>
      <c r="M2287" s="1" t="str">
        <f>TEXT(Table1[[#This Row],[Order_Date]], "MMM")</f>
        <v>Aug</v>
      </c>
      <c r="N2287" s="1">
        <f>YEAR(Table1[[#This Row],[Order_Date]])</f>
        <v>2024</v>
      </c>
      <c r="O2287" s="7">
        <f>Table1[[#This Row],[Profit]]/Table1[[#This Row],[Total_Sales]]</f>
        <v>0.22572815533980584</v>
      </c>
    </row>
    <row r="2288" spans="1:15" x14ac:dyDescent="0.25">
      <c r="A2288" s="1">
        <v>2287</v>
      </c>
      <c r="B2288" s="2">
        <v>44933</v>
      </c>
      <c r="C2288" s="1" t="s">
        <v>19</v>
      </c>
      <c r="D2288" s="1" t="s">
        <v>20</v>
      </c>
      <c r="E2288" s="1" t="s">
        <v>28</v>
      </c>
      <c r="F2288" s="1" t="s">
        <v>15</v>
      </c>
      <c r="G2288" s="1">
        <v>2</v>
      </c>
      <c r="H2288" s="1">
        <v>710</v>
      </c>
      <c r="I2288" s="1">
        <v>5</v>
      </c>
      <c r="J2288" s="4">
        <v>1349</v>
      </c>
      <c r="K2288" s="4">
        <v>773.53</v>
      </c>
      <c r="L2288" s="4">
        <v>575.47</v>
      </c>
      <c r="M2288" s="1" t="str">
        <f>TEXT(Table1[[#This Row],[Order_Date]], "MMM")</f>
        <v>Jan</v>
      </c>
      <c r="N2288" s="1">
        <f>YEAR(Table1[[#This Row],[Order_Date]])</f>
        <v>2023</v>
      </c>
      <c r="O2288" s="7">
        <f>Table1[[#This Row],[Profit]]/Table1[[#This Row],[Total_Sales]]</f>
        <v>0.42659006671608601</v>
      </c>
    </row>
    <row r="2289" spans="1:15" x14ac:dyDescent="0.25">
      <c r="A2289" s="1">
        <v>2288</v>
      </c>
      <c r="B2289" s="2">
        <v>45636</v>
      </c>
      <c r="C2289" s="1" t="s">
        <v>16</v>
      </c>
      <c r="D2289" s="1" t="s">
        <v>26</v>
      </c>
      <c r="E2289" s="1" t="s">
        <v>37</v>
      </c>
      <c r="F2289" s="1" t="s">
        <v>35</v>
      </c>
      <c r="G2289" s="1">
        <v>4</v>
      </c>
      <c r="H2289" s="1">
        <v>422</v>
      </c>
      <c r="I2289" s="1">
        <v>20</v>
      </c>
      <c r="J2289" s="4">
        <v>1350.4</v>
      </c>
      <c r="K2289" s="4">
        <v>1045.33</v>
      </c>
      <c r="L2289" s="4">
        <v>305.07</v>
      </c>
      <c r="M2289" s="1" t="str">
        <f>TEXT(Table1[[#This Row],[Order_Date]], "MMM")</f>
        <v>Dec</v>
      </c>
      <c r="N2289" s="1">
        <f>YEAR(Table1[[#This Row],[Order_Date]])</f>
        <v>2024</v>
      </c>
      <c r="O2289" s="7">
        <f>Table1[[#This Row],[Profit]]/Table1[[#This Row],[Total_Sales]]</f>
        <v>0.22591084123222746</v>
      </c>
    </row>
    <row r="2290" spans="1:15" x14ac:dyDescent="0.25">
      <c r="A2290" s="1">
        <v>2289</v>
      </c>
      <c r="B2290" s="2">
        <v>45231</v>
      </c>
      <c r="C2290" s="1" t="s">
        <v>12</v>
      </c>
      <c r="D2290" s="1" t="s">
        <v>26</v>
      </c>
      <c r="E2290" s="1" t="s">
        <v>27</v>
      </c>
      <c r="F2290" s="1" t="s">
        <v>31</v>
      </c>
      <c r="G2290" s="1">
        <v>6</v>
      </c>
      <c r="H2290" s="1">
        <v>733</v>
      </c>
      <c r="I2290" s="1">
        <v>5</v>
      </c>
      <c r="J2290" s="4">
        <v>4178.1000000000004</v>
      </c>
      <c r="K2290" s="4">
        <v>2548.54</v>
      </c>
      <c r="L2290" s="4">
        <v>1629.56</v>
      </c>
      <c r="M2290" s="1" t="str">
        <f>TEXT(Table1[[#This Row],[Order_Date]], "MMM")</f>
        <v>Nov</v>
      </c>
      <c r="N2290" s="1">
        <f>YEAR(Table1[[#This Row],[Order_Date]])</f>
        <v>2023</v>
      </c>
      <c r="O2290" s="7">
        <f>Table1[[#This Row],[Profit]]/Table1[[#This Row],[Total_Sales]]</f>
        <v>0.39002417366745645</v>
      </c>
    </row>
    <row r="2291" spans="1:15" x14ac:dyDescent="0.25">
      <c r="A2291" s="1">
        <v>2290</v>
      </c>
      <c r="B2291" s="2">
        <v>45190</v>
      </c>
      <c r="C2291" s="1" t="s">
        <v>19</v>
      </c>
      <c r="D2291" s="1" t="s">
        <v>20</v>
      </c>
      <c r="E2291" s="1" t="s">
        <v>21</v>
      </c>
      <c r="F2291" s="1" t="s">
        <v>24</v>
      </c>
      <c r="G2291" s="1">
        <v>6</v>
      </c>
      <c r="H2291" s="1">
        <v>332</v>
      </c>
      <c r="I2291" s="1">
        <v>10</v>
      </c>
      <c r="J2291" s="4">
        <v>1792.8</v>
      </c>
      <c r="K2291" s="4">
        <v>992.75</v>
      </c>
      <c r="L2291" s="4">
        <v>800.05</v>
      </c>
      <c r="M2291" s="1" t="str">
        <f>TEXT(Table1[[#This Row],[Order_Date]], "MMM")</f>
        <v>Sep</v>
      </c>
      <c r="N2291" s="1">
        <f>YEAR(Table1[[#This Row],[Order_Date]])</f>
        <v>2023</v>
      </c>
      <c r="O2291" s="7">
        <f>Table1[[#This Row],[Profit]]/Table1[[#This Row],[Total_Sales]]</f>
        <v>0.44625725122713072</v>
      </c>
    </row>
    <row r="2292" spans="1:15" x14ac:dyDescent="0.25">
      <c r="A2292" s="1">
        <v>2291</v>
      </c>
      <c r="B2292" s="2">
        <v>45436</v>
      </c>
      <c r="C2292" s="1" t="s">
        <v>19</v>
      </c>
      <c r="D2292" s="1" t="s">
        <v>26</v>
      </c>
      <c r="E2292" s="1" t="s">
        <v>46</v>
      </c>
      <c r="F2292" s="1" t="s">
        <v>31</v>
      </c>
      <c r="G2292" s="1">
        <v>7</v>
      </c>
      <c r="H2292" s="1">
        <v>929</v>
      </c>
      <c r="I2292" s="1">
        <v>0</v>
      </c>
      <c r="J2292" s="4">
        <v>6503</v>
      </c>
      <c r="K2292" s="4">
        <v>4320.12</v>
      </c>
      <c r="L2292" s="4">
        <v>2182.88</v>
      </c>
      <c r="M2292" s="1" t="str">
        <f>TEXT(Table1[[#This Row],[Order_Date]], "MMM")</f>
        <v>May</v>
      </c>
      <c r="N2292" s="1">
        <f>YEAR(Table1[[#This Row],[Order_Date]])</f>
        <v>2024</v>
      </c>
      <c r="O2292" s="7">
        <f>Table1[[#This Row],[Profit]]/Table1[[#This Row],[Total_Sales]]</f>
        <v>0.33567276641550053</v>
      </c>
    </row>
    <row r="2293" spans="1:15" x14ac:dyDescent="0.25">
      <c r="A2293" s="1">
        <v>2292</v>
      </c>
      <c r="B2293" s="2">
        <v>45085</v>
      </c>
      <c r="C2293" s="1" t="s">
        <v>12</v>
      </c>
      <c r="D2293" s="1" t="s">
        <v>13</v>
      </c>
      <c r="E2293" s="1" t="s">
        <v>39</v>
      </c>
      <c r="F2293" s="1" t="s">
        <v>35</v>
      </c>
      <c r="G2293" s="1">
        <v>5</v>
      </c>
      <c r="H2293" s="1">
        <v>707</v>
      </c>
      <c r="I2293" s="1">
        <v>0</v>
      </c>
      <c r="J2293" s="4">
        <v>3535</v>
      </c>
      <c r="K2293" s="4">
        <v>2360.7199999999998</v>
      </c>
      <c r="L2293" s="4">
        <v>1174.28</v>
      </c>
      <c r="M2293" s="1" t="str">
        <f>TEXT(Table1[[#This Row],[Order_Date]], "MMM")</f>
        <v>Jun</v>
      </c>
      <c r="N2293" s="1">
        <f>YEAR(Table1[[#This Row],[Order_Date]])</f>
        <v>2023</v>
      </c>
      <c r="O2293" s="7">
        <f>Table1[[#This Row],[Profit]]/Table1[[#This Row],[Total_Sales]]</f>
        <v>0.3321867043847242</v>
      </c>
    </row>
    <row r="2294" spans="1:15" x14ac:dyDescent="0.25">
      <c r="A2294" s="1">
        <v>2293</v>
      </c>
      <c r="B2294" s="2">
        <v>45567</v>
      </c>
      <c r="C2294" s="1" t="s">
        <v>19</v>
      </c>
      <c r="D2294" s="1" t="s">
        <v>22</v>
      </c>
      <c r="E2294" s="1" t="s">
        <v>23</v>
      </c>
      <c r="F2294" s="1" t="s">
        <v>40</v>
      </c>
      <c r="G2294" s="1">
        <v>2</v>
      </c>
      <c r="H2294" s="1">
        <v>31</v>
      </c>
      <c r="I2294" s="1">
        <v>10</v>
      </c>
      <c r="J2294" s="4">
        <v>55.8</v>
      </c>
      <c r="K2294" s="4">
        <v>32.86</v>
      </c>
      <c r="L2294" s="4">
        <v>22.94</v>
      </c>
      <c r="M2294" s="1" t="str">
        <f>TEXT(Table1[[#This Row],[Order_Date]], "MMM")</f>
        <v>Oct</v>
      </c>
      <c r="N2294" s="1">
        <f>YEAR(Table1[[#This Row],[Order_Date]])</f>
        <v>2024</v>
      </c>
      <c r="O2294" s="7">
        <f>Table1[[#This Row],[Profit]]/Table1[[#This Row],[Total_Sales]]</f>
        <v>0.41111111111111115</v>
      </c>
    </row>
    <row r="2295" spans="1:15" x14ac:dyDescent="0.25">
      <c r="A2295" s="1">
        <v>2294</v>
      </c>
      <c r="B2295" s="2">
        <v>45138</v>
      </c>
      <c r="C2295" s="1" t="s">
        <v>25</v>
      </c>
      <c r="D2295" s="1" t="s">
        <v>32</v>
      </c>
      <c r="E2295" s="1" t="s">
        <v>33</v>
      </c>
      <c r="F2295" s="1" t="s">
        <v>31</v>
      </c>
      <c r="G2295" s="1">
        <v>10</v>
      </c>
      <c r="H2295" s="1">
        <v>341</v>
      </c>
      <c r="I2295" s="1">
        <v>0</v>
      </c>
      <c r="J2295" s="4">
        <v>3410</v>
      </c>
      <c r="K2295" s="4">
        <v>2324.8000000000002</v>
      </c>
      <c r="L2295" s="4">
        <v>1085.2</v>
      </c>
      <c r="M2295" s="1" t="str">
        <f>TEXT(Table1[[#This Row],[Order_Date]], "MMM")</f>
        <v>Jul</v>
      </c>
      <c r="N2295" s="1">
        <f>YEAR(Table1[[#This Row],[Order_Date]])</f>
        <v>2023</v>
      </c>
      <c r="O2295" s="7">
        <f>Table1[[#This Row],[Profit]]/Table1[[#This Row],[Total_Sales]]</f>
        <v>0.31824046920821114</v>
      </c>
    </row>
    <row r="2296" spans="1:15" x14ac:dyDescent="0.25">
      <c r="A2296" s="1">
        <v>2295</v>
      </c>
      <c r="B2296" s="2">
        <v>45001</v>
      </c>
      <c r="C2296" s="1" t="s">
        <v>25</v>
      </c>
      <c r="D2296" s="1" t="s">
        <v>22</v>
      </c>
      <c r="E2296" s="1" t="s">
        <v>23</v>
      </c>
      <c r="F2296" s="1" t="s">
        <v>24</v>
      </c>
      <c r="G2296" s="1">
        <v>5</v>
      </c>
      <c r="H2296" s="1">
        <v>30</v>
      </c>
      <c r="I2296" s="1">
        <v>20</v>
      </c>
      <c r="J2296" s="4">
        <v>120</v>
      </c>
      <c r="K2296" s="4">
        <v>95.32</v>
      </c>
      <c r="L2296" s="4">
        <v>24.68</v>
      </c>
      <c r="M2296" s="1" t="str">
        <f>TEXT(Table1[[#This Row],[Order_Date]], "MMM")</f>
        <v>Mar</v>
      </c>
      <c r="N2296" s="1">
        <f>YEAR(Table1[[#This Row],[Order_Date]])</f>
        <v>2023</v>
      </c>
      <c r="O2296" s="7">
        <f>Table1[[#This Row],[Profit]]/Table1[[#This Row],[Total_Sales]]</f>
        <v>0.20566666666666666</v>
      </c>
    </row>
    <row r="2297" spans="1:15" x14ac:dyDescent="0.25">
      <c r="A2297" s="1">
        <v>2296</v>
      </c>
      <c r="B2297" s="2">
        <v>44957</v>
      </c>
      <c r="C2297" s="1" t="s">
        <v>12</v>
      </c>
      <c r="D2297" s="1" t="s">
        <v>13</v>
      </c>
      <c r="E2297" s="1" t="s">
        <v>14</v>
      </c>
      <c r="F2297" s="1" t="s">
        <v>18</v>
      </c>
      <c r="G2297" s="1">
        <v>7</v>
      </c>
      <c r="H2297" s="1">
        <v>21</v>
      </c>
      <c r="I2297" s="1">
        <v>20</v>
      </c>
      <c r="J2297" s="4">
        <v>117.6</v>
      </c>
      <c r="K2297" s="4">
        <v>85.97</v>
      </c>
      <c r="L2297" s="4">
        <v>31.63</v>
      </c>
      <c r="M2297" s="1" t="str">
        <f>TEXT(Table1[[#This Row],[Order_Date]], "MMM")</f>
        <v>Jan</v>
      </c>
      <c r="N2297" s="1">
        <f>YEAR(Table1[[#This Row],[Order_Date]])</f>
        <v>2023</v>
      </c>
      <c r="O2297" s="7">
        <f>Table1[[#This Row],[Profit]]/Table1[[#This Row],[Total_Sales]]</f>
        <v>0.2689625850340136</v>
      </c>
    </row>
    <row r="2298" spans="1:15" x14ac:dyDescent="0.25">
      <c r="A2298" s="1">
        <v>2297</v>
      </c>
      <c r="B2298" s="2">
        <v>45359</v>
      </c>
      <c r="C2298" s="1" t="s">
        <v>12</v>
      </c>
      <c r="D2298" s="1" t="s">
        <v>26</v>
      </c>
      <c r="E2298" s="1" t="s">
        <v>37</v>
      </c>
      <c r="F2298" s="1" t="s">
        <v>18</v>
      </c>
      <c r="G2298" s="1">
        <v>6</v>
      </c>
      <c r="H2298" s="1">
        <v>583</v>
      </c>
      <c r="I2298" s="1">
        <v>15</v>
      </c>
      <c r="J2298" s="4">
        <v>2973.3</v>
      </c>
      <c r="K2298" s="4">
        <v>2091.08</v>
      </c>
      <c r="L2298" s="4">
        <v>882.22</v>
      </c>
      <c r="M2298" s="1" t="str">
        <f>TEXT(Table1[[#This Row],[Order_Date]], "MMM")</f>
        <v>Mar</v>
      </c>
      <c r="N2298" s="1">
        <f>YEAR(Table1[[#This Row],[Order_Date]])</f>
        <v>2024</v>
      </c>
      <c r="O2298" s="7">
        <f>Table1[[#This Row],[Profit]]/Table1[[#This Row],[Total_Sales]]</f>
        <v>0.29671408872296773</v>
      </c>
    </row>
    <row r="2299" spans="1:15" x14ac:dyDescent="0.25">
      <c r="A2299" s="1">
        <v>2298</v>
      </c>
      <c r="B2299" s="2">
        <v>45521</v>
      </c>
      <c r="C2299" s="1" t="s">
        <v>25</v>
      </c>
      <c r="D2299" s="1" t="s">
        <v>22</v>
      </c>
      <c r="E2299" s="1" t="s">
        <v>23</v>
      </c>
      <c r="F2299" s="1" t="s">
        <v>35</v>
      </c>
      <c r="G2299" s="1">
        <v>10</v>
      </c>
      <c r="H2299" s="1">
        <v>769</v>
      </c>
      <c r="I2299" s="1">
        <v>0</v>
      </c>
      <c r="J2299" s="4">
        <v>7690</v>
      </c>
      <c r="K2299" s="4">
        <v>5458.2</v>
      </c>
      <c r="L2299" s="4">
        <v>2231.8000000000002</v>
      </c>
      <c r="M2299" s="1" t="str">
        <f>TEXT(Table1[[#This Row],[Order_Date]], "MMM")</f>
        <v>Aug</v>
      </c>
      <c r="N2299" s="1">
        <f>YEAR(Table1[[#This Row],[Order_Date]])</f>
        <v>2024</v>
      </c>
      <c r="O2299" s="7">
        <f>Table1[[#This Row],[Profit]]/Table1[[#This Row],[Total_Sales]]</f>
        <v>0.29022106631989597</v>
      </c>
    </row>
    <row r="2300" spans="1:15" x14ac:dyDescent="0.25">
      <c r="A2300" s="1">
        <v>2299</v>
      </c>
      <c r="B2300" s="2">
        <v>45409</v>
      </c>
      <c r="C2300" s="1" t="s">
        <v>16</v>
      </c>
      <c r="D2300" s="1" t="s">
        <v>32</v>
      </c>
      <c r="E2300" s="1" t="s">
        <v>41</v>
      </c>
      <c r="F2300" s="1" t="s">
        <v>35</v>
      </c>
      <c r="G2300" s="1">
        <v>4</v>
      </c>
      <c r="H2300" s="1">
        <v>299</v>
      </c>
      <c r="I2300" s="1">
        <v>0</v>
      </c>
      <c r="J2300" s="4">
        <v>1196</v>
      </c>
      <c r="K2300" s="4">
        <v>663.21</v>
      </c>
      <c r="L2300" s="4">
        <v>532.79</v>
      </c>
      <c r="M2300" s="1" t="str">
        <f>TEXT(Table1[[#This Row],[Order_Date]], "MMM")</f>
        <v>Apr</v>
      </c>
      <c r="N2300" s="1">
        <f>YEAR(Table1[[#This Row],[Order_Date]])</f>
        <v>2024</v>
      </c>
      <c r="O2300" s="7">
        <f>Table1[[#This Row],[Profit]]/Table1[[#This Row],[Total_Sales]]</f>
        <v>0.44547658862876249</v>
      </c>
    </row>
    <row r="2301" spans="1:15" x14ac:dyDescent="0.25">
      <c r="A2301" s="1">
        <v>2300</v>
      </c>
      <c r="B2301" s="2">
        <v>44981</v>
      </c>
      <c r="C2301" s="1" t="s">
        <v>25</v>
      </c>
      <c r="D2301" s="1" t="s">
        <v>20</v>
      </c>
      <c r="E2301" s="1" t="s">
        <v>43</v>
      </c>
      <c r="F2301" s="1" t="s">
        <v>15</v>
      </c>
      <c r="G2301" s="1">
        <v>6</v>
      </c>
      <c r="H2301" s="1">
        <v>45</v>
      </c>
      <c r="I2301" s="1">
        <v>0</v>
      </c>
      <c r="J2301" s="4">
        <v>270</v>
      </c>
      <c r="K2301" s="4">
        <v>183.44</v>
      </c>
      <c r="L2301" s="4">
        <v>86.56</v>
      </c>
      <c r="M2301" s="1" t="str">
        <f>TEXT(Table1[[#This Row],[Order_Date]], "MMM")</f>
        <v>Feb</v>
      </c>
      <c r="N2301" s="1">
        <f>YEAR(Table1[[#This Row],[Order_Date]])</f>
        <v>2023</v>
      </c>
      <c r="O2301" s="7">
        <f>Table1[[#This Row],[Profit]]/Table1[[#This Row],[Total_Sales]]</f>
        <v>0.3205925925925926</v>
      </c>
    </row>
    <row r="2302" spans="1:15" x14ac:dyDescent="0.25">
      <c r="A2302" s="1">
        <v>2301</v>
      </c>
      <c r="B2302" s="2">
        <v>45442</v>
      </c>
      <c r="C2302" s="1" t="s">
        <v>16</v>
      </c>
      <c r="D2302" s="1" t="s">
        <v>26</v>
      </c>
      <c r="E2302" s="1" t="s">
        <v>27</v>
      </c>
      <c r="F2302" s="1" t="s">
        <v>15</v>
      </c>
      <c r="G2302" s="1">
        <v>1</v>
      </c>
      <c r="H2302" s="1">
        <v>335</v>
      </c>
      <c r="I2302" s="1">
        <v>15</v>
      </c>
      <c r="J2302" s="4">
        <v>284.75</v>
      </c>
      <c r="K2302" s="4">
        <v>183.84</v>
      </c>
      <c r="L2302" s="4">
        <v>100.91</v>
      </c>
      <c r="M2302" s="1" t="str">
        <f>TEXT(Table1[[#This Row],[Order_Date]], "MMM")</f>
        <v>May</v>
      </c>
      <c r="N2302" s="1">
        <f>YEAR(Table1[[#This Row],[Order_Date]])</f>
        <v>2024</v>
      </c>
      <c r="O2302" s="7">
        <f>Table1[[#This Row],[Profit]]/Table1[[#This Row],[Total_Sales]]</f>
        <v>0.35438103599648813</v>
      </c>
    </row>
    <row r="2303" spans="1:15" x14ac:dyDescent="0.25">
      <c r="A2303" s="1">
        <v>2302</v>
      </c>
      <c r="B2303" s="2">
        <v>45634</v>
      </c>
      <c r="C2303" s="1" t="s">
        <v>12</v>
      </c>
      <c r="D2303" s="1" t="s">
        <v>26</v>
      </c>
      <c r="E2303" s="1" t="s">
        <v>46</v>
      </c>
      <c r="F2303" s="1" t="s">
        <v>31</v>
      </c>
      <c r="G2303" s="1">
        <v>3</v>
      </c>
      <c r="H2303" s="1">
        <v>533</v>
      </c>
      <c r="I2303" s="1">
        <v>10</v>
      </c>
      <c r="J2303" s="4">
        <v>1439.1</v>
      </c>
      <c r="K2303" s="4">
        <v>932.35</v>
      </c>
      <c r="L2303" s="4">
        <v>506.75</v>
      </c>
      <c r="M2303" s="1" t="str">
        <f>TEXT(Table1[[#This Row],[Order_Date]], "MMM")</f>
        <v>Dec</v>
      </c>
      <c r="N2303" s="1">
        <f>YEAR(Table1[[#This Row],[Order_Date]])</f>
        <v>2024</v>
      </c>
      <c r="O2303" s="7">
        <f>Table1[[#This Row],[Profit]]/Table1[[#This Row],[Total_Sales]]</f>
        <v>0.35212980334931554</v>
      </c>
    </row>
    <row r="2304" spans="1:15" x14ac:dyDescent="0.25">
      <c r="A2304" s="1">
        <v>2303</v>
      </c>
      <c r="B2304" s="2">
        <v>45268</v>
      </c>
      <c r="C2304" s="1" t="s">
        <v>19</v>
      </c>
      <c r="D2304" s="1" t="s">
        <v>22</v>
      </c>
      <c r="E2304" s="1" t="s">
        <v>29</v>
      </c>
      <c r="F2304" s="1" t="s">
        <v>40</v>
      </c>
      <c r="G2304" s="1">
        <v>5</v>
      </c>
      <c r="H2304" s="1">
        <v>362</v>
      </c>
      <c r="I2304" s="1">
        <v>15</v>
      </c>
      <c r="J2304" s="4">
        <v>1538.5</v>
      </c>
      <c r="K2304" s="4">
        <v>877.63</v>
      </c>
      <c r="L2304" s="4">
        <v>660.87</v>
      </c>
      <c r="M2304" s="1" t="str">
        <f>TEXT(Table1[[#This Row],[Order_Date]], "MMM")</f>
        <v>Dec</v>
      </c>
      <c r="N2304" s="1">
        <f>YEAR(Table1[[#This Row],[Order_Date]])</f>
        <v>2023</v>
      </c>
      <c r="O2304" s="7">
        <f>Table1[[#This Row],[Profit]]/Table1[[#This Row],[Total_Sales]]</f>
        <v>0.42955476113097174</v>
      </c>
    </row>
    <row r="2305" spans="1:15" x14ac:dyDescent="0.25">
      <c r="A2305" s="1">
        <v>2304</v>
      </c>
      <c r="B2305" s="2">
        <v>45559</v>
      </c>
      <c r="C2305" s="1" t="s">
        <v>25</v>
      </c>
      <c r="D2305" s="1" t="s">
        <v>26</v>
      </c>
      <c r="E2305" s="1" t="s">
        <v>46</v>
      </c>
      <c r="F2305" s="1" t="s">
        <v>24</v>
      </c>
      <c r="G2305" s="1">
        <v>3</v>
      </c>
      <c r="H2305" s="1">
        <v>418</v>
      </c>
      <c r="I2305" s="1">
        <v>0</v>
      </c>
      <c r="J2305" s="4">
        <v>1254</v>
      </c>
      <c r="K2305" s="4">
        <v>652.76</v>
      </c>
      <c r="L2305" s="4">
        <v>601.24</v>
      </c>
      <c r="M2305" s="1" t="str">
        <f>TEXT(Table1[[#This Row],[Order_Date]], "MMM")</f>
        <v>Sep</v>
      </c>
      <c r="N2305" s="1">
        <f>YEAR(Table1[[#This Row],[Order_Date]])</f>
        <v>2024</v>
      </c>
      <c r="O2305" s="7">
        <f>Table1[[#This Row],[Profit]]/Table1[[#This Row],[Total_Sales]]</f>
        <v>0.47945773524720892</v>
      </c>
    </row>
    <row r="2306" spans="1:15" x14ac:dyDescent="0.25">
      <c r="A2306" s="1">
        <v>2305</v>
      </c>
      <c r="B2306" s="2">
        <v>45309</v>
      </c>
      <c r="C2306" s="1" t="s">
        <v>16</v>
      </c>
      <c r="D2306" s="1" t="s">
        <v>22</v>
      </c>
      <c r="E2306" s="1" t="s">
        <v>44</v>
      </c>
      <c r="F2306" s="1" t="s">
        <v>15</v>
      </c>
      <c r="G2306" s="1">
        <v>2</v>
      </c>
      <c r="H2306" s="1">
        <v>830</v>
      </c>
      <c r="I2306" s="1">
        <v>0</v>
      </c>
      <c r="J2306" s="4">
        <v>1660</v>
      </c>
      <c r="K2306" s="4">
        <v>871.19</v>
      </c>
      <c r="L2306" s="4">
        <v>788.81</v>
      </c>
      <c r="M2306" s="1" t="str">
        <f>TEXT(Table1[[#This Row],[Order_Date]], "MMM")</f>
        <v>Jan</v>
      </c>
      <c r="N2306" s="1">
        <f>YEAR(Table1[[#This Row],[Order_Date]])</f>
        <v>2024</v>
      </c>
      <c r="O2306" s="7">
        <f>Table1[[#This Row],[Profit]]/Table1[[#This Row],[Total_Sales]]</f>
        <v>0.47518674698795177</v>
      </c>
    </row>
    <row r="2307" spans="1:15" x14ac:dyDescent="0.25">
      <c r="A2307" s="1">
        <v>2306</v>
      </c>
      <c r="B2307" s="2">
        <v>45623</v>
      </c>
      <c r="C2307" s="1" t="s">
        <v>12</v>
      </c>
      <c r="D2307" s="1" t="s">
        <v>32</v>
      </c>
      <c r="E2307" s="1" t="s">
        <v>33</v>
      </c>
      <c r="F2307" s="1" t="s">
        <v>35</v>
      </c>
      <c r="G2307" s="1">
        <v>5</v>
      </c>
      <c r="H2307" s="1">
        <v>407</v>
      </c>
      <c r="I2307" s="1">
        <v>10</v>
      </c>
      <c r="J2307" s="4">
        <v>1831.5</v>
      </c>
      <c r="K2307" s="4">
        <v>1226.93</v>
      </c>
      <c r="L2307" s="4">
        <v>604.57000000000005</v>
      </c>
      <c r="M2307" s="1" t="str">
        <f>TEXT(Table1[[#This Row],[Order_Date]], "MMM")</f>
        <v>Nov</v>
      </c>
      <c r="N2307" s="1">
        <f>YEAR(Table1[[#This Row],[Order_Date]])</f>
        <v>2024</v>
      </c>
      <c r="O2307" s="7">
        <f>Table1[[#This Row],[Profit]]/Table1[[#This Row],[Total_Sales]]</f>
        <v>0.33009555009555014</v>
      </c>
    </row>
    <row r="2308" spans="1:15" x14ac:dyDescent="0.25">
      <c r="A2308" s="1">
        <v>2307</v>
      </c>
      <c r="B2308" s="2">
        <v>45181</v>
      </c>
      <c r="C2308" s="1" t="s">
        <v>19</v>
      </c>
      <c r="D2308" s="1" t="s">
        <v>22</v>
      </c>
      <c r="E2308" s="1" t="s">
        <v>23</v>
      </c>
      <c r="F2308" s="1" t="s">
        <v>40</v>
      </c>
      <c r="G2308" s="1">
        <v>6</v>
      </c>
      <c r="H2308" s="1">
        <v>792</v>
      </c>
      <c r="I2308" s="1">
        <v>20</v>
      </c>
      <c r="J2308" s="4">
        <v>3801.6</v>
      </c>
      <c r="K2308" s="4">
        <v>2705.76</v>
      </c>
      <c r="L2308" s="4">
        <v>1095.8399999999999</v>
      </c>
      <c r="M2308" s="1" t="str">
        <f>TEXT(Table1[[#This Row],[Order_Date]], "MMM")</f>
        <v>Sep</v>
      </c>
      <c r="N2308" s="1">
        <f>YEAR(Table1[[#This Row],[Order_Date]])</f>
        <v>2023</v>
      </c>
      <c r="O2308" s="7">
        <f>Table1[[#This Row],[Profit]]/Table1[[#This Row],[Total_Sales]]</f>
        <v>0.28825757575757577</v>
      </c>
    </row>
    <row r="2309" spans="1:15" x14ac:dyDescent="0.25">
      <c r="A2309" s="1">
        <v>2308</v>
      </c>
      <c r="B2309" s="2">
        <v>45137</v>
      </c>
      <c r="C2309" s="1" t="s">
        <v>25</v>
      </c>
      <c r="D2309" s="1" t="s">
        <v>20</v>
      </c>
      <c r="E2309" s="1" t="s">
        <v>21</v>
      </c>
      <c r="F2309" s="1" t="s">
        <v>18</v>
      </c>
      <c r="G2309" s="1">
        <v>6</v>
      </c>
      <c r="H2309" s="1">
        <v>162</v>
      </c>
      <c r="I2309" s="1">
        <v>5</v>
      </c>
      <c r="J2309" s="4">
        <v>923.4</v>
      </c>
      <c r="K2309" s="4">
        <v>621.57000000000005</v>
      </c>
      <c r="L2309" s="4">
        <v>301.83</v>
      </c>
      <c r="M2309" s="1" t="str">
        <f>TEXT(Table1[[#This Row],[Order_Date]], "MMM")</f>
        <v>Jul</v>
      </c>
      <c r="N2309" s="1">
        <f>YEAR(Table1[[#This Row],[Order_Date]])</f>
        <v>2023</v>
      </c>
      <c r="O2309" s="7">
        <f>Table1[[#This Row],[Profit]]/Table1[[#This Row],[Total_Sales]]</f>
        <v>0.32686809616634177</v>
      </c>
    </row>
    <row r="2310" spans="1:15" x14ac:dyDescent="0.25">
      <c r="A2310" s="1">
        <v>2309</v>
      </c>
      <c r="B2310" s="2">
        <v>45004</v>
      </c>
      <c r="C2310" s="1" t="s">
        <v>25</v>
      </c>
      <c r="D2310" s="1" t="s">
        <v>26</v>
      </c>
      <c r="E2310" s="1" t="s">
        <v>42</v>
      </c>
      <c r="F2310" s="1" t="s">
        <v>18</v>
      </c>
      <c r="G2310" s="1">
        <v>8</v>
      </c>
      <c r="H2310" s="1">
        <v>150</v>
      </c>
      <c r="I2310" s="1">
        <v>15</v>
      </c>
      <c r="J2310" s="4">
        <v>1020</v>
      </c>
      <c r="K2310" s="4">
        <v>527.42999999999995</v>
      </c>
      <c r="L2310" s="4">
        <v>492.57</v>
      </c>
      <c r="M2310" s="1" t="str">
        <f>TEXT(Table1[[#This Row],[Order_Date]], "MMM")</f>
        <v>Mar</v>
      </c>
      <c r="N2310" s="1">
        <f>YEAR(Table1[[#This Row],[Order_Date]])</f>
        <v>2023</v>
      </c>
      <c r="O2310" s="7">
        <f>Table1[[#This Row],[Profit]]/Table1[[#This Row],[Total_Sales]]</f>
        <v>0.48291176470588237</v>
      </c>
    </row>
    <row r="2311" spans="1:15" x14ac:dyDescent="0.25">
      <c r="A2311" s="1">
        <v>2310</v>
      </c>
      <c r="B2311" s="2">
        <v>45655</v>
      </c>
      <c r="C2311" s="1" t="s">
        <v>12</v>
      </c>
      <c r="D2311" s="1" t="s">
        <v>26</v>
      </c>
      <c r="E2311" s="1" t="s">
        <v>46</v>
      </c>
      <c r="F2311" s="1" t="s">
        <v>24</v>
      </c>
      <c r="G2311" s="1">
        <v>3</v>
      </c>
      <c r="H2311" s="1">
        <v>876</v>
      </c>
      <c r="I2311" s="1">
        <v>10</v>
      </c>
      <c r="J2311" s="4">
        <v>2365.1999999999998</v>
      </c>
      <c r="K2311" s="4">
        <v>1248.07</v>
      </c>
      <c r="L2311" s="4">
        <v>1117.1300000000001</v>
      </c>
      <c r="M2311" s="1" t="str">
        <f>TEXT(Table1[[#This Row],[Order_Date]], "MMM")</f>
        <v>Dec</v>
      </c>
      <c r="N2311" s="1">
        <f>YEAR(Table1[[#This Row],[Order_Date]])</f>
        <v>2024</v>
      </c>
      <c r="O2311" s="7">
        <f>Table1[[#This Row],[Profit]]/Table1[[#This Row],[Total_Sales]]</f>
        <v>0.47231946558430588</v>
      </c>
    </row>
    <row r="2312" spans="1:15" x14ac:dyDescent="0.25">
      <c r="A2312" s="1">
        <v>2311</v>
      </c>
      <c r="B2312" s="2">
        <v>45149</v>
      </c>
      <c r="C2312" s="1" t="s">
        <v>25</v>
      </c>
      <c r="D2312" s="1" t="s">
        <v>13</v>
      </c>
      <c r="E2312" s="1" t="s">
        <v>14</v>
      </c>
      <c r="F2312" s="1" t="s">
        <v>40</v>
      </c>
      <c r="G2312" s="1">
        <v>3</v>
      </c>
      <c r="H2312" s="1">
        <v>687</v>
      </c>
      <c r="I2312" s="1">
        <v>20</v>
      </c>
      <c r="J2312" s="4">
        <v>1648.8</v>
      </c>
      <c r="K2312" s="4">
        <v>1140.8</v>
      </c>
      <c r="L2312" s="4">
        <v>508</v>
      </c>
      <c r="M2312" s="1" t="str">
        <f>TEXT(Table1[[#This Row],[Order_Date]], "MMM")</f>
        <v>Aug</v>
      </c>
      <c r="N2312" s="1">
        <f>YEAR(Table1[[#This Row],[Order_Date]])</f>
        <v>2023</v>
      </c>
      <c r="O2312" s="7">
        <f>Table1[[#This Row],[Profit]]/Table1[[#This Row],[Total_Sales]]</f>
        <v>0.30810286268801551</v>
      </c>
    </row>
    <row r="2313" spans="1:15" x14ac:dyDescent="0.25">
      <c r="A2313" s="1">
        <v>2312</v>
      </c>
      <c r="B2313" s="2">
        <v>45060</v>
      </c>
      <c r="C2313" s="1" t="s">
        <v>19</v>
      </c>
      <c r="D2313" s="1" t="s">
        <v>13</v>
      </c>
      <c r="E2313" s="1" t="s">
        <v>38</v>
      </c>
      <c r="F2313" s="1" t="s">
        <v>40</v>
      </c>
      <c r="G2313" s="1">
        <v>4</v>
      </c>
      <c r="H2313" s="1">
        <v>738</v>
      </c>
      <c r="I2313" s="1">
        <v>0</v>
      </c>
      <c r="J2313" s="4">
        <v>2952</v>
      </c>
      <c r="K2313" s="4">
        <v>2036.55</v>
      </c>
      <c r="L2313" s="4">
        <v>915.45</v>
      </c>
      <c r="M2313" s="1" t="str">
        <f>TEXT(Table1[[#This Row],[Order_Date]], "MMM")</f>
        <v>May</v>
      </c>
      <c r="N2313" s="1">
        <f>YEAR(Table1[[#This Row],[Order_Date]])</f>
        <v>2023</v>
      </c>
      <c r="O2313" s="7">
        <f>Table1[[#This Row],[Profit]]/Table1[[#This Row],[Total_Sales]]</f>
        <v>0.31011178861788619</v>
      </c>
    </row>
    <row r="2314" spans="1:15" x14ac:dyDescent="0.25">
      <c r="A2314" s="1">
        <v>2313</v>
      </c>
      <c r="B2314" s="2">
        <v>45022</v>
      </c>
      <c r="C2314" s="1" t="s">
        <v>12</v>
      </c>
      <c r="D2314" s="1" t="s">
        <v>22</v>
      </c>
      <c r="E2314" s="1" t="s">
        <v>44</v>
      </c>
      <c r="F2314" s="1" t="s">
        <v>35</v>
      </c>
      <c r="G2314" s="1">
        <v>8</v>
      </c>
      <c r="H2314" s="1">
        <v>362</v>
      </c>
      <c r="I2314" s="1">
        <v>20</v>
      </c>
      <c r="J2314" s="4">
        <v>2316.8000000000002</v>
      </c>
      <c r="K2314" s="4">
        <v>1610.06</v>
      </c>
      <c r="L2314" s="4">
        <v>706.74</v>
      </c>
      <c r="M2314" s="1" t="str">
        <f>TEXT(Table1[[#This Row],[Order_Date]], "MMM")</f>
        <v>Apr</v>
      </c>
      <c r="N2314" s="1">
        <f>YEAR(Table1[[#This Row],[Order_Date]])</f>
        <v>2023</v>
      </c>
      <c r="O2314" s="7">
        <f>Table1[[#This Row],[Profit]]/Table1[[#This Row],[Total_Sales]]</f>
        <v>0.30505006906077348</v>
      </c>
    </row>
    <row r="2315" spans="1:15" x14ac:dyDescent="0.25">
      <c r="A2315" s="1">
        <v>2314</v>
      </c>
      <c r="B2315" s="2">
        <v>44948</v>
      </c>
      <c r="C2315" s="1" t="s">
        <v>12</v>
      </c>
      <c r="D2315" s="1" t="s">
        <v>32</v>
      </c>
      <c r="E2315" s="1" t="s">
        <v>33</v>
      </c>
      <c r="F2315" s="1" t="s">
        <v>35</v>
      </c>
      <c r="G2315" s="1">
        <v>10</v>
      </c>
      <c r="H2315" s="1">
        <v>586</v>
      </c>
      <c r="I2315" s="1">
        <v>0</v>
      </c>
      <c r="J2315" s="4">
        <v>5860</v>
      </c>
      <c r="K2315" s="4">
        <v>2940.24</v>
      </c>
      <c r="L2315" s="4">
        <v>2919.76</v>
      </c>
      <c r="M2315" s="1" t="str">
        <f>TEXT(Table1[[#This Row],[Order_Date]], "MMM")</f>
        <v>Jan</v>
      </c>
      <c r="N2315" s="1">
        <f>YEAR(Table1[[#This Row],[Order_Date]])</f>
        <v>2023</v>
      </c>
      <c r="O2315" s="7">
        <f>Table1[[#This Row],[Profit]]/Table1[[#This Row],[Total_Sales]]</f>
        <v>0.49825255972696247</v>
      </c>
    </row>
    <row r="2316" spans="1:15" x14ac:dyDescent="0.25">
      <c r="A2316" s="1">
        <v>2315</v>
      </c>
      <c r="B2316" s="2">
        <v>45611</v>
      </c>
      <c r="C2316" s="1" t="s">
        <v>12</v>
      </c>
      <c r="D2316" s="1" t="s">
        <v>26</v>
      </c>
      <c r="E2316" s="1" t="s">
        <v>37</v>
      </c>
      <c r="F2316" s="1" t="s">
        <v>18</v>
      </c>
      <c r="G2316" s="1">
        <v>5</v>
      </c>
      <c r="H2316" s="1">
        <v>282</v>
      </c>
      <c r="I2316" s="1">
        <v>20</v>
      </c>
      <c r="J2316" s="4">
        <v>1128</v>
      </c>
      <c r="K2316" s="4">
        <v>633.09</v>
      </c>
      <c r="L2316" s="4">
        <v>494.91</v>
      </c>
      <c r="M2316" s="1" t="str">
        <f>TEXT(Table1[[#This Row],[Order_Date]], "MMM")</f>
        <v>Nov</v>
      </c>
      <c r="N2316" s="1">
        <f>YEAR(Table1[[#This Row],[Order_Date]])</f>
        <v>2024</v>
      </c>
      <c r="O2316" s="7">
        <f>Table1[[#This Row],[Profit]]/Table1[[#This Row],[Total_Sales]]</f>
        <v>0.43875000000000003</v>
      </c>
    </row>
    <row r="2317" spans="1:15" x14ac:dyDescent="0.25">
      <c r="A2317" s="1">
        <v>2316</v>
      </c>
      <c r="B2317" s="2">
        <v>44994</v>
      </c>
      <c r="C2317" s="1" t="s">
        <v>25</v>
      </c>
      <c r="D2317" s="1" t="s">
        <v>32</v>
      </c>
      <c r="E2317" s="1" t="s">
        <v>41</v>
      </c>
      <c r="F2317" s="1" t="s">
        <v>15</v>
      </c>
      <c r="G2317" s="1">
        <v>7</v>
      </c>
      <c r="H2317" s="1">
        <v>689</v>
      </c>
      <c r="I2317" s="1">
        <v>20</v>
      </c>
      <c r="J2317" s="4">
        <v>3858.4</v>
      </c>
      <c r="K2317" s="4">
        <v>2492.5</v>
      </c>
      <c r="L2317" s="4">
        <v>1365.9</v>
      </c>
      <c r="M2317" s="1" t="str">
        <f>TEXT(Table1[[#This Row],[Order_Date]], "MMM")</f>
        <v>Mar</v>
      </c>
      <c r="N2317" s="1">
        <f>YEAR(Table1[[#This Row],[Order_Date]])</f>
        <v>2023</v>
      </c>
      <c r="O2317" s="7">
        <f>Table1[[#This Row],[Profit]]/Table1[[#This Row],[Total_Sales]]</f>
        <v>0.35400684221438938</v>
      </c>
    </row>
    <row r="2318" spans="1:15" x14ac:dyDescent="0.25">
      <c r="A2318" s="1">
        <v>2317</v>
      </c>
      <c r="B2318" s="2">
        <v>45250</v>
      </c>
      <c r="C2318" s="1" t="s">
        <v>25</v>
      </c>
      <c r="D2318" s="1" t="s">
        <v>32</v>
      </c>
      <c r="E2318" s="1" t="s">
        <v>33</v>
      </c>
      <c r="F2318" s="1" t="s">
        <v>15</v>
      </c>
      <c r="G2318" s="1">
        <v>4</v>
      </c>
      <c r="H2318" s="1">
        <v>403</v>
      </c>
      <c r="I2318" s="1">
        <v>20</v>
      </c>
      <c r="J2318" s="4">
        <v>1289.5999999999999</v>
      </c>
      <c r="K2318" s="4">
        <v>779.04</v>
      </c>
      <c r="L2318" s="4">
        <v>510.56</v>
      </c>
      <c r="M2318" s="1" t="str">
        <f>TEXT(Table1[[#This Row],[Order_Date]], "MMM")</f>
        <v>Nov</v>
      </c>
      <c r="N2318" s="1">
        <f>YEAR(Table1[[#This Row],[Order_Date]])</f>
        <v>2023</v>
      </c>
      <c r="O2318" s="7">
        <f>Table1[[#This Row],[Profit]]/Table1[[#This Row],[Total_Sales]]</f>
        <v>0.3959057071960298</v>
      </c>
    </row>
    <row r="2319" spans="1:15" x14ac:dyDescent="0.25">
      <c r="A2319" s="1">
        <v>2318</v>
      </c>
      <c r="B2319" s="2">
        <v>45007</v>
      </c>
      <c r="C2319" s="1" t="s">
        <v>19</v>
      </c>
      <c r="D2319" s="1" t="s">
        <v>22</v>
      </c>
      <c r="E2319" s="1" t="s">
        <v>29</v>
      </c>
      <c r="F2319" s="1" t="s">
        <v>15</v>
      </c>
      <c r="G2319" s="1">
        <v>3</v>
      </c>
      <c r="H2319" s="1">
        <v>207</v>
      </c>
      <c r="I2319" s="1">
        <v>0</v>
      </c>
      <c r="J2319" s="4">
        <v>621</v>
      </c>
      <c r="K2319" s="4">
        <v>442.82</v>
      </c>
      <c r="L2319" s="4">
        <v>178.18</v>
      </c>
      <c r="M2319" s="1" t="str">
        <f>TEXT(Table1[[#This Row],[Order_Date]], "MMM")</f>
        <v>Mar</v>
      </c>
      <c r="N2319" s="1">
        <f>YEAR(Table1[[#This Row],[Order_Date]])</f>
        <v>2023</v>
      </c>
      <c r="O2319" s="7">
        <f>Table1[[#This Row],[Profit]]/Table1[[#This Row],[Total_Sales]]</f>
        <v>0.28692431561996778</v>
      </c>
    </row>
    <row r="2320" spans="1:15" x14ac:dyDescent="0.25">
      <c r="A2320" s="1">
        <v>2319</v>
      </c>
      <c r="B2320" s="2">
        <v>45485</v>
      </c>
      <c r="C2320" s="1" t="s">
        <v>16</v>
      </c>
      <c r="D2320" s="1" t="s">
        <v>26</v>
      </c>
      <c r="E2320" s="1" t="s">
        <v>37</v>
      </c>
      <c r="F2320" s="1" t="s">
        <v>15</v>
      </c>
      <c r="G2320" s="1">
        <v>1</v>
      </c>
      <c r="H2320" s="1">
        <v>264</v>
      </c>
      <c r="I2320" s="1">
        <v>5</v>
      </c>
      <c r="J2320" s="4">
        <v>250.8</v>
      </c>
      <c r="K2320" s="4">
        <v>176.76</v>
      </c>
      <c r="L2320" s="4">
        <v>74.040000000000006</v>
      </c>
      <c r="M2320" s="1" t="str">
        <f>TEXT(Table1[[#This Row],[Order_Date]], "MMM")</f>
        <v>Jul</v>
      </c>
      <c r="N2320" s="1">
        <f>YEAR(Table1[[#This Row],[Order_Date]])</f>
        <v>2024</v>
      </c>
      <c r="O2320" s="7">
        <f>Table1[[#This Row],[Profit]]/Table1[[#This Row],[Total_Sales]]</f>
        <v>0.29521531100478471</v>
      </c>
    </row>
    <row r="2321" spans="1:15" x14ac:dyDescent="0.25">
      <c r="A2321" s="1">
        <v>2320</v>
      </c>
      <c r="B2321" s="2">
        <v>45348</v>
      </c>
      <c r="C2321" s="1" t="s">
        <v>25</v>
      </c>
      <c r="D2321" s="1" t="s">
        <v>20</v>
      </c>
      <c r="E2321" s="1" t="s">
        <v>43</v>
      </c>
      <c r="F2321" s="1" t="s">
        <v>40</v>
      </c>
      <c r="G2321" s="1">
        <v>4</v>
      </c>
      <c r="H2321" s="1">
        <v>456</v>
      </c>
      <c r="I2321" s="1">
        <v>0</v>
      </c>
      <c r="J2321" s="4">
        <v>1824</v>
      </c>
      <c r="K2321" s="4">
        <v>1380.07</v>
      </c>
      <c r="L2321" s="4">
        <v>443.93</v>
      </c>
      <c r="M2321" s="1" t="str">
        <f>TEXT(Table1[[#This Row],[Order_Date]], "MMM")</f>
        <v>Feb</v>
      </c>
      <c r="N2321" s="1">
        <f>YEAR(Table1[[#This Row],[Order_Date]])</f>
        <v>2024</v>
      </c>
      <c r="O2321" s="7">
        <f>Table1[[#This Row],[Profit]]/Table1[[#This Row],[Total_Sales]]</f>
        <v>0.24338267543859649</v>
      </c>
    </row>
    <row r="2322" spans="1:15" x14ac:dyDescent="0.25">
      <c r="A2322" s="1">
        <v>2321</v>
      </c>
      <c r="B2322" s="2">
        <v>45195</v>
      </c>
      <c r="C2322" s="1" t="s">
        <v>19</v>
      </c>
      <c r="D2322" s="1" t="s">
        <v>20</v>
      </c>
      <c r="E2322" s="1" t="s">
        <v>28</v>
      </c>
      <c r="F2322" s="1" t="s">
        <v>24</v>
      </c>
      <c r="G2322" s="1">
        <v>8</v>
      </c>
      <c r="H2322" s="1">
        <v>165</v>
      </c>
      <c r="I2322" s="1">
        <v>15</v>
      </c>
      <c r="J2322" s="4">
        <v>1122</v>
      </c>
      <c r="K2322" s="4">
        <v>878.16</v>
      </c>
      <c r="L2322" s="4">
        <v>243.84</v>
      </c>
      <c r="M2322" s="1" t="str">
        <f>TEXT(Table1[[#This Row],[Order_Date]], "MMM")</f>
        <v>Sep</v>
      </c>
      <c r="N2322" s="1">
        <f>YEAR(Table1[[#This Row],[Order_Date]])</f>
        <v>2023</v>
      </c>
      <c r="O2322" s="7">
        <f>Table1[[#This Row],[Profit]]/Table1[[#This Row],[Total_Sales]]</f>
        <v>0.21732620320855614</v>
      </c>
    </row>
    <row r="2323" spans="1:15" x14ac:dyDescent="0.25">
      <c r="A2323" s="1">
        <v>2322</v>
      </c>
      <c r="B2323" s="2">
        <v>45019</v>
      </c>
      <c r="C2323" s="1" t="s">
        <v>19</v>
      </c>
      <c r="D2323" s="1" t="s">
        <v>13</v>
      </c>
      <c r="E2323" s="1" t="s">
        <v>39</v>
      </c>
      <c r="F2323" s="1" t="s">
        <v>35</v>
      </c>
      <c r="G2323" s="1">
        <v>5</v>
      </c>
      <c r="H2323" s="1">
        <v>208</v>
      </c>
      <c r="I2323" s="1">
        <v>0</v>
      </c>
      <c r="J2323" s="4">
        <v>1040</v>
      </c>
      <c r="K2323" s="4">
        <v>603.58000000000004</v>
      </c>
      <c r="L2323" s="4">
        <v>436.42</v>
      </c>
      <c r="M2323" s="1" t="str">
        <f>TEXT(Table1[[#This Row],[Order_Date]], "MMM")</f>
        <v>Apr</v>
      </c>
      <c r="N2323" s="1">
        <f>YEAR(Table1[[#This Row],[Order_Date]])</f>
        <v>2023</v>
      </c>
      <c r="O2323" s="7">
        <f>Table1[[#This Row],[Profit]]/Table1[[#This Row],[Total_Sales]]</f>
        <v>0.41963461538461538</v>
      </c>
    </row>
    <row r="2324" spans="1:15" x14ac:dyDescent="0.25">
      <c r="A2324" s="1">
        <v>2323</v>
      </c>
      <c r="B2324" s="2">
        <v>45131</v>
      </c>
      <c r="C2324" s="1" t="s">
        <v>12</v>
      </c>
      <c r="D2324" s="1" t="s">
        <v>13</v>
      </c>
      <c r="E2324" s="1" t="s">
        <v>38</v>
      </c>
      <c r="F2324" s="1" t="s">
        <v>40</v>
      </c>
      <c r="G2324" s="1">
        <v>10</v>
      </c>
      <c r="H2324" s="1">
        <v>809</v>
      </c>
      <c r="I2324" s="1">
        <v>5</v>
      </c>
      <c r="J2324" s="4">
        <v>7685.5</v>
      </c>
      <c r="K2324" s="4">
        <v>4133.74</v>
      </c>
      <c r="L2324" s="4">
        <v>3551.76</v>
      </c>
      <c r="M2324" s="1" t="str">
        <f>TEXT(Table1[[#This Row],[Order_Date]], "MMM")</f>
        <v>Jul</v>
      </c>
      <c r="N2324" s="1">
        <f>YEAR(Table1[[#This Row],[Order_Date]])</f>
        <v>2023</v>
      </c>
      <c r="O2324" s="7">
        <f>Table1[[#This Row],[Profit]]/Table1[[#This Row],[Total_Sales]]</f>
        <v>0.46213779194587212</v>
      </c>
    </row>
    <row r="2325" spans="1:15" x14ac:dyDescent="0.25">
      <c r="A2325" s="1">
        <v>2324</v>
      </c>
      <c r="B2325" s="2">
        <v>45366</v>
      </c>
      <c r="C2325" s="1" t="s">
        <v>25</v>
      </c>
      <c r="D2325" s="1" t="s">
        <v>26</v>
      </c>
      <c r="E2325" s="1" t="s">
        <v>46</v>
      </c>
      <c r="F2325" s="1" t="s">
        <v>35</v>
      </c>
      <c r="G2325" s="1">
        <v>9</v>
      </c>
      <c r="H2325" s="1">
        <v>900</v>
      </c>
      <c r="I2325" s="1">
        <v>0</v>
      </c>
      <c r="J2325" s="4">
        <v>8100</v>
      </c>
      <c r="K2325" s="4">
        <v>5705.03</v>
      </c>
      <c r="L2325" s="4">
        <v>2394.9699999999998</v>
      </c>
      <c r="M2325" s="1" t="str">
        <f>TEXT(Table1[[#This Row],[Order_Date]], "MMM")</f>
        <v>Mar</v>
      </c>
      <c r="N2325" s="1">
        <f>YEAR(Table1[[#This Row],[Order_Date]])</f>
        <v>2024</v>
      </c>
      <c r="O2325" s="7">
        <f>Table1[[#This Row],[Profit]]/Table1[[#This Row],[Total_Sales]]</f>
        <v>0.29567530864197528</v>
      </c>
    </row>
    <row r="2326" spans="1:15" x14ac:dyDescent="0.25">
      <c r="A2326" s="1">
        <v>2325</v>
      </c>
      <c r="B2326" s="2">
        <v>45517</v>
      </c>
      <c r="C2326" s="1" t="s">
        <v>19</v>
      </c>
      <c r="D2326" s="1" t="s">
        <v>22</v>
      </c>
      <c r="E2326" s="1" t="s">
        <v>23</v>
      </c>
      <c r="F2326" s="1" t="s">
        <v>35</v>
      </c>
      <c r="G2326" s="1">
        <v>9</v>
      </c>
      <c r="H2326" s="1">
        <v>697</v>
      </c>
      <c r="I2326" s="1">
        <v>15</v>
      </c>
      <c r="J2326" s="4">
        <v>5332.05</v>
      </c>
      <c r="K2326" s="4">
        <v>3946.25</v>
      </c>
      <c r="L2326" s="4">
        <v>1385.8</v>
      </c>
      <c r="M2326" s="1" t="str">
        <f>TEXT(Table1[[#This Row],[Order_Date]], "MMM")</f>
        <v>Aug</v>
      </c>
      <c r="N2326" s="1">
        <f>YEAR(Table1[[#This Row],[Order_Date]])</f>
        <v>2024</v>
      </c>
      <c r="O2326" s="7">
        <f>Table1[[#This Row],[Profit]]/Table1[[#This Row],[Total_Sales]]</f>
        <v>0.25990003844675125</v>
      </c>
    </row>
    <row r="2327" spans="1:15" x14ac:dyDescent="0.25">
      <c r="A2327" s="1">
        <v>2326</v>
      </c>
      <c r="B2327" s="2">
        <v>45253</v>
      </c>
      <c r="C2327" s="1" t="s">
        <v>25</v>
      </c>
      <c r="D2327" s="1" t="s">
        <v>13</v>
      </c>
      <c r="E2327" s="1" t="s">
        <v>17</v>
      </c>
      <c r="F2327" s="1" t="s">
        <v>40</v>
      </c>
      <c r="G2327" s="1">
        <v>10</v>
      </c>
      <c r="H2327" s="1">
        <v>867</v>
      </c>
      <c r="I2327" s="1">
        <v>0</v>
      </c>
      <c r="J2327" s="4">
        <v>8670</v>
      </c>
      <c r="K2327" s="4">
        <v>6371.61</v>
      </c>
      <c r="L2327" s="4">
        <v>2298.39</v>
      </c>
      <c r="M2327" s="1" t="str">
        <f>TEXT(Table1[[#This Row],[Order_Date]], "MMM")</f>
        <v>Nov</v>
      </c>
      <c r="N2327" s="1">
        <f>YEAR(Table1[[#This Row],[Order_Date]])</f>
        <v>2023</v>
      </c>
      <c r="O2327" s="7">
        <f>Table1[[#This Row],[Profit]]/Table1[[#This Row],[Total_Sales]]</f>
        <v>0.26509688581314877</v>
      </c>
    </row>
    <row r="2328" spans="1:15" x14ac:dyDescent="0.25">
      <c r="A2328" s="1">
        <v>2327</v>
      </c>
      <c r="B2328" s="2">
        <v>45192</v>
      </c>
      <c r="C2328" s="1" t="s">
        <v>12</v>
      </c>
      <c r="D2328" s="1" t="s">
        <v>32</v>
      </c>
      <c r="E2328" s="1" t="s">
        <v>33</v>
      </c>
      <c r="F2328" s="1" t="s">
        <v>31</v>
      </c>
      <c r="G2328" s="1">
        <v>5</v>
      </c>
      <c r="H2328" s="1">
        <v>752</v>
      </c>
      <c r="I2328" s="1">
        <v>5</v>
      </c>
      <c r="J2328" s="4">
        <v>3572</v>
      </c>
      <c r="K2328" s="4">
        <v>1957.41</v>
      </c>
      <c r="L2328" s="4">
        <v>1614.59</v>
      </c>
      <c r="M2328" s="1" t="str">
        <f>TEXT(Table1[[#This Row],[Order_Date]], "MMM")</f>
        <v>Sep</v>
      </c>
      <c r="N2328" s="1">
        <f>YEAR(Table1[[#This Row],[Order_Date]])</f>
        <v>2023</v>
      </c>
      <c r="O2328" s="7">
        <f>Table1[[#This Row],[Profit]]/Table1[[#This Row],[Total_Sales]]</f>
        <v>0.45201287793952966</v>
      </c>
    </row>
    <row r="2329" spans="1:15" x14ac:dyDescent="0.25">
      <c r="A2329" s="1">
        <v>2328</v>
      </c>
      <c r="B2329" s="2">
        <v>45187</v>
      </c>
      <c r="C2329" s="1" t="s">
        <v>12</v>
      </c>
      <c r="D2329" s="1" t="s">
        <v>26</v>
      </c>
      <c r="E2329" s="1" t="s">
        <v>42</v>
      </c>
      <c r="F2329" s="1" t="s">
        <v>31</v>
      </c>
      <c r="G2329" s="1">
        <v>10</v>
      </c>
      <c r="H2329" s="1">
        <v>436</v>
      </c>
      <c r="I2329" s="1">
        <v>0</v>
      </c>
      <c r="J2329" s="4">
        <v>4360</v>
      </c>
      <c r="K2329" s="4">
        <v>2952.46</v>
      </c>
      <c r="L2329" s="4">
        <v>1407.54</v>
      </c>
      <c r="M2329" s="1" t="str">
        <f>TEXT(Table1[[#This Row],[Order_Date]], "MMM")</f>
        <v>Sep</v>
      </c>
      <c r="N2329" s="1">
        <f>YEAR(Table1[[#This Row],[Order_Date]])</f>
        <v>2023</v>
      </c>
      <c r="O2329" s="7">
        <f>Table1[[#This Row],[Profit]]/Table1[[#This Row],[Total_Sales]]</f>
        <v>0.32283027522935781</v>
      </c>
    </row>
    <row r="2330" spans="1:15" x14ac:dyDescent="0.25">
      <c r="A2330" s="1">
        <v>2329</v>
      </c>
      <c r="B2330" s="2">
        <v>45419</v>
      </c>
      <c r="C2330" s="1" t="s">
        <v>25</v>
      </c>
      <c r="D2330" s="1" t="s">
        <v>20</v>
      </c>
      <c r="E2330" s="1" t="s">
        <v>30</v>
      </c>
      <c r="F2330" s="1" t="s">
        <v>18</v>
      </c>
      <c r="G2330" s="1">
        <v>7</v>
      </c>
      <c r="H2330" s="1">
        <v>135</v>
      </c>
      <c r="I2330" s="1">
        <v>10</v>
      </c>
      <c r="J2330" s="4">
        <v>850.5</v>
      </c>
      <c r="K2330" s="4">
        <v>440.97</v>
      </c>
      <c r="L2330" s="4">
        <v>409.53</v>
      </c>
      <c r="M2330" s="1" t="str">
        <f>TEXT(Table1[[#This Row],[Order_Date]], "MMM")</f>
        <v>May</v>
      </c>
      <c r="N2330" s="1">
        <f>YEAR(Table1[[#This Row],[Order_Date]])</f>
        <v>2024</v>
      </c>
      <c r="O2330" s="7">
        <f>Table1[[#This Row],[Profit]]/Table1[[#This Row],[Total_Sales]]</f>
        <v>0.48151675485008816</v>
      </c>
    </row>
    <row r="2331" spans="1:15" x14ac:dyDescent="0.25">
      <c r="A2331" s="1">
        <v>2330</v>
      </c>
      <c r="B2331" s="2">
        <v>44996</v>
      </c>
      <c r="C2331" s="1" t="s">
        <v>16</v>
      </c>
      <c r="D2331" s="1" t="s">
        <v>20</v>
      </c>
      <c r="E2331" s="1" t="s">
        <v>21</v>
      </c>
      <c r="F2331" s="1" t="s">
        <v>24</v>
      </c>
      <c r="G2331" s="1">
        <v>5</v>
      </c>
      <c r="H2331" s="1">
        <v>33</v>
      </c>
      <c r="I2331" s="1">
        <v>20</v>
      </c>
      <c r="J2331" s="4">
        <v>132</v>
      </c>
      <c r="K2331" s="4">
        <v>67.62</v>
      </c>
      <c r="L2331" s="4">
        <v>64.38</v>
      </c>
      <c r="M2331" s="1" t="str">
        <f>TEXT(Table1[[#This Row],[Order_Date]], "MMM")</f>
        <v>Mar</v>
      </c>
      <c r="N2331" s="1">
        <f>YEAR(Table1[[#This Row],[Order_Date]])</f>
        <v>2023</v>
      </c>
      <c r="O2331" s="7">
        <f>Table1[[#This Row],[Profit]]/Table1[[#This Row],[Total_Sales]]</f>
        <v>0.48772727272727268</v>
      </c>
    </row>
    <row r="2332" spans="1:15" x14ac:dyDescent="0.25">
      <c r="A2332" s="1">
        <v>2331</v>
      </c>
      <c r="B2332" s="2">
        <v>45237</v>
      </c>
      <c r="C2332" s="1" t="s">
        <v>16</v>
      </c>
      <c r="D2332" s="1" t="s">
        <v>26</v>
      </c>
      <c r="E2332" s="1" t="s">
        <v>42</v>
      </c>
      <c r="F2332" s="1" t="s">
        <v>35</v>
      </c>
      <c r="G2332" s="1">
        <v>5</v>
      </c>
      <c r="H2332" s="1">
        <v>119</v>
      </c>
      <c r="I2332" s="1">
        <v>10</v>
      </c>
      <c r="J2332" s="4">
        <v>535.5</v>
      </c>
      <c r="K2332" s="4">
        <v>396.17</v>
      </c>
      <c r="L2332" s="4">
        <v>139.33000000000001</v>
      </c>
      <c r="M2332" s="1" t="str">
        <f>TEXT(Table1[[#This Row],[Order_Date]], "MMM")</f>
        <v>Nov</v>
      </c>
      <c r="N2332" s="1">
        <f>YEAR(Table1[[#This Row],[Order_Date]])</f>
        <v>2023</v>
      </c>
      <c r="O2332" s="7">
        <f>Table1[[#This Row],[Profit]]/Table1[[#This Row],[Total_Sales]]</f>
        <v>0.26018674136321196</v>
      </c>
    </row>
    <row r="2333" spans="1:15" x14ac:dyDescent="0.25">
      <c r="A2333" s="1">
        <v>2332</v>
      </c>
      <c r="B2333" s="2">
        <v>45406</v>
      </c>
      <c r="C2333" s="1" t="s">
        <v>25</v>
      </c>
      <c r="D2333" s="1" t="s">
        <v>32</v>
      </c>
      <c r="E2333" s="1" t="s">
        <v>45</v>
      </c>
      <c r="F2333" s="1" t="s">
        <v>31</v>
      </c>
      <c r="G2333" s="1">
        <v>3</v>
      </c>
      <c r="H2333" s="1">
        <v>95</v>
      </c>
      <c r="I2333" s="1">
        <v>20</v>
      </c>
      <c r="J2333" s="4">
        <v>228</v>
      </c>
      <c r="K2333" s="4">
        <v>141.47</v>
      </c>
      <c r="L2333" s="4">
        <v>86.53</v>
      </c>
      <c r="M2333" s="1" t="str">
        <f>TEXT(Table1[[#This Row],[Order_Date]], "MMM")</f>
        <v>Apr</v>
      </c>
      <c r="N2333" s="1">
        <f>YEAR(Table1[[#This Row],[Order_Date]])</f>
        <v>2024</v>
      </c>
      <c r="O2333" s="7">
        <f>Table1[[#This Row],[Profit]]/Table1[[#This Row],[Total_Sales]]</f>
        <v>0.37951754385964914</v>
      </c>
    </row>
    <row r="2334" spans="1:15" x14ac:dyDescent="0.25">
      <c r="A2334" s="1">
        <v>2333</v>
      </c>
      <c r="B2334" s="2">
        <v>45625</v>
      </c>
      <c r="C2334" s="1" t="s">
        <v>16</v>
      </c>
      <c r="D2334" s="1" t="s">
        <v>20</v>
      </c>
      <c r="E2334" s="1" t="s">
        <v>28</v>
      </c>
      <c r="F2334" s="1" t="s">
        <v>40</v>
      </c>
      <c r="G2334" s="1">
        <v>5</v>
      </c>
      <c r="H2334" s="1">
        <v>408</v>
      </c>
      <c r="I2334" s="1">
        <v>15</v>
      </c>
      <c r="J2334" s="4">
        <v>1734</v>
      </c>
      <c r="K2334" s="4">
        <v>1060.08</v>
      </c>
      <c r="L2334" s="4">
        <v>673.92</v>
      </c>
      <c r="M2334" s="1" t="str">
        <f>TEXT(Table1[[#This Row],[Order_Date]], "MMM")</f>
        <v>Nov</v>
      </c>
      <c r="N2334" s="1">
        <f>YEAR(Table1[[#This Row],[Order_Date]])</f>
        <v>2024</v>
      </c>
      <c r="O2334" s="7">
        <f>Table1[[#This Row],[Profit]]/Table1[[#This Row],[Total_Sales]]</f>
        <v>0.38865051903114184</v>
      </c>
    </row>
    <row r="2335" spans="1:15" x14ac:dyDescent="0.25">
      <c r="A2335" s="1">
        <v>2334</v>
      </c>
      <c r="B2335" s="2">
        <v>45273</v>
      </c>
      <c r="C2335" s="1" t="s">
        <v>25</v>
      </c>
      <c r="D2335" s="1" t="s">
        <v>13</v>
      </c>
      <c r="E2335" s="1" t="s">
        <v>39</v>
      </c>
      <c r="F2335" s="1" t="s">
        <v>31</v>
      </c>
      <c r="G2335" s="1">
        <v>7</v>
      </c>
      <c r="H2335" s="1">
        <v>169</v>
      </c>
      <c r="I2335" s="1">
        <v>5</v>
      </c>
      <c r="J2335" s="4">
        <v>1123.8499999999999</v>
      </c>
      <c r="K2335" s="4">
        <v>690.44</v>
      </c>
      <c r="L2335" s="4">
        <v>433.41</v>
      </c>
      <c r="M2335" s="1" t="str">
        <f>TEXT(Table1[[#This Row],[Order_Date]], "MMM")</f>
        <v>Dec</v>
      </c>
      <c r="N2335" s="1">
        <f>YEAR(Table1[[#This Row],[Order_Date]])</f>
        <v>2023</v>
      </c>
      <c r="O2335" s="7">
        <f>Table1[[#This Row],[Profit]]/Table1[[#This Row],[Total_Sales]]</f>
        <v>0.38564755082973712</v>
      </c>
    </row>
    <row r="2336" spans="1:15" x14ac:dyDescent="0.25">
      <c r="A2336" s="1">
        <v>2335</v>
      </c>
      <c r="B2336" s="2">
        <v>45092</v>
      </c>
      <c r="C2336" s="1" t="s">
        <v>16</v>
      </c>
      <c r="D2336" s="1" t="s">
        <v>13</v>
      </c>
      <c r="E2336" s="1" t="s">
        <v>14</v>
      </c>
      <c r="F2336" s="1" t="s">
        <v>15</v>
      </c>
      <c r="G2336" s="1">
        <v>3</v>
      </c>
      <c r="H2336" s="1">
        <v>596</v>
      </c>
      <c r="I2336" s="1">
        <v>20</v>
      </c>
      <c r="J2336" s="4">
        <v>1430.4</v>
      </c>
      <c r="K2336" s="4">
        <v>770.81</v>
      </c>
      <c r="L2336" s="4">
        <v>659.59</v>
      </c>
      <c r="M2336" s="1" t="str">
        <f>TEXT(Table1[[#This Row],[Order_Date]], "MMM")</f>
        <v>Jun</v>
      </c>
      <c r="N2336" s="1">
        <f>YEAR(Table1[[#This Row],[Order_Date]])</f>
        <v>2023</v>
      </c>
      <c r="O2336" s="7">
        <f>Table1[[#This Row],[Profit]]/Table1[[#This Row],[Total_Sales]]</f>
        <v>0.46112276286353465</v>
      </c>
    </row>
    <row r="2337" spans="1:15" x14ac:dyDescent="0.25">
      <c r="A2337" s="1">
        <v>2336</v>
      </c>
      <c r="B2337" s="2">
        <v>45445</v>
      </c>
      <c r="C2337" s="1" t="s">
        <v>16</v>
      </c>
      <c r="D2337" s="1" t="s">
        <v>26</v>
      </c>
      <c r="E2337" s="1" t="s">
        <v>27</v>
      </c>
      <c r="F2337" s="1" t="s">
        <v>18</v>
      </c>
      <c r="G2337" s="1">
        <v>2</v>
      </c>
      <c r="H2337" s="1">
        <v>468</v>
      </c>
      <c r="I2337" s="1">
        <v>20</v>
      </c>
      <c r="J2337" s="4">
        <v>748.8</v>
      </c>
      <c r="K2337" s="4">
        <v>505.46</v>
      </c>
      <c r="L2337" s="4">
        <v>243.34</v>
      </c>
      <c r="M2337" s="1" t="str">
        <f>TEXT(Table1[[#This Row],[Order_Date]], "MMM")</f>
        <v>Jun</v>
      </c>
      <c r="N2337" s="1">
        <f>YEAR(Table1[[#This Row],[Order_Date]])</f>
        <v>2024</v>
      </c>
      <c r="O2337" s="7">
        <f>Table1[[#This Row],[Profit]]/Table1[[#This Row],[Total_Sales]]</f>
        <v>0.32497329059829061</v>
      </c>
    </row>
    <row r="2338" spans="1:15" x14ac:dyDescent="0.25">
      <c r="A2338" s="1">
        <v>2337</v>
      </c>
      <c r="B2338" s="2">
        <v>44930</v>
      </c>
      <c r="C2338" s="1" t="s">
        <v>25</v>
      </c>
      <c r="D2338" s="1" t="s">
        <v>13</v>
      </c>
      <c r="E2338" s="1" t="s">
        <v>14</v>
      </c>
      <c r="F2338" s="1" t="s">
        <v>35</v>
      </c>
      <c r="G2338" s="1">
        <v>2</v>
      </c>
      <c r="H2338" s="1">
        <v>367</v>
      </c>
      <c r="I2338" s="1">
        <v>5</v>
      </c>
      <c r="J2338" s="4">
        <v>697.3</v>
      </c>
      <c r="K2338" s="4">
        <v>411.39</v>
      </c>
      <c r="L2338" s="4">
        <v>285.91000000000003</v>
      </c>
      <c r="M2338" s="1" t="str">
        <f>TEXT(Table1[[#This Row],[Order_Date]], "MMM")</f>
        <v>Jan</v>
      </c>
      <c r="N2338" s="1">
        <f>YEAR(Table1[[#This Row],[Order_Date]])</f>
        <v>2023</v>
      </c>
      <c r="O2338" s="7">
        <f>Table1[[#This Row],[Profit]]/Table1[[#This Row],[Total_Sales]]</f>
        <v>0.41002437975046613</v>
      </c>
    </row>
    <row r="2339" spans="1:15" x14ac:dyDescent="0.25">
      <c r="A2339" s="1">
        <v>2338</v>
      </c>
      <c r="B2339" s="2">
        <v>45228</v>
      </c>
      <c r="C2339" s="1" t="s">
        <v>19</v>
      </c>
      <c r="D2339" s="1" t="s">
        <v>22</v>
      </c>
      <c r="E2339" s="1" t="s">
        <v>23</v>
      </c>
      <c r="F2339" s="1" t="s">
        <v>18</v>
      </c>
      <c r="G2339" s="1">
        <v>6</v>
      </c>
      <c r="H2339" s="1">
        <v>56</v>
      </c>
      <c r="I2339" s="1">
        <v>20</v>
      </c>
      <c r="J2339" s="4">
        <v>268.8</v>
      </c>
      <c r="K2339" s="4">
        <v>211.23</v>
      </c>
      <c r="L2339" s="4">
        <v>57.57</v>
      </c>
      <c r="M2339" s="1" t="str">
        <f>TEXT(Table1[[#This Row],[Order_Date]], "MMM")</f>
        <v>Oct</v>
      </c>
      <c r="N2339" s="1">
        <f>YEAR(Table1[[#This Row],[Order_Date]])</f>
        <v>2023</v>
      </c>
      <c r="O2339" s="7">
        <f>Table1[[#This Row],[Profit]]/Table1[[#This Row],[Total_Sales]]</f>
        <v>0.21417410714285715</v>
      </c>
    </row>
    <row r="2340" spans="1:15" x14ac:dyDescent="0.25">
      <c r="A2340" s="1">
        <v>2339</v>
      </c>
      <c r="B2340" s="2">
        <v>45426</v>
      </c>
      <c r="C2340" s="1" t="s">
        <v>25</v>
      </c>
      <c r="D2340" s="1" t="s">
        <v>13</v>
      </c>
      <c r="E2340" s="1" t="s">
        <v>39</v>
      </c>
      <c r="F2340" s="1" t="s">
        <v>35</v>
      </c>
      <c r="G2340" s="1">
        <v>5</v>
      </c>
      <c r="H2340" s="1">
        <v>304</v>
      </c>
      <c r="I2340" s="1">
        <v>5</v>
      </c>
      <c r="J2340" s="4">
        <v>1444</v>
      </c>
      <c r="K2340" s="4">
        <v>1144.96</v>
      </c>
      <c r="L2340" s="4">
        <v>299.04000000000002</v>
      </c>
      <c r="M2340" s="1" t="str">
        <f>TEXT(Table1[[#This Row],[Order_Date]], "MMM")</f>
        <v>May</v>
      </c>
      <c r="N2340" s="1">
        <f>YEAR(Table1[[#This Row],[Order_Date]])</f>
        <v>2024</v>
      </c>
      <c r="O2340" s="7">
        <f>Table1[[#This Row],[Profit]]/Table1[[#This Row],[Total_Sales]]</f>
        <v>0.2070914127423823</v>
      </c>
    </row>
    <row r="2341" spans="1:15" x14ac:dyDescent="0.25">
      <c r="A2341" s="1">
        <v>2340</v>
      </c>
      <c r="B2341" s="2">
        <v>45415</v>
      </c>
      <c r="C2341" s="1" t="s">
        <v>16</v>
      </c>
      <c r="D2341" s="1" t="s">
        <v>13</v>
      </c>
      <c r="E2341" s="1" t="s">
        <v>38</v>
      </c>
      <c r="F2341" s="1" t="s">
        <v>18</v>
      </c>
      <c r="G2341" s="1">
        <v>1</v>
      </c>
      <c r="H2341" s="1">
        <v>694</v>
      </c>
      <c r="I2341" s="1">
        <v>5</v>
      </c>
      <c r="J2341" s="4">
        <v>659.3</v>
      </c>
      <c r="K2341" s="4">
        <v>415.38</v>
      </c>
      <c r="L2341" s="4">
        <v>243.92</v>
      </c>
      <c r="M2341" s="1" t="str">
        <f>TEXT(Table1[[#This Row],[Order_Date]], "MMM")</f>
        <v>May</v>
      </c>
      <c r="N2341" s="1">
        <f>YEAR(Table1[[#This Row],[Order_Date]])</f>
        <v>2024</v>
      </c>
      <c r="O2341" s="7">
        <f>Table1[[#This Row],[Profit]]/Table1[[#This Row],[Total_Sales]]</f>
        <v>0.36996814803579553</v>
      </c>
    </row>
    <row r="2342" spans="1:15" x14ac:dyDescent="0.25">
      <c r="A2342" s="1">
        <v>2341</v>
      </c>
      <c r="B2342" s="2">
        <v>45435</v>
      </c>
      <c r="C2342" s="1" t="s">
        <v>12</v>
      </c>
      <c r="D2342" s="1" t="s">
        <v>20</v>
      </c>
      <c r="E2342" s="1" t="s">
        <v>43</v>
      </c>
      <c r="F2342" s="1" t="s">
        <v>18</v>
      </c>
      <c r="G2342" s="1">
        <v>8</v>
      </c>
      <c r="H2342" s="1">
        <v>905</v>
      </c>
      <c r="I2342" s="1">
        <v>15</v>
      </c>
      <c r="J2342" s="4">
        <v>6154</v>
      </c>
      <c r="K2342" s="4">
        <v>4787.6099999999997</v>
      </c>
      <c r="L2342" s="4">
        <v>1366.39</v>
      </c>
      <c r="M2342" s="1" t="str">
        <f>TEXT(Table1[[#This Row],[Order_Date]], "MMM")</f>
        <v>May</v>
      </c>
      <c r="N2342" s="1">
        <f>YEAR(Table1[[#This Row],[Order_Date]])</f>
        <v>2024</v>
      </c>
      <c r="O2342" s="7">
        <f>Table1[[#This Row],[Profit]]/Table1[[#This Row],[Total_Sales]]</f>
        <v>0.22203282417939554</v>
      </c>
    </row>
    <row r="2343" spans="1:15" x14ac:dyDescent="0.25">
      <c r="A2343" s="1">
        <v>2342</v>
      </c>
      <c r="B2343" s="2">
        <v>45122</v>
      </c>
      <c r="C2343" s="1" t="s">
        <v>25</v>
      </c>
      <c r="D2343" s="1" t="s">
        <v>20</v>
      </c>
      <c r="E2343" s="1" t="s">
        <v>30</v>
      </c>
      <c r="F2343" s="1" t="s">
        <v>40</v>
      </c>
      <c r="G2343" s="1">
        <v>4</v>
      </c>
      <c r="H2343" s="1">
        <v>640</v>
      </c>
      <c r="I2343" s="1">
        <v>0</v>
      </c>
      <c r="J2343" s="4">
        <v>2560</v>
      </c>
      <c r="K2343" s="4">
        <v>1974.47</v>
      </c>
      <c r="L2343" s="4">
        <v>585.53</v>
      </c>
      <c r="M2343" s="1" t="str">
        <f>TEXT(Table1[[#This Row],[Order_Date]], "MMM")</f>
        <v>Jul</v>
      </c>
      <c r="N2343" s="1">
        <f>YEAR(Table1[[#This Row],[Order_Date]])</f>
        <v>2023</v>
      </c>
      <c r="O2343" s="7">
        <f>Table1[[#This Row],[Profit]]/Table1[[#This Row],[Total_Sales]]</f>
        <v>0.22872265624999999</v>
      </c>
    </row>
    <row r="2344" spans="1:15" x14ac:dyDescent="0.25">
      <c r="A2344" s="1">
        <v>2343</v>
      </c>
      <c r="B2344" s="2">
        <v>45648</v>
      </c>
      <c r="C2344" s="1" t="s">
        <v>25</v>
      </c>
      <c r="D2344" s="1" t="s">
        <v>22</v>
      </c>
      <c r="E2344" s="1" t="s">
        <v>36</v>
      </c>
      <c r="F2344" s="1" t="s">
        <v>35</v>
      </c>
      <c r="G2344" s="1">
        <v>10</v>
      </c>
      <c r="H2344" s="1">
        <v>17</v>
      </c>
      <c r="I2344" s="1">
        <v>5</v>
      </c>
      <c r="J2344" s="4">
        <v>161.5</v>
      </c>
      <c r="K2344" s="4">
        <v>103.51</v>
      </c>
      <c r="L2344" s="4">
        <v>57.99</v>
      </c>
      <c r="M2344" s="1" t="str">
        <f>TEXT(Table1[[#This Row],[Order_Date]], "MMM")</f>
        <v>Dec</v>
      </c>
      <c r="N2344" s="1">
        <f>YEAR(Table1[[#This Row],[Order_Date]])</f>
        <v>2024</v>
      </c>
      <c r="O2344" s="7">
        <f>Table1[[#This Row],[Profit]]/Table1[[#This Row],[Total_Sales]]</f>
        <v>0.35907120743034054</v>
      </c>
    </row>
    <row r="2345" spans="1:15" x14ac:dyDescent="0.25">
      <c r="A2345" s="1">
        <v>2344</v>
      </c>
      <c r="B2345" s="2">
        <v>45122</v>
      </c>
      <c r="C2345" s="1" t="s">
        <v>16</v>
      </c>
      <c r="D2345" s="1" t="s">
        <v>26</v>
      </c>
      <c r="E2345" s="1" t="s">
        <v>42</v>
      </c>
      <c r="F2345" s="1" t="s">
        <v>24</v>
      </c>
      <c r="G2345" s="1">
        <v>6</v>
      </c>
      <c r="H2345" s="1">
        <v>117</v>
      </c>
      <c r="I2345" s="1">
        <v>5</v>
      </c>
      <c r="J2345" s="4">
        <v>666.9</v>
      </c>
      <c r="K2345" s="4">
        <v>395.28</v>
      </c>
      <c r="L2345" s="4">
        <v>271.62</v>
      </c>
      <c r="M2345" s="1" t="str">
        <f>TEXT(Table1[[#This Row],[Order_Date]], "MMM")</f>
        <v>Jul</v>
      </c>
      <c r="N2345" s="1">
        <f>YEAR(Table1[[#This Row],[Order_Date]])</f>
        <v>2023</v>
      </c>
      <c r="O2345" s="7">
        <f>Table1[[#This Row],[Profit]]/Table1[[#This Row],[Total_Sales]]</f>
        <v>0.40728744939271255</v>
      </c>
    </row>
    <row r="2346" spans="1:15" x14ac:dyDescent="0.25">
      <c r="A2346" s="1">
        <v>2345</v>
      </c>
      <c r="B2346" s="2">
        <v>45527</v>
      </c>
      <c r="C2346" s="1" t="s">
        <v>12</v>
      </c>
      <c r="D2346" s="1" t="s">
        <v>32</v>
      </c>
      <c r="E2346" s="1" t="s">
        <v>34</v>
      </c>
      <c r="F2346" s="1" t="s">
        <v>18</v>
      </c>
      <c r="G2346" s="1">
        <v>7</v>
      </c>
      <c r="H2346" s="1">
        <v>817</v>
      </c>
      <c r="I2346" s="1">
        <v>15</v>
      </c>
      <c r="J2346" s="4">
        <v>4861.1499999999996</v>
      </c>
      <c r="K2346" s="4">
        <v>3389.69</v>
      </c>
      <c r="L2346" s="4">
        <v>1471.46</v>
      </c>
      <c r="M2346" s="1" t="str">
        <f>TEXT(Table1[[#This Row],[Order_Date]], "MMM")</f>
        <v>Aug</v>
      </c>
      <c r="N2346" s="1">
        <f>YEAR(Table1[[#This Row],[Order_Date]])</f>
        <v>2024</v>
      </c>
      <c r="O2346" s="7">
        <f>Table1[[#This Row],[Profit]]/Table1[[#This Row],[Total_Sales]]</f>
        <v>0.30269792127377271</v>
      </c>
    </row>
    <row r="2347" spans="1:15" x14ac:dyDescent="0.25">
      <c r="A2347" s="1">
        <v>2346</v>
      </c>
      <c r="B2347" s="2">
        <v>45500</v>
      </c>
      <c r="C2347" s="1" t="s">
        <v>12</v>
      </c>
      <c r="D2347" s="1" t="s">
        <v>32</v>
      </c>
      <c r="E2347" s="1" t="s">
        <v>34</v>
      </c>
      <c r="F2347" s="1" t="s">
        <v>35</v>
      </c>
      <c r="G2347" s="1">
        <v>10</v>
      </c>
      <c r="H2347" s="1">
        <v>610</v>
      </c>
      <c r="I2347" s="1">
        <v>0</v>
      </c>
      <c r="J2347" s="4">
        <v>6100</v>
      </c>
      <c r="K2347" s="4">
        <v>4084.23</v>
      </c>
      <c r="L2347" s="4">
        <v>2015.77</v>
      </c>
      <c r="M2347" s="1" t="str">
        <f>TEXT(Table1[[#This Row],[Order_Date]], "MMM")</f>
        <v>Jul</v>
      </c>
      <c r="N2347" s="1">
        <f>YEAR(Table1[[#This Row],[Order_Date]])</f>
        <v>2024</v>
      </c>
      <c r="O2347" s="7">
        <f>Table1[[#This Row],[Profit]]/Table1[[#This Row],[Total_Sales]]</f>
        <v>0.33045409836065576</v>
      </c>
    </row>
    <row r="2348" spans="1:15" x14ac:dyDescent="0.25">
      <c r="A2348" s="1">
        <v>2347</v>
      </c>
      <c r="B2348" s="2">
        <v>45479</v>
      </c>
      <c r="C2348" s="1" t="s">
        <v>25</v>
      </c>
      <c r="D2348" s="1" t="s">
        <v>26</v>
      </c>
      <c r="E2348" s="1" t="s">
        <v>27</v>
      </c>
      <c r="F2348" s="1" t="s">
        <v>31</v>
      </c>
      <c r="G2348" s="1">
        <v>5</v>
      </c>
      <c r="H2348" s="1">
        <v>484</v>
      </c>
      <c r="I2348" s="1">
        <v>10</v>
      </c>
      <c r="J2348" s="4">
        <v>2178</v>
      </c>
      <c r="K2348" s="4">
        <v>1239.6500000000001</v>
      </c>
      <c r="L2348" s="4">
        <v>938.35</v>
      </c>
      <c r="M2348" s="1" t="str">
        <f>TEXT(Table1[[#This Row],[Order_Date]], "MMM")</f>
        <v>Jul</v>
      </c>
      <c r="N2348" s="1">
        <f>YEAR(Table1[[#This Row],[Order_Date]])</f>
        <v>2024</v>
      </c>
      <c r="O2348" s="7">
        <f>Table1[[#This Row],[Profit]]/Table1[[#This Row],[Total_Sales]]</f>
        <v>0.43083103764921948</v>
      </c>
    </row>
    <row r="2349" spans="1:15" x14ac:dyDescent="0.25">
      <c r="A2349" s="1">
        <v>2348</v>
      </c>
      <c r="B2349" s="2">
        <v>44968</v>
      </c>
      <c r="C2349" s="1" t="s">
        <v>25</v>
      </c>
      <c r="D2349" s="1" t="s">
        <v>13</v>
      </c>
      <c r="E2349" s="1" t="s">
        <v>38</v>
      </c>
      <c r="F2349" s="1" t="s">
        <v>15</v>
      </c>
      <c r="G2349" s="1">
        <v>2</v>
      </c>
      <c r="H2349" s="1">
        <v>385</v>
      </c>
      <c r="I2349" s="1">
        <v>5</v>
      </c>
      <c r="J2349" s="4">
        <v>731.5</v>
      </c>
      <c r="K2349" s="4">
        <v>367.52</v>
      </c>
      <c r="L2349" s="4">
        <v>363.98</v>
      </c>
      <c r="M2349" s="1" t="str">
        <f>TEXT(Table1[[#This Row],[Order_Date]], "MMM")</f>
        <v>Feb</v>
      </c>
      <c r="N2349" s="1">
        <f>YEAR(Table1[[#This Row],[Order_Date]])</f>
        <v>2023</v>
      </c>
      <c r="O2349" s="7">
        <f>Table1[[#This Row],[Profit]]/Table1[[#This Row],[Total_Sales]]</f>
        <v>0.49758031442241973</v>
      </c>
    </row>
    <row r="2350" spans="1:15" x14ac:dyDescent="0.25">
      <c r="A2350" s="1">
        <v>2349</v>
      </c>
      <c r="B2350" s="2">
        <v>45208</v>
      </c>
      <c r="C2350" s="1" t="s">
        <v>19</v>
      </c>
      <c r="D2350" s="1" t="s">
        <v>22</v>
      </c>
      <c r="E2350" s="1" t="s">
        <v>23</v>
      </c>
      <c r="F2350" s="1" t="s">
        <v>31</v>
      </c>
      <c r="G2350" s="1">
        <v>1</v>
      </c>
      <c r="H2350" s="1">
        <v>341</v>
      </c>
      <c r="I2350" s="1">
        <v>15</v>
      </c>
      <c r="J2350" s="4">
        <v>289.85000000000002</v>
      </c>
      <c r="K2350" s="4">
        <v>178.89</v>
      </c>
      <c r="L2350" s="4">
        <v>110.96</v>
      </c>
      <c r="M2350" s="1" t="str">
        <f>TEXT(Table1[[#This Row],[Order_Date]], "MMM")</f>
        <v>Oct</v>
      </c>
      <c r="N2350" s="1">
        <f>YEAR(Table1[[#This Row],[Order_Date]])</f>
        <v>2023</v>
      </c>
      <c r="O2350" s="7">
        <f>Table1[[#This Row],[Profit]]/Table1[[#This Row],[Total_Sales]]</f>
        <v>0.38281869932723817</v>
      </c>
    </row>
    <row r="2351" spans="1:15" x14ac:dyDescent="0.25">
      <c r="A2351" s="1">
        <v>2350</v>
      </c>
      <c r="B2351" s="2">
        <v>44940</v>
      </c>
      <c r="C2351" s="1" t="s">
        <v>19</v>
      </c>
      <c r="D2351" s="1" t="s">
        <v>32</v>
      </c>
      <c r="E2351" s="1" t="s">
        <v>33</v>
      </c>
      <c r="F2351" s="1" t="s">
        <v>15</v>
      </c>
      <c r="G2351" s="1">
        <v>1</v>
      </c>
      <c r="H2351" s="1">
        <v>976</v>
      </c>
      <c r="I2351" s="1">
        <v>10</v>
      </c>
      <c r="J2351" s="4">
        <v>878.4</v>
      </c>
      <c r="K2351" s="4">
        <v>461.39</v>
      </c>
      <c r="L2351" s="4">
        <v>417.01</v>
      </c>
      <c r="M2351" s="1" t="str">
        <f>TEXT(Table1[[#This Row],[Order_Date]], "MMM")</f>
        <v>Jan</v>
      </c>
      <c r="N2351" s="1">
        <f>YEAR(Table1[[#This Row],[Order_Date]])</f>
        <v>2023</v>
      </c>
      <c r="O2351" s="7">
        <f>Table1[[#This Row],[Profit]]/Table1[[#This Row],[Total_Sales]]</f>
        <v>0.474738160291439</v>
      </c>
    </row>
    <row r="2352" spans="1:15" x14ac:dyDescent="0.25">
      <c r="A2352" s="1">
        <v>2351</v>
      </c>
      <c r="B2352" s="2">
        <v>45430</v>
      </c>
      <c r="C2352" s="1" t="s">
        <v>19</v>
      </c>
      <c r="D2352" s="1" t="s">
        <v>32</v>
      </c>
      <c r="E2352" s="1" t="s">
        <v>34</v>
      </c>
      <c r="F2352" s="1" t="s">
        <v>40</v>
      </c>
      <c r="G2352" s="1">
        <v>10</v>
      </c>
      <c r="H2352" s="1">
        <v>871</v>
      </c>
      <c r="I2352" s="1">
        <v>0</v>
      </c>
      <c r="J2352" s="4">
        <v>8710</v>
      </c>
      <c r="K2352" s="4">
        <v>5574.05</v>
      </c>
      <c r="L2352" s="4">
        <v>3135.95</v>
      </c>
      <c r="M2352" s="1" t="str">
        <f>TEXT(Table1[[#This Row],[Order_Date]], "MMM")</f>
        <v>May</v>
      </c>
      <c r="N2352" s="1">
        <f>YEAR(Table1[[#This Row],[Order_Date]])</f>
        <v>2024</v>
      </c>
      <c r="O2352" s="7">
        <f>Table1[[#This Row],[Profit]]/Table1[[#This Row],[Total_Sales]]</f>
        <v>0.36004018369690011</v>
      </c>
    </row>
    <row r="2353" spans="1:15" x14ac:dyDescent="0.25">
      <c r="A2353" s="1">
        <v>2352</v>
      </c>
      <c r="B2353" s="2">
        <v>45581</v>
      </c>
      <c r="C2353" s="1" t="s">
        <v>19</v>
      </c>
      <c r="D2353" s="1" t="s">
        <v>20</v>
      </c>
      <c r="E2353" s="1" t="s">
        <v>21</v>
      </c>
      <c r="F2353" s="1" t="s">
        <v>31</v>
      </c>
      <c r="G2353" s="1">
        <v>2</v>
      </c>
      <c r="H2353" s="1">
        <v>953</v>
      </c>
      <c r="I2353" s="1">
        <v>15</v>
      </c>
      <c r="J2353" s="4">
        <v>1620.1</v>
      </c>
      <c r="K2353" s="4">
        <v>983.37</v>
      </c>
      <c r="L2353" s="4">
        <v>636.73</v>
      </c>
      <c r="M2353" s="1" t="str">
        <f>TEXT(Table1[[#This Row],[Order_Date]], "MMM")</f>
        <v>Oct</v>
      </c>
      <c r="N2353" s="1">
        <f>YEAR(Table1[[#This Row],[Order_Date]])</f>
        <v>2024</v>
      </c>
      <c r="O2353" s="7">
        <f>Table1[[#This Row],[Profit]]/Table1[[#This Row],[Total_Sales]]</f>
        <v>0.39301894944756499</v>
      </c>
    </row>
    <row r="2354" spans="1:15" x14ac:dyDescent="0.25">
      <c r="A2354" s="1">
        <v>2353</v>
      </c>
      <c r="B2354" s="2">
        <v>44985</v>
      </c>
      <c r="C2354" s="1" t="s">
        <v>19</v>
      </c>
      <c r="D2354" s="1" t="s">
        <v>32</v>
      </c>
      <c r="E2354" s="1" t="s">
        <v>33</v>
      </c>
      <c r="F2354" s="1" t="s">
        <v>35</v>
      </c>
      <c r="G2354" s="1">
        <v>7</v>
      </c>
      <c r="H2354" s="1">
        <v>83</v>
      </c>
      <c r="I2354" s="1">
        <v>0</v>
      </c>
      <c r="J2354" s="4">
        <v>581</v>
      </c>
      <c r="K2354" s="4">
        <v>413.19</v>
      </c>
      <c r="L2354" s="4">
        <v>167.81</v>
      </c>
      <c r="M2354" s="1" t="str">
        <f>TEXT(Table1[[#This Row],[Order_Date]], "MMM")</f>
        <v>Feb</v>
      </c>
      <c r="N2354" s="1">
        <f>YEAR(Table1[[#This Row],[Order_Date]])</f>
        <v>2023</v>
      </c>
      <c r="O2354" s="7">
        <f>Table1[[#This Row],[Profit]]/Table1[[#This Row],[Total_Sales]]</f>
        <v>0.28882960413080894</v>
      </c>
    </row>
    <row r="2355" spans="1:15" x14ac:dyDescent="0.25">
      <c r="A2355" s="1">
        <v>2354</v>
      </c>
      <c r="B2355" s="2">
        <v>45609</v>
      </c>
      <c r="C2355" s="1" t="s">
        <v>19</v>
      </c>
      <c r="D2355" s="1" t="s">
        <v>13</v>
      </c>
      <c r="E2355" s="1" t="s">
        <v>17</v>
      </c>
      <c r="F2355" s="1" t="s">
        <v>35</v>
      </c>
      <c r="G2355" s="1">
        <v>2</v>
      </c>
      <c r="H2355" s="1">
        <v>813</v>
      </c>
      <c r="I2355" s="1">
        <v>10</v>
      </c>
      <c r="J2355" s="4">
        <v>1463.4</v>
      </c>
      <c r="K2355" s="4">
        <v>920.27</v>
      </c>
      <c r="L2355" s="4">
        <v>543.13</v>
      </c>
      <c r="M2355" s="1" t="str">
        <f>TEXT(Table1[[#This Row],[Order_Date]], "MMM")</f>
        <v>Nov</v>
      </c>
      <c r="N2355" s="1">
        <f>YEAR(Table1[[#This Row],[Order_Date]])</f>
        <v>2024</v>
      </c>
      <c r="O2355" s="7">
        <f>Table1[[#This Row],[Profit]]/Table1[[#This Row],[Total_Sales]]</f>
        <v>0.37114254475878089</v>
      </c>
    </row>
    <row r="2356" spans="1:15" x14ac:dyDescent="0.25">
      <c r="A2356" s="1">
        <v>2355</v>
      </c>
      <c r="B2356" s="2">
        <v>45057</v>
      </c>
      <c r="C2356" s="1" t="s">
        <v>19</v>
      </c>
      <c r="D2356" s="1" t="s">
        <v>13</v>
      </c>
      <c r="E2356" s="1" t="s">
        <v>39</v>
      </c>
      <c r="F2356" s="1" t="s">
        <v>18</v>
      </c>
      <c r="G2356" s="1">
        <v>3</v>
      </c>
      <c r="H2356" s="1">
        <v>479</v>
      </c>
      <c r="I2356" s="1">
        <v>0</v>
      </c>
      <c r="J2356" s="4">
        <v>1437</v>
      </c>
      <c r="K2356" s="4">
        <v>779.92</v>
      </c>
      <c r="L2356" s="4">
        <v>657.08</v>
      </c>
      <c r="M2356" s="1" t="str">
        <f>TEXT(Table1[[#This Row],[Order_Date]], "MMM")</f>
        <v>May</v>
      </c>
      <c r="N2356" s="1">
        <f>YEAR(Table1[[#This Row],[Order_Date]])</f>
        <v>2023</v>
      </c>
      <c r="O2356" s="7">
        <f>Table1[[#This Row],[Profit]]/Table1[[#This Row],[Total_Sales]]</f>
        <v>0.45725817675713293</v>
      </c>
    </row>
    <row r="2357" spans="1:15" x14ac:dyDescent="0.25">
      <c r="A2357" s="1">
        <v>2356</v>
      </c>
      <c r="B2357" s="2">
        <v>45318</v>
      </c>
      <c r="C2357" s="1" t="s">
        <v>12</v>
      </c>
      <c r="D2357" s="1" t="s">
        <v>22</v>
      </c>
      <c r="E2357" s="1" t="s">
        <v>29</v>
      </c>
      <c r="F2357" s="1" t="s">
        <v>15</v>
      </c>
      <c r="G2357" s="1">
        <v>3</v>
      </c>
      <c r="H2357" s="1">
        <v>296</v>
      </c>
      <c r="I2357" s="1">
        <v>15</v>
      </c>
      <c r="J2357" s="4">
        <v>754.8</v>
      </c>
      <c r="K2357" s="4">
        <v>539.80999999999995</v>
      </c>
      <c r="L2357" s="4">
        <v>214.99</v>
      </c>
      <c r="M2357" s="1" t="str">
        <f>TEXT(Table1[[#This Row],[Order_Date]], "MMM")</f>
        <v>Jan</v>
      </c>
      <c r="N2357" s="1">
        <f>YEAR(Table1[[#This Row],[Order_Date]])</f>
        <v>2024</v>
      </c>
      <c r="O2357" s="7">
        <f>Table1[[#This Row],[Profit]]/Table1[[#This Row],[Total_Sales]]</f>
        <v>0.28483041865394809</v>
      </c>
    </row>
    <row r="2358" spans="1:15" x14ac:dyDescent="0.25">
      <c r="A2358" s="1">
        <v>2357</v>
      </c>
      <c r="B2358" s="2">
        <v>45241</v>
      </c>
      <c r="C2358" s="1" t="s">
        <v>25</v>
      </c>
      <c r="D2358" s="1" t="s">
        <v>32</v>
      </c>
      <c r="E2358" s="1" t="s">
        <v>33</v>
      </c>
      <c r="F2358" s="1" t="s">
        <v>18</v>
      </c>
      <c r="G2358" s="1">
        <v>10</v>
      </c>
      <c r="H2358" s="1">
        <v>823</v>
      </c>
      <c r="I2358" s="1">
        <v>15</v>
      </c>
      <c r="J2358" s="4">
        <v>6995.5</v>
      </c>
      <c r="K2358" s="4">
        <v>4590.51</v>
      </c>
      <c r="L2358" s="4">
        <v>2404.9899999999998</v>
      </c>
      <c r="M2358" s="1" t="str">
        <f>TEXT(Table1[[#This Row],[Order_Date]], "MMM")</f>
        <v>Nov</v>
      </c>
      <c r="N2358" s="1">
        <f>YEAR(Table1[[#This Row],[Order_Date]])</f>
        <v>2023</v>
      </c>
      <c r="O2358" s="7">
        <f>Table1[[#This Row],[Profit]]/Table1[[#This Row],[Total_Sales]]</f>
        <v>0.34379100850546779</v>
      </c>
    </row>
    <row r="2359" spans="1:15" x14ac:dyDescent="0.25">
      <c r="A2359" s="1">
        <v>2358</v>
      </c>
      <c r="B2359" s="2">
        <v>45608</v>
      </c>
      <c r="C2359" s="1" t="s">
        <v>16</v>
      </c>
      <c r="D2359" s="1" t="s">
        <v>32</v>
      </c>
      <c r="E2359" s="1" t="s">
        <v>33</v>
      </c>
      <c r="F2359" s="1" t="s">
        <v>40</v>
      </c>
      <c r="G2359" s="1">
        <v>9</v>
      </c>
      <c r="H2359" s="1">
        <v>610</v>
      </c>
      <c r="I2359" s="1">
        <v>5</v>
      </c>
      <c r="J2359" s="4">
        <v>5215.5</v>
      </c>
      <c r="K2359" s="4">
        <v>3022.4</v>
      </c>
      <c r="L2359" s="4">
        <v>2193.1</v>
      </c>
      <c r="M2359" s="1" t="str">
        <f>TEXT(Table1[[#This Row],[Order_Date]], "MMM")</f>
        <v>Nov</v>
      </c>
      <c r="N2359" s="1">
        <f>YEAR(Table1[[#This Row],[Order_Date]])</f>
        <v>2024</v>
      </c>
      <c r="O2359" s="7">
        <f>Table1[[#This Row],[Profit]]/Table1[[#This Row],[Total_Sales]]</f>
        <v>0.42049659668296424</v>
      </c>
    </row>
    <row r="2360" spans="1:15" x14ac:dyDescent="0.25">
      <c r="A2360" s="1">
        <v>2359</v>
      </c>
      <c r="B2360" s="2">
        <v>45198</v>
      </c>
      <c r="C2360" s="1" t="s">
        <v>25</v>
      </c>
      <c r="D2360" s="1" t="s">
        <v>32</v>
      </c>
      <c r="E2360" s="1" t="s">
        <v>33</v>
      </c>
      <c r="F2360" s="1" t="s">
        <v>35</v>
      </c>
      <c r="G2360" s="1">
        <v>10</v>
      </c>
      <c r="H2360" s="1">
        <v>714</v>
      </c>
      <c r="I2360" s="1">
        <v>15</v>
      </c>
      <c r="J2360" s="4">
        <v>6069</v>
      </c>
      <c r="K2360" s="4">
        <v>4089.85</v>
      </c>
      <c r="L2360" s="4">
        <v>1979.15</v>
      </c>
      <c r="M2360" s="1" t="str">
        <f>TEXT(Table1[[#This Row],[Order_Date]], "MMM")</f>
        <v>Sep</v>
      </c>
      <c r="N2360" s="1">
        <f>YEAR(Table1[[#This Row],[Order_Date]])</f>
        <v>2023</v>
      </c>
      <c r="O2360" s="7">
        <f>Table1[[#This Row],[Profit]]/Table1[[#This Row],[Total_Sales]]</f>
        <v>0.32610809029494153</v>
      </c>
    </row>
    <row r="2361" spans="1:15" x14ac:dyDescent="0.25">
      <c r="A2361" s="1">
        <v>2360</v>
      </c>
      <c r="B2361" s="2">
        <v>45320</v>
      </c>
      <c r="C2361" s="1" t="s">
        <v>16</v>
      </c>
      <c r="D2361" s="1" t="s">
        <v>32</v>
      </c>
      <c r="E2361" s="1" t="s">
        <v>45</v>
      </c>
      <c r="F2361" s="1" t="s">
        <v>15</v>
      </c>
      <c r="G2361" s="1">
        <v>8</v>
      </c>
      <c r="H2361" s="1">
        <v>372</v>
      </c>
      <c r="I2361" s="1">
        <v>15</v>
      </c>
      <c r="J2361" s="4">
        <v>2529.6</v>
      </c>
      <c r="K2361" s="4">
        <v>1692.05</v>
      </c>
      <c r="L2361" s="4">
        <v>837.55</v>
      </c>
      <c r="M2361" s="1" t="str">
        <f>TEXT(Table1[[#This Row],[Order_Date]], "MMM")</f>
        <v>Jan</v>
      </c>
      <c r="N2361" s="1">
        <f>YEAR(Table1[[#This Row],[Order_Date]])</f>
        <v>2024</v>
      </c>
      <c r="O2361" s="7">
        <f>Table1[[#This Row],[Profit]]/Table1[[#This Row],[Total_Sales]]</f>
        <v>0.33109977862112588</v>
      </c>
    </row>
    <row r="2362" spans="1:15" x14ac:dyDescent="0.25">
      <c r="A2362" s="1">
        <v>2361</v>
      </c>
      <c r="B2362" s="2">
        <v>45476</v>
      </c>
      <c r="C2362" s="1" t="s">
        <v>12</v>
      </c>
      <c r="D2362" s="1" t="s">
        <v>26</v>
      </c>
      <c r="E2362" s="1" t="s">
        <v>27</v>
      </c>
      <c r="F2362" s="1" t="s">
        <v>31</v>
      </c>
      <c r="G2362" s="1">
        <v>7</v>
      </c>
      <c r="H2362" s="1">
        <v>283</v>
      </c>
      <c r="I2362" s="1">
        <v>20</v>
      </c>
      <c r="J2362" s="4">
        <v>1584.8</v>
      </c>
      <c r="K2362" s="4">
        <v>1089.68</v>
      </c>
      <c r="L2362" s="4">
        <v>495.12</v>
      </c>
      <c r="M2362" s="1" t="str">
        <f>TEXT(Table1[[#This Row],[Order_Date]], "MMM")</f>
        <v>Jul</v>
      </c>
      <c r="N2362" s="1">
        <f>YEAR(Table1[[#This Row],[Order_Date]])</f>
        <v>2024</v>
      </c>
      <c r="O2362" s="7">
        <f>Table1[[#This Row],[Profit]]/Table1[[#This Row],[Total_Sales]]</f>
        <v>0.31241797072185767</v>
      </c>
    </row>
    <row r="2363" spans="1:15" x14ac:dyDescent="0.25">
      <c r="A2363" s="1">
        <v>2362</v>
      </c>
      <c r="B2363" s="2">
        <v>45144</v>
      </c>
      <c r="C2363" s="1" t="s">
        <v>12</v>
      </c>
      <c r="D2363" s="1" t="s">
        <v>22</v>
      </c>
      <c r="E2363" s="1" t="s">
        <v>23</v>
      </c>
      <c r="F2363" s="1" t="s">
        <v>40</v>
      </c>
      <c r="G2363" s="1">
        <v>1</v>
      </c>
      <c r="H2363" s="1">
        <v>750</v>
      </c>
      <c r="I2363" s="1">
        <v>0</v>
      </c>
      <c r="J2363" s="4">
        <v>750</v>
      </c>
      <c r="K2363" s="4">
        <v>384.92</v>
      </c>
      <c r="L2363" s="4">
        <v>365.08</v>
      </c>
      <c r="M2363" s="1" t="str">
        <f>TEXT(Table1[[#This Row],[Order_Date]], "MMM")</f>
        <v>Aug</v>
      </c>
      <c r="N2363" s="1">
        <f>YEAR(Table1[[#This Row],[Order_Date]])</f>
        <v>2023</v>
      </c>
      <c r="O2363" s="7">
        <f>Table1[[#This Row],[Profit]]/Table1[[#This Row],[Total_Sales]]</f>
        <v>0.48677333333333334</v>
      </c>
    </row>
    <row r="2364" spans="1:15" x14ac:dyDescent="0.25">
      <c r="A2364" s="1">
        <v>2363</v>
      </c>
      <c r="B2364" s="2">
        <v>45095</v>
      </c>
      <c r="C2364" s="1" t="s">
        <v>19</v>
      </c>
      <c r="D2364" s="1" t="s">
        <v>20</v>
      </c>
      <c r="E2364" s="1" t="s">
        <v>30</v>
      </c>
      <c r="F2364" s="1" t="s">
        <v>24</v>
      </c>
      <c r="G2364" s="1">
        <v>3</v>
      </c>
      <c r="H2364" s="1">
        <v>746</v>
      </c>
      <c r="I2364" s="1">
        <v>0</v>
      </c>
      <c r="J2364" s="4">
        <v>2238</v>
      </c>
      <c r="K2364" s="4">
        <v>1254.78</v>
      </c>
      <c r="L2364" s="4">
        <v>983.22</v>
      </c>
      <c r="M2364" s="1" t="str">
        <f>TEXT(Table1[[#This Row],[Order_Date]], "MMM")</f>
        <v>Jun</v>
      </c>
      <c r="N2364" s="1">
        <f>YEAR(Table1[[#This Row],[Order_Date]])</f>
        <v>2023</v>
      </c>
      <c r="O2364" s="7">
        <f>Table1[[#This Row],[Profit]]/Table1[[#This Row],[Total_Sales]]</f>
        <v>0.43932975871313673</v>
      </c>
    </row>
    <row r="2365" spans="1:15" x14ac:dyDescent="0.25">
      <c r="A2365" s="1">
        <v>2364</v>
      </c>
      <c r="B2365" s="2">
        <v>45302</v>
      </c>
      <c r="C2365" s="1" t="s">
        <v>12</v>
      </c>
      <c r="D2365" s="1" t="s">
        <v>26</v>
      </c>
      <c r="E2365" s="1" t="s">
        <v>27</v>
      </c>
      <c r="F2365" s="1" t="s">
        <v>40</v>
      </c>
      <c r="G2365" s="1">
        <v>1</v>
      </c>
      <c r="H2365" s="1">
        <v>373</v>
      </c>
      <c r="I2365" s="1">
        <v>15</v>
      </c>
      <c r="J2365" s="4">
        <v>317.05</v>
      </c>
      <c r="K2365" s="4">
        <v>229.73</v>
      </c>
      <c r="L2365" s="4">
        <v>87.32</v>
      </c>
      <c r="M2365" s="1" t="str">
        <f>TEXT(Table1[[#This Row],[Order_Date]], "MMM")</f>
        <v>Jan</v>
      </c>
      <c r="N2365" s="1">
        <f>YEAR(Table1[[#This Row],[Order_Date]])</f>
        <v>2024</v>
      </c>
      <c r="O2365" s="7">
        <f>Table1[[#This Row],[Profit]]/Table1[[#This Row],[Total_Sales]]</f>
        <v>0.27541397255953315</v>
      </c>
    </row>
    <row r="2366" spans="1:15" x14ac:dyDescent="0.25">
      <c r="A2366" s="1">
        <v>2365</v>
      </c>
      <c r="B2366" s="2">
        <v>45538</v>
      </c>
      <c r="C2366" s="1" t="s">
        <v>16</v>
      </c>
      <c r="D2366" s="1" t="s">
        <v>22</v>
      </c>
      <c r="E2366" s="1" t="s">
        <v>44</v>
      </c>
      <c r="F2366" s="1" t="s">
        <v>15</v>
      </c>
      <c r="G2366" s="1">
        <v>1</v>
      </c>
      <c r="H2366" s="1">
        <v>243</v>
      </c>
      <c r="I2366" s="1">
        <v>10</v>
      </c>
      <c r="J2366" s="4">
        <v>218.7</v>
      </c>
      <c r="K2366" s="4">
        <v>134.66</v>
      </c>
      <c r="L2366" s="4">
        <v>84.04</v>
      </c>
      <c r="M2366" s="1" t="str">
        <f>TEXT(Table1[[#This Row],[Order_Date]], "MMM")</f>
        <v>Sep</v>
      </c>
      <c r="N2366" s="1">
        <f>YEAR(Table1[[#This Row],[Order_Date]])</f>
        <v>2024</v>
      </c>
      <c r="O2366" s="7">
        <f>Table1[[#This Row],[Profit]]/Table1[[#This Row],[Total_Sales]]</f>
        <v>0.38427069044353002</v>
      </c>
    </row>
    <row r="2367" spans="1:15" x14ac:dyDescent="0.25">
      <c r="A2367" s="1">
        <v>2366</v>
      </c>
      <c r="B2367" s="2">
        <v>45235</v>
      </c>
      <c r="C2367" s="1" t="s">
        <v>12</v>
      </c>
      <c r="D2367" s="1" t="s">
        <v>13</v>
      </c>
      <c r="E2367" s="1" t="s">
        <v>17</v>
      </c>
      <c r="F2367" s="1" t="s">
        <v>31</v>
      </c>
      <c r="G2367" s="1">
        <v>1</v>
      </c>
      <c r="H2367" s="1">
        <v>18</v>
      </c>
      <c r="I2367" s="1">
        <v>0</v>
      </c>
      <c r="J2367" s="4">
        <v>18</v>
      </c>
      <c r="K2367" s="4">
        <v>12.38</v>
      </c>
      <c r="L2367" s="4">
        <v>5.62</v>
      </c>
      <c r="M2367" s="1" t="str">
        <f>TEXT(Table1[[#This Row],[Order_Date]], "MMM")</f>
        <v>Nov</v>
      </c>
      <c r="N2367" s="1">
        <f>YEAR(Table1[[#This Row],[Order_Date]])</f>
        <v>2023</v>
      </c>
      <c r="O2367" s="7">
        <f>Table1[[#This Row],[Profit]]/Table1[[#This Row],[Total_Sales]]</f>
        <v>0.31222222222222223</v>
      </c>
    </row>
    <row r="2368" spans="1:15" x14ac:dyDescent="0.25">
      <c r="A2368" s="1">
        <v>2367</v>
      </c>
      <c r="B2368" s="2">
        <v>45048</v>
      </c>
      <c r="C2368" s="1" t="s">
        <v>19</v>
      </c>
      <c r="D2368" s="1" t="s">
        <v>22</v>
      </c>
      <c r="E2368" s="1" t="s">
        <v>44</v>
      </c>
      <c r="F2368" s="1" t="s">
        <v>31</v>
      </c>
      <c r="G2368" s="1">
        <v>7</v>
      </c>
      <c r="H2368" s="1">
        <v>467</v>
      </c>
      <c r="I2368" s="1">
        <v>0</v>
      </c>
      <c r="J2368" s="4">
        <v>3269</v>
      </c>
      <c r="K2368" s="4">
        <v>2527.9</v>
      </c>
      <c r="L2368" s="4">
        <v>741.1</v>
      </c>
      <c r="M2368" s="1" t="str">
        <f>TEXT(Table1[[#This Row],[Order_Date]], "MMM")</f>
        <v>May</v>
      </c>
      <c r="N2368" s="1">
        <f>YEAR(Table1[[#This Row],[Order_Date]])</f>
        <v>2023</v>
      </c>
      <c r="O2368" s="7">
        <f>Table1[[#This Row],[Profit]]/Table1[[#This Row],[Total_Sales]]</f>
        <v>0.22670541449984705</v>
      </c>
    </row>
    <row r="2369" spans="1:15" x14ac:dyDescent="0.25">
      <c r="A2369" s="1">
        <v>2368</v>
      </c>
      <c r="B2369" s="2">
        <v>45487</v>
      </c>
      <c r="C2369" s="1" t="s">
        <v>16</v>
      </c>
      <c r="D2369" s="1" t="s">
        <v>32</v>
      </c>
      <c r="E2369" s="1" t="s">
        <v>34</v>
      </c>
      <c r="F2369" s="1" t="s">
        <v>31</v>
      </c>
      <c r="G2369" s="1">
        <v>3</v>
      </c>
      <c r="H2369" s="1">
        <v>33</v>
      </c>
      <c r="I2369" s="1">
        <v>0</v>
      </c>
      <c r="J2369" s="4">
        <v>99</v>
      </c>
      <c r="K2369" s="4">
        <v>64.239999999999995</v>
      </c>
      <c r="L2369" s="4">
        <v>34.76</v>
      </c>
      <c r="M2369" s="1" t="str">
        <f>TEXT(Table1[[#This Row],[Order_Date]], "MMM")</f>
        <v>Jul</v>
      </c>
      <c r="N2369" s="1">
        <f>YEAR(Table1[[#This Row],[Order_Date]])</f>
        <v>2024</v>
      </c>
      <c r="O2369" s="7">
        <f>Table1[[#This Row],[Profit]]/Table1[[#This Row],[Total_Sales]]</f>
        <v>0.3511111111111111</v>
      </c>
    </row>
    <row r="2370" spans="1:15" x14ac:dyDescent="0.25">
      <c r="A2370" s="1">
        <v>2369</v>
      </c>
      <c r="B2370" s="2">
        <v>45020</v>
      </c>
      <c r="C2370" s="1" t="s">
        <v>16</v>
      </c>
      <c r="D2370" s="1" t="s">
        <v>26</v>
      </c>
      <c r="E2370" s="1" t="s">
        <v>46</v>
      </c>
      <c r="F2370" s="1" t="s">
        <v>18</v>
      </c>
      <c r="G2370" s="1">
        <v>8</v>
      </c>
      <c r="H2370" s="1">
        <v>56</v>
      </c>
      <c r="I2370" s="1">
        <v>5</v>
      </c>
      <c r="J2370" s="4">
        <v>425.6</v>
      </c>
      <c r="K2370" s="4">
        <v>236.14</v>
      </c>
      <c r="L2370" s="4">
        <v>189.46</v>
      </c>
      <c r="M2370" s="1" t="str">
        <f>TEXT(Table1[[#This Row],[Order_Date]], "MMM")</f>
        <v>Apr</v>
      </c>
      <c r="N2370" s="1">
        <f>YEAR(Table1[[#This Row],[Order_Date]])</f>
        <v>2023</v>
      </c>
      <c r="O2370" s="7">
        <f>Table1[[#This Row],[Profit]]/Table1[[#This Row],[Total_Sales]]</f>
        <v>0.44515977443609023</v>
      </c>
    </row>
    <row r="2371" spans="1:15" x14ac:dyDescent="0.25">
      <c r="A2371" s="1">
        <v>2370</v>
      </c>
      <c r="B2371" s="2">
        <v>45590</v>
      </c>
      <c r="C2371" s="1" t="s">
        <v>12</v>
      </c>
      <c r="D2371" s="1" t="s">
        <v>26</v>
      </c>
      <c r="E2371" s="1" t="s">
        <v>46</v>
      </c>
      <c r="F2371" s="1" t="s">
        <v>31</v>
      </c>
      <c r="G2371" s="1">
        <v>3</v>
      </c>
      <c r="H2371" s="1">
        <v>561</v>
      </c>
      <c r="I2371" s="1">
        <v>5</v>
      </c>
      <c r="J2371" s="4">
        <v>1598.85</v>
      </c>
      <c r="K2371" s="4">
        <v>1037.9000000000001</v>
      </c>
      <c r="L2371" s="4">
        <v>560.95000000000005</v>
      </c>
      <c r="M2371" s="1" t="str">
        <f>TEXT(Table1[[#This Row],[Order_Date]], "MMM")</f>
        <v>Oct</v>
      </c>
      <c r="N2371" s="1">
        <f>YEAR(Table1[[#This Row],[Order_Date]])</f>
        <v>2024</v>
      </c>
      <c r="O2371" s="7">
        <f>Table1[[#This Row],[Profit]]/Table1[[#This Row],[Total_Sales]]</f>
        <v>0.35084592050536328</v>
      </c>
    </row>
    <row r="2372" spans="1:15" x14ac:dyDescent="0.25">
      <c r="A2372" s="1">
        <v>2371</v>
      </c>
      <c r="B2372" s="2">
        <v>45178</v>
      </c>
      <c r="C2372" s="1" t="s">
        <v>19</v>
      </c>
      <c r="D2372" s="1" t="s">
        <v>20</v>
      </c>
      <c r="E2372" s="1" t="s">
        <v>21</v>
      </c>
      <c r="F2372" s="1" t="s">
        <v>18</v>
      </c>
      <c r="G2372" s="1">
        <v>10</v>
      </c>
      <c r="H2372" s="1">
        <v>165</v>
      </c>
      <c r="I2372" s="1">
        <v>5</v>
      </c>
      <c r="J2372" s="4">
        <v>1567.5</v>
      </c>
      <c r="K2372" s="4">
        <v>825.6</v>
      </c>
      <c r="L2372" s="4">
        <v>741.9</v>
      </c>
      <c r="M2372" s="1" t="str">
        <f>TEXT(Table1[[#This Row],[Order_Date]], "MMM")</f>
        <v>Sep</v>
      </c>
      <c r="N2372" s="1">
        <f>YEAR(Table1[[#This Row],[Order_Date]])</f>
        <v>2023</v>
      </c>
      <c r="O2372" s="7">
        <f>Table1[[#This Row],[Profit]]/Table1[[#This Row],[Total_Sales]]</f>
        <v>0.47330143540669856</v>
      </c>
    </row>
    <row r="2373" spans="1:15" x14ac:dyDescent="0.25">
      <c r="A2373" s="1">
        <v>2372</v>
      </c>
      <c r="B2373" s="2">
        <v>45552</v>
      </c>
      <c r="C2373" s="1" t="s">
        <v>19</v>
      </c>
      <c r="D2373" s="1" t="s">
        <v>13</v>
      </c>
      <c r="E2373" s="1" t="s">
        <v>17</v>
      </c>
      <c r="F2373" s="1" t="s">
        <v>40</v>
      </c>
      <c r="G2373" s="1">
        <v>1</v>
      </c>
      <c r="H2373" s="1">
        <v>708</v>
      </c>
      <c r="I2373" s="1">
        <v>15</v>
      </c>
      <c r="J2373" s="4">
        <v>601.79999999999995</v>
      </c>
      <c r="K2373" s="4">
        <v>354.49</v>
      </c>
      <c r="L2373" s="4">
        <v>247.31</v>
      </c>
      <c r="M2373" s="1" t="str">
        <f>TEXT(Table1[[#This Row],[Order_Date]], "MMM")</f>
        <v>Sep</v>
      </c>
      <c r="N2373" s="1">
        <f>YEAR(Table1[[#This Row],[Order_Date]])</f>
        <v>2024</v>
      </c>
      <c r="O2373" s="7">
        <f>Table1[[#This Row],[Profit]]/Table1[[#This Row],[Total_Sales]]</f>
        <v>0.41095048188767036</v>
      </c>
    </row>
    <row r="2374" spans="1:15" x14ac:dyDescent="0.25">
      <c r="A2374" s="1">
        <v>2373</v>
      </c>
      <c r="B2374" s="2">
        <v>45523</v>
      </c>
      <c r="C2374" s="1" t="s">
        <v>19</v>
      </c>
      <c r="D2374" s="1" t="s">
        <v>20</v>
      </c>
      <c r="E2374" s="1" t="s">
        <v>43</v>
      </c>
      <c r="F2374" s="1" t="s">
        <v>35</v>
      </c>
      <c r="G2374" s="1">
        <v>3</v>
      </c>
      <c r="H2374" s="1">
        <v>518</v>
      </c>
      <c r="I2374" s="1">
        <v>10</v>
      </c>
      <c r="J2374" s="4">
        <v>1398.6</v>
      </c>
      <c r="K2374" s="4">
        <v>986.67</v>
      </c>
      <c r="L2374" s="4">
        <v>411.93</v>
      </c>
      <c r="M2374" s="1" t="str">
        <f>TEXT(Table1[[#This Row],[Order_Date]], "MMM")</f>
        <v>Aug</v>
      </c>
      <c r="N2374" s="1">
        <f>YEAR(Table1[[#This Row],[Order_Date]])</f>
        <v>2024</v>
      </c>
      <c r="O2374" s="7">
        <f>Table1[[#This Row],[Profit]]/Table1[[#This Row],[Total_Sales]]</f>
        <v>0.29453024453024457</v>
      </c>
    </row>
    <row r="2375" spans="1:15" x14ac:dyDescent="0.25">
      <c r="A2375" s="1">
        <v>2374</v>
      </c>
      <c r="B2375" s="2">
        <v>44928</v>
      </c>
      <c r="C2375" s="1" t="s">
        <v>12</v>
      </c>
      <c r="D2375" s="1" t="s">
        <v>26</v>
      </c>
      <c r="E2375" s="1" t="s">
        <v>27</v>
      </c>
      <c r="F2375" s="1" t="s">
        <v>24</v>
      </c>
      <c r="G2375" s="1">
        <v>10</v>
      </c>
      <c r="H2375" s="1">
        <v>23</v>
      </c>
      <c r="I2375" s="1">
        <v>20</v>
      </c>
      <c r="J2375" s="4">
        <v>184</v>
      </c>
      <c r="K2375" s="4">
        <v>120.68</v>
      </c>
      <c r="L2375" s="4">
        <v>63.32</v>
      </c>
      <c r="M2375" s="1" t="str">
        <f>TEXT(Table1[[#This Row],[Order_Date]], "MMM")</f>
        <v>Jan</v>
      </c>
      <c r="N2375" s="1">
        <f>YEAR(Table1[[#This Row],[Order_Date]])</f>
        <v>2023</v>
      </c>
      <c r="O2375" s="7">
        <f>Table1[[#This Row],[Profit]]/Table1[[#This Row],[Total_Sales]]</f>
        <v>0.34413043478260869</v>
      </c>
    </row>
    <row r="2376" spans="1:15" x14ac:dyDescent="0.25">
      <c r="A2376" s="1">
        <v>2375</v>
      </c>
      <c r="B2376" s="2">
        <v>45047</v>
      </c>
      <c r="C2376" s="1" t="s">
        <v>16</v>
      </c>
      <c r="D2376" s="1" t="s">
        <v>26</v>
      </c>
      <c r="E2376" s="1" t="s">
        <v>27</v>
      </c>
      <c r="F2376" s="1" t="s">
        <v>40</v>
      </c>
      <c r="G2376" s="1">
        <v>6</v>
      </c>
      <c r="H2376" s="1">
        <v>978</v>
      </c>
      <c r="I2376" s="1">
        <v>0</v>
      </c>
      <c r="J2376" s="4">
        <v>5868</v>
      </c>
      <c r="K2376" s="4">
        <v>4059.53</v>
      </c>
      <c r="L2376" s="4">
        <v>1808.47</v>
      </c>
      <c r="M2376" s="1" t="str">
        <f>TEXT(Table1[[#This Row],[Order_Date]], "MMM")</f>
        <v>May</v>
      </c>
      <c r="N2376" s="1">
        <f>YEAR(Table1[[#This Row],[Order_Date]])</f>
        <v>2023</v>
      </c>
      <c r="O2376" s="7">
        <f>Table1[[#This Row],[Profit]]/Table1[[#This Row],[Total_Sales]]</f>
        <v>0.30819188820722565</v>
      </c>
    </row>
    <row r="2377" spans="1:15" x14ac:dyDescent="0.25">
      <c r="A2377" s="1">
        <v>2376</v>
      </c>
      <c r="B2377" s="2">
        <v>45305</v>
      </c>
      <c r="C2377" s="1" t="s">
        <v>12</v>
      </c>
      <c r="D2377" s="1" t="s">
        <v>20</v>
      </c>
      <c r="E2377" s="1" t="s">
        <v>21</v>
      </c>
      <c r="F2377" s="1" t="s">
        <v>24</v>
      </c>
      <c r="G2377" s="1">
        <v>5</v>
      </c>
      <c r="H2377" s="1">
        <v>24</v>
      </c>
      <c r="I2377" s="1">
        <v>5</v>
      </c>
      <c r="J2377" s="4">
        <v>114</v>
      </c>
      <c r="K2377" s="4">
        <v>67.08</v>
      </c>
      <c r="L2377" s="4">
        <v>46.92</v>
      </c>
      <c r="M2377" s="1" t="str">
        <f>TEXT(Table1[[#This Row],[Order_Date]], "MMM")</f>
        <v>Jan</v>
      </c>
      <c r="N2377" s="1">
        <f>YEAR(Table1[[#This Row],[Order_Date]])</f>
        <v>2024</v>
      </c>
      <c r="O2377" s="7">
        <f>Table1[[#This Row],[Profit]]/Table1[[#This Row],[Total_Sales]]</f>
        <v>0.41157894736842104</v>
      </c>
    </row>
    <row r="2378" spans="1:15" x14ac:dyDescent="0.25">
      <c r="A2378" s="1">
        <v>2377</v>
      </c>
      <c r="B2378" s="2">
        <v>45079</v>
      </c>
      <c r="C2378" s="1" t="s">
        <v>12</v>
      </c>
      <c r="D2378" s="1" t="s">
        <v>32</v>
      </c>
      <c r="E2378" s="1" t="s">
        <v>34</v>
      </c>
      <c r="F2378" s="1" t="s">
        <v>31</v>
      </c>
      <c r="G2378" s="1">
        <v>5</v>
      </c>
      <c r="H2378" s="1">
        <v>256</v>
      </c>
      <c r="I2378" s="1">
        <v>10</v>
      </c>
      <c r="J2378" s="4">
        <v>1152</v>
      </c>
      <c r="K2378" s="4">
        <v>598.95000000000005</v>
      </c>
      <c r="L2378" s="4">
        <v>553.04999999999995</v>
      </c>
      <c r="M2378" s="1" t="str">
        <f>TEXT(Table1[[#This Row],[Order_Date]], "MMM")</f>
        <v>Jun</v>
      </c>
      <c r="N2378" s="1">
        <f>YEAR(Table1[[#This Row],[Order_Date]])</f>
        <v>2023</v>
      </c>
      <c r="O2378" s="7">
        <f>Table1[[#This Row],[Profit]]/Table1[[#This Row],[Total_Sales]]</f>
        <v>0.48007812499999997</v>
      </c>
    </row>
    <row r="2379" spans="1:15" x14ac:dyDescent="0.25">
      <c r="A2379" s="1">
        <v>2378</v>
      </c>
      <c r="B2379" s="2">
        <v>45020</v>
      </c>
      <c r="C2379" s="1" t="s">
        <v>25</v>
      </c>
      <c r="D2379" s="1" t="s">
        <v>22</v>
      </c>
      <c r="E2379" s="1" t="s">
        <v>44</v>
      </c>
      <c r="F2379" s="1" t="s">
        <v>24</v>
      </c>
      <c r="G2379" s="1">
        <v>8</v>
      </c>
      <c r="H2379" s="1">
        <v>460</v>
      </c>
      <c r="I2379" s="1">
        <v>10</v>
      </c>
      <c r="J2379" s="4">
        <v>3312</v>
      </c>
      <c r="K2379" s="4">
        <v>1758.76</v>
      </c>
      <c r="L2379" s="4">
        <v>1553.24</v>
      </c>
      <c r="M2379" s="1" t="str">
        <f>TEXT(Table1[[#This Row],[Order_Date]], "MMM")</f>
        <v>Apr</v>
      </c>
      <c r="N2379" s="1">
        <f>YEAR(Table1[[#This Row],[Order_Date]])</f>
        <v>2023</v>
      </c>
      <c r="O2379" s="7">
        <f>Table1[[#This Row],[Profit]]/Table1[[#This Row],[Total_Sales]]</f>
        <v>0.46897342995169083</v>
      </c>
    </row>
    <row r="2380" spans="1:15" x14ac:dyDescent="0.25">
      <c r="A2380" s="1">
        <v>2379</v>
      </c>
      <c r="B2380" s="2">
        <v>45271</v>
      </c>
      <c r="C2380" s="1" t="s">
        <v>19</v>
      </c>
      <c r="D2380" s="1" t="s">
        <v>22</v>
      </c>
      <c r="E2380" s="1" t="s">
        <v>23</v>
      </c>
      <c r="F2380" s="1" t="s">
        <v>18</v>
      </c>
      <c r="G2380" s="1">
        <v>5</v>
      </c>
      <c r="H2380" s="1">
        <v>977</v>
      </c>
      <c r="I2380" s="1">
        <v>10</v>
      </c>
      <c r="J2380" s="4">
        <v>4396.5</v>
      </c>
      <c r="K2380" s="4">
        <v>2824.02</v>
      </c>
      <c r="L2380" s="4">
        <v>1572.48</v>
      </c>
      <c r="M2380" s="1" t="str">
        <f>TEXT(Table1[[#This Row],[Order_Date]], "MMM")</f>
        <v>Dec</v>
      </c>
      <c r="N2380" s="1">
        <f>YEAR(Table1[[#This Row],[Order_Date]])</f>
        <v>2023</v>
      </c>
      <c r="O2380" s="7">
        <f>Table1[[#This Row],[Profit]]/Table1[[#This Row],[Total_Sales]]</f>
        <v>0.35766632548618221</v>
      </c>
    </row>
    <row r="2381" spans="1:15" x14ac:dyDescent="0.25">
      <c r="A2381" s="1">
        <v>2380</v>
      </c>
      <c r="B2381" s="2">
        <v>45019</v>
      </c>
      <c r="C2381" s="1" t="s">
        <v>25</v>
      </c>
      <c r="D2381" s="1" t="s">
        <v>13</v>
      </c>
      <c r="E2381" s="1" t="s">
        <v>39</v>
      </c>
      <c r="F2381" s="1" t="s">
        <v>24</v>
      </c>
      <c r="G2381" s="1">
        <v>8</v>
      </c>
      <c r="H2381" s="1">
        <v>248</v>
      </c>
      <c r="I2381" s="1">
        <v>5</v>
      </c>
      <c r="J2381" s="4">
        <v>1884.8</v>
      </c>
      <c r="K2381" s="4">
        <v>1203.1199999999999</v>
      </c>
      <c r="L2381" s="4">
        <v>681.68</v>
      </c>
      <c r="M2381" s="1" t="str">
        <f>TEXT(Table1[[#This Row],[Order_Date]], "MMM")</f>
        <v>Apr</v>
      </c>
      <c r="N2381" s="1">
        <f>YEAR(Table1[[#This Row],[Order_Date]])</f>
        <v>2023</v>
      </c>
      <c r="O2381" s="7">
        <f>Table1[[#This Row],[Profit]]/Table1[[#This Row],[Total_Sales]]</f>
        <v>0.36167232597623089</v>
      </c>
    </row>
    <row r="2382" spans="1:15" x14ac:dyDescent="0.25">
      <c r="A2382" s="1">
        <v>2381</v>
      </c>
      <c r="B2382" s="2">
        <v>45438</v>
      </c>
      <c r="C2382" s="1" t="s">
        <v>25</v>
      </c>
      <c r="D2382" s="1" t="s">
        <v>13</v>
      </c>
      <c r="E2382" s="1" t="s">
        <v>17</v>
      </c>
      <c r="F2382" s="1" t="s">
        <v>15</v>
      </c>
      <c r="G2382" s="1">
        <v>2</v>
      </c>
      <c r="H2382" s="1">
        <v>381</v>
      </c>
      <c r="I2382" s="1">
        <v>15</v>
      </c>
      <c r="J2382" s="4">
        <v>647.70000000000005</v>
      </c>
      <c r="K2382" s="4">
        <v>470.35</v>
      </c>
      <c r="L2382" s="4">
        <v>177.35</v>
      </c>
      <c r="M2382" s="1" t="str">
        <f>TEXT(Table1[[#This Row],[Order_Date]], "MMM")</f>
        <v>May</v>
      </c>
      <c r="N2382" s="1">
        <f>YEAR(Table1[[#This Row],[Order_Date]])</f>
        <v>2024</v>
      </c>
      <c r="O2382" s="7">
        <f>Table1[[#This Row],[Profit]]/Table1[[#This Row],[Total_Sales]]</f>
        <v>0.27381503782615407</v>
      </c>
    </row>
    <row r="2383" spans="1:15" x14ac:dyDescent="0.25">
      <c r="A2383" s="1">
        <v>2382</v>
      </c>
      <c r="B2383" s="2">
        <v>45525</v>
      </c>
      <c r="C2383" s="1" t="s">
        <v>19</v>
      </c>
      <c r="D2383" s="1" t="s">
        <v>32</v>
      </c>
      <c r="E2383" s="1" t="s">
        <v>41</v>
      </c>
      <c r="F2383" s="1" t="s">
        <v>15</v>
      </c>
      <c r="G2383" s="1">
        <v>2</v>
      </c>
      <c r="H2383" s="1">
        <v>180</v>
      </c>
      <c r="I2383" s="1">
        <v>20</v>
      </c>
      <c r="J2383" s="4">
        <v>288</v>
      </c>
      <c r="K2383" s="4">
        <v>155.85</v>
      </c>
      <c r="L2383" s="4">
        <v>132.15</v>
      </c>
      <c r="M2383" s="1" t="str">
        <f>TEXT(Table1[[#This Row],[Order_Date]], "MMM")</f>
        <v>Aug</v>
      </c>
      <c r="N2383" s="1">
        <f>YEAR(Table1[[#This Row],[Order_Date]])</f>
        <v>2024</v>
      </c>
      <c r="O2383" s="7">
        <f>Table1[[#This Row],[Profit]]/Table1[[#This Row],[Total_Sales]]</f>
        <v>0.45885416666666667</v>
      </c>
    </row>
    <row r="2384" spans="1:15" x14ac:dyDescent="0.25">
      <c r="A2384" s="1">
        <v>2383</v>
      </c>
      <c r="B2384" s="2">
        <v>45437</v>
      </c>
      <c r="C2384" s="1" t="s">
        <v>25</v>
      </c>
      <c r="D2384" s="1" t="s">
        <v>13</v>
      </c>
      <c r="E2384" s="1" t="s">
        <v>38</v>
      </c>
      <c r="F2384" s="1" t="s">
        <v>18</v>
      </c>
      <c r="G2384" s="1">
        <v>1</v>
      </c>
      <c r="H2384" s="1">
        <v>679</v>
      </c>
      <c r="I2384" s="1">
        <v>0</v>
      </c>
      <c r="J2384" s="4">
        <v>679</v>
      </c>
      <c r="K2384" s="4">
        <v>393.64</v>
      </c>
      <c r="L2384" s="4">
        <v>285.36</v>
      </c>
      <c r="M2384" s="1" t="str">
        <f>TEXT(Table1[[#This Row],[Order_Date]], "MMM")</f>
        <v>May</v>
      </c>
      <c r="N2384" s="1">
        <f>YEAR(Table1[[#This Row],[Order_Date]])</f>
        <v>2024</v>
      </c>
      <c r="O2384" s="7">
        <f>Table1[[#This Row],[Profit]]/Table1[[#This Row],[Total_Sales]]</f>
        <v>0.42026509572901327</v>
      </c>
    </row>
    <row r="2385" spans="1:15" x14ac:dyDescent="0.25">
      <c r="A2385" s="1">
        <v>2384</v>
      </c>
      <c r="B2385" s="2">
        <v>45441</v>
      </c>
      <c r="C2385" s="1" t="s">
        <v>16</v>
      </c>
      <c r="D2385" s="1" t="s">
        <v>20</v>
      </c>
      <c r="E2385" s="1" t="s">
        <v>30</v>
      </c>
      <c r="F2385" s="1" t="s">
        <v>24</v>
      </c>
      <c r="G2385" s="1">
        <v>1</v>
      </c>
      <c r="H2385" s="1">
        <v>801</v>
      </c>
      <c r="I2385" s="1">
        <v>10</v>
      </c>
      <c r="J2385" s="4">
        <v>720.9</v>
      </c>
      <c r="K2385" s="4">
        <v>431.27</v>
      </c>
      <c r="L2385" s="4">
        <v>289.63</v>
      </c>
      <c r="M2385" s="1" t="str">
        <f>TEXT(Table1[[#This Row],[Order_Date]], "MMM")</f>
        <v>May</v>
      </c>
      <c r="N2385" s="1">
        <f>YEAR(Table1[[#This Row],[Order_Date]])</f>
        <v>2024</v>
      </c>
      <c r="O2385" s="7">
        <f>Table1[[#This Row],[Profit]]/Table1[[#This Row],[Total_Sales]]</f>
        <v>0.40176168678041335</v>
      </c>
    </row>
    <row r="2386" spans="1:15" x14ac:dyDescent="0.25">
      <c r="A2386" s="1">
        <v>2385</v>
      </c>
      <c r="B2386" s="2">
        <v>45360</v>
      </c>
      <c r="C2386" s="1" t="s">
        <v>16</v>
      </c>
      <c r="D2386" s="1" t="s">
        <v>20</v>
      </c>
      <c r="E2386" s="1" t="s">
        <v>28</v>
      </c>
      <c r="F2386" s="1" t="s">
        <v>15</v>
      </c>
      <c r="G2386" s="1">
        <v>10</v>
      </c>
      <c r="H2386" s="1">
        <v>694</v>
      </c>
      <c r="I2386" s="1">
        <v>15</v>
      </c>
      <c r="J2386" s="4">
        <v>5899</v>
      </c>
      <c r="K2386" s="4">
        <v>3639.1</v>
      </c>
      <c r="L2386" s="4">
        <v>2259.9</v>
      </c>
      <c r="M2386" s="1" t="str">
        <f>TEXT(Table1[[#This Row],[Order_Date]], "MMM")</f>
        <v>Mar</v>
      </c>
      <c r="N2386" s="1">
        <f>YEAR(Table1[[#This Row],[Order_Date]])</f>
        <v>2024</v>
      </c>
      <c r="O2386" s="7">
        <f>Table1[[#This Row],[Profit]]/Table1[[#This Row],[Total_Sales]]</f>
        <v>0.38309883031022207</v>
      </c>
    </row>
    <row r="2387" spans="1:15" x14ac:dyDescent="0.25">
      <c r="A2387" s="1">
        <v>2386</v>
      </c>
      <c r="B2387" s="2">
        <v>45031</v>
      </c>
      <c r="C2387" s="1" t="s">
        <v>12</v>
      </c>
      <c r="D2387" s="1" t="s">
        <v>13</v>
      </c>
      <c r="E2387" s="1" t="s">
        <v>14</v>
      </c>
      <c r="F2387" s="1" t="s">
        <v>15</v>
      </c>
      <c r="G2387" s="1">
        <v>7</v>
      </c>
      <c r="H2387" s="1">
        <v>328</v>
      </c>
      <c r="I2387" s="1">
        <v>0</v>
      </c>
      <c r="J2387" s="4">
        <v>2296</v>
      </c>
      <c r="K2387" s="4">
        <v>1306.77</v>
      </c>
      <c r="L2387" s="4">
        <v>989.23</v>
      </c>
      <c r="M2387" s="1" t="str">
        <f>TEXT(Table1[[#This Row],[Order_Date]], "MMM")</f>
        <v>Apr</v>
      </c>
      <c r="N2387" s="1">
        <f>YEAR(Table1[[#This Row],[Order_Date]])</f>
        <v>2023</v>
      </c>
      <c r="O2387" s="7">
        <f>Table1[[#This Row],[Profit]]/Table1[[#This Row],[Total_Sales]]</f>
        <v>0.43084930313588848</v>
      </c>
    </row>
    <row r="2388" spans="1:15" x14ac:dyDescent="0.25">
      <c r="A2388" s="1">
        <v>2387</v>
      </c>
      <c r="B2388" s="2">
        <v>45610</v>
      </c>
      <c r="C2388" s="1" t="s">
        <v>16</v>
      </c>
      <c r="D2388" s="1" t="s">
        <v>22</v>
      </c>
      <c r="E2388" s="1" t="s">
        <v>44</v>
      </c>
      <c r="F2388" s="1" t="s">
        <v>31</v>
      </c>
      <c r="G2388" s="1">
        <v>8</v>
      </c>
      <c r="H2388" s="1">
        <v>641</v>
      </c>
      <c r="I2388" s="1">
        <v>15</v>
      </c>
      <c r="J2388" s="4">
        <v>4358.8</v>
      </c>
      <c r="K2388" s="4">
        <v>3079.84</v>
      </c>
      <c r="L2388" s="4">
        <v>1278.96</v>
      </c>
      <c r="M2388" s="1" t="str">
        <f>TEXT(Table1[[#This Row],[Order_Date]], "MMM")</f>
        <v>Nov</v>
      </c>
      <c r="N2388" s="1">
        <f>YEAR(Table1[[#This Row],[Order_Date]])</f>
        <v>2024</v>
      </c>
      <c r="O2388" s="7">
        <f>Table1[[#This Row],[Profit]]/Table1[[#This Row],[Total_Sales]]</f>
        <v>0.29342020739653113</v>
      </c>
    </row>
    <row r="2389" spans="1:15" x14ac:dyDescent="0.25">
      <c r="A2389" s="1">
        <v>2388</v>
      </c>
      <c r="B2389" s="2">
        <v>45107</v>
      </c>
      <c r="C2389" s="1" t="s">
        <v>12</v>
      </c>
      <c r="D2389" s="1" t="s">
        <v>26</v>
      </c>
      <c r="E2389" s="1" t="s">
        <v>46</v>
      </c>
      <c r="F2389" s="1" t="s">
        <v>15</v>
      </c>
      <c r="G2389" s="1">
        <v>10</v>
      </c>
      <c r="H2389" s="1">
        <v>953</v>
      </c>
      <c r="I2389" s="1">
        <v>0</v>
      </c>
      <c r="J2389" s="4">
        <v>9530</v>
      </c>
      <c r="K2389" s="4">
        <v>5914.79</v>
      </c>
      <c r="L2389" s="4">
        <v>3615.21</v>
      </c>
      <c r="M2389" s="1" t="str">
        <f>TEXT(Table1[[#This Row],[Order_Date]], "MMM")</f>
        <v>Jun</v>
      </c>
      <c r="N2389" s="1">
        <f>YEAR(Table1[[#This Row],[Order_Date]])</f>
        <v>2023</v>
      </c>
      <c r="O2389" s="7">
        <f>Table1[[#This Row],[Profit]]/Table1[[#This Row],[Total_Sales]]</f>
        <v>0.37935047219307449</v>
      </c>
    </row>
    <row r="2390" spans="1:15" x14ac:dyDescent="0.25">
      <c r="A2390" s="1">
        <v>2389</v>
      </c>
      <c r="B2390" s="2">
        <v>45289</v>
      </c>
      <c r="C2390" s="1" t="s">
        <v>16</v>
      </c>
      <c r="D2390" s="1" t="s">
        <v>20</v>
      </c>
      <c r="E2390" s="1" t="s">
        <v>28</v>
      </c>
      <c r="F2390" s="1" t="s">
        <v>35</v>
      </c>
      <c r="G2390" s="1">
        <v>4</v>
      </c>
      <c r="H2390" s="1">
        <v>644</v>
      </c>
      <c r="I2390" s="1">
        <v>20</v>
      </c>
      <c r="J2390" s="4">
        <v>2060.8000000000002</v>
      </c>
      <c r="K2390" s="4">
        <v>1262.3599999999999</v>
      </c>
      <c r="L2390" s="4">
        <v>798.44</v>
      </c>
      <c r="M2390" s="1" t="str">
        <f>TEXT(Table1[[#This Row],[Order_Date]], "MMM")</f>
        <v>Dec</v>
      </c>
      <c r="N2390" s="1">
        <f>YEAR(Table1[[#This Row],[Order_Date]])</f>
        <v>2023</v>
      </c>
      <c r="O2390" s="7">
        <f>Table1[[#This Row],[Profit]]/Table1[[#This Row],[Total_Sales]]</f>
        <v>0.38744177018633541</v>
      </c>
    </row>
    <row r="2391" spans="1:15" x14ac:dyDescent="0.25">
      <c r="A2391" s="1">
        <v>2390</v>
      </c>
      <c r="B2391" s="2">
        <v>45049</v>
      </c>
      <c r="C2391" s="1" t="s">
        <v>25</v>
      </c>
      <c r="D2391" s="1" t="s">
        <v>20</v>
      </c>
      <c r="E2391" s="1" t="s">
        <v>21</v>
      </c>
      <c r="F2391" s="1" t="s">
        <v>31</v>
      </c>
      <c r="G2391" s="1">
        <v>2</v>
      </c>
      <c r="H2391" s="1">
        <v>555</v>
      </c>
      <c r="I2391" s="1">
        <v>5</v>
      </c>
      <c r="J2391" s="4">
        <v>1054.5</v>
      </c>
      <c r="K2391" s="4">
        <v>841.56</v>
      </c>
      <c r="L2391" s="4">
        <v>212.94</v>
      </c>
      <c r="M2391" s="1" t="str">
        <f>TEXT(Table1[[#This Row],[Order_Date]], "MMM")</f>
        <v>May</v>
      </c>
      <c r="N2391" s="1">
        <f>YEAR(Table1[[#This Row],[Order_Date]])</f>
        <v>2023</v>
      </c>
      <c r="O2391" s="7">
        <f>Table1[[#This Row],[Profit]]/Table1[[#This Row],[Total_Sales]]</f>
        <v>0.20193456614509245</v>
      </c>
    </row>
    <row r="2392" spans="1:15" x14ac:dyDescent="0.25">
      <c r="A2392" s="1">
        <v>2391</v>
      </c>
      <c r="B2392" s="2">
        <v>44966</v>
      </c>
      <c r="C2392" s="1" t="s">
        <v>12</v>
      </c>
      <c r="D2392" s="1" t="s">
        <v>26</v>
      </c>
      <c r="E2392" s="1" t="s">
        <v>42</v>
      </c>
      <c r="F2392" s="1" t="s">
        <v>40</v>
      </c>
      <c r="G2392" s="1">
        <v>8</v>
      </c>
      <c r="H2392" s="1">
        <v>347</v>
      </c>
      <c r="I2392" s="1">
        <v>10</v>
      </c>
      <c r="J2392" s="4">
        <v>2498.4</v>
      </c>
      <c r="K2392" s="4">
        <v>1845.54</v>
      </c>
      <c r="L2392" s="4">
        <v>652.86</v>
      </c>
      <c r="M2392" s="1" t="str">
        <f>TEXT(Table1[[#This Row],[Order_Date]], "MMM")</f>
        <v>Feb</v>
      </c>
      <c r="N2392" s="1">
        <f>YEAR(Table1[[#This Row],[Order_Date]])</f>
        <v>2023</v>
      </c>
      <c r="O2392" s="7">
        <f>Table1[[#This Row],[Profit]]/Table1[[#This Row],[Total_Sales]]</f>
        <v>0.26131123919308358</v>
      </c>
    </row>
    <row r="2393" spans="1:15" x14ac:dyDescent="0.25">
      <c r="A2393" s="1">
        <v>2392</v>
      </c>
      <c r="B2393" s="2">
        <v>45058</v>
      </c>
      <c r="C2393" s="1" t="s">
        <v>25</v>
      </c>
      <c r="D2393" s="1" t="s">
        <v>32</v>
      </c>
      <c r="E2393" s="1" t="s">
        <v>45</v>
      </c>
      <c r="F2393" s="1" t="s">
        <v>15</v>
      </c>
      <c r="G2393" s="1">
        <v>5</v>
      </c>
      <c r="H2393" s="1">
        <v>487</v>
      </c>
      <c r="I2393" s="1">
        <v>15</v>
      </c>
      <c r="J2393" s="4">
        <v>2069.75</v>
      </c>
      <c r="K2393" s="4">
        <v>1429.62</v>
      </c>
      <c r="L2393" s="4">
        <v>640.13</v>
      </c>
      <c r="M2393" s="1" t="str">
        <f>TEXT(Table1[[#This Row],[Order_Date]], "MMM")</f>
        <v>May</v>
      </c>
      <c r="N2393" s="1">
        <f>YEAR(Table1[[#This Row],[Order_Date]])</f>
        <v>2023</v>
      </c>
      <c r="O2393" s="7">
        <f>Table1[[#This Row],[Profit]]/Table1[[#This Row],[Total_Sales]]</f>
        <v>0.3092788984176833</v>
      </c>
    </row>
    <row r="2394" spans="1:15" x14ac:dyDescent="0.25">
      <c r="A2394" s="1">
        <v>2393</v>
      </c>
      <c r="B2394" s="2">
        <v>45559</v>
      </c>
      <c r="C2394" s="1" t="s">
        <v>25</v>
      </c>
      <c r="D2394" s="1" t="s">
        <v>22</v>
      </c>
      <c r="E2394" s="1" t="s">
        <v>23</v>
      </c>
      <c r="F2394" s="1" t="s">
        <v>35</v>
      </c>
      <c r="G2394" s="1">
        <v>7</v>
      </c>
      <c r="H2394" s="1">
        <v>462</v>
      </c>
      <c r="I2394" s="1">
        <v>15</v>
      </c>
      <c r="J2394" s="4">
        <v>2748.9</v>
      </c>
      <c r="K2394" s="4">
        <v>1690.53</v>
      </c>
      <c r="L2394" s="4">
        <v>1058.3699999999999</v>
      </c>
      <c r="M2394" s="1" t="str">
        <f>TEXT(Table1[[#This Row],[Order_Date]], "MMM")</f>
        <v>Sep</v>
      </c>
      <c r="N2394" s="1">
        <f>YEAR(Table1[[#This Row],[Order_Date]])</f>
        <v>2024</v>
      </c>
      <c r="O2394" s="7">
        <f>Table1[[#This Row],[Profit]]/Table1[[#This Row],[Total_Sales]]</f>
        <v>0.38501582451162281</v>
      </c>
    </row>
    <row r="2395" spans="1:15" x14ac:dyDescent="0.25">
      <c r="A2395" s="1">
        <v>2394</v>
      </c>
      <c r="B2395" s="2">
        <v>45067</v>
      </c>
      <c r="C2395" s="1" t="s">
        <v>19</v>
      </c>
      <c r="D2395" s="1" t="s">
        <v>22</v>
      </c>
      <c r="E2395" s="1" t="s">
        <v>23</v>
      </c>
      <c r="F2395" s="1" t="s">
        <v>18</v>
      </c>
      <c r="G2395" s="1">
        <v>8</v>
      </c>
      <c r="H2395" s="1">
        <v>935</v>
      </c>
      <c r="I2395" s="1">
        <v>10</v>
      </c>
      <c r="J2395" s="4">
        <v>6732</v>
      </c>
      <c r="K2395" s="4">
        <v>3519.08</v>
      </c>
      <c r="L2395" s="4">
        <v>3212.92</v>
      </c>
      <c r="M2395" s="1" t="str">
        <f>TEXT(Table1[[#This Row],[Order_Date]], "MMM")</f>
        <v>May</v>
      </c>
      <c r="N2395" s="1">
        <f>YEAR(Table1[[#This Row],[Order_Date]])</f>
        <v>2023</v>
      </c>
      <c r="O2395" s="7">
        <f>Table1[[#This Row],[Profit]]/Table1[[#This Row],[Total_Sales]]</f>
        <v>0.47726084373143196</v>
      </c>
    </row>
    <row r="2396" spans="1:15" x14ac:dyDescent="0.25">
      <c r="A2396" s="1">
        <v>2395</v>
      </c>
      <c r="B2396" s="2">
        <v>45026</v>
      </c>
      <c r="C2396" s="1" t="s">
        <v>25</v>
      </c>
      <c r="D2396" s="1" t="s">
        <v>32</v>
      </c>
      <c r="E2396" s="1" t="s">
        <v>34</v>
      </c>
      <c r="F2396" s="1" t="s">
        <v>31</v>
      </c>
      <c r="G2396" s="1">
        <v>10</v>
      </c>
      <c r="H2396" s="1">
        <v>821</v>
      </c>
      <c r="I2396" s="1">
        <v>5</v>
      </c>
      <c r="J2396" s="4">
        <v>7799.5</v>
      </c>
      <c r="K2396" s="4">
        <v>5738.12</v>
      </c>
      <c r="L2396" s="4">
        <v>2061.38</v>
      </c>
      <c r="M2396" s="1" t="str">
        <f>TEXT(Table1[[#This Row],[Order_Date]], "MMM")</f>
        <v>Apr</v>
      </c>
      <c r="N2396" s="1">
        <f>YEAR(Table1[[#This Row],[Order_Date]])</f>
        <v>2023</v>
      </c>
      <c r="O2396" s="7">
        <f>Table1[[#This Row],[Profit]]/Table1[[#This Row],[Total_Sales]]</f>
        <v>0.26429642925828578</v>
      </c>
    </row>
    <row r="2397" spans="1:15" x14ac:dyDescent="0.25">
      <c r="A2397" s="1">
        <v>2396</v>
      </c>
      <c r="B2397" s="2">
        <v>45054</v>
      </c>
      <c r="C2397" s="1" t="s">
        <v>19</v>
      </c>
      <c r="D2397" s="1" t="s">
        <v>32</v>
      </c>
      <c r="E2397" s="1" t="s">
        <v>41</v>
      </c>
      <c r="F2397" s="1" t="s">
        <v>31</v>
      </c>
      <c r="G2397" s="1">
        <v>3</v>
      </c>
      <c r="H2397" s="1">
        <v>10</v>
      </c>
      <c r="I2397" s="1">
        <v>20</v>
      </c>
      <c r="J2397" s="4">
        <v>24</v>
      </c>
      <c r="K2397" s="4">
        <v>18.920000000000002</v>
      </c>
      <c r="L2397" s="4">
        <v>5.08</v>
      </c>
      <c r="M2397" s="1" t="str">
        <f>TEXT(Table1[[#This Row],[Order_Date]], "MMM")</f>
        <v>May</v>
      </c>
      <c r="N2397" s="1">
        <f>YEAR(Table1[[#This Row],[Order_Date]])</f>
        <v>2023</v>
      </c>
      <c r="O2397" s="7">
        <f>Table1[[#This Row],[Profit]]/Table1[[#This Row],[Total_Sales]]</f>
        <v>0.21166666666666667</v>
      </c>
    </row>
    <row r="2398" spans="1:15" x14ac:dyDescent="0.25">
      <c r="A2398" s="1">
        <v>2397</v>
      </c>
      <c r="B2398" s="2">
        <v>45369</v>
      </c>
      <c r="C2398" s="1" t="s">
        <v>25</v>
      </c>
      <c r="D2398" s="1" t="s">
        <v>32</v>
      </c>
      <c r="E2398" s="1" t="s">
        <v>33</v>
      </c>
      <c r="F2398" s="1" t="s">
        <v>24</v>
      </c>
      <c r="G2398" s="1">
        <v>2</v>
      </c>
      <c r="H2398" s="1">
        <v>603</v>
      </c>
      <c r="I2398" s="1">
        <v>5</v>
      </c>
      <c r="J2398" s="4">
        <v>1145.7</v>
      </c>
      <c r="K2398" s="4">
        <v>846.28</v>
      </c>
      <c r="L2398" s="4">
        <v>299.42</v>
      </c>
      <c r="M2398" s="1" t="str">
        <f>TEXT(Table1[[#This Row],[Order_Date]], "MMM")</f>
        <v>Mar</v>
      </c>
      <c r="N2398" s="1">
        <f>YEAR(Table1[[#This Row],[Order_Date]])</f>
        <v>2024</v>
      </c>
      <c r="O2398" s="7">
        <f>Table1[[#This Row],[Profit]]/Table1[[#This Row],[Total_Sales]]</f>
        <v>0.26134241075325126</v>
      </c>
    </row>
    <row r="2399" spans="1:15" x14ac:dyDescent="0.25">
      <c r="A2399" s="1">
        <v>2398</v>
      </c>
      <c r="B2399" s="2">
        <v>45319</v>
      </c>
      <c r="C2399" s="1" t="s">
        <v>16</v>
      </c>
      <c r="D2399" s="1" t="s">
        <v>20</v>
      </c>
      <c r="E2399" s="1" t="s">
        <v>21</v>
      </c>
      <c r="F2399" s="1" t="s">
        <v>31</v>
      </c>
      <c r="G2399" s="1">
        <v>5</v>
      </c>
      <c r="H2399" s="1">
        <v>778</v>
      </c>
      <c r="I2399" s="1">
        <v>15</v>
      </c>
      <c r="J2399" s="4">
        <v>3306.5</v>
      </c>
      <c r="K2399" s="4">
        <v>2195.79</v>
      </c>
      <c r="L2399" s="4">
        <v>1110.71</v>
      </c>
      <c r="M2399" s="1" t="str">
        <f>TEXT(Table1[[#This Row],[Order_Date]], "MMM")</f>
        <v>Jan</v>
      </c>
      <c r="N2399" s="1">
        <f>YEAR(Table1[[#This Row],[Order_Date]])</f>
        <v>2024</v>
      </c>
      <c r="O2399" s="7">
        <f>Table1[[#This Row],[Profit]]/Table1[[#This Row],[Total_Sales]]</f>
        <v>0.33591713292000608</v>
      </c>
    </row>
    <row r="2400" spans="1:15" x14ac:dyDescent="0.25">
      <c r="A2400" s="1">
        <v>2399</v>
      </c>
      <c r="B2400" s="2">
        <v>44944</v>
      </c>
      <c r="C2400" s="1" t="s">
        <v>19</v>
      </c>
      <c r="D2400" s="1" t="s">
        <v>13</v>
      </c>
      <c r="E2400" s="1" t="s">
        <v>14</v>
      </c>
      <c r="F2400" s="1" t="s">
        <v>18</v>
      </c>
      <c r="G2400" s="1">
        <v>9</v>
      </c>
      <c r="H2400" s="1">
        <v>927</v>
      </c>
      <c r="I2400" s="1">
        <v>20</v>
      </c>
      <c r="J2400" s="4">
        <v>6674.4</v>
      </c>
      <c r="K2400" s="4">
        <v>5072.91</v>
      </c>
      <c r="L2400" s="4">
        <v>1601.49</v>
      </c>
      <c r="M2400" s="1" t="str">
        <f>TEXT(Table1[[#This Row],[Order_Date]], "MMM")</f>
        <v>Jan</v>
      </c>
      <c r="N2400" s="1">
        <f>YEAR(Table1[[#This Row],[Order_Date]])</f>
        <v>2023</v>
      </c>
      <c r="O2400" s="7">
        <f>Table1[[#This Row],[Profit]]/Table1[[#This Row],[Total_Sales]]</f>
        <v>0.23994516361021218</v>
      </c>
    </row>
    <row r="2401" spans="1:15" x14ac:dyDescent="0.25">
      <c r="A2401" s="1">
        <v>2400</v>
      </c>
      <c r="B2401" s="2">
        <v>45361</v>
      </c>
      <c r="C2401" s="1" t="s">
        <v>16</v>
      </c>
      <c r="D2401" s="1" t="s">
        <v>20</v>
      </c>
      <c r="E2401" s="1" t="s">
        <v>43</v>
      </c>
      <c r="F2401" s="1" t="s">
        <v>24</v>
      </c>
      <c r="G2401" s="1">
        <v>4</v>
      </c>
      <c r="H2401" s="1">
        <v>459</v>
      </c>
      <c r="I2401" s="1">
        <v>15</v>
      </c>
      <c r="J2401" s="4">
        <v>1560.6</v>
      </c>
      <c r="K2401" s="4">
        <v>1147.07</v>
      </c>
      <c r="L2401" s="4">
        <v>413.53</v>
      </c>
      <c r="M2401" s="1" t="str">
        <f>TEXT(Table1[[#This Row],[Order_Date]], "MMM")</f>
        <v>Mar</v>
      </c>
      <c r="N2401" s="1">
        <f>YEAR(Table1[[#This Row],[Order_Date]])</f>
        <v>2024</v>
      </c>
      <c r="O2401" s="7">
        <f>Table1[[#This Row],[Profit]]/Table1[[#This Row],[Total_Sales]]</f>
        <v>0.26498141740356274</v>
      </c>
    </row>
    <row r="2402" spans="1:15" x14ac:dyDescent="0.25">
      <c r="A2402" s="1">
        <v>2401</v>
      </c>
      <c r="B2402" s="2">
        <v>45389</v>
      </c>
      <c r="C2402" s="1" t="s">
        <v>16</v>
      </c>
      <c r="D2402" s="1" t="s">
        <v>26</v>
      </c>
      <c r="E2402" s="1" t="s">
        <v>42</v>
      </c>
      <c r="F2402" s="1" t="s">
        <v>31</v>
      </c>
      <c r="G2402" s="1">
        <v>4</v>
      </c>
      <c r="H2402" s="1">
        <v>620</v>
      </c>
      <c r="I2402" s="1">
        <v>20</v>
      </c>
      <c r="J2402" s="4">
        <v>1984</v>
      </c>
      <c r="K2402" s="4">
        <v>1376.27</v>
      </c>
      <c r="L2402" s="4">
        <v>607.73</v>
      </c>
      <c r="M2402" s="1" t="str">
        <f>TEXT(Table1[[#This Row],[Order_Date]], "MMM")</f>
        <v>Apr</v>
      </c>
      <c r="N2402" s="1">
        <f>YEAR(Table1[[#This Row],[Order_Date]])</f>
        <v>2024</v>
      </c>
      <c r="O2402" s="7">
        <f>Table1[[#This Row],[Profit]]/Table1[[#This Row],[Total_Sales]]</f>
        <v>0.30631552419354841</v>
      </c>
    </row>
    <row r="2403" spans="1:15" x14ac:dyDescent="0.25">
      <c r="A2403" s="1">
        <v>2402</v>
      </c>
      <c r="B2403" s="2">
        <v>45427</v>
      </c>
      <c r="C2403" s="1" t="s">
        <v>16</v>
      </c>
      <c r="D2403" s="1" t="s">
        <v>13</v>
      </c>
      <c r="E2403" s="1" t="s">
        <v>38</v>
      </c>
      <c r="F2403" s="1" t="s">
        <v>24</v>
      </c>
      <c r="G2403" s="1">
        <v>3</v>
      </c>
      <c r="H2403" s="1">
        <v>94</v>
      </c>
      <c r="I2403" s="1">
        <v>0</v>
      </c>
      <c r="J2403" s="4">
        <v>282</v>
      </c>
      <c r="K2403" s="4">
        <v>202.8</v>
      </c>
      <c r="L2403" s="4">
        <v>79.2</v>
      </c>
      <c r="M2403" s="1" t="str">
        <f>TEXT(Table1[[#This Row],[Order_Date]], "MMM")</f>
        <v>May</v>
      </c>
      <c r="N2403" s="1">
        <f>YEAR(Table1[[#This Row],[Order_Date]])</f>
        <v>2024</v>
      </c>
      <c r="O2403" s="7">
        <f>Table1[[#This Row],[Profit]]/Table1[[#This Row],[Total_Sales]]</f>
        <v>0.28085106382978725</v>
      </c>
    </row>
    <row r="2404" spans="1:15" x14ac:dyDescent="0.25">
      <c r="A2404" s="1">
        <v>2403</v>
      </c>
      <c r="B2404" s="2">
        <v>45327</v>
      </c>
      <c r="C2404" s="1" t="s">
        <v>19</v>
      </c>
      <c r="D2404" s="1" t="s">
        <v>26</v>
      </c>
      <c r="E2404" s="1" t="s">
        <v>27</v>
      </c>
      <c r="F2404" s="1" t="s">
        <v>18</v>
      </c>
      <c r="G2404" s="1">
        <v>9</v>
      </c>
      <c r="H2404" s="1">
        <v>411</v>
      </c>
      <c r="I2404" s="1">
        <v>10</v>
      </c>
      <c r="J2404" s="4">
        <v>3329.1</v>
      </c>
      <c r="K2404" s="4">
        <v>2560.52</v>
      </c>
      <c r="L2404" s="4">
        <v>768.58</v>
      </c>
      <c r="M2404" s="1" t="str">
        <f>TEXT(Table1[[#This Row],[Order_Date]], "MMM")</f>
        <v>Feb</v>
      </c>
      <c r="N2404" s="1">
        <f>YEAR(Table1[[#This Row],[Order_Date]])</f>
        <v>2024</v>
      </c>
      <c r="O2404" s="7">
        <f>Table1[[#This Row],[Profit]]/Table1[[#This Row],[Total_Sales]]</f>
        <v>0.23086720134570907</v>
      </c>
    </row>
    <row r="2405" spans="1:15" x14ac:dyDescent="0.25">
      <c r="A2405" s="1">
        <v>2404</v>
      </c>
      <c r="B2405" s="2">
        <v>45010</v>
      </c>
      <c r="C2405" s="1" t="s">
        <v>25</v>
      </c>
      <c r="D2405" s="1" t="s">
        <v>26</v>
      </c>
      <c r="E2405" s="1" t="s">
        <v>46</v>
      </c>
      <c r="F2405" s="1" t="s">
        <v>35</v>
      </c>
      <c r="G2405" s="1">
        <v>8</v>
      </c>
      <c r="H2405" s="1">
        <v>723</v>
      </c>
      <c r="I2405" s="1">
        <v>15</v>
      </c>
      <c r="J2405" s="4">
        <v>4916.3999999999996</v>
      </c>
      <c r="K2405" s="4">
        <v>2609.1</v>
      </c>
      <c r="L2405" s="4">
        <v>2307.3000000000002</v>
      </c>
      <c r="M2405" s="1" t="str">
        <f>TEXT(Table1[[#This Row],[Order_Date]], "MMM")</f>
        <v>Mar</v>
      </c>
      <c r="N2405" s="1">
        <f>YEAR(Table1[[#This Row],[Order_Date]])</f>
        <v>2023</v>
      </c>
      <c r="O2405" s="7">
        <f>Table1[[#This Row],[Profit]]/Table1[[#This Row],[Total_Sales]]</f>
        <v>0.46930680986087386</v>
      </c>
    </row>
    <row r="2406" spans="1:15" x14ac:dyDescent="0.25">
      <c r="A2406" s="1">
        <v>2405</v>
      </c>
      <c r="B2406" s="2">
        <v>45325</v>
      </c>
      <c r="C2406" s="1" t="s">
        <v>12</v>
      </c>
      <c r="D2406" s="1" t="s">
        <v>13</v>
      </c>
      <c r="E2406" s="1" t="s">
        <v>38</v>
      </c>
      <c r="F2406" s="1" t="s">
        <v>31</v>
      </c>
      <c r="G2406" s="1">
        <v>1</v>
      </c>
      <c r="H2406" s="1">
        <v>608</v>
      </c>
      <c r="I2406" s="1">
        <v>15</v>
      </c>
      <c r="J2406" s="4">
        <v>516.79999999999995</v>
      </c>
      <c r="K2406" s="4">
        <v>360.59</v>
      </c>
      <c r="L2406" s="4">
        <v>156.21</v>
      </c>
      <c r="M2406" s="1" t="str">
        <f>TEXT(Table1[[#This Row],[Order_Date]], "MMM")</f>
        <v>Feb</v>
      </c>
      <c r="N2406" s="1">
        <f>YEAR(Table1[[#This Row],[Order_Date]])</f>
        <v>2024</v>
      </c>
      <c r="O2406" s="7">
        <f>Table1[[#This Row],[Profit]]/Table1[[#This Row],[Total_Sales]]</f>
        <v>0.30226393188854495</v>
      </c>
    </row>
    <row r="2407" spans="1:15" x14ac:dyDescent="0.25">
      <c r="A2407" s="1">
        <v>2406</v>
      </c>
      <c r="B2407" s="2">
        <v>45454</v>
      </c>
      <c r="C2407" s="1" t="s">
        <v>16</v>
      </c>
      <c r="D2407" s="1" t="s">
        <v>32</v>
      </c>
      <c r="E2407" s="1" t="s">
        <v>33</v>
      </c>
      <c r="F2407" s="1" t="s">
        <v>24</v>
      </c>
      <c r="G2407" s="1">
        <v>6</v>
      </c>
      <c r="H2407" s="1">
        <v>559</v>
      </c>
      <c r="I2407" s="1">
        <v>15</v>
      </c>
      <c r="J2407" s="4">
        <v>2850.9</v>
      </c>
      <c r="K2407" s="4">
        <v>2093.98</v>
      </c>
      <c r="L2407" s="4">
        <v>756.92</v>
      </c>
      <c r="M2407" s="1" t="str">
        <f>TEXT(Table1[[#This Row],[Order_Date]], "MMM")</f>
        <v>Jun</v>
      </c>
      <c r="N2407" s="1">
        <f>YEAR(Table1[[#This Row],[Order_Date]])</f>
        <v>2024</v>
      </c>
      <c r="O2407" s="7">
        <f>Table1[[#This Row],[Profit]]/Table1[[#This Row],[Total_Sales]]</f>
        <v>0.26550212213686902</v>
      </c>
    </row>
    <row r="2408" spans="1:15" x14ac:dyDescent="0.25">
      <c r="A2408" s="1">
        <v>2407</v>
      </c>
      <c r="B2408" s="2">
        <v>45196</v>
      </c>
      <c r="C2408" s="1" t="s">
        <v>16</v>
      </c>
      <c r="D2408" s="1" t="s">
        <v>20</v>
      </c>
      <c r="E2408" s="1" t="s">
        <v>28</v>
      </c>
      <c r="F2408" s="1" t="s">
        <v>31</v>
      </c>
      <c r="G2408" s="1">
        <v>7</v>
      </c>
      <c r="H2408" s="1">
        <v>968</v>
      </c>
      <c r="I2408" s="1">
        <v>10</v>
      </c>
      <c r="J2408" s="4">
        <v>6098.4</v>
      </c>
      <c r="K2408" s="4">
        <v>4549.21</v>
      </c>
      <c r="L2408" s="4">
        <v>1549.19</v>
      </c>
      <c r="M2408" s="1" t="str">
        <f>TEXT(Table1[[#This Row],[Order_Date]], "MMM")</f>
        <v>Sep</v>
      </c>
      <c r="N2408" s="1">
        <f>YEAR(Table1[[#This Row],[Order_Date]])</f>
        <v>2023</v>
      </c>
      <c r="O2408" s="7">
        <f>Table1[[#This Row],[Profit]]/Table1[[#This Row],[Total_Sales]]</f>
        <v>0.25403220516856884</v>
      </c>
    </row>
    <row r="2409" spans="1:15" x14ac:dyDescent="0.25">
      <c r="A2409" s="1">
        <v>2408</v>
      </c>
      <c r="B2409" s="2">
        <v>45013</v>
      </c>
      <c r="C2409" s="1" t="s">
        <v>16</v>
      </c>
      <c r="D2409" s="1" t="s">
        <v>22</v>
      </c>
      <c r="E2409" s="1" t="s">
        <v>23</v>
      </c>
      <c r="F2409" s="1" t="s">
        <v>18</v>
      </c>
      <c r="G2409" s="1">
        <v>5</v>
      </c>
      <c r="H2409" s="1">
        <v>52</v>
      </c>
      <c r="I2409" s="1">
        <v>0</v>
      </c>
      <c r="J2409" s="4">
        <v>260</v>
      </c>
      <c r="K2409" s="4">
        <v>140.57</v>
      </c>
      <c r="L2409" s="4">
        <v>119.43</v>
      </c>
      <c r="M2409" s="1" t="str">
        <f>TEXT(Table1[[#This Row],[Order_Date]], "MMM")</f>
        <v>Mar</v>
      </c>
      <c r="N2409" s="1">
        <f>YEAR(Table1[[#This Row],[Order_Date]])</f>
        <v>2023</v>
      </c>
      <c r="O2409" s="7">
        <f>Table1[[#This Row],[Profit]]/Table1[[#This Row],[Total_Sales]]</f>
        <v>0.45934615384615385</v>
      </c>
    </row>
    <row r="2410" spans="1:15" x14ac:dyDescent="0.25">
      <c r="A2410" s="1">
        <v>2409</v>
      </c>
      <c r="B2410" s="2">
        <v>45310</v>
      </c>
      <c r="C2410" s="1" t="s">
        <v>25</v>
      </c>
      <c r="D2410" s="1" t="s">
        <v>26</v>
      </c>
      <c r="E2410" s="1" t="s">
        <v>27</v>
      </c>
      <c r="F2410" s="1" t="s">
        <v>24</v>
      </c>
      <c r="G2410" s="1">
        <v>3</v>
      </c>
      <c r="H2410" s="1">
        <v>641</v>
      </c>
      <c r="I2410" s="1">
        <v>5</v>
      </c>
      <c r="J2410" s="4">
        <v>1826.85</v>
      </c>
      <c r="K2410" s="4">
        <v>1335.83</v>
      </c>
      <c r="L2410" s="4">
        <v>491.02</v>
      </c>
      <c r="M2410" s="1" t="str">
        <f>TEXT(Table1[[#This Row],[Order_Date]], "MMM")</f>
        <v>Jan</v>
      </c>
      <c r="N2410" s="1">
        <f>YEAR(Table1[[#This Row],[Order_Date]])</f>
        <v>2024</v>
      </c>
      <c r="O2410" s="7">
        <f>Table1[[#This Row],[Profit]]/Table1[[#This Row],[Total_Sales]]</f>
        <v>0.2687795932889947</v>
      </c>
    </row>
    <row r="2411" spans="1:15" x14ac:dyDescent="0.25">
      <c r="A2411" s="1">
        <v>2410</v>
      </c>
      <c r="B2411" s="2">
        <v>45437</v>
      </c>
      <c r="C2411" s="1" t="s">
        <v>16</v>
      </c>
      <c r="D2411" s="1" t="s">
        <v>20</v>
      </c>
      <c r="E2411" s="1" t="s">
        <v>43</v>
      </c>
      <c r="F2411" s="1" t="s">
        <v>18</v>
      </c>
      <c r="G2411" s="1">
        <v>8</v>
      </c>
      <c r="H2411" s="1">
        <v>952</v>
      </c>
      <c r="I2411" s="1">
        <v>0</v>
      </c>
      <c r="J2411" s="4">
        <v>7616</v>
      </c>
      <c r="K2411" s="4">
        <v>6003.71</v>
      </c>
      <c r="L2411" s="4">
        <v>1612.29</v>
      </c>
      <c r="M2411" s="1" t="str">
        <f>TEXT(Table1[[#This Row],[Order_Date]], "MMM")</f>
        <v>May</v>
      </c>
      <c r="N2411" s="1">
        <f>YEAR(Table1[[#This Row],[Order_Date]])</f>
        <v>2024</v>
      </c>
      <c r="O2411" s="7">
        <f>Table1[[#This Row],[Profit]]/Table1[[#This Row],[Total_Sales]]</f>
        <v>0.21169774159663865</v>
      </c>
    </row>
    <row r="2412" spans="1:15" x14ac:dyDescent="0.25">
      <c r="A2412" s="1">
        <v>2411</v>
      </c>
      <c r="B2412" s="2">
        <v>44984</v>
      </c>
      <c r="C2412" s="1" t="s">
        <v>16</v>
      </c>
      <c r="D2412" s="1" t="s">
        <v>32</v>
      </c>
      <c r="E2412" s="1" t="s">
        <v>45</v>
      </c>
      <c r="F2412" s="1" t="s">
        <v>15</v>
      </c>
      <c r="G2412" s="1">
        <v>3</v>
      </c>
      <c r="H2412" s="1">
        <v>242</v>
      </c>
      <c r="I2412" s="1">
        <v>5</v>
      </c>
      <c r="J2412" s="4">
        <v>689.7</v>
      </c>
      <c r="K2412" s="4">
        <v>501.65</v>
      </c>
      <c r="L2412" s="4">
        <v>188.05</v>
      </c>
      <c r="M2412" s="1" t="str">
        <f>TEXT(Table1[[#This Row],[Order_Date]], "MMM")</f>
        <v>Feb</v>
      </c>
      <c r="N2412" s="1">
        <f>YEAR(Table1[[#This Row],[Order_Date]])</f>
        <v>2023</v>
      </c>
      <c r="O2412" s="7">
        <f>Table1[[#This Row],[Profit]]/Table1[[#This Row],[Total_Sales]]</f>
        <v>0.27265477743946642</v>
      </c>
    </row>
    <row r="2413" spans="1:15" x14ac:dyDescent="0.25">
      <c r="A2413" s="1">
        <v>2412</v>
      </c>
      <c r="B2413" s="2">
        <v>44979</v>
      </c>
      <c r="C2413" s="1" t="s">
        <v>16</v>
      </c>
      <c r="D2413" s="1" t="s">
        <v>22</v>
      </c>
      <c r="E2413" s="1" t="s">
        <v>44</v>
      </c>
      <c r="F2413" s="1" t="s">
        <v>35</v>
      </c>
      <c r="G2413" s="1">
        <v>1</v>
      </c>
      <c r="H2413" s="1">
        <v>709</v>
      </c>
      <c r="I2413" s="1">
        <v>10</v>
      </c>
      <c r="J2413" s="4">
        <v>638.1</v>
      </c>
      <c r="K2413" s="4">
        <v>456.69</v>
      </c>
      <c r="L2413" s="4">
        <v>181.41</v>
      </c>
      <c r="M2413" s="1" t="str">
        <f>TEXT(Table1[[#This Row],[Order_Date]], "MMM")</f>
        <v>Feb</v>
      </c>
      <c r="N2413" s="1">
        <f>YEAR(Table1[[#This Row],[Order_Date]])</f>
        <v>2023</v>
      </c>
      <c r="O2413" s="7">
        <f>Table1[[#This Row],[Profit]]/Table1[[#This Row],[Total_Sales]]</f>
        <v>0.28429713211095436</v>
      </c>
    </row>
    <row r="2414" spans="1:15" x14ac:dyDescent="0.25">
      <c r="A2414" s="1">
        <v>2413</v>
      </c>
      <c r="B2414" s="2">
        <v>45080</v>
      </c>
      <c r="C2414" s="1" t="s">
        <v>16</v>
      </c>
      <c r="D2414" s="1" t="s">
        <v>26</v>
      </c>
      <c r="E2414" s="1" t="s">
        <v>42</v>
      </c>
      <c r="F2414" s="1" t="s">
        <v>18</v>
      </c>
      <c r="G2414" s="1">
        <v>9</v>
      </c>
      <c r="H2414" s="1">
        <v>364</v>
      </c>
      <c r="I2414" s="1">
        <v>10</v>
      </c>
      <c r="J2414" s="4">
        <v>2948.4</v>
      </c>
      <c r="K2414" s="4">
        <v>1623.6</v>
      </c>
      <c r="L2414" s="4">
        <v>1324.8</v>
      </c>
      <c r="M2414" s="1" t="str">
        <f>TEXT(Table1[[#This Row],[Order_Date]], "MMM")</f>
        <v>Jun</v>
      </c>
      <c r="N2414" s="1">
        <f>YEAR(Table1[[#This Row],[Order_Date]])</f>
        <v>2023</v>
      </c>
      <c r="O2414" s="7">
        <f>Table1[[#This Row],[Profit]]/Table1[[#This Row],[Total_Sales]]</f>
        <v>0.44932844932844929</v>
      </c>
    </row>
    <row r="2415" spans="1:15" x14ac:dyDescent="0.25">
      <c r="A2415" s="1">
        <v>2414</v>
      </c>
      <c r="B2415" s="2">
        <v>44941</v>
      </c>
      <c r="C2415" s="1" t="s">
        <v>25</v>
      </c>
      <c r="D2415" s="1" t="s">
        <v>22</v>
      </c>
      <c r="E2415" s="1" t="s">
        <v>29</v>
      </c>
      <c r="F2415" s="1" t="s">
        <v>24</v>
      </c>
      <c r="G2415" s="1">
        <v>1</v>
      </c>
      <c r="H2415" s="1">
        <v>107</v>
      </c>
      <c r="I2415" s="1">
        <v>10</v>
      </c>
      <c r="J2415" s="4">
        <v>96.3</v>
      </c>
      <c r="K2415" s="4">
        <v>57.4</v>
      </c>
      <c r="L2415" s="4">
        <v>38.9</v>
      </c>
      <c r="M2415" s="1" t="str">
        <f>TEXT(Table1[[#This Row],[Order_Date]], "MMM")</f>
        <v>Jan</v>
      </c>
      <c r="N2415" s="1">
        <f>YEAR(Table1[[#This Row],[Order_Date]])</f>
        <v>2023</v>
      </c>
      <c r="O2415" s="7">
        <f>Table1[[#This Row],[Profit]]/Table1[[#This Row],[Total_Sales]]</f>
        <v>0.40394600207684317</v>
      </c>
    </row>
    <row r="2416" spans="1:15" x14ac:dyDescent="0.25">
      <c r="A2416" s="1">
        <v>2415</v>
      </c>
      <c r="B2416" s="2">
        <v>45589</v>
      </c>
      <c r="C2416" s="1" t="s">
        <v>12</v>
      </c>
      <c r="D2416" s="1" t="s">
        <v>32</v>
      </c>
      <c r="E2416" s="1" t="s">
        <v>45</v>
      </c>
      <c r="F2416" s="1" t="s">
        <v>35</v>
      </c>
      <c r="G2416" s="1">
        <v>3</v>
      </c>
      <c r="H2416" s="1">
        <v>371</v>
      </c>
      <c r="I2416" s="1">
        <v>20</v>
      </c>
      <c r="J2416" s="4">
        <v>890.4</v>
      </c>
      <c r="K2416" s="4">
        <v>711.9</v>
      </c>
      <c r="L2416" s="4">
        <v>178.5</v>
      </c>
      <c r="M2416" s="1" t="str">
        <f>TEXT(Table1[[#This Row],[Order_Date]], "MMM")</f>
        <v>Oct</v>
      </c>
      <c r="N2416" s="1">
        <f>YEAR(Table1[[#This Row],[Order_Date]])</f>
        <v>2024</v>
      </c>
      <c r="O2416" s="7">
        <f>Table1[[#This Row],[Profit]]/Table1[[#This Row],[Total_Sales]]</f>
        <v>0.20047169811320756</v>
      </c>
    </row>
    <row r="2417" spans="1:15" x14ac:dyDescent="0.25">
      <c r="A2417" s="1">
        <v>2416</v>
      </c>
      <c r="B2417" s="2">
        <v>45462</v>
      </c>
      <c r="C2417" s="1" t="s">
        <v>25</v>
      </c>
      <c r="D2417" s="1" t="s">
        <v>13</v>
      </c>
      <c r="E2417" s="1" t="s">
        <v>14</v>
      </c>
      <c r="F2417" s="1" t="s">
        <v>24</v>
      </c>
      <c r="G2417" s="1">
        <v>1</v>
      </c>
      <c r="H2417" s="1">
        <v>520</v>
      </c>
      <c r="I2417" s="1">
        <v>5</v>
      </c>
      <c r="J2417" s="4">
        <v>494</v>
      </c>
      <c r="K2417" s="4">
        <v>310.61</v>
      </c>
      <c r="L2417" s="4">
        <v>183.39</v>
      </c>
      <c r="M2417" s="1" t="str">
        <f>TEXT(Table1[[#This Row],[Order_Date]], "MMM")</f>
        <v>Jun</v>
      </c>
      <c r="N2417" s="1">
        <f>YEAR(Table1[[#This Row],[Order_Date]])</f>
        <v>2024</v>
      </c>
      <c r="O2417" s="7">
        <f>Table1[[#This Row],[Profit]]/Table1[[#This Row],[Total_Sales]]</f>
        <v>0.37123481781376516</v>
      </c>
    </row>
    <row r="2418" spans="1:15" x14ac:dyDescent="0.25">
      <c r="A2418" s="1">
        <v>2417</v>
      </c>
      <c r="B2418" s="2">
        <v>45088</v>
      </c>
      <c r="C2418" s="1" t="s">
        <v>16</v>
      </c>
      <c r="D2418" s="1" t="s">
        <v>20</v>
      </c>
      <c r="E2418" s="1" t="s">
        <v>21</v>
      </c>
      <c r="F2418" s="1" t="s">
        <v>31</v>
      </c>
      <c r="G2418" s="1">
        <v>7</v>
      </c>
      <c r="H2418" s="1">
        <v>920</v>
      </c>
      <c r="I2418" s="1">
        <v>0</v>
      </c>
      <c r="J2418" s="4">
        <v>6440</v>
      </c>
      <c r="K2418" s="4">
        <v>4002.01</v>
      </c>
      <c r="L2418" s="4">
        <v>2437.9899999999998</v>
      </c>
      <c r="M2418" s="1" t="str">
        <f>TEXT(Table1[[#This Row],[Order_Date]], "MMM")</f>
        <v>Jun</v>
      </c>
      <c r="N2418" s="1">
        <f>YEAR(Table1[[#This Row],[Order_Date]])</f>
        <v>2023</v>
      </c>
      <c r="O2418" s="7">
        <f>Table1[[#This Row],[Profit]]/Table1[[#This Row],[Total_Sales]]</f>
        <v>0.3785698757763975</v>
      </c>
    </row>
    <row r="2419" spans="1:15" x14ac:dyDescent="0.25">
      <c r="A2419" s="1">
        <v>2418</v>
      </c>
      <c r="B2419" s="2">
        <v>45157</v>
      </c>
      <c r="C2419" s="1" t="s">
        <v>16</v>
      </c>
      <c r="D2419" s="1" t="s">
        <v>20</v>
      </c>
      <c r="E2419" s="1" t="s">
        <v>21</v>
      </c>
      <c r="F2419" s="1" t="s">
        <v>18</v>
      </c>
      <c r="G2419" s="1">
        <v>2</v>
      </c>
      <c r="H2419" s="1">
        <v>364</v>
      </c>
      <c r="I2419" s="1">
        <v>20</v>
      </c>
      <c r="J2419" s="4">
        <v>582.4</v>
      </c>
      <c r="K2419" s="4">
        <v>380.18</v>
      </c>
      <c r="L2419" s="4">
        <v>202.22</v>
      </c>
      <c r="M2419" s="1" t="str">
        <f>TEXT(Table1[[#This Row],[Order_Date]], "MMM")</f>
        <v>Aug</v>
      </c>
      <c r="N2419" s="1">
        <f>YEAR(Table1[[#This Row],[Order_Date]])</f>
        <v>2023</v>
      </c>
      <c r="O2419" s="7">
        <f>Table1[[#This Row],[Profit]]/Table1[[#This Row],[Total_Sales]]</f>
        <v>0.34721840659340658</v>
      </c>
    </row>
    <row r="2420" spans="1:15" x14ac:dyDescent="0.25">
      <c r="A2420" s="1">
        <v>2419</v>
      </c>
      <c r="B2420" s="2">
        <v>45429</v>
      </c>
      <c r="C2420" s="1" t="s">
        <v>12</v>
      </c>
      <c r="D2420" s="1" t="s">
        <v>32</v>
      </c>
      <c r="E2420" s="1" t="s">
        <v>33</v>
      </c>
      <c r="F2420" s="1" t="s">
        <v>15</v>
      </c>
      <c r="G2420" s="1">
        <v>6</v>
      </c>
      <c r="H2420" s="1">
        <v>809</v>
      </c>
      <c r="I2420" s="1">
        <v>10</v>
      </c>
      <c r="J2420" s="4">
        <v>4368.6000000000004</v>
      </c>
      <c r="K2420" s="4">
        <v>2499.48</v>
      </c>
      <c r="L2420" s="4">
        <v>1869.12</v>
      </c>
      <c r="M2420" s="1" t="str">
        <f>TEXT(Table1[[#This Row],[Order_Date]], "MMM")</f>
        <v>May</v>
      </c>
      <c r="N2420" s="1">
        <f>YEAR(Table1[[#This Row],[Order_Date]])</f>
        <v>2024</v>
      </c>
      <c r="O2420" s="7">
        <f>Table1[[#This Row],[Profit]]/Table1[[#This Row],[Total_Sales]]</f>
        <v>0.42785331685208072</v>
      </c>
    </row>
    <row r="2421" spans="1:15" x14ac:dyDescent="0.25">
      <c r="A2421" s="1">
        <v>2420</v>
      </c>
      <c r="B2421" s="2">
        <v>45232</v>
      </c>
      <c r="C2421" s="1" t="s">
        <v>12</v>
      </c>
      <c r="D2421" s="1" t="s">
        <v>22</v>
      </c>
      <c r="E2421" s="1" t="s">
        <v>23</v>
      </c>
      <c r="F2421" s="1" t="s">
        <v>31</v>
      </c>
      <c r="G2421" s="1">
        <v>7</v>
      </c>
      <c r="H2421" s="1">
        <v>140</v>
      </c>
      <c r="I2421" s="1">
        <v>0</v>
      </c>
      <c r="J2421" s="4">
        <v>980</v>
      </c>
      <c r="K2421" s="4">
        <v>638.19000000000005</v>
      </c>
      <c r="L2421" s="4">
        <v>341.81</v>
      </c>
      <c r="M2421" s="1" t="str">
        <f>TEXT(Table1[[#This Row],[Order_Date]], "MMM")</f>
        <v>Nov</v>
      </c>
      <c r="N2421" s="1">
        <f>YEAR(Table1[[#This Row],[Order_Date]])</f>
        <v>2023</v>
      </c>
      <c r="O2421" s="7">
        <f>Table1[[#This Row],[Profit]]/Table1[[#This Row],[Total_Sales]]</f>
        <v>0.34878571428571431</v>
      </c>
    </row>
    <row r="2422" spans="1:15" x14ac:dyDescent="0.25">
      <c r="A2422" s="1">
        <v>2421</v>
      </c>
      <c r="B2422" s="2">
        <v>45400</v>
      </c>
      <c r="C2422" s="1" t="s">
        <v>12</v>
      </c>
      <c r="D2422" s="1" t="s">
        <v>32</v>
      </c>
      <c r="E2422" s="1" t="s">
        <v>34</v>
      </c>
      <c r="F2422" s="1" t="s">
        <v>15</v>
      </c>
      <c r="G2422" s="1">
        <v>9</v>
      </c>
      <c r="H2422" s="1">
        <v>838</v>
      </c>
      <c r="I2422" s="1">
        <v>5</v>
      </c>
      <c r="J2422" s="4">
        <v>7164.9</v>
      </c>
      <c r="K2422" s="4">
        <v>4680.4399999999996</v>
      </c>
      <c r="L2422" s="4">
        <v>2484.46</v>
      </c>
      <c r="M2422" s="1" t="str">
        <f>TEXT(Table1[[#This Row],[Order_Date]], "MMM")</f>
        <v>Apr</v>
      </c>
      <c r="N2422" s="1">
        <f>YEAR(Table1[[#This Row],[Order_Date]])</f>
        <v>2024</v>
      </c>
      <c r="O2422" s="7">
        <f>Table1[[#This Row],[Profit]]/Table1[[#This Row],[Total_Sales]]</f>
        <v>0.3467543161802677</v>
      </c>
    </row>
    <row r="2423" spans="1:15" x14ac:dyDescent="0.25">
      <c r="A2423" s="1">
        <v>2422</v>
      </c>
      <c r="B2423" s="2">
        <v>45582</v>
      </c>
      <c r="C2423" s="1" t="s">
        <v>12</v>
      </c>
      <c r="D2423" s="1" t="s">
        <v>22</v>
      </c>
      <c r="E2423" s="1" t="s">
        <v>29</v>
      </c>
      <c r="F2423" s="1" t="s">
        <v>15</v>
      </c>
      <c r="G2423" s="1">
        <v>7</v>
      </c>
      <c r="H2423" s="1">
        <v>224</v>
      </c>
      <c r="I2423" s="1">
        <v>5</v>
      </c>
      <c r="J2423" s="4">
        <v>1489.6</v>
      </c>
      <c r="K2423" s="4">
        <v>875.39</v>
      </c>
      <c r="L2423" s="4">
        <v>614.21</v>
      </c>
      <c r="M2423" s="1" t="str">
        <f>TEXT(Table1[[#This Row],[Order_Date]], "MMM")</f>
        <v>Oct</v>
      </c>
      <c r="N2423" s="1">
        <f>YEAR(Table1[[#This Row],[Order_Date]])</f>
        <v>2024</v>
      </c>
      <c r="O2423" s="7">
        <f>Table1[[#This Row],[Profit]]/Table1[[#This Row],[Total_Sales]]</f>
        <v>0.41233216970998932</v>
      </c>
    </row>
    <row r="2424" spans="1:15" x14ac:dyDescent="0.25">
      <c r="A2424" s="1">
        <v>2423</v>
      </c>
      <c r="B2424" s="2">
        <v>45151</v>
      </c>
      <c r="C2424" s="1" t="s">
        <v>16</v>
      </c>
      <c r="D2424" s="1" t="s">
        <v>32</v>
      </c>
      <c r="E2424" s="1" t="s">
        <v>45</v>
      </c>
      <c r="F2424" s="1" t="s">
        <v>40</v>
      </c>
      <c r="G2424" s="1">
        <v>9</v>
      </c>
      <c r="H2424" s="1">
        <v>363</v>
      </c>
      <c r="I2424" s="1">
        <v>0</v>
      </c>
      <c r="J2424" s="4">
        <v>3267</v>
      </c>
      <c r="K2424" s="4">
        <v>1846.28</v>
      </c>
      <c r="L2424" s="4">
        <v>1420.72</v>
      </c>
      <c r="M2424" s="1" t="str">
        <f>TEXT(Table1[[#This Row],[Order_Date]], "MMM")</f>
        <v>Aug</v>
      </c>
      <c r="N2424" s="1">
        <f>YEAR(Table1[[#This Row],[Order_Date]])</f>
        <v>2023</v>
      </c>
      <c r="O2424" s="7">
        <f>Table1[[#This Row],[Profit]]/Table1[[#This Row],[Total_Sales]]</f>
        <v>0.43486991123354762</v>
      </c>
    </row>
    <row r="2425" spans="1:15" x14ac:dyDescent="0.25">
      <c r="A2425" s="1">
        <v>2424</v>
      </c>
      <c r="B2425" s="2">
        <v>45636</v>
      </c>
      <c r="C2425" s="1" t="s">
        <v>12</v>
      </c>
      <c r="D2425" s="1" t="s">
        <v>13</v>
      </c>
      <c r="E2425" s="1" t="s">
        <v>17</v>
      </c>
      <c r="F2425" s="1" t="s">
        <v>35</v>
      </c>
      <c r="G2425" s="1">
        <v>1</v>
      </c>
      <c r="H2425" s="1">
        <v>333</v>
      </c>
      <c r="I2425" s="1">
        <v>20</v>
      </c>
      <c r="J2425" s="4">
        <v>266.39999999999998</v>
      </c>
      <c r="K2425" s="4">
        <v>157.71</v>
      </c>
      <c r="L2425" s="4">
        <v>108.69</v>
      </c>
      <c r="M2425" s="1" t="str">
        <f>TEXT(Table1[[#This Row],[Order_Date]], "MMM")</f>
        <v>Dec</v>
      </c>
      <c r="N2425" s="1">
        <f>YEAR(Table1[[#This Row],[Order_Date]])</f>
        <v>2024</v>
      </c>
      <c r="O2425" s="7">
        <f>Table1[[#This Row],[Profit]]/Table1[[#This Row],[Total_Sales]]</f>
        <v>0.40799549549549552</v>
      </c>
    </row>
    <row r="2426" spans="1:15" x14ac:dyDescent="0.25">
      <c r="A2426" s="1">
        <v>2425</v>
      </c>
      <c r="B2426" s="2">
        <v>44979</v>
      </c>
      <c r="C2426" s="1" t="s">
        <v>16</v>
      </c>
      <c r="D2426" s="1" t="s">
        <v>22</v>
      </c>
      <c r="E2426" s="1" t="s">
        <v>23</v>
      </c>
      <c r="F2426" s="1" t="s">
        <v>31</v>
      </c>
      <c r="G2426" s="1">
        <v>2</v>
      </c>
      <c r="H2426" s="1">
        <v>401</v>
      </c>
      <c r="I2426" s="1">
        <v>10</v>
      </c>
      <c r="J2426" s="4">
        <v>721.8</v>
      </c>
      <c r="K2426" s="4">
        <v>408.73</v>
      </c>
      <c r="L2426" s="4">
        <v>313.07</v>
      </c>
      <c r="M2426" s="1" t="str">
        <f>TEXT(Table1[[#This Row],[Order_Date]], "MMM")</f>
        <v>Feb</v>
      </c>
      <c r="N2426" s="1">
        <f>YEAR(Table1[[#This Row],[Order_Date]])</f>
        <v>2023</v>
      </c>
      <c r="O2426" s="7">
        <f>Table1[[#This Row],[Profit]]/Table1[[#This Row],[Total_Sales]]</f>
        <v>0.43373510667775006</v>
      </c>
    </row>
    <row r="2427" spans="1:15" x14ac:dyDescent="0.25">
      <c r="A2427" s="1">
        <v>2426</v>
      </c>
      <c r="B2427" s="2">
        <v>45386</v>
      </c>
      <c r="C2427" s="1" t="s">
        <v>16</v>
      </c>
      <c r="D2427" s="1" t="s">
        <v>22</v>
      </c>
      <c r="E2427" s="1" t="s">
        <v>23</v>
      </c>
      <c r="F2427" s="1" t="s">
        <v>24</v>
      </c>
      <c r="G2427" s="1">
        <v>2</v>
      </c>
      <c r="H2427" s="1">
        <v>224</v>
      </c>
      <c r="I2427" s="1">
        <v>0</v>
      </c>
      <c r="J2427" s="4">
        <v>448</v>
      </c>
      <c r="K2427" s="4">
        <v>283.5</v>
      </c>
      <c r="L2427" s="4">
        <v>164.5</v>
      </c>
      <c r="M2427" s="1" t="str">
        <f>TEXT(Table1[[#This Row],[Order_Date]], "MMM")</f>
        <v>Apr</v>
      </c>
      <c r="N2427" s="1">
        <f>YEAR(Table1[[#This Row],[Order_Date]])</f>
        <v>2024</v>
      </c>
      <c r="O2427" s="7">
        <f>Table1[[#This Row],[Profit]]/Table1[[#This Row],[Total_Sales]]</f>
        <v>0.3671875</v>
      </c>
    </row>
    <row r="2428" spans="1:15" x14ac:dyDescent="0.25">
      <c r="A2428" s="1">
        <v>2427</v>
      </c>
      <c r="B2428" s="2">
        <v>45563</v>
      </c>
      <c r="C2428" s="1" t="s">
        <v>12</v>
      </c>
      <c r="D2428" s="1" t="s">
        <v>26</v>
      </c>
      <c r="E2428" s="1" t="s">
        <v>42</v>
      </c>
      <c r="F2428" s="1" t="s">
        <v>24</v>
      </c>
      <c r="G2428" s="1">
        <v>5</v>
      </c>
      <c r="H2428" s="1">
        <v>248</v>
      </c>
      <c r="I2428" s="1">
        <v>20</v>
      </c>
      <c r="J2428" s="4">
        <v>992</v>
      </c>
      <c r="K2428" s="4">
        <v>774.21</v>
      </c>
      <c r="L2428" s="4">
        <v>217.79</v>
      </c>
      <c r="M2428" s="1" t="str">
        <f>TEXT(Table1[[#This Row],[Order_Date]], "MMM")</f>
        <v>Sep</v>
      </c>
      <c r="N2428" s="1">
        <f>YEAR(Table1[[#This Row],[Order_Date]])</f>
        <v>2024</v>
      </c>
      <c r="O2428" s="7">
        <f>Table1[[#This Row],[Profit]]/Table1[[#This Row],[Total_Sales]]</f>
        <v>0.21954637096774193</v>
      </c>
    </row>
    <row r="2429" spans="1:15" x14ac:dyDescent="0.25">
      <c r="A2429" s="1">
        <v>2428</v>
      </c>
      <c r="B2429" s="2">
        <v>45260</v>
      </c>
      <c r="C2429" s="1" t="s">
        <v>19</v>
      </c>
      <c r="D2429" s="1" t="s">
        <v>26</v>
      </c>
      <c r="E2429" s="1" t="s">
        <v>42</v>
      </c>
      <c r="F2429" s="1" t="s">
        <v>24</v>
      </c>
      <c r="G2429" s="1">
        <v>3</v>
      </c>
      <c r="H2429" s="1">
        <v>164</v>
      </c>
      <c r="I2429" s="1">
        <v>5</v>
      </c>
      <c r="J2429" s="4">
        <v>467.4</v>
      </c>
      <c r="K2429" s="4">
        <v>360.52</v>
      </c>
      <c r="L2429" s="4">
        <v>106.88</v>
      </c>
      <c r="M2429" s="1" t="str">
        <f>TEXT(Table1[[#This Row],[Order_Date]], "MMM")</f>
        <v>Nov</v>
      </c>
      <c r="N2429" s="1">
        <f>YEAR(Table1[[#This Row],[Order_Date]])</f>
        <v>2023</v>
      </c>
      <c r="O2429" s="7">
        <f>Table1[[#This Row],[Profit]]/Table1[[#This Row],[Total_Sales]]</f>
        <v>0.22866923406076167</v>
      </c>
    </row>
    <row r="2430" spans="1:15" x14ac:dyDescent="0.25">
      <c r="A2430" s="1">
        <v>2429</v>
      </c>
      <c r="B2430" s="2">
        <v>45524</v>
      </c>
      <c r="C2430" s="1" t="s">
        <v>25</v>
      </c>
      <c r="D2430" s="1" t="s">
        <v>26</v>
      </c>
      <c r="E2430" s="1" t="s">
        <v>42</v>
      </c>
      <c r="F2430" s="1" t="s">
        <v>31</v>
      </c>
      <c r="G2430" s="1">
        <v>5</v>
      </c>
      <c r="H2430" s="1">
        <v>339</v>
      </c>
      <c r="I2430" s="1">
        <v>5</v>
      </c>
      <c r="J2430" s="4">
        <v>1610.25</v>
      </c>
      <c r="K2430" s="4">
        <v>975.79</v>
      </c>
      <c r="L2430" s="4">
        <v>634.46</v>
      </c>
      <c r="M2430" s="1" t="str">
        <f>TEXT(Table1[[#This Row],[Order_Date]], "MMM")</f>
        <v>Aug</v>
      </c>
      <c r="N2430" s="1">
        <f>YEAR(Table1[[#This Row],[Order_Date]])</f>
        <v>2024</v>
      </c>
      <c r="O2430" s="7">
        <f>Table1[[#This Row],[Profit]]/Table1[[#This Row],[Total_Sales]]</f>
        <v>0.3940133519639808</v>
      </c>
    </row>
    <row r="2431" spans="1:15" x14ac:dyDescent="0.25">
      <c r="A2431" s="1">
        <v>2430</v>
      </c>
      <c r="B2431" s="2">
        <v>45265</v>
      </c>
      <c r="C2431" s="1" t="s">
        <v>16</v>
      </c>
      <c r="D2431" s="1" t="s">
        <v>32</v>
      </c>
      <c r="E2431" s="1" t="s">
        <v>41</v>
      </c>
      <c r="F2431" s="1" t="s">
        <v>24</v>
      </c>
      <c r="G2431" s="1">
        <v>10</v>
      </c>
      <c r="H2431" s="1">
        <v>817</v>
      </c>
      <c r="I2431" s="1">
        <v>15</v>
      </c>
      <c r="J2431" s="4">
        <v>6944.5</v>
      </c>
      <c r="K2431" s="4">
        <v>4664.08</v>
      </c>
      <c r="L2431" s="4">
        <v>2280.42</v>
      </c>
      <c r="M2431" s="1" t="str">
        <f>TEXT(Table1[[#This Row],[Order_Date]], "MMM")</f>
        <v>Dec</v>
      </c>
      <c r="N2431" s="1">
        <f>YEAR(Table1[[#This Row],[Order_Date]])</f>
        <v>2023</v>
      </c>
      <c r="O2431" s="7">
        <f>Table1[[#This Row],[Profit]]/Table1[[#This Row],[Total_Sales]]</f>
        <v>0.3283778529771762</v>
      </c>
    </row>
    <row r="2432" spans="1:15" x14ac:dyDescent="0.25">
      <c r="A2432" s="1">
        <v>2431</v>
      </c>
      <c r="B2432" s="2">
        <v>45189</v>
      </c>
      <c r="C2432" s="1" t="s">
        <v>16</v>
      </c>
      <c r="D2432" s="1" t="s">
        <v>20</v>
      </c>
      <c r="E2432" s="1" t="s">
        <v>43</v>
      </c>
      <c r="F2432" s="1" t="s">
        <v>18</v>
      </c>
      <c r="G2432" s="1">
        <v>10</v>
      </c>
      <c r="H2432" s="1">
        <v>14</v>
      </c>
      <c r="I2432" s="1">
        <v>0</v>
      </c>
      <c r="J2432" s="4">
        <v>140</v>
      </c>
      <c r="K2432" s="4">
        <v>91.98</v>
      </c>
      <c r="L2432" s="4">
        <v>48.02</v>
      </c>
      <c r="M2432" s="1" t="str">
        <f>TEXT(Table1[[#This Row],[Order_Date]], "MMM")</f>
        <v>Sep</v>
      </c>
      <c r="N2432" s="1">
        <f>YEAR(Table1[[#This Row],[Order_Date]])</f>
        <v>2023</v>
      </c>
      <c r="O2432" s="7">
        <f>Table1[[#This Row],[Profit]]/Table1[[#This Row],[Total_Sales]]</f>
        <v>0.34300000000000003</v>
      </c>
    </row>
    <row r="2433" spans="1:15" x14ac:dyDescent="0.25">
      <c r="A2433" s="1">
        <v>2432</v>
      </c>
      <c r="B2433" s="2">
        <v>45192</v>
      </c>
      <c r="C2433" s="1" t="s">
        <v>12</v>
      </c>
      <c r="D2433" s="1" t="s">
        <v>20</v>
      </c>
      <c r="E2433" s="1" t="s">
        <v>43</v>
      </c>
      <c r="F2433" s="1" t="s">
        <v>18</v>
      </c>
      <c r="G2433" s="1">
        <v>2</v>
      </c>
      <c r="H2433" s="1">
        <v>851</v>
      </c>
      <c r="I2433" s="1">
        <v>10</v>
      </c>
      <c r="J2433" s="4">
        <v>1531.8</v>
      </c>
      <c r="K2433" s="4">
        <v>967.13</v>
      </c>
      <c r="L2433" s="4">
        <v>564.66999999999996</v>
      </c>
      <c r="M2433" s="1" t="str">
        <f>TEXT(Table1[[#This Row],[Order_Date]], "MMM")</f>
        <v>Sep</v>
      </c>
      <c r="N2433" s="1">
        <f>YEAR(Table1[[#This Row],[Order_Date]])</f>
        <v>2023</v>
      </c>
      <c r="O2433" s="7">
        <f>Table1[[#This Row],[Profit]]/Table1[[#This Row],[Total_Sales]]</f>
        <v>0.36863167515341427</v>
      </c>
    </row>
    <row r="2434" spans="1:15" x14ac:dyDescent="0.25">
      <c r="A2434" s="1">
        <v>2433</v>
      </c>
      <c r="B2434" s="2">
        <v>45204</v>
      </c>
      <c r="C2434" s="1" t="s">
        <v>19</v>
      </c>
      <c r="D2434" s="1" t="s">
        <v>20</v>
      </c>
      <c r="E2434" s="1" t="s">
        <v>21</v>
      </c>
      <c r="F2434" s="1" t="s">
        <v>24</v>
      </c>
      <c r="G2434" s="1">
        <v>3</v>
      </c>
      <c r="H2434" s="1">
        <v>263</v>
      </c>
      <c r="I2434" s="1">
        <v>10</v>
      </c>
      <c r="J2434" s="4">
        <v>710.1</v>
      </c>
      <c r="K2434" s="4">
        <v>441.87</v>
      </c>
      <c r="L2434" s="4">
        <v>268.23</v>
      </c>
      <c r="M2434" s="1" t="str">
        <f>TEXT(Table1[[#This Row],[Order_Date]], "MMM")</f>
        <v>Oct</v>
      </c>
      <c r="N2434" s="1">
        <f>YEAR(Table1[[#This Row],[Order_Date]])</f>
        <v>2023</v>
      </c>
      <c r="O2434" s="7">
        <f>Table1[[#This Row],[Profit]]/Table1[[#This Row],[Total_Sales]]</f>
        <v>0.37773553020701311</v>
      </c>
    </row>
    <row r="2435" spans="1:15" x14ac:dyDescent="0.25">
      <c r="A2435" s="1">
        <v>2434</v>
      </c>
      <c r="B2435" s="2">
        <v>45536</v>
      </c>
      <c r="C2435" s="1" t="s">
        <v>12</v>
      </c>
      <c r="D2435" s="1" t="s">
        <v>22</v>
      </c>
      <c r="E2435" s="1" t="s">
        <v>23</v>
      </c>
      <c r="F2435" s="1" t="s">
        <v>35</v>
      </c>
      <c r="G2435" s="1">
        <v>3</v>
      </c>
      <c r="H2435" s="1">
        <v>498</v>
      </c>
      <c r="I2435" s="1">
        <v>20</v>
      </c>
      <c r="J2435" s="4">
        <v>1195.2</v>
      </c>
      <c r="K2435" s="4">
        <v>795.73</v>
      </c>
      <c r="L2435" s="4">
        <v>399.47</v>
      </c>
      <c r="M2435" s="1" t="str">
        <f>TEXT(Table1[[#This Row],[Order_Date]], "MMM")</f>
        <v>Sep</v>
      </c>
      <c r="N2435" s="1">
        <f>YEAR(Table1[[#This Row],[Order_Date]])</f>
        <v>2024</v>
      </c>
      <c r="O2435" s="7">
        <f>Table1[[#This Row],[Profit]]/Table1[[#This Row],[Total_Sales]]</f>
        <v>0.33422858099062919</v>
      </c>
    </row>
    <row r="2436" spans="1:15" x14ac:dyDescent="0.25">
      <c r="A2436" s="1">
        <v>2435</v>
      </c>
      <c r="B2436" s="2">
        <v>45071</v>
      </c>
      <c r="C2436" s="1" t="s">
        <v>25</v>
      </c>
      <c r="D2436" s="1" t="s">
        <v>22</v>
      </c>
      <c r="E2436" s="1" t="s">
        <v>44</v>
      </c>
      <c r="F2436" s="1" t="s">
        <v>18</v>
      </c>
      <c r="G2436" s="1">
        <v>2</v>
      </c>
      <c r="H2436" s="1">
        <v>404</v>
      </c>
      <c r="I2436" s="1">
        <v>15</v>
      </c>
      <c r="J2436" s="4">
        <v>686.8</v>
      </c>
      <c r="K2436" s="4">
        <v>474.32</v>
      </c>
      <c r="L2436" s="4">
        <v>212.48</v>
      </c>
      <c r="M2436" s="1" t="str">
        <f>TEXT(Table1[[#This Row],[Order_Date]], "MMM")</f>
        <v>May</v>
      </c>
      <c r="N2436" s="1">
        <f>YEAR(Table1[[#This Row],[Order_Date]])</f>
        <v>2023</v>
      </c>
      <c r="O2436" s="7">
        <f>Table1[[#This Row],[Profit]]/Table1[[#This Row],[Total_Sales]]</f>
        <v>0.30937682003494466</v>
      </c>
    </row>
    <row r="2437" spans="1:15" x14ac:dyDescent="0.25">
      <c r="A2437" s="1">
        <v>2436</v>
      </c>
      <c r="B2437" s="2">
        <v>45264</v>
      </c>
      <c r="C2437" s="1" t="s">
        <v>19</v>
      </c>
      <c r="D2437" s="1" t="s">
        <v>22</v>
      </c>
      <c r="E2437" s="1" t="s">
        <v>29</v>
      </c>
      <c r="F2437" s="1" t="s">
        <v>15</v>
      </c>
      <c r="G2437" s="1">
        <v>2</v>
      </c>
      <c r="H2437" s="1">
        <v>742</v>
      </c>
      <c r="I2437" s="1">
        <v>5</v>
      </c>
      <c r="J2437" s="4">
        <v>1409.8</v>
      </c>
      <c r="K2437" s="4">
        <v>799.96</v>
      </c>
      <c r="L2437" s="4">
        <v>609.84</v>
      </c>
      <c r="M2437" s="1" t="str">
        <f>TEXT(Table1[[#This Row],[Order_Date]], "MMM")</f>
        <v>Dec</v>
      </c>
      <c r="N2437" s="1">
        <f>YEAR(Table1[[#This Row],[Order_Date]])</f>
        <v>2023</v>
      </c>
      <c r="O2437" s="7">
        <f>Table1[[#This Row],[Profit]]/Table1[[#This Row],[Total_Sales]]</f>
        <v>0.43257199602780538</v>
      </c>
    </row>
    <row r="2438" spans="1:15" x14ac:dyDescent="0.25">
      <c r="A2438" s="1">
        <v>2437</v>
      </c>
      <c r="B2438" s="2">
        <v>45371</v>
      </c>
      <c r="C2438" s="1" t="s">
        <v>19</v>
      </c>
      <c r="D2438" s="1" t="s">
        <v>13</v>
      </c>
      <c r="E2438" s="1" t="s">
        <v>14</v>
      </c>
      <c r="F2438" s="1" t="s">
        <v>40</v>
      </c>
      <c r="G2438" s="1">
        <v>10</v>
      </c>
      <c r="H2438" s="1">
        <v>156</v>
      </c>
      <c r="I2438" s="1">
        <v>15</v>
      </c>
      <c r="J2438" s="4">
        <v>1326</v>
      </c>
      <c r="K2438" s="4">
        <v>765.32</v>
      </c>
      <c r="L2438" s="4">
        <v>560.67999999999995</v>
      </c>
      <c r="M2438" s="1" t="str">
        <f>TEXT(Table1[[#This Row],[Order_Date]], "MMM")</f>
        <v>Mar</v>
      </c>
      <c r="N2438" s="1">
        <f>YEAR(Table1[[#This Row],[Order_Date]])</f>
        <v>2024</v>
      </c>
      <c r="O2438" s="7">
        <f>Table1[[#This Row],[Profit]]/Table1[[#This Row],[Total_Sales]]</f>
        <v>0.42283559577677221</v>
      </c>
    </row>
    <row r="2439" spans="1:15" x14ac:dyDescent="0.25">
      <c r="A2439" s="1">
        <v>2438</v>
      </c>
      <c r="B2439" s="2">
        <v>45270</v>
      </c>
      <c r="C2439" s="1" t="s">
        <v>19</v>
      </c>
      <c r="D2439" s="1" t="s">
        <v>13</v>
      </c>
      <c r="E2439" s="1" t="s">
        <v>39</v>
      </c>
      <c r="F2439" s="1" t="s">
        <v>40</v>
      </c>
      <c r="G2439" s="1">
        <v>8</v>
      </c>
      <c r="H2439" s="1">
        <v>939</v>
      </c>
      <c r="I2439" s="1">
        <v>20</v>
      </c>
      <c r="J2439" s="4">
        <v>6009.6</v>
      </c>
      <c r="K2439" s="4">
        <v>3581.47</v>
      </c>
      <c r="L2439" s="4">
        <v>2428.13</v>
      </c>
      <c r="M2439" s="1" t="str">
        <f>TEXT(Table1[[#This Row],[Order_Date]], "MMM")</f>
        <v>Dec</v>
      </c>
      <c r="N2439" s="1">
        <f>YEAR(Table1[[#This Row],[Order_Date]])</f>
        <v>2023</v>
      </c>
      <c r="O2439" s="7">
        <f>Table1[[#This Row],[Profit]]/Table1[[#This Row],[Total_Sales]]</f>
        <v>0.40404186634717787</v>
      </c>
    </row>
    <row r="2440" spans="1:15" x14ac:dyDescent="0.25">
      <c r="A2440" s="1">
        <v>2439</v>
      </c>
      <c r="B2440" s="2">
        <v>45082</v>
      </c>
      <c r="C2440" s="1" t="s">
        <v>16</v>
      </c>
      <c r="D2440" s="1" t="s">
        <v>20</v>
      </c>
      <c r="E2440" s="1" t="s">
        <v>21</v>
      </c>
      <c r="F2440" s="1" t="s">
        <v>24</v>
      </c>
      <c r="G2440" s="1">
        <v>7</v>
      </c>
      <c r="H2440" s="1">
        <v>737</v>
      </c>
      <c r="I2440" s="1">
        <v>20</v>
      </c>
      <c r="J2440" s="4">
        <v>4127.2</v>
      </c>
      <c r="K2440" s="4">
        <v>2812.41</v>
      </c>
      <c r="L2440" s="4">
        <v>1314.79</v>
      </c>
      <c r="M2440" s="1" t="str">
        <f>TEXT(Table1[[#This Row],[Order_Date]], "MMM")</f>
        <v>Jun</v>
      </c>
      <c r="N2440" s="1">
        <f>YEAR(Table1[[#This Row],[Order_Date]])</f>
        <v>2023</v>
      </c>
      <c r="O2440" s="7">
        <f>Table1[[#This Row],[Profit]]/Table1[[#This Row],[Total_Sales]]</f>
        <v>0.31856706726109713</v>
      </c>
    </row>
    <row r="2441" spans="1:15" x14ac:dyDescent="0.25">
      <c r="A2441" s="1">
        <v>2440</v>
      </c>
      <c r="B2441" s="2">
        <v>45050</v>
      </c>
      <c r="C2441" s="1" t="s">
        <v>12</v>
      </c>
      <c r="D2441" s="1" t="s">
        <v>26</v>
      </c>
      <c r="E2441" s="1" t="s">
        <v>42</v>
      </c>
      <c r="F2441" s="1" t="s">
        <v>24</v>
      </c>
      <c r="G2441" s="1">
        <v>8</v>
      </c>
      <c r="H2441" s="1">
        <v>969</v>
      </c>
      <c r="I2441" s="1">
        <v>10</v>
      </c>
      <c r="J2441" s="4">
        <v>6976.8</v>
      </c>
      <c r="K2441" s="4">
        <v>5132.1099999999997</v>
      </c>
      <c r="L2441" s="4">
        <v>1844.69</v>
      </c>
      <c r="M2441" s="1" t="str">
        <f>TEXT(Table1[[#This Row],[Order_Date]], "MMM")</f>
        <v>May</v>
      </c>
      <c r="N2441" s="1">
        <f>YEAR(Table1[[#This Row],[Order_Date]])</f>
        <v>2023</v>
      </c>
      <c r="O2441" s="7">
        <f>Table1[[#This Row],[Profit]]/Table1[[#This Row],[Total_Sales]]</f>
        <v>0.26440345143905514</v>
      </c>
    </row>
    <row r="2442" spans="1:15" x14ac:dyDescent="0.25">
      <c r="A2442" s="1">
        <v>2441</v>
      </c>
      <c r="B2442" s="2">
        <v>45628</v>
      </c>
      <c r="C2442" s="1" t="s">
        <v>25</v>
      </c>
      <c r="D2442" s="1" t="s">
        <v>13</v>
      </c>
      <c r="E2442" s="1" t="s">
        <v>39</v>
      </c>
      <c r="F2442" s="1" t="s">
        <v>24</v>
      </c>
      <c r="G2442" s="1">
        <v>4</v>
      </c>
      <c r="H2442" s="1">
        <v>775</v>
      </c>
      <c r="I2442" s="1">
        <v>5</v>
      </c>
      <c r="J2442" s="4">
        <v>2945</v>
      </c>
      <c r="K2442" s="4">
        <v>1819.38</v>
      </c>
      <c r="L2442" s="4">
        <v>1125.6199999999999</v>
      </c>
      <c r="M2442" s="1" t="str">
        <f>TEXT(Table1[[#This Row],[Order_Date]], "MMM")</f>
        <v>Dec</v>
      </c>
      <c r="N2442" s="1">
        <f>YEAR(Table1[[#This Row],[Order_Date]])</f>
        <v>2024</v>
      </c>
      <c r="O2442" s="7">
        <f>Table1[[#This Row],[Profit]]/Table1[[#This Row],[Total_Sales]]</f>
        <v>0.38221392190152798</v>
      </c>
    </row>
    <row r="2443" spans="1:15" x14ac:dyDescent="0.25">
      <c r="A2443" s="1">
        <v>2442</v>
      </c>
      <c r="B2443" s="2">
        <v>45053</v>
      </c>
      <c r="C2443" s="1" t="s">
        <v>19</v>
      </c>
      <c r="D2443" s="1" t="s">
        <v>32</v>
      </c>
      <c r="E2443" s="1" t="s">
        <v>34</v>
      </c>
      <c r="F2443" s="1" t="s">
        <v>35</v>
      </c>
      <c r="G2443" s="1">
        <v>5</v>
      </c>
      <c r="H2443" s="1">
        <v>435</v>
      </c>
      <c r="I2443" s="1">
        <v>15</v>
      </c>
      <c r="J2443" s="4">
        <v>1848.75</v>
      </c>
      <c r="K2443" s="4">
        <v>1048.44</v>
      </c>
      <c r="L2443" s="4">
        <v>800.31</v>
      </c>
      <c r="M2443" s="1" t="str">
        <f>TEXT(Table1[[#This Row],[Order_Date]], "MMM")</f>
        <v>May</v>
      </c>
      <c r="N2443" s="1">
        <f>YEAR(Table1[[#This Row],[Order_Date]])</f>
        <v>2023</v>
      </c>
      <c r="O2443" s="7">
        <f>Table1[[#This Row],[Profit]]/Table1[[#This Row],[Total_Sales]]</f>
        <v>0.43289249492900606</v>
      </c>
    </row>
    <row r="2444" spans="1:15" x14ac:dyDescent="0.25">
      <c r="A2444" s="1">
        <v>2443</v>
      </c>
      <c r="B2444" s="2">
        <v>45212</v>
      </c>
      <c r="C2444" s="1" t="s">
        <v>16</v>
      </c>
      <c r="D2444" s="1" t="s">
        <v>13</v>
      </c>
      <c r="E2444" s="1" t="s">
        <v>38</v>
      </c>
      <c r="F2444" s="1" t="s">
        <v>24</v>
      </c>
      <c r="G2444" s="1">
        <v>2</v>
      </c>
      <c r="H2444" s="1">
        <v>386</v>
      </c>
      <c r="I2444" s="1">
        <v>15</v>
      </c>
      <c r="J2444" s="4">
        <v>656.2</v>
      </c>
      <c r="K2444" s="4">
        <v>490.6</v>
      </c>
      <c r="L2444" s="4">
        <v>165.6</v>
      </c>
      <c r="M2444" s="1" t="str">
        <f>TEXT(Table1[[#This Row],[Order_Date]], "MMM")</f>
        <v>Oct</v>
      </c>
      <c r="N2444" s="1">
        <f>YEAR(Table1[[#This Row],[Order_Date]])</f>
        <v>2023</v>
      </c>
      <c r="O2444" s="7">
        <f>Table1[[#This Row],[Profit]]/Table1[[#This Row],[Total_Sales]]</f>
        <v>0.25236208473026511</v>
      </c>
    </row>
    <row r="2445" spans="1:15" x14ac:dyDescent="0.25">
      <c r="A2445" s="1">
        <v>2444</v>
      </c>
      <c r="B2445" s="2">
        <v>45643</v>
      </c>
      <c r="C2445" s="1" t="s">
        <v>12</v>
      </c>
      <c r="D2445" s="1" t="s">
        <v>20</v>
      </c>
      <c r="E2445" s="1" t="s">
        <v>28</v>
      </c>
      <c r="F2445" s="1" t="s">
        <v>31</v>
      </c>
      <c r="G2445" s="1">
        <v>4</v>
      </c>
      <c r="H2445" s="1">
        <v>123</v>
      </c>
      <c r="I2445" s="1">
        <v>0</v>
      </c>
      <c r="J2445" s="4">
        <v>492</v>
      </c>
      <c r="K2445" s="4">
        <v>393</v>
      </c>
      <c r="L2445" s="4">
        <v>99</v>
      </c>
      <c r="M2445" s="1" t="str">
        <f>TEXT(Table1[[#This Row],[Order_Date]], "MMM")</f>
        <v>Dec</v>
      </c>
      <c r="N2445" s="1">
        <f>YEAR(Table1[[#This Row],[Order_Date]])</f>
        <v>2024</v>
      </c>
      <c r="O2445" s="7">
        <f>Table1[[#This Row],[Profit]]/Table1[[#This Row],[Total_Sales]]</f>
        <v>0.20121951219512196</v>
      </c>
    </row>
    <row r="2446" spans="1:15" x14ac:dyDescent="0.25">
      <c r="A2446" s="1">
        <v>2445</v>
      </c>
      <c r="B2446" s="2">
        <v>44960</v>
      </c>
      <c r="C2446" s="1" t="s">
        <v>12</v>
      </c>
      <c r="D2446" s="1" t="s">
        <v>13</v>
      </c>
      <c r="E2446" s="1" t="s">
        <v>38</v>
      </c>
      <c r="F2446" s="1" t="s">
        <v>24</v>
      </c>
      <c r="G2446" s="1">
        <v>2</v>
      </c>
      <c r="H2446" s="1">
        <v>524</v>
      </c>
      <c r="I2446" s="1">
        <v>20</v>
      </c>
      <c r="J2446" s="4">
        <v>838.4</v>
      </c>
      <c r="K2446" s="4">
        <v>557.41</v>
      </c>
      <c r="L2446" s="4">
        <v>280.99</v>
      </c>
      <c r="M2446" s="1" t="str">
        <f>TEXT(Table1[[#This Row],[Order_Date]], "MMM")</f>
        <v>Feb</v>
      </c>
      <c r="N2446" s="1">
        <f>YEAR(Table1[[#This Row],[Order_Date]])</f>
        <v>2023</v>
      </c>
      <c r="O2446" s="7">
        <f>Table1[[#This Row],[Profit]]/Table1[[#This Row],[Total_Sales]]</f>
        <v>0.33515028625954202</v>
      </c>
    </row>
    <row r="2447" spans="1:15" x14ac:dyDescent="0.25">
      <c r="A2447" s="1">
        <v>2446</v>
      </c>
      <c r="B2447" s="2">
        <v>45187</v>
      </c>
      <c r="C2447" s="1" t="s">
        <v>16</v>
      </c>
      <c r="D2447" s="1" t="s">
        <v>32</v>
      </c>
      <c r="E2447" s="1" t="s">
        <v>45</v>
      </c>
      <c r="F2447" s="1" t="s">
        <v>35</v>
      </c>
      <c r="G2447" s="1">
        <v>2</v>
      </c>
      <c r="H2447" s="1">
        <v>948</v>
      </c>
      <c r="I2447" s="1">
        <v>15</v>
      </c>
      <c r="J2447" s="4">
        <v>1611.6</v>
      </c>
      <c r="K2447" s="4">
        <v>1049.51</v>
      </c>
      <c r="L2447" s="4">
        <v>562.09</v>
      </c>
      <c r="M2447" s="1" t="str">
        <f>TEXT(Table1[[#This Row],[Order_Date]], "MMM")</f>
        <v>Sep</v>
      </c>
      <c r="N2447" s="1">
        <f>YEAR(Table1[[#This Row],[Order_Date]])</f>
        <v>2023</v>
      </c>
      <c r="O2447" s="7">
        <f>Table1[[#This Row],[Profit]]/Table1[[#This Row],[Total_Sales]]</f>
        <v>0.34877761231074711</v>
      </c>
    </row>
    <row r="2448" spans="1:15" x14ac:dyDescent="0.25">
      <c r="A2448" s="1">
        <v>2447</v>
      </c>
      <c r="B2448" s="2">
        <v>45260</v>
      </c>
      <c r="C2448" s="1" t="s">
        <v>19</v>
      </c>
      <c r="D2448" s="1" t="s">
        <v>13</v>
      </c>
      <c r="E2448" s="1" t="s">
        <v>39</v>
      </c>
      <c r="F2448" s="1" t="s">
        <v>31</v>
      </c>
      <c r="G2448" s="1">
        <v>6</v>
      </c>
      <c r="H2448" s="1">
        <v>584</v>
      </c>
      <c r="I2448" s="1">
        <v>0</v>
      </c>
      <c r="J2448" s="4">
        <v>3504</v>
      </c>
      <c r="K2448" s="4">
        <v>2080.2199999999998</v>
      </c>
      <c r="L2448" s="4">
        <v>1423.78</v>
      </c>
      <c r="M2448" s="1" t="str">
        <f>TEXT(Table1[[#This Row],[Order_Date]], "MMM")</f>
        <v>Nov</v>
      </c>
      <c r="N2448" s="1">
        <f>YEAR(Table1[[#This Row],[Order_Date]])</f>
        <v>2023</v>
      </c>
      <c r="O2448" s="7">
        <f>Table1[[#This Row],[Profit]]/Table1[[#This Row],[Total_Sales]]</f>
        <v>0.4063299086757991</v>
      </c>
    </row>
    <row r="2449" spans="1:15" x14ac:dyDescent="0.25">
      <c r="A2449" s="1">
        <v>2448</v>
      </c>
      <c r="B2449" s="2">
        <v>45315</v>
      </c>
      <c r="C2449" s="1" t="s">
        <v>16</v>
      </c>
      <c r="D2449" s="1" t="s">
        <v>32</v>
      </c>
      <c r="E2449" s="1" t="s">
        <v>33</v>
      </c>
      <c r="F2449" s="1" t="s">
        <v>15</v>
      </c>
      <c r="G2449" s="1">
        <v>5</v>
      </c>
      <c r="H2449" s="1">
        <v>960</v>
      </c>
      <c r="I2449" s="1">
        <v>0</v>
      </c>
      <c r="J2449" s="4">
        <v>4800</v>
      </c>
      <c r="K2449" s="4">
        <v>3010.53</v>
      </c>
      <c r="L2449" s="4">
        <v>1789.47</v>
      </c>
      <c r="M2449" s="1" t="str">
        <f>TEXT(Table1[[#This Row],[Order_Date]], "MMM")</f>
        <v>Jan</v>
      </c>
      <c r="N2449" s="1">
        <f>YEAR(Table1[[#This Row],[Order_Date]])</f>
        <v>2024</v>
      </c>
      <c r="O2449" s="7">
        <f>Table1[[#This Row],[Profit]]/Table1[[#This Row],[Total_Sales]]</f>
        <v>0.37280625000000001</v>
      </c>
    </row>
    <row r="2450" spans="1:15" x14ac:dyDescent="0.25">
      <c r="A2450" s="1">
        <v>2449</v>
      </c>
      <c r="B2450" s="2">
        <v>45300</v>
      </c>
      <c r="C2450" s="1" t="s">
        <v>12</v>
      </c>
      <c r="D2450" s="1" t="s">
        <v>13</v>
      </c>
      <c r="E2450" s="1" t="s">
        <v>14</v>
      </c>
      <c r="F2450" s="1" t="s">
        <v>40</v>
      </c>
      <c r="G2450" s="1">
        <v>4</v>
      </c>
      <c r="H2450" s="1">
        <v>928</v>
      </c>
      <c r="I2450" s="1">
        <v>20</v>
      </c>
      <c r="J2450" s="4">
        <v>2969.6</v>
      </c>
      <c r="K2450" s="4">
        <v>2115.39</v>
      </c>
      <c r="L2450" s="4">
        <v>854.21</v>
      </c>
      <c r="M2450" s="1" t="str">
        <f>TEXT(Table1[[#This Row],[Order_Date]], "MMM")</f>
        <v>Jan</v>
      </c>
      <c r="N2450" s="1">
        <f>YEAR(Table1[[#This Row],[Order_Date]])</f>
        <v>2024</v>
      </c>
      <c r="O2450" s="7">
        <f>Table1[[#This Row],[Profit]]/Table1[[#This Row],[Total_Sales]]</f>
        <v>0.28765153556034484</v>
      </c>
    </row>
    <row r="2451" spans="1:15" x14ac:dyDescent="0.25">
      <c r="A2451" s="1">
        <v>2450</v>
      </c>
      <c r="B2451" s="2">
        <v>45283</v>
      </c>
      <c r="C2451" s="1" t="s">
        <v>12</v>
      </c>
      <c r="D2451" s="1" t="s">
        <v>20</v>
      </c>
      <c r="E2451" s="1" t="s">
        <v>30</v>
      </c>
      <c r="F2451" s="1" t="s">
        <v>18</v>
      </c>
      <c r="G2451" s="1">
        <v>2</v>
      </c>
      <c r="H2451" s="1">
        <v>791</v>
      </c>
      <c r="I2451" s="1">
        <v>5</v>
      </c>
      <c r="J2451" s="4">
        <v>1502.9</v>
      </c>
      <c r="K2451" s="4">
        <v>1000.2</v>
      </c>
      <c r="L2451" s="4">
        <v>502.7</v>
      </c>
      <c r="M2451" s="1" t="str">
        <f>TEXT(Table1[[#This Row],[Order_Date]], "MMM")</f>
        <v>Dec</v>
      </c>
      <c r="N2451" s="1">
        <f>YEAR(Table1[[#This Row],[Order_Date]])</f>
        <v>2023</v>
      </c>
      <c r="O2451" s="7">
        <f>Table1[[#This Row],[Profit]]/Table1[[#This Row],[Total_Sales]]</f>
        <v>0.33448665912569031</v>
      </c>
    </row>
    <row r="2452" spans="1:15" x14ac:dyDescent="0.25">
      <c r="A2452" s="1">
        <v>2451</v>
      </c>
      <c r="B2452" s="2">
        <v>45230</v>
      </c>
      <c r="C2452" s="1" t="s">
        <v>25</v>
      </c>
      <c r="D2452" s="1" t="s">
        <v>20</v>
      </c>
      <c r="E2452" s="1" t="s">
        <v>28</v>
      </c>
      <c r="F2452" s="1" t="s">
        <v>35</v>
      </c>
      <c r="G2452" s="1">
        <v>4</v>
      </c>
      <c r="H2452" s="1">
        <v>696</v>
      </c>
      <c r="I2452" s="1">
        <v>20</v>
      </c>
      <c r="J2452" s="4">
        <v>2227.1999999999998</v>
      </c>
      <c r="K2452" s="4">
        <v>1314.83</v>
      </c>
      <c r="L2452" s="4">
        <v>912.37</v>
      </c>
      <c r="M2452" s="1" t="str">
        <f>TEXT(Table1[[#This Row],[Order_Date]], "MMM")</f>
        <v>Oct</v>
      </c>
      <c r="N2452" s="1">
        <f>YEAR(Table1[[#This Row],[Order_Date]])</f>
        <v>2023</v>
      </c>
      <c r="O2452" s="7">
        <f>Table1[[#This Row],[Profit]]/Table1[[#This Row],[Total_Sales]]</f>
        <v>0.40964888649425291</v>
      </c>
    </row>
    <row r="2453" spans="1:15" x14ac:dyDescent="0.25">
      <c r="A2453" s="1">
        <v>2452</v>
      </c>
      <c r="B2453" s="2">
        <v>44929</v>
      </c>
      <c r="C2453" s="1" t="s">
        <v>19</v>
      </c>
      <c r="D2453" s="1" t="s">
        <v>20</v>
      </c>
      <c r="E2453" s="1" t="s">
        <v>30</v>
      </c>
      <c r="F2453" s="1" t="s">
        <v>18</v>
      </c>
      <c r="G2453" s="1">
        <v>9</v>
      </c>
      <c r="H2453" s="1">
        <v>124</v>
      </c>
      <c r="I2453" s="1">
        <v>20</v>
      </c>
      <c r="J2453" s="4">
        <v>892.8</v>
      </c>
      <c r="K2453" s="4">
        <v>451.95</v>
      </c>
      <c r="L2453" s="4">
        <v>440.85</v>
      </c>
      <c r="M2453" s="1" t="str">
        <f>TEXT(Table1[[#This Row],[Order_Date]], "MMM")</f>
        <v>Jan</v>
      </c>
      <c r="N2453" s="1">
        <f>YEAR(Table1[[#This Row],[Order_Date]])</f>
        <v>2023</v>
      </c>
      <c r="O2453" s="7">
        <f>Table1[[#This Row],[Profit]]/Table1[[#This Row],[Total_Sales]]</f>
        <v>0.49378360215053768</v>
      </c>
    </row>
    <row r="2454" spans="1:15" x14ac:dyDescent="0.25">
      <c r="A2454" s="1">
        <v>2453</v>
      </c>
      <c r="B2454" s="2">
        <v>45621</v>
      </c>
      <c r="C2454" s="1" t="s">
        <v>16</v>
      </c>
      <c r="D2454" s="1" t="s">
        <v>20</v>
      </c>
      <c r="E2454" s="1" t="s">
        <v>30</v>
      </c>
      <c r="F2454" s="1" t="s">
        <v>18</v>
      </c>
      <c r="G2454" s="1">
        <v>2</v>
      </c>
      <c r="H2454" s="1">
        <v>728</v>
      </c>
      <c r="I2454" s="1">
        <v>20</v>
      </c>
      <c r="J2454" s="4">
        <v>1164.8</v>
      </c>
      <c r="K2454" s="4">
        <v>847.42</v>
      </c>
      <c r="L2454" s="4">
        <v>317.38</v>
      </c>
      <c r="M2454" s="1" t="str">
        <f>TEXT(Table1[[#This Row],[Order_Date]], "MMM")</f>
        <v>Nov</v>
      </c>
      <c r="N2454" s="1">
        <f>YEAR(Table1[[#This Row],[Order_Date]])</f>
        <v>2024</v>
      </c>
      <c r="O2454" s="7">
        <f>Table1[[#This Row],[Profit]]/Table1[[#This Row],[Total_Sales]]</f>
        <v>0.27247596153846154</v>
      </c>
    </row>
    <row r="2455" spans="1:15" x14ac:dyDescent="0.25">
      <c r="A2455" s="1">
        <v>2454</v>
      </c>
      <c r="B2455" s="2">
        <v>45615</v>
      </c>
      <c r="C2455" s="1" t="s">
        <v>12</v>
      </c>
      <c r="D2455" s="1" t="s">
        <v>26</v>
      </c>
      <c r="E2455" s="1" t="s">
        <v>42</v>
      </c>
      <c r="F2455" s="1" t="s">
        <v>24</v>
      </c>
      <c r="G2455" s="1">
        <v>10</v>
      </c>
      <c r="H2455" s="1">
        <v>57</v>
      </c>
      <c r="I2455" s="1">
        <v>10</v>
      </c>
      <c r="J2455" s="4">
        <v>513</v>
      </c>
      <c r="K2455" s="4">
        <v>352.21</v>
      </c>
      <c r="L2455" s="4">
        <v>160.79</v>
      </c>
      <c r="M2455" s="1" t="str">
        <f>TEXT(Table1[[#This Row],[Order_Date]], "MMM")</f>
        <v>Nov</v>
      </c>
      <c r="N2455" s="1">
        <f>YEAR(Table1[[#This Row],[Order_Date]])</f>
        <v>2024</v>
      </c>
      <c r="O2455" s="7">
        <f>Table1[[#This Row],[Profit]]/Table1[[#This Row],[Total_Sales]]</f>
        <v>0.31343079922027289</v>
      </c>
    </row>
    <row r="2456" spans="1:15" x14ac:dyDescent="0.25">
      <c r="A2456" s="1">
        <v>2455</v>
      </c>
      <c r="B2456" s="2">
        <v>45606</v>
      </c>
      <c r="C2456" s="1" t="s">
        <v>16</v>
      </c>
      <c r="D2456" s="1" t="s">
        <v>26</v>
      </c>
      <c r="E2456" s="1" t="s">
        <v>46</v>
      </c>
      <c r="F2456" s="1" t="s">
        <v>40</v>
      </c>
      <c r="G2456" s="1">
        <v>1</v>
      </c>
      <c r="H2456" s="1">
        <v>793</v>
      </c>
      <c r="I2456" s="1">
        <v>20</v>
      </c>
      <c r="J2456" s="4">
        <v>634.4</v>
      </c>
      <c r="K2456" s="4">
        <v>336.01</v>
      </c>
      <c r="L2456" s="4">
        <v>298.39</v>
      </c>
      <c r="M2456" s="1" t="str">
        <f>TEXT(Table1[[#This Row],[Order_Date]], "MMM")</f>
        <v>Nov</v>
      </c>
      <c r="N2456" s="1">
        <f>YEAR(Table1[[#This Row],[Order_Date]])</f>
        <v>2024</v>
      </c>
      <c r="O2456" s="7">
        <f>Table1[[#This Row],[Profit]]/Table1[[#This Row],[Total_Sales]]</f>
        <v>0.47034993694829758</v>
      </c>
    </row>
    <row r="2457" spans="1:15" x14ac:dyDescent="0.25">
      <c r="A2457" s="1">
        <v>2456</v>
      </c>
      <c r="B2457" s="2">
        <v>45398</v>
      </c>
      <c r="C2457" s="1" t="s">
        <v>16</v>
      </c>
      <c r="D2457" s="1" t="s">
        <v>13</v>
      </c>
      <c r="E2457" s="1" t="s">
        <v>38</v>
      </c>
      <c r="F2457" s="1" t="s">
        <v>18</v>
      </c>
      <c r="G2457" s="1">
        <v>5</v>
      </c>
      <c r="H2457" s="1">
        <v>377</v>
      </c>
      <c r="I2457" s="1">
        <v>20</v>
      </c>
      <c r="J2457" s="4">
        <v>1508</v>
      </c>
      <c r="K2457" s="4">
        <v>1146.68</v>
      </c>
      <c r="L2457" s="4">
        <v>361.32</v>
      </c>
      <c r="M2457" s="1" t="str">
        <f>TEXT(Table1[[#This Row],[Order_Date]], "MMM")</f>
        <v>Apr</v>
      </c>
      <c r="N2457" s="1">
        <f>YEAR(Table1[[#This Row],[Order_Date]])</f>
        <v>2024</v>
      </c>
      <c r="O2457" s="7">
        <f>Table1[[#This Row],[Profit]]/Table1[[#This Row],[Total_Sales]]</f>
        <v>0.2396021220159151</v>
      </c>
    </row>
    <row r="2458" spans="1:15" x14ac:dyDescent="0.25">
      <c r="A2458" s="1">
        <v>2457</v>
      </c>
      <c r="B2458" s="2">
        <v>45047</v>
      </c>
      <c r="C2458" s="1" t="s">
        <v>25</v>
      </c>
      <c r="D2458" s="1" t="s">
        <v>22</v>
      </c>
      <c r="E2458" s="1" t="s">
        <v>36</v>
      </c>
      <c r="F2458" s="1" t="s">
        <v>31</v>
      </c>
      <c r="G2458" s="1">
        <v>8</v>
      </c>
      <c r="H2458" s="1">
        <v>778</v>
      </c>
      <c r="I2458" s="1">
        <v>5</v>
      </c>
      <c r="J2458" s="4">
        <v>5912.8</v>
      </c>
      <c r="K2458" s="4">
        <v>4664.9799999999996</v>
      </c>
      <c r="L2458" s="4">
        <v>1247.82</v>
      </c>
      <c r="M2458" s="1" t="str">
        <f>TEXT(Table1[[#This Row],[Order_Date]], "MMM")</f>
        <v>May</v>
      </c>
      <c r="N2458" s="1">
        <f>YEAR(Table1[[#This Row],[Order_Date]])</f>
        <v>2023</v>
      </c>
      <c r="O2458" s="7">
        <f>Table1[[#This Row],[Profit]]/Table1[[#This Row],[Total_Sales]]</f>
        <v>0.21103707211473413</v>
      </c>
    </row>
    <row r="2459" spans="1:15" x14ac:dyDescent="0.25">
      <c r="A2459" s="1">
        <v>2458</v>
      </c>
      <c r="B2459" s="2">
        <v>45203</v>
      </c>
      <c r="C2459" s="1" t="s">
        <v>12</v>
      </c>
      <c r="D2459" s="1" t="s">
        <v>32</v>
      </c>
      <c r="E2459" s="1" t="s">
        <v>45</v>
      </c>
      <c r="F2459" s="1" t="s">
        <v>35</v>
      </c>
      <c r="G2459" s="1">
        <v>9</v>
      </c>
      <c r="H2459" s="1">
        <v>828</v>
      </c>
      <c r="I2459" s="1">
        <v>10</v>
      </c>
      <c r="J2459" s="4">
        <v>6706.8</v>
      </c>
      <c r="K2459" s="4">
        <v>3868.57</v>
      </c>
      <c r="L2459" s="4">
        <v>2838.23</v>
      </c>
      <c r="M2459" s="1" t="str">
        <f>TEXT(Table1[[#This Row],[Order_Date]], "MMM")</f>
        <v>Oct</v>
      </c>
      <c r="N2459" s="1">
        <f>YEAR(Table1[[#This Row],[Order_Date]])</f>
        <v>2023</v>
      </c>
      <c r="O2459" s="7">
        <f>Table1[[#This Row],[Profit]]/Table1[[#This Row],[Total_Sales]]</f>
        <v>0.42318691477306614</v>
      </c>
    </row>
    <row r="2460" spans="1:15" x14ac:dyDescent="0.25">
      <c r="A2460" s="1">
        <v>2459</v>
      </c>
      <c r="B2460" s="2">
        <v>45590</v>
      </c>
      <c r="C2460" s="1" t="s">
        <v>25</v>
      </c>
      <c r="D2460" s="1" t="s">
        <v>22</v>
      </c>
      <c r="E2460" s="1" t="s">
        <v>29</v>
      </c>
      <c r="F2460" s="1" t="s">
        <v>35</v>
      </c>
      <c r="G2460" s="1">
        <v>2</v>
      </c>
      <c r="H2460" s="1">
        <v>576</v>
      </c>
      <c r="I2460" s="1">
        <v>5</v>
      </c>
      <c r="J2460" s="4">
        <v>1094.4000000000001</v>
      </c>
      <c r="K2460" s="4">
        <v>613.65</v>
      </c>
      <c r="L2460" s="4">
        <v>480.75</v>
      </c>
      <c r="M2460" s="1" t="str">
        <f>TEXT(Table1[[#This Row],[Order_Date]], "MMM")</f>
        <v>Oct</v>
      </c>
      <c r="N2460" s="1">
        <f>YEAR(Table1[[#This Row],[Order_Date]])</f>
        <v>2024</v>
      </c>
      <c r="O2460" s="7">
        <f>Table1[[#This Row],[Profit]]/Table1[[#This Row],[Total_Sales]]</f>
        <v>0.43928179824561397</v>
      </c>
    </row>
    <row r="2461" spans="1:15" x14ac:dyDescent="0.25">
      <c r="A2461" s="1">
        <v>2460</v>
      </c>
      <c r="B2461" s="2">
        <v>45632</v>
      </c>
      <c r="C2461" s="1" t="s">
        <v>12</v>
      </c>
      <c r="D2461" s="1" t="s">
        <v>20</v>
      </c>
      <c r="E2461" s="1" t="s">
        <v>28</v>
      </c>
      <c r="F2461" s="1" t="s">
        <v>35</v>
      </c>
      <c r="G2461" s="1">
        <v>6</v>
      </c>
      <c r="H2461" s="1">
        <v>392</v>
      </c>
      <c r="I2461" s="1">
        <v>10</v>
      </c>
      <c r="J2461" s="4">
        <v>2116.8000000000002</v>
      </c>
      <c r="K2461" s="4">
        <v>1339.01</v>
      </c>
      <c r="L2461" s="4">
        <v>777.79</v>
      </c>
      <c r="M2461" s="1" t="str">
        <f>TEXT(Table1[[#This Row],[Order_Date]], "MMM")</f>
        <v>Dec</v>
      </c>
      <c r="N2461" s="1">
        <f>YEAR(Table1[[#This Row],[Order_Date]])</f>
        <v>2024</v>
      </c>
      <c r="O2461" s="7">
        <f>Table1[[#This Row],[Profit]]/Table1[[#This Row],[Total_Sales]]</f>
        <v>0.36743669690098257</v>
      </c>
    </row>
    <row r="2462" spans="1:15" x14ac:dyDescent="0.25">
      <c r="A2462" s="1">
        <v>2461</v>
      </c>
      <c r="B2462" s="2">
        <v>45490</v>
      </c>
      <c r="C2462" s="1" t="s">
        <v>25</v>
      </c>
      <c r="D2462" s="1" t="s">
        <v>22</v>
      </c>
      <c r="E2462" s="1" t="s">
        <v>23</v>
      </c>
      <c r="F2462" s="1" t="s">
        <v>31</v>
      </c>
      <c r="G2462" s="1">
        <v>8</v>
      </c>
      <c r="H2462" s="1">
        <v>426</v>
      </c>
      <c r="I2462" s="1">
        <v>5</v>
      </c>
      <c r="J2462" s="4">
        <v>3237.6</v>
      </c>
      <c r="K2462" s="4">
        <v>2359.04</v>
      </c>
      <c r="L2462" s="4">
        <v>878.56</v>
      </c>
      <c r="M2462" s="1" t="str">
        <f>TEXT(Table1[[#This Row],[Order_Date]], "MMM")</f>
        <v>Jul</v>
      </c>
      <c r="N2462" s="1">
        <f>YEAR(Table1[[#This Row],[Order_Date]])</f>
        <v>2024</v>
      </c>
      <c r="O2462" s="7">
        <f>Table1[[#This Row],[Profit]]/Table1[[#This Row],[Total_Sales]]</f>
        <v>0.27136150234741785</v>
      </c>
    </row>
    <row r="2463" spans="1:15" x14ac:dyDescent="0.25">
      <c r="A2463" s="1">
        <v>2462</v>
      </c>
      <c r="B2463" s="2">
        <v>45540</v>
      </c>
      <c r="C2463" s="1" t="s">
        <v>12</v>
      </c>
      <c r="D2463" s="1" t="s">
        <v>13</v>
      </c>
      <c r="E2463" s="1" t="s">
        <v>39</v>
      </c>
      <c r="F2463" s="1" t="s">
        <v>31</v>
      </c>
      <c r="G2463" s="1">
        <v>7</v>
      </c>
      <c r="H2463" s="1">
        <v>649</v>
      </c>
      <c r="I2463" s="1">
        <v>0</v>
      </c>
      <c r="J2463" s="4">
        <v>4543</v>
      </c>
      <c r="K2463" s="4">
        <v>2966.21</v>
      </c>
      <c r="L2463" s="4">
        <v>1576.79</v>
      </c>
      <c r="M2463" s="1" t="str">
        <f>TEXT(Table1[[#This Row],[Order_Date]], "MMM")</f>
        <v>Sep</v>
      </c>
      <c r="N2463" s="1">
        <f>YEAR(Table1[[#This Row],[Order_Date]])</f>
        <v>2024</v>
      </c>
      <c r="O2463" s="7">
        <f>Table1[[#This Row],[Profit]]/Table1[[#This Row],[Total_Sales]]</f>
        <v>0.34708122386088486</v>
      </c>
    </row>
    <row r="2464" spans="1:15" x14ac:dyDescent="0.25">
      <c r="A2464" s="1">
        <v>2463</v>
      </c>
      <c r="B2464" s="2">
        <v>45290</v>
      </c>
      <c r="C2464" s="1" t="s">
        <v>25</v>
      </c>
      <c r="D2464" s="1" t="s">
        <v>20</v>
      </c>
      <c r="E2464" s="1" t="s">
        <v>43</v>
      </c>
      <c r="F2464" s="1" t="s">
        <v>18</v>
      </c>
      <c r="G2464" s="1">
        <v>7</v>
      </c>
      <c r="H2464" s="1">
        <v>443</v>
      </c>
      <c r="I2464" s="1">
        <v>20</v>
      </c>
      <c r="J2464" s="4">
        <v>2480.8000000000002</v>
      </c>
      <c r="K2464" s="4">
        <v>1665.7</v>
      </c>
      <c r="L2464" s="4">
        <v>815.1</v>
      </c>
      <c r="M2464" s="1" t="str">
        <f>TEXT(Table1[[#This Row],[Order_Date]], "MMM")</f>
        <v>Dec</v>
      </c>
      <c r="N2464" s="1">
        <f>YEAR(Table1[[#This Row],[Order_Date]])</f>
        <v>2023</v>
      </c>
      <c r="O2464" s="7">
        <f>Table1[[#This Row],[Profit]]/Table1[[#This Row],[Total_Sales]]</f>
        <v>0.32856336665591745</v>
      </c>
    </row>
    <row r="2465" spans="1:15" x14ac:dyDescent="0.25">
      <c r="A2465" s="1">
        <v>2464</v>
      </c>
      <c r="B2465" s="2">
        <v>45332</v>
      </c>
      <c r="C2465" s="1" t="s">
        <v>19</v>
      </c>
      <c r="D2465" s="1" t="s">
        <v>26</v>
      </c>
      <c r="E2465" s="1" t="s">
        <v>42</v>
      </c>
      <c r="F2465" s="1" t="s">
        <v>35</v>
      </c>
      <c r="G2465" s="1">
        <v>5</v>
      </c>
      <c r="H2465" s="1">
        <v>960</v>
      </c>
      <c r="I2465" s="1">
        <v>15</v>
      </c>
      <c r="J2465" s="4">
        <v>4080</v>
      </c>
      <c r="K2465" s="4">
        <v>3053.61</v>
      </c>
      <c r="L2465" s="4">
        <v>1026.3900000000001</v>
      </c>
      <c r="M2465" s="1" t="str">
        <f>TEXT(Table1[[#This Row],[Order_Date]], "MMM")</f>
        <v>Feb</v>
      </c>
      <c r="N2465" s="1">
        <f>YEAR(Table1[[#This Row],[Order_Date]])</f>
        <v>2024</v>
      </c>
      <c r="O2465" s="7">
        <f>Table1[[#This Row],[Profit]]/Table1[[#This Row],[Total_Sales]]</f>
        <v>0.25156617647058827</v>
      </c>
    </row>
    <row r="2466" spans="1:15" x14ac:dyDescent="0.25">
      <c r="A2466" s="1">
        <v>2465</v>
      </c>
      <c r="B2466" s="2">
        <v>45643</v>
      </c>
      <c r="C2466" s="1" t="s">
        <v>19</v>
      </c>
      <c r="D2466" s="1" t="s">
        <v>13</v>
      </c>
      <c r="E2466" s="1" t="s">
        <v>14</v>
      </c>
      <c r="F2466" s="1" t="s">
        <v>40</v>
      </c>
      <c r="G2466" s="1">
        <v>9</v>
      </c>
      <c r="H2466" s="1">
        <v>640</v>
      </c>
      <c r="I2466" s="1">
        <v>20</v>
      </c>
      <c r="J2466" s="4">
        <v>4608</v>
      </c>
      <c r="K2466" s="4">
        <v>2645.09</v>
      </c>
      <c r="L2466" s="4">
        <v>1962.91</v>
      </c>
      <c r="M2466" s="1" t="str">
        <f>TEXT(Table1[[#This Row],[Order_Date]], "MMM")</f>
        <v>Dec</v>
      </c>
      <c r="N2466" s="1">
        <f>YEAR(Table1[[#This Row],[Order_Date]])</f>
        <v>2024</v>
      </c>
      <c r="O2466" s="7">
        <f>Table1[[#This Row],[Profit]]/Table1[[#This Row],[Total_Sales]]</f>
        <v>0.42597873263888891</v>
      </c>
    </row>
    <row r="2467" spans="1:15" x14ac:dyDescent="0.25">
      <c r="A2467" s="1">
        <v>2466</v>
      </c>
      <c r="B2467" s="2">
        <v>44974</v>
      </c>
      <c r="C2467" s="1" t="s">
        <v>25</v>
      </c>
      <c r="D2467" s="1" t="s">
        <v>32</v>
      </c>
      <c r="E2467" s="1" t="s">
        <v>45</v>
      </c>
      <c r="F2467" s="1" t="s">
        <v>40</v>
      </c>
      <c r="G2467" s="1">
        <v>10</v>
      </c>
      <c r="H2467" s="1">
        <v>317</v>
      </c>
      <c r="I2467" s="1">
        <v>10</v>
      </c>
      <c r="J2467" s="4">
        <v>2853</v>
      </c>
      <c r="K2467" s="4">
        <v>2005.73</v>
      </c>
      <c r="L2467" s="4">
        <v>847.27</v>
      </c>
      <c r="M2467" s="1" t="str">
        <f>TEXT(Table1[[#This Row],[Order_Date]], "MMM")</f>
        <v>Feb</v>
      </c>
      <c r="N2467" s="1">
        <f>YEAR(Table1[[#This Row],[Order_Date]])</f>
        <v>2023</v>
      </c>
      <c r="O2467" s="7">
        <f>Table1[[#This Row],[Profit]]/Table1[[#This Row],[Total_Sales]]</f>
        <v>0.296975113915177</v>
      </c>
    </row>
    <row r="2468" spans="1:15" x14ac:dyDescent="0.25">
      <c r="A2468" s="1">
        <v>2467</v>
      </c>
      <c r="B2468" s="2">
        <v>45449</v>
      </c>
      <c r="C2468" s="1" t="s">
        <v>19</v>
      </c>
      <c r="D2468" s="1" t="s">
        <v>20</v>
      </c>
      <c r="E2468" s="1" t="s">
        <v>30</v>
      </c>
      <c r="F2468" s="1" t="s">
        <v>24</v>
      </c>
      <c r="G2468" s="1">
        <v>3</v>
      </c>
      <c r="H2468" s="1">
        <v>852</v>
      </c>
      <c r="I2468" s="1">
        <v>20</v>
      </c>
      <c r="J2468" s="4">
        <v>2044.8</v>
      </c>
      <c r="K2468" s="4">
        <v>1139.03</v>
      </c>
      <c r="L2468" s="4">
        <v>905.77</v>
      </c>
      <c r="M2468" s="1" t="str">
        <f>TEXT(Table1[[#This Row],[Order_Date]], "MMM")</f>
        <v>Jun</v>
      </c>
      <c r="N2468" s="1">
        <f>YEAR(Table1[[#This Row],[Order_Date]])</f>
        <v>2024</v>
      </c>
      <c r="O2468" s="7">
        <f>Table1[[#This Row],[Profit]]/Table1[[#This Row],[Total_Sales]]</f>
        <v>0.44296263693270738</v>
      </c>
    </row>
    <row r="2469" spans="1:15" x14ac:dyDescent="0.25">
      <c r="A2469" s="1">
        <v>2468</v>
      </c>
      <c r="B2469" s="2">
        <v>45017</v>
      </c>
      <c r="C2469" s="1" t="s">
        <v>12</v>
      </c>
      <c r="D2469" s="1" t="s">
        <v>13</v>
      </c>
      <c r="E2469" s="1" t="s">
        <v>39</v>
      </c>
      <c r="F2469" s="1" t="s">
        <v>35</v>
      </c>
      <c r="G2469" s="1">
        <v>9</v>
      </c>
      <c r="H2469" s="1">
        <v>611</v>
      </c>
      <c r="I2469" s="1">
        <v>20</v>
      </c>
      <c r="J2469" s="4">
        <v>4399.2</v>
      </c>
      <c r="K2469" s="4">
        <v>3425.84</v>
      </c>
      <c r="L2469" s="4">
        <v>973.36</v>
      </c>
      <c r="M2469" s="1" t="str">
        <f>TEXT(Table1[[#This Row],[Order_Date]], "MMM")</f>
        <v>Apr</v>
      </c>
      <c r="N2469" s="1">
        <f>YEAR(Table1[[#This Row],[Order_Date]])</f>
        <v>2023</v>
      </c>
      <c r="O2469" s="7">
        <f>Table1[[#This Row],[Profit]]/Table1[[#This Row],[Total_Sales]]</f>
        <v>0.22125841062011276</v>
      </c>
    </row>
    <row r="2470" spans="1:15" x14ac:dyDescent="0.25">
      <c r="A2470" s="1">
        <v>2469</v>
      </c>
      <c r="B2470" s="2">
        <v>45054</v>
      </c>
      <c r="C2470" s="1" t="s">
        <v>25</v>
      </c>
      <c r="D2470" s="1" t="s">
        <v>13</v>
      </c>
      <c r="E2470" s="1" t="s">
        <v>38</v>
      </c>
      <c r="F2470" s="1" t="s">
        <v>24</v>
      </c>
      <c r="G2470" s="1">
        <v>1</v>
      </c>
      <c r="H2470" s="1">
        <v>577</v>
      </c>
      <c r="I2470" s="1">
        <v>15</v>
      </c>
      <c r="J2470" s="4">
        <v>490.45</v>
      </c>
      <c r="K2470" s="4">
        <v>383.6</v>
      </c>
      <c r="L2470" s="4">
        <v>106.85</v>
      </c>
      <c r="M2470" s="1" t="str">
        <f>TEXT(Table1[[#This Row],[Order_Date]], "MMM")</f>
        <v>May</v>
      </c>
      <c r="N2470" s="1">
        <f>YEAR(Table1[[#This Row],[Order_Date]])</f>
        <v>2023</v>
      </c>
      <c r="O2470" s="7">
        <f>Table1[[#This Row],[Profit]]/Table1[[#This Row],[Total_Sales]]</f>
        <v>0.21786114792537464</v>
      </c>
    </row>
    <row r="2471" spans="1:15" x14ac:dyDescent="0.25">
      <c r="A2471" s="1">
        <v>2470</v>
      </c>
      <c r="B2471" s="2">
        <v>44987</v>
      </c>
      <c r="C2471" s="1" t="s">
        <v>25</v>
      </c>
      <c r="D2471" s="1" t="s">
        <v>20</v>
      </c>
      <c r="E2471" s="1" t="s">
        <v>30</v>
      </c>
      <c r="F2471" s="1" t="s">
        <v>35</v>
      </c>
      <c r="G2471" s="1">
        <v>8</v>
      </c>
      <c r="H2471" s="1">
        <v>20</v>
      </c>
      <c r="I2471" s="1">
        <v>10</v>
      </c>
      <c r="J2471" s="4">
        <v>144</v>
      </c>
      <c r="K2471" s="4">
        <v>86.96</v>
      </c>
      <c r="L2471" s="4">
        <v>57.04</v>
      </c>
      <c r="M2471" s="1" t="str">
        <f>TEXT(Table1[[#This Row],[Order_Date]], "MMM")</f>
        <v>Mar</v>
      </c>
      <c r="N2471" s="1">
        <f>YEAR(Table1[[#This Row],[Order_Date]])</f>
        <v>2023</v>
      </c>
      <c r="O2471" s="7">
        <f>Table1[[#This Row],[Profit]]/Table1[[#This Row],[Total_Sales]]</f>
        <v>0.39611111111111108</v>
      </c>
    </row>
    <row r="2472" spans="1:15" x14ac:dyDescent="0.25">
      <c r="A2472" s="1">
        <v>2471</v>
      </c>
      <c r="B2472" s="2">
        <v>45159</v>
      </c>
      <c r="C2472" s="1" t="s">
        <v>16</v>
      </c>
      <c r="D2472" s="1" t="s">
        <v>22</v>
      </c>
      <c r="E2472" s="1" t="s">
        <v>29</v>
      </c>
      <c r="F2472" s="1" t="s">
        <v>35</v>
      </c>
      <c r="G2472" s="1">
        <v>5</v>
      </c>
      <c r="H2472" s="1">
        <v>219</v>
      </c>
      <c r="I2472" s="1">
        <v>15</v>
      </c>
      <c r="J2472" s="4">
        <v>930.75</v>
      </c>
      <c r="K2472" s="4">
        <v>592.92999999999995</v>
      </c>
      <c r="L2472" s="4">
        <v>337.82</v>
      </c>
      <c r="M2472" s="1" t="str">
        <f>TEXT(Table1[[#This Row],[Order_Date]], "MMM")</f>
        <v>Aug</v>
      </c>
      <c r="N2472" s="1">
        <f>YEAR(Table1[[#This Row],[Order_Date]])</f>
        <v>2023</v>
      </c>
      <c r="O2472" s="7">
        <f>Table1[[#This Row],[Profit]]/Table1[[#This Row],[Total_Sales]]</f>
        <v>0.36295460650013428</v>
      </c>
    </row>
    <row r="2473" spans="1:15" x14ac:dyDescent="0.25">
      <c r="A2473" s="1">
        <v>2472</v>
      </c>
      <c r="B2473" s="2">
        <v>45434</v>
      </c>
      <c r="C2473" s="1" t="s">
        <v>12</v>
      </c>
      <c r="D2473" s="1" t="s">
        <v>26</v>
      </c>
      <c r="E2473" s="1" t="s">
        <v>27</v>
      </c>
      <c r="F2473" s="1" t="s">
        <v>18</v>
      </c>
      <c r="G2473" s="1">
        <v>1</v>
      </c>
      <c r="H2473" s="1">
        <v>480</v>
      </c>
      <c r="I2473" s="1">
        <v>5</v>
      </c>
      <c r="J2473" s="4">
        <v>456</v>
      </c>
      <c r="K2473" s="4">
        <v>314.5</v>
      </c>
      <c r="L2473" s="4">
        <v>141.5</v>
      </c>
      <c r="M2473" s="1" t="str">
        <f>TEXT(Table1[[#This Row],[Order_Date]], "MMM")</f>
        <v>May</v>
      </c>
      <c r="N2473" s="1">
        <f>YEAR(Table1[[#This Row],[Order_Date]])</f>
        <v>2024</v>
      </c>
      <c r="O2473" s="7">
        <f>Table1[[#This Row],[Profit]]/Table1[[#This Row],[Total_Sales]]</f>
        <v>0.31030701754385964</v>
      </c>
    </row>
    <row r="2474" spans="1:15" x14ac:dyDescent="0.25">
      <c r="A2474" s="1">
        <v>2473</v>
      </c>
      <c r="B2474" s="2">
        <v>45247</v>
      </c>
      <c r="C2474" s="1" t="s">
        <v>19</v>
      </c>
      <c r="D2474" s="1" t="s">
        <v>20</v>
      </c>
      <c r="E2474" s="1" t="s">
        <v>21</v>
      </c>
      <c r="F2474" s="1" t="s">
        <v>35</v>
      </c>
      <c r="G2474" s="1">
        <v>7</v>
      </c>
      <c r="H2474" s="1">
        <v>692</v>
      </c>
      <c r="I2474" s="1">
        <v>20</v>
      </c>
      <c r="J2474" s="4">
        <v>3875.2</v>
      </c>
      <c r="K2474" s="4">
        <v>2220.36</v>
      </c>
      <c r="L2474" s="4">
        <v>1654.84</v>
      </c>
      <c r="M2474" s="1" t="str">
        <f>TEXT(Table1[[#This Row],[Order_Date]], "MMM")</f>
        <v>Nov</v>
      </c>
      <c r="N2474" s="1">
        <f>YEAR(Table1[[#This Row],[Order_Date]])</f>
        <v>2023</v>
      </c>
      <c r="O2474" s="7">
        <f>Table1[[#This Row],[Profit]]/Table1[[#This Row],[Total_Sales]]</f>
        <v>0.42703344343517752</v>
      </c>
    </row>
    <row r="2475" spans="1:15" x14ac:dyDescent="0.25">
      <c r="A2475" s="1">
        <v>2474</v>
      </c>
      <c r="B2475" s="2">
        <v>45509</v>
      </c>
      <c r="C2475" s="1" t="s">
        <v>12</v>
      </c>
      <c r="D2475" s="1" t="s">
        <v>32</v>
      </c>
      <c r="E2475" s="1" t="s">
        <v>33</v>
      </c>
      <c r="F2475" s="1" t="s">
        <v>31</v>
      </c>
      <c r="G2475" s="1">
        <v>1</v>
      </c>
      <c r="H2475" s="1">
        <v>424</v>
      </c>
      <c r="I2475" s="1">
        <v>20</v>
      </c>
      <c r="J2475" s="4">
        <v>339.2</v>
      </c>
      <c r="K2475" s="4">
        <v>256.67</v>
      </c>
      <c r="L2475" s="4">
        <v>82.53</v>
      </c>
      <c r="M2475" s="1" t="str">
        <f>TEXT(Table1[[#This Row],[Order_Date]], "MMM")</f>
        <v>Aug</v>
      </c>
      <c r="N2475" s="1">
        <f>YEAR(Table1[[#This Row],[Order_Date]])</f>
        <v>2024</v>
      </c>
      <c r="O2475" s="7">
        <f>Table1[[#This Row],[Profit]]/Table1[[#This Row],[Total_Sales]]</f>
        <v>0.24330778301886793</v>
      </c>
    </row>
    <row r="2476" spans="1:15" x14ac:dyDescent="0.25">
      <c r="A2476" s="1">
        <v>2475</v>
      </c>
      <c r="B2476" s="2">
        <v>45596</v>
      </c>
      <c r="C2476" s="1" t="s">
        <v>19</v>
      </c>
      <c r="D2476" s="1" t="s">
        <v>32</v>
      </c>
      <c r="E2476" s="1" t="s">
        <v>41</v>
      </c>
      <c r="F2476" s="1" t="s">
        <v>31</v>
      </c>
      <c r="G2476" s="1">
        <v>5</v>
      </c>
      <c r="H2476" s="1">
        <v>705</v>
      </c>
      <c r="I2476" s="1">
        <v>5</v>
      </c>
      <c r="J2476" s="4">
        <v>3348.75</v>
      </c>
      <c r="K2476" s="4">
        <v>2065.12</v>
      </c>
      <c r="L2476" s="4">
        <v>1283.6300000000001</v>
      </c>
      <c r="M2476" s="1" t="str">
        <f>TEXT(Table1[[#This Row],[Order_Date]], "MMM")</f>
        <v>Oct</v>
      </c>
      <c r="N2476" s="1">
        <f>YEAR(Table1[[#This Row],[Order_Date]])</f>
        <v>2024</v>
      </c>
      <c r="O2476" s="7">
        <f>Table1[[#This Row],[Profit]]/Table1[[#This Row],[Total_Sales]]</f>
        <v>0.3833161627472938</v>
      </c>
    </row>
    <row r="2477" spans="1:15" x14ac:dyDescent="0.25">
      <c r="A2477" s="1">
        <v>2476</v>
      </c>
      <c r="B2477" s="2">
        <v>45627</v>
      </c>
      <c r="C2477" s="1" t="s">
        <v>12</v>
      </c>
      <c r="D2477" s="1" t="s">
        <v>26</v>
      </c>
      <c r="E2477" s="1" t="s">
        <v>27</v>
      </c>
      <c r="F2477" s="1" t="s">
        <v>18</v>
      </c>
      <c r="G2477" s="1">
        <v>6</v>
      </c>
      <c r="H2477" s="1">
        <v>590</v>
      </c>
      <c r="I2477" s="1">
        <v>10</v>
      </c>
      <c r="J2477" s="4">
        <v>3186</v>
      </c>
      <c r="K2477" s="4">
        <v>1593.16</v>
      </c>
      <c r="L2477" s="4">
        <v>1592.84</v>
      </c>
      <c r="M2477" s="1" t="str">
        <f>TEXT(Table1[[#This Row],[Order_Date]], "MMM")</f>
        <v>Dec</v>
      </c>
      <c r="N2477" s="1">
        <f>YEAR(Table1[[#This Row],[Order_Date]])</f>
        <v>2024</v>
      </c>
      <c r="O2477" s="7">
        <f>Table1[[#This Row],[Profit]]/Table1[[#This Row],[Total_Sales]]</f>
        <v>0.4999497802887633</v>
      </c>
    </row>
    <row r="2478" spans="1:15" x14ac:dyDescent="0.25">
      <c r="A2478" s="1">
        <v>2477</v>
      </c>
      <c r="B2478" s="2">
        <v>45031</v>
      </c>
      <c r="C2478" s="1" t="s">
        <v>12</v>
      </c>
      <c r="D2478" s="1" t="s">
        <v>13</v>
      </c>
      <c r="E2478" s="1" t="s">
        <v>38</v>
      </c>
      <c r="F2478" s="1" t="s">
        <v>24</v>
      </c>
      <c r="G2478" s="1">
        <v>8</v>
      </c>
      <c r="H2478" s="1">
        <v>250</v>
      </c>
      <c r="I2478" s="1">
        <v>10</v>
      </c>
      <c r="J2478" s="4">
        <v>1800</v>
      </c>
      <c r="K2478" s="4">
        <v>1313.87</v>
      </c>
      <c r="L2478" s="4">
        <v>486.13</v>
      </c>
      <c r="M2478" s="1" t="str">
        <f>TEXT(Table1[[#This Row],[Order_Date]], "MMM")</f>
        <v>Apr</v>
      </c>
      <c r="N2478" s="1">
        <f>YEAR(Table1[[#This Row],[Order_Date]])</f>
        <v>2023</v>
      </c>
      <c r="O2478" s="7">
        <f>Table1[[#This Row],[Profit]]/Table1[[#This Row],[Total_Sales]]</f>
        <v>0.27007222222222221</v>
      </c>
    </row>
    <row r="2479" spans="1:15" x14ac:dyDescent="0.25">
      <c r="A2479" s="1">
        <v>2478</v>
      </c>
      <c r="B2479" s="2">
        <v>45350</v>
      </c>
      <c r="C2479" s="1" t="s">
        <v>16</v>
      </c>
      <c r="D2479" s="1" t="s">
        <v>26</v>
      </c>
      <c r="E2479" s="1" t="s">
        <v>46</v>
      </c>
      <c r="F2479" s="1" t="s">
        <v>18</v>
      </c>
      <c r="G2479" s="1">
        <v>1</v>
      </c>
      <c r="H2479" s="1">
        <v>328</v>
      </c>
      <c r="I2479" s="1">
        <v>20</v>
      </c>
      <c r="J2479" s="4">
        <v>262.39999999999998</v>
      </c>
      <c r="K2479" s="4">
        <v>204.87</v>
      </c>
      <c r="L2479" s="4">
        <v>57.53</v>
      </c>
      <c r="M2479" s="1" t="str">
        <f>TEXT(Table1[[#This Row],[Order_Date]], "MMM")</f>
        <v>Feb</v>
      </c>
      <c r="N2479" s="1">
        <f>YEAR(Table1[[#This Row],[Order_Date]])</f>
        <v>2024</v>
      </c>
      <c r="O2479" s="7">
        <f>Table1[[#This Row],[Profit]]/Table1[[#This Row],[Total_Sales]]</f>
        <v>0.21924542682926831</v>
      </c>
    </row>
    <row r="2480" spans="1:15" x14ac:dyDescent="0.25">
      <c r="A2480" s="1">
        <v>2479</v>
      </c>
      <c r="B2480" s="2">
        <v>45197</v>
      </c>
      <c r="C2480" s="1" t="s">
        <v>25</v>
      </c>
      <c r="D2480" s="1" t="s">
        <v>13</v>
      </c>
      <c r="E2480" s="1" t="s">
        <v>38</v>
      </c>
      <c r="F2480" s="1" t="s">
        <v>31</v>
      </c>
      <c r="G2480" s="1">
        <v>4</v>
      </c>
      <c r="H2480" s="1">
        <v>991</v>
      </c>
      <c r="I2480" s="1">
        <v>15</v>
      </c>
      <c r="J2480" s="4">
        <v>3369.4</v>
      </c>
      <c r="K2480" s="4">
        <v>1745.12</v>
      </c>
      <c r="L2480" s="4">
        <v>1624.28</v>
      </c>
      <c r="M2480" s="1" t="str">
        <f>TEXT(Table1[[#This Row],[Order_Date]], "MMM")</f>
        <v>Sep</v>
      </c>
      <c r="N2480" s="1">
        <f>YEAR(Table1[[#This Row],[Order_Date]])</f>
        <v>2023</v>
      </c>
      <c r="O2480" s="7">
        <f>Table1[[#This Row],[Profit]]/Table1[[#This Row],[Total_Sales]]</f>
        <v>0.48206802398053061</v>
      </c>
    </row>
    <row r="2481" spans="1:15" x14ac:dyDescent="0.25">
      <c r="A2481" s="1">
        <v>2480</v>
      </c>
      <c r="B2481" s="2">
        <v>45516</v>
      </c>
      <c r="C2481" s="1" t="s">
        <v>16</v>
      </c>
      <c r="D2481" s="1" t="s">
        <v>13</v>
      </c>
      <c r="E2481" s="1" t="s">
        <v>39</v>
      </c>
      <c r="F2481" s="1" t="s">
        <v>24</v>
      </c>
      <c r="G2481" s="1">
        <v>1</v>
      </c>
      <c r="H2481" s="1">
        <v>389</v>
      </c>
      <c r="I2481" s="1">
        <v>15</v>
      </c>
      <c r="J2481" s="4">
        <v>330.65</v>
      </c>
      <c r="K2481" s="4">
        <v>214.62</v>
      </c>
      <c r="L2481" s="4">
        <v>116.03</v>
      </c>
      <c r="M2481" s="1" t="str">
        <f>TEXT(Table1[[#This Row],[Order_Date]], "MMM")</f>
        <v>Aug</v>
      </c>
      <c r="N2481" s="1">
        <f>YEAR(Table1[[#This Row],[Order_Date]])</f>
        <v>2024</v>
      </c>
      <c r="O2481" s="7">
        <f>Table1[[#This Row],[Profit]]/Table1[[#This Row],[Total_Sales]]</f>
        <v>0.35091486466051719</v>
      </c>
    </row>
    <row r="2482" spans="1:15" x14ac:dyDescent="0.25">
      <c r="A2482" s="1">
        <v>2481</v>
      </c>
      <c r="B2482" s="2">
        <v>45653</v>
      </c>
      <c r="C2482" s="1" t="s">
        <v>19</v>
      </c>
      <c r="D2482" s="1" t="s">
        <v>13</v>
      </c>
      <c r="E2482" s="1" t="s">
        <v>39</v>
      </c>
      <c r="F2482" s="1" t="s">
        <v>40</v>
      </c>
      <c r="G2482" s="1">
        <v>8</v>
      </c>
      <c r="H2482" s="1">
        <v>277</v>
      </c>
      <c r="I2482" s="1">
        <v>10</v>
      </c>
      <c r="J2482" s="4">
        <v>1994.4</v>
      </c>
      <c r="K2482" s="4">
        <v>1330.92</v>
      </c>
      <c r="L2482" s="4">
        <v>663.48</v>
      </c>
      <c r="M2482" s="1" t="str">
        <f>TEXT(Table1[[#This Row],[Order_Date]], "MMM")</f>
        <v>Dec</v>
      </c>
      <c r="N2482" s="1">
        <f>YEAR(Table1[[#This Row],[Order_Date]])</f>
        <v>2024</v>
      </c>
      <c r="O2482" s="7">
        <f>Table1[[#This Row],[Profit]]/Table1[[#This Row],[Total_Sales]]</f>
        <v>0.33267148014440434</v>
      </c>
    </row>
    <row r="2483" spans="1:15" x14ac:dyDescent="0.25">
      <c r="A2483" s="1">
        <v>2482</v>
      </c>
      <c r="B2483" s="2">
        <v>45635</v>
      </c>
      <c r="C2483" s="1" t="s">
        <v>16</v>
      </c>
      <c r="D2483" s="1" t="s">
        <v>13</v>
      </c>
      <c r="E2483" s="1" t="s">
        <v>38</v>
      </c>
      <c r="F2483" s="1" t="s">
        <v>35</v>
      </c>
      <c r="G2483" s="1">
        <v>10</v>
      </c>
      <c r="H2483" s="1">
        <v>694</v>
      </c>
      <c r="I2483" s="1">
        <v>15</v>
      </c>
      <c r="J2483" s="4">
        <v>5899</v>
      </c>
      <c r="K2483" s="4">
        <v>3697.1</v>
      </c>
      <c r="L2483" s="4">
        <v>2201.9</v>
      </c>
      <c r="M2483" s="1" t="str">
        <f>TEXT(Table1[[#This Row],[Order_Date]], "MMM")</f>
        <v>Dec</v>
      </c>
      <c r="N2483" s="1">
        <f>YEAR(Table1[[#This Row],[Order_Date]])</f>
        <v>2024</v>
      </c>
      <c r="O2483" s="7">
        <f>Table1[[#This Row],[Profit]]/Table1[[#This Row],[Total_Sales]]</f>
        <v>0.37326665536531617</v>
      </c>
    </row>
    <row r="2484" spans="1:15" x14ac:dyDescent="0.25">
      <c r="A2484" s="1">
        <v>2483</v>
      </c>
      <c r="B2484" s="2">
        <v>45465</v>
      </c>
      <c r="C2484" s="1" t="s">
        <v>19</v>
      </c>
      <c r="D2484" s="1" t="s">
        <v>32</v>
      </c>
      <c r="E2484" s="1" t="s">
        <v>33</v>
      </c>
      <c r="F2484" s="1" t="s">
        <v>35</v>
      </c>
      <c r="G2484" s="1">
        <v>2</v>
      </c>
      <c r="H2484" s="1">
        <v>941</v>
      </c>
      <c r="I2484" s="1">
        <v>5</v>
      </c>
      <c r="J2484" s="4">
        <v>1787.9</v>
      </c>
      <c r="K2484" s="4">
        <v>1075.6099999999999</v>
      </c>
      <c r="L2484" s="4">
        <v>712.29</v>
      </c>
      <c r="M2484" s="1" t="str">
        <f>TEXT(Table1[[#This Row],[Order_Date]], "MMM")</f>
        <v>Jun</v>
      </c>
      <c r="N2484" s="1">
        <f>YEAR(Table1[[#This Row],[Order_Date]])</f>
        <v>2024</v>
      </c>
      <c r="O2484" s="7">
        <f>Table1[[#This Row],[Profit]]/Table1[[#This Row],[Total_Sales]]</f>
        <v>0.39839476480787511</v>
      </c>
    </row>
    <row r="2485" spans="1:15" x14ac:dyDescent="0.25">
      <c r="A2485" s="1">
        <v>2484</v>
      </c>
      <c r="B2485" s="2">
        <v>45301</v>
      </c>
      <c r="C2485" s="1" t="s">
        <v>19</v>
      </c>
      <c r="D2485" s="1" t="s">
        <v>13</v>
      </c>
      <c r="E2485" s="1" t="s">
        <v>38</v>
      </c>
      <c r="F2485" s="1" t="s">
        <v>31</v>
      </c>
      <c r="G2485" s="1">
        <v>9</v>
      </c>
      <c r="H2485" s="1">
        <v>960</v>
      </c>
      <c r="I2485" s="1">
        <v>5</v>
      </c>
      <c r="J2485" s="4">
        <v>8208</v>
      </c>
      <c r="K2485" s="4">
        <v>6391.07</v>
      </c>
      <c r="L2485" s="4">
        <v>1816.93</v>
      </c>
      <c r="M2485" s="1" t="str">
        <f>TEXT(Table1[[#This Row],[Order_Date]], "MMM")</f>
        <v>Jan</v>
      </c>
      <c r="N2485" s="1">
        <f>YEAR(Table1[[#This Row],[Order_Date]])</f>
        <v>2024</v>
      </c>
      <c r="O2485" s="7">
        <f>Table1[[#This Row],[Profit]]/Table1[[#This Row],[Total_Sales]]</f>
        <v>0.22136086744639377</v>
      </c>
    </row>
    <row r="2486" spans="1:15" x14ac:dyDescent="0.25">
      <c r="A2486" s="1">
        <v>2485</v>
      </c>
      <c r="B2486" s="2">
        <v>45520</v>
      </c>
      <c r="C2486" s="1" t="s">
        <v>16</v>
      </c>
      <c r="D2486" s="1" t="s">
        <v>26</v>
      </c>
      <c r="E2486" s="1" t="s">
        <v>46</v>
      </c>
      <c r="F2486" s="1" t="s">
        <v>31</v>
      </c>
      <c r="G2486" s="1">
        <v>1</v>
      </c>
      <c r="H2486" s="1">
        <v>324</v>
      </c>
      <c r="I2486" s="1">
        <v>10</v>
      </c>
      <c r="J2486" s="4">
        <v>291.60000000000002</v>
      </c>
      <c r="K2486" s="4">
        <v>231.36</v>
      </c>
      <c r="L2486" s="4">
        <v>60.24</v>
      </c>
      <c r="M2486" s="1" t="str">
        <f>TEXT(Table1[[#This Row],[Order_Date]], "MMM")</f>
        <v>Aug</v>
      </c>
      <c r="N2486" s="1">
        <f>YEAR(Table1[[#This Row],[Order_Date]])</f>
        <v>2024</v>
      </c>
      <c r="O2486" s="7">
        <f>Table1[[#This Row],[Profit]]/Table1[[#This Row],[Total_Sales]]</f>
        <v>0.20658436213991768</v>
      </c>
    </row>
    <row r="2487" spans="1:15" x14ac:dyDescent="0.25">
      <c r="A2487" s="1">
        <v>2486</v>
      </c>
      <c r="B2487" s="2">
        <v>45229</v>
      </c>
      <c r="C2487" s="1" t="s">
        <v>19</v>
      </c>
      <c r="D2487" s="1" t="s">
        <v>22</v>
      </c>
      <c r="E2487" s="1" t="s">
        <v>23</v>
      </c>
      <c r="F2487" s="1" t="s">
        <v>24</v>
      </c>
      <c r="G2487" s="1">
        <v>7</v>
      </c>
      <c r="H2487" s="1">
        <v>783</v>
      </c>
      <c r="I2487" s="1">
        <v>5</v>
      </c>
      <c r="J2487" s="4">
        <v>5206.95</v>
      </c>
      <c r="K2487" s="4">
        <v>4019.03</v>
      </c>
      <c r="L2487" s="4">
        <v>1187.92</v>
      </c>
      <c r="M2487" s="1" t="str">
        <f>TEXT(Table1[[#This Row],[Order_Date]], "MMM")</f>
        <v>Oct</v>
      </c>
      <c r="N2487" s="1">
        <f>YEAR(Table1[[#This Row],[Order_Date]])</f>
        <v>2023</v>
      </c>
      <c r="O2487" s="7">
        <f>Table1[[#This Row],[Profit]]/Table1[[#This Row],[Total_Sales]]</f>
        <v>0.22814123431183325</v>
      </c>
    </row>
    <row r="2488" spans="1:15" x14ac:dyDescent="0.25">
      <c r="A2488" s="1">
        <v>2487</v>
      </c>
      <c r="B2488" s="2">
        <v>45086</v>
      </c>
      <c r="C2488" s="1" t="s">
        <v>19</v>
      </c>
      <c r="D2488" s="1" t="s">
        <v>26</v>
      </c>
      <c r="E2488" s="1" t="s">
        <v>42</v>
      </c>
      <c r="F2488" s="1" t="s">
        <v>31</v>
      </c>
      <c r="G2488" s="1">
        <v>4</v>
      </c>
      <c r="H2488" s="1">
        <v>239</v>
      </c>
      <c r="I2488" s="1">
        <v>15</v>
      </c>
      <c r="J2488" s="4">
        <v>812.6</v>
      </c>
      <c r="K2488" s="4">
        <v>605.28</v>
      </c>
      <c r="L2488" s="4">
        <v>207.32</v>
      </c>
      <c r="M2488" s="1" t="str">
        <f>TEXT(Table1[[#This Row],[Order_Date]], "MMM")</f>
        <v>Jun</v>
      </c>
      <c r="N2488" s="1">
        <f>YEAR(Table1[[#This Row],[Order_Date]])</f>
        <v>2023</v>
      </c>
      <c r="O2488" s="7">
        <f>Table1[[#This Row],[Profit]]/Table1[[#This Row],[Total_Sales]]</f>
        <v>0.25513167610140292</v>
      </c>
    </row>
    <row r="2489" spans="1:15" x14ac:dyDescent="0.25">
      <c r="A2489" s="1">
        <v>2488</v>
      </c>
      <c r="B2489" s="2">
        <v>45531</v>
      </c>
      <c r="C2489" s="1" t="s">
        <v>12</v>
      </c>
      <c r="D2489" s="1" t="s">
        <v>13</v>
      </c>
      <c r="E2489" s="1" t="s">
        <v>17</v>
      </c>
      <c r="F2489" s="1" t="s">
        <v>35</v>
      </c>
      <c r="G2489" s="1">
        <v>1</v>
      </c>
      <c r="H2489" s="1">
        <v>621</v>
      </c>
      <c r="I2489" s="1">
        <v>10</v>
      </c>
      <c r="J2489" s="4">
        <v>558.9</v>
      </c>
      <c r="K2489" s="4">
        <v>316.48</v>
      </c>
      <c r="L2489" s="4">
        <v>242.42</v>
      </c>
      <c r="M2489" s="1" t="str">
        <f>TEXT(Table1[[#This Row],[Order_Date]], "MMM")</f>
        <v>Aug</v>
      </c>
      <c r="N2489" s="1">
        <f>YEAR(Table1[[#This Row],[Order_Date]])</f>
        <v>2024</v>
      </c>
      <c r="O2489" s="7">
        <f>Table1[[#This Row],[Profit]]/Table1[[#This Row],[Total_Sales]]</f>
        <v>0.43374485596707818</v>
      </c>
    </row>
    <row r="2490" spans="1:15" x14ac:dyDescent="0.25">
      <c r="A2490" s="1">
        <v>2489</v>
      </c>
      <c r="B2490" s="2">
        <v>45465</v>
      </c>
      <c r="C2490" s="1" t="s">
        <v>19</v>
      </c>
      <c r="D2490" s="1" t="s">
        <v>22</v>
      </c>
      <c r="E2490" s="1" t="s">
        <v>23</v>
      </c>
      <c r="F2490" s="1" t="s">
        <v>40</v>
      </c>
      <c r="G2490" s="1">
        <v>2</v>
      </c>
      <c r="H2490" s="1">
        <v>271</v>
      </c>
      <c r="I2490" s="1">
        <v>5</v>
      </c>
      <c r="J2490" s="4">
        <v>514.9</v>
      </c>
      <c r="K2490" s="4">
        <v>328.9</v>
      </c>
      <c r="L2490" s="4">
        <v>186</v>
      </c>
      <c r="M2490" s="1" t="str">
        <f>TEXT(Table1[[#This Row],[Order_Date]], "MMM")</f>
        <v>Jun</v>
      </c>
      <c r="N2490" s="1">
        <f>YEAR(Table1[[#This Row],[Order_Date]])</f>
        <v>2024</v>
      </c>
      <c r="O2490" s="7">
        <f>Table1[[#This Row],[Profit]]/Table1[[#This Row],[Total_Sales]]</f>
        <v>0.36123519129928144</v>
      </c>
    </row>
    <row r="2491" spans="1:15" x14ac:dyDescent="0.25">
      <c r="A2491" s="1">
        <v>2490</v>
      </c>
      <c r="B2491" s="2">
        <v>45149</v>
      </c>
      <c r="C2491" s="1" t="s">
        <v>25</v>
      </c>
      <c r="D2491" s="1" t="s">
        <v>32</v>
      </c>
      <c r="E2491" s="1" t="s">
        <v>41</v>
      </c>
      <c r="F2491" s="1" t="s">
        <v>35</v>
      </c>
      <c r="G2491" s="1">
        <v>8</v>
      </c>
      <c r="H2491" s="1">
        <v>749</v>
      </c>
      <c r="I2491" s="1">
        <v>15</v>
      </c>
      <c r="J2491" s="4">
        <v>5093.2</v>
      </c>
      <c r="K2491" s="4">
        <v>3006.01</v>
      </c>
      <c r="L2491" s="4">
        <v>2087.19</v>
      </c>
      <c r="M2491" s="1" t="str">
        <f>TEXT(Table1[[#This Row],[Order_Date]], "MMM")</f>
        <v>Aug</v>
      </c>
      <c r="N2491" s="1">
        <f>YEAR(Table1[[#This Row],[Order_Date]])</f>
        <v>2023</v>
      </c>
      <c r="O2491" s="7">
        <f>Table1[[#This Row],[Profit]]/Table1[[#This Row],[Total_Sales]]</f>
        <v>0.40979934029686643</v>
      </c>
    </row>
    <row r="2492" spans="1:15" x14ac:dyDescent="0.25">
      <c r="A2492" s="1">
        <v>2491</v>
      </c>
      <c r="B2492" s="2">
        <v>44957</v>
      </c>
      <c r="C2492" s="1" t="s">
        <v>16</v>
      </c>
      <c r="D2492" s="1" t="s">
        <v>20</v>
      </c>
      <c r="E2492" s="1" t="s">
        <v>30</v>
      </c>
      <c r="F2492" s="1" t="s">
        <v>35</v>
      </c>
      <c r="G2492" s="1">
        <v>5</v>
      </c>
      <c r="H2492" s="1">
        <v>566</v>
      </c>
      <c r="I2492" s="1">
        <v>20</v>
      </c>
      <c r="J2492" s="4">
        <v>2264</v>
      </c>
      <c r="K2492" s="4">
        <v>1482.92</v>
      </c>
      <c r="L2492" s="4">
        <v>781.08</v>
      </c>
      <c r="M2492" s="1" t="str">
        <f>TEXT(Table1[[#This Row],[Order_Date]], "MMM")</f>
        <v>Jan</v>
      </c>
      <c r="N2492" s="1">
        <f>YEAR(Table1[[#This Row],[Order_Date]])</f>
        <v>2023</v>
      </c>
      <c r="O2492" s="7">
        <f>Table1[[#This Row],[Profit]]/Table1[[#This Row],[Total_Sales]]</f>
        <v>0.34500000000000003</v>
      </c>
    </row>
    <row r="2493" spans="1:15" x14ac:dyDescent="0.25">
      <c r="A2493" s="1">
        <v>2492</v>
      </c>
      <c r="B2493" s="2">
        <v>45046</v>
      </c>
      <c r="C2493" s="1" t="s">
        <v>25</v>
      </c>
      <c r="D2493" s="1" t="s">
        <v>32</v>
      </c>
      <c r="E2493" s="1" t="s">
        <v>45</v>
      </c>
      <c r="F2493" s="1" t="s">
        <v>15</v>
      </c>
      <c r="G2493" s="1">
        <v>3</v>
      </c>
      <c r="H2493" s="1">
        <v>817</v>
      </c>
      <c r="I2493" s="1">
        <v>0</v>
      </c>
      <c r="J2493" s="4">
        <v>2451</v>
      </c>
      <c r="K2493" s="4">
        <v>1350.56</v>
      </c>
      <c r="L2493" s="4">
        <v>1100.44</v>
      </c>
      <c r="M2493" s="1" t="str">
        <f>TEXT(Table1[[#This Row],[Order_Date]], "MMM")</f>
        <v>Apr</v>
      </c>
      <c r="N2493" s="1">
        <f>YEAR(Table1[[#This Row],[Order_Date]])</f>
        <v>2023</v>
      </c>
      <c r="O2493" s="7">
        <f>Table1[[#This Row],[Profit]]/Table1[[#This Row],[Total_Sales]]</f>
        <v>0.44897592819257448</v>
      </c>
    </row>
    <row r="2494" spans="1:15" x14ac:dyDescent="0.25">
      <c r="A2494" s="1">
        <v>2493</v>
      </c>
      <c r="B2494" s="2">
        <v>45608</v>
      </c>
      <c r="C2494" s="1" t="s">
        <v>12</v>
      </c>
      <c r="D2494" s="1" t="s">
        <v>20</v>
      </c>
      <c r="E2494" s="1" t="s">
        <v>43</v>
      </c>
      <c r="F2494" s="1" t="s">
        <v>40</v>
      </c>
      <c r="G2494" s="1">
        <v>1</v>
      </c>
      <c r="H2494" s="1">
        <v>410</v>
      </c>
      <c r="I2494" s="1">
        <v>10</v>
      </c>
      <c r="J2494" s="4">
        <v>369</v>
      </c>
      <c r="K2494" s="4">
        <v>225.94</v>
      </c>
      <c r="L2494" s="4">
        <v>143.06</v>
      </c>
      <c r="M2494" s="1" t="str">
        <f>TEXT(Table1[[#This Row],[Order_Date]], "MMM")</f>
        <v>Nov</v>
      </c>
      <c r="N2494" s="1">
        <f>YEAR(Table1[[#This Row],[Order_Date]])</f>
        <v>2024</v>
      </c>
      <c r="O2494" s="7">
        <f>Table1[[#This Row],[Profit]]/Table1[[#This Row],[Total_Sales]]</f>
        <v>0.38769647696476967</v>
      </c>
    </row>
    <row r="2495" spans="1:15" x14ac:dyDescent="0.25">
      <c r="A2495" s="1">
        <v>2494</v>
      </c>
      <c r="B2495" s="2">
        <v>45471</v>
      </c>
      <c r="C2495" s="1" t="s">
        <v>16</v>
      </c>
      <c r="D2495" s="1" t="s">
        <v>26</v>
      </c>
      <c r="E2495" s="1" t="s">
        <v>46</v>
      </c>
      <c r="F2495" s="1" t="s">
        <v>18</v>
      </c>
      <c r="G2495" s="1">
        <v>2</v>
      </c>
      <c r="H2495" s="1">
        <v>53</v>
      </c>
      <c r="I2495" s="1">
        <v>0</v>
      </c>
      <c r="J2495" s="4">
        <v>106</v>
      </c>
      <c r="K2495" s="4">
        <v>58.89</v>
      </c>
      <c r="L2495" s="4">
        <v>47.11</v>
      </c>
      <c r="M2495" s="1" t="str">
        <f>TEXT(Table1[[#This Row],[Order_Date]], "MMM")</f>
        <v>Jun</v>
      </c>
      <c r="N2495" s="1">
        <f>YEAR(Table1[[#This Row],[Order_Date]])</f>
        <v>2024</v>
      </c>
      <c r="O2495" s="7">
        <f>Table1[[#This Row],[Profit]]/Table1[[#This Row],[Total_Sales]]</f>
        <v>0.44443396226415094</v>
      </c>
    </row>
    <row r="2496" spans="1:15" x14ac:dyDescent="0.25">
      <c r="A2496" s="1">
        <v>2495</v>
      </c>
      <c r="B2496" s="2">
        <v>45311</v>
      </c>
      <c r="C2496" s="1" t="s">
        <v>12</v>
      </c>
      <c r="D2496" s="1" t="s">
        <v>20</v>
      </c>
      <c r="E2496" s="1" t="s">
        <v>28</v>
      </c>
      <c r="F2496" s="1" t="s">
        <v>24</v>
      </c>
      <c r="G2496" s="1">
        <v>7</v>
      </c>
      <c r="H2496" s="1">
        <v>420</v>
      </c>
      <c r="I2496" s="1">
        <v>20</v>
      </c>
      <c r="J2496" s="4">
        <v>2352</v>
      </c>
      <c r="K2496" s="4">
        <v>1809.44</v>
      </c>
      <c r="L2496" s="4">
        <v>542.55999999999995</v>
      </c>
      <c r="M2496" s="1" t="str">
        <f>TEXT(Table1[[#This Row],[Order_Date]], "MMM")</f>
        <v>Jan</v>
      </c>
      <c r="N2496" s="1">
        <f>YEAR(Table1[[#This Row],[Order_Date]])</f>
        <v>2024</v>
      </c>
      <c r="O2496" s="7">
        <f>Table1[[#This Row],[Profit]]/Table1[[#This Row],[Total_Sales]]</f>
        <v>0.23068027210884351</v>
      </c>
    </row>
    <row r="2497" spans="1:15" x14ac:dyDescent="0.25">
      <c r="A2497" s="1">
        <v>2496</v>
      </c>
      <c r="B2497" s="2">
        <v>45542</v>
      </c>
      <c r="C2497" s="1" t="s">
        <v>19</v>
      </c>
      <c r="D2497" s="1" t="s">
        <v>22</v>
      </c>
      <c r="E2497" s="1" t="s">
        <v>44</v>
      </c>
      <c r="F2497" s="1" t="s">
        <v>24</v>
      </c>
      <c r="G2497" s="1">
        <v>3</v>
      </c>
      <c r="H2497" s="1">
        <v>235</v>
      </c>
      <c r="I2497" s="1">
        <v>0</v>
      </c>
      <c r="J2497" s="4">
        <v>705</v>
      </c>
      <c r="K2497" s="4">
        <v>488.84</v>
      </c>
      <c r="L2497" s="4">
        <v>216.16</v>
      </c>
      <c r="M2497" s="1" t="str">
        <f>TEXT(Table1[[#This Row],[Order_Date]], "MMM")</f>
        <v>Sep</v>
      </c>
      <c r="N2497" s="1">
        <f>YEAR(Table1[[#This Row],[Order_Date]])</f>
        <v>2024</v>
      </c>
      <c r="O2497" s="7">
        <f>Table1[[#This Row],[Profit]]/Table1[[#This Row],[Total_Sales]]</f>
        <v>0.30660992907801415</v>
      </c>
    </row>
    <row r="2498" spans="1:15" x14ac:dyDescent="0.25">
      <c r="A2498" s="1">
        <v>2497</v>
      </c>
      <c r="B2498" s="2">
        <v>45385</v>
      </c>
      <c r="C2498" s="1" t="s">
        <v>19</v>
      </c>
      <c r="D2498" s="1" t="s">
        <v>26</v>
      </c>
      <c r="E2498" s="1" t="s">
        <v>27</v>
      </c>
      <c r="F2498" s="1" t="s">
        <v>18</v>
      </c>
      <c r="G2498" s="1">
        <v>3</v>
      </c>
      <c r="H2498" s="1">
        <v>356</v>
      </c>
      <c r="I2498" s="1">
        <v>10</v>
      </c>
      <c r="J2498" s="4">
        <v>961.2</v>
      </c>
      <c r="K2498" s="4">
        <v>696.65</v>
      </c>
      <c r="L2498" s="4">
        <v>264.55</v>
      </c>
      <c r="M2498" s="1" t="str">
        <f>TEXT(Table1[[#This Row],[Order_Date]], "MMM")</f>
        <v>Apr</v>
      </c>
      <c r="N2498" s="1">
        <f>YEAR(Table1[[#This Row],[Order_Date]])</f>
        <v>2024</v>
      </c>
      <c r="O2498" s="7">
        <f>Table1[[#This Row],[Profit]]/Table1[[#This Row],[Total_Sales]]</f>
        <v>0.27522888056595923</v>
      </c>
    </row>
    <row r="2499" spans="1:15" x14ac:dyDescent="0.25">
      <c r="A2499" s="1">
        <v>2498</v>
      </c>
      <c r="B2499" s="2">
        <v>45458</v>
      </c>
      <c r="C2499" s="1" t="s">
        <v>16</v>
      </c>
      <c r="D2499" s="1" t="s">
        <v>13</v>
      </c>
      <c r="E2499" s="1" t="s">
        <v>39</v>
      </c>
      <c r="F2499" s="1" t="s">
        <v>40</v>
      </c>
      <c r="G2499" s="1">
        <v>8</v>
      </c>
      <c r="H2499" s="1">
        <v>422</v>
      </c>
      <c r="I2499" s="1">
        <v>5</v>
      </c>
      <c r="J2499" s="4">
        <v>3207.2</v>
      </c>
      <c r="K2499" s="4">
        <v>1773.26</v>
      </c>
      <c r="L2499" s="4">
        <v>1433.94</v>
      </c>
      <c r="M2499" s="1" t="str">
        <f>TEXT(Table1[[#This Row],[Order_Date]], "MMM")</f>
        <v>Jun</v>
      </c>
      <c r="N2499" s="1">
        <f>YEAR(Table1[[#This Row],[Order_Date]])</f>
        <v>2024</v>
      </c>
      <c r="O2499" s="7">
        <f>Table1[[#This Row],[Profit]]/Table1[[#This Row],[Total_Sales]]</f>
        <v>0.44710027438263911</v>
      </c>
    </row>
    <row r="2500" spans="1:15" x14ac:dyDescent="0.25">
      <c r="A2500" s="1">
        <v>2499</v>
      </c>
      <c r="B2500" s="2">
        <v>45263</v>
      </c>
      <c r="C2500" s="1" t="s">
        <v>12</v>
      </c>
      <c r="D2500" s="1" t="s">
        <v>22</v>
      </c>
      <c r="E2500" s="1" t="s">
        <v>29</v>
      </c>
      <c r="F2500" s="1" t="s">
        <v>24</v>
      </c>
      <c r="G2500" s="1">
        <v>9</v>
      </c>
      <c r="H2500" s="1">
        <v>12</v>
      </c>
      <c r="I2500" s="1">
        <v>20</v>
      </c>
      <c r="J2500" s="4">
        <v>86.4</v>
      </c>
      <c r="K2500" s="4">
        <v>54.22</v>
      </c>
      <c r="L2500" s="4">
        <v>32.18</v>
      </c>
      <c r="M2500" s="1" t="str">
        <f>TEXT(Table1[[#This Row],[Order_Date]], "MMM")</f>
        <v>Dec</v>
      </c>
      <c r="N2500" s="1">
        <f>YEAR(Table1[[#This Row],[Order_Date]])</f>
        <v>2023</v>
      </c>
      <c r="O2500" s="7">
        <f>Table1[[#This Row],[Profit]]/Table1[[#This Row],[Total_Sales]]</f>
        <v>0.37245370370370368</v>
      </c>
    </row>
    <row r="2501" spans="1:15" x14ac:dyDescent="0.25">
      <c r="A2501" s="1">
        <v>2500</v>
      </c>
      <c r="B2501" s="2">
        <v>45228</v>
      </c>
      <c r="C2501" s="1" t="s">
        <v>25</v>
      </c>
      <c r="D2501" s="1" t="s">
        <v>20</v>
      </c>
      <c r="E2501" s="1" t="s">
        <v>28</v>
      </c>
      <c r="F2501" s="1" t="s">
        <v>15</v>
      </c>
      <c r="G2501" s="1">
        <v>7</v>
      </c>
      <c r="H2501" s="1">
        <v>844</v>
      </c>
      <c r="I2501" s="1">
        <v>0</v>
      </c>
      <c r="J2501" s="4">
        <v>5908</v>
      </c>
      <c r="K2501" s="4">
        <v>3866.17</v>
      </c>
      <c r="L2501" s="4">
        <v>2041.83</v>
      </c>
      <c r="M2501" s="1" t="str">
        <f>TEXT(Table1[[#This Row],[Order_Date]], "MMM")</f>
        <v>Oct</v>
      </c>
      <c r="N2501" s="1">
        <f>YEAR(Table1[[#This Row],[Order_Date]])</f>
        <v>2023</v>
      </c>
      <c r="O2501" s="7">
        <f>Table1[[#This Row],[Profit]]/Table1[[#This Row],[Total_Sales]]</f>
        <v>0.34560426540284361</v>
      </c>
    </row>
    <row r="2502" spans="1:15" x14ac:dyDescent="0.25">
      <c r="A2502" s="1">
        <v>2501</v>
      </c>
      <c r="B2502" s="2">
        <v>45017</v>
      </c>
      <c r="C2502" s="1" t="s">
        <v>16</v>
      </c>
      <c r="D2502" s="1" t="s">
        <v>13</v>
      </c>
      <c r="E2502" s="1" t="s">
        <v>17</v>
      </c>
      <c r="F2502" s="1" t="s">
        <v>18</v>
      </c>
      <c r="G2502" s="1">
        <v>2</v>
      </c>
      <c r="H2502" s="1">
        <v>253</v>
      </c>
      <c r="I2502" s="1">
        <v>0</v>
      </c>
      <c r="J2502" s="4">
        <v>506</v>
      </c>
      <c r="K2502" s="4">
        <v>322.93</v>
      </c>
      <c r="L2502" s="4">
        <v>183.07</v>
      </c>
      <c r="M2502" s="1" t="str">
        <f>TEXT(Table1[[#This Row],[Order_Date]], "MMM")</f>
        <v>Apr</v>
      </c>
      <c r="N2502" s="1">
        <f>YEAR(Table1[[#This Row],[Order_Date]])</f>
        <v>2023</v>
      </c>
      <c r="O2502" s="7">
        <f>Table1[[#This Row],[Profit]]/Table1[[#This Row],[Total_Sales]]</f>
        <v>0.361798418972332</v>
      </c>
    </row>
    <row r="2503" spans="1:15" x14ac:dyDescent="0.25">
      <c r="A2503" s="1">
        <v>2502</v>
      </c>
      <c r="B2503" s="2">
        <v>45609</v>
      </c>
      <c r="C2503" s="1" t="s">
        <v>12</v>
      </c>
      <c r="D2503" s="1" t="s">
        <v>32</v>
      </c>
      <c r="E2503" s="1" t="s">
        <v>33</v>
      </c>
      <c r="F2503" s="1" t="s">
        <v>18</v>
      </c>
      <c r="G2503" s="1">
        <v>9</v>
      </c>
      <c r="H2503" s="1">
        <v>551</v>
      </c>
      <c r="I2503" s="1">
        <v>0</v>
      </c>
      <c r="J2503" s="4">
        <v>4959</v>
      </c>
      <c r="K2503" s="4">
        <v>3582.98</v>
      </c>
      <c r="L2503" s="4">
        <v>1376.02</v>
      </c>
      <c r="M2503" s="1" t="str">
        <f>TEXT(Table1[[#This Row],[Order_Date]], "MMM")</f>
        <v>Nov</v>
      </c>
      <c r="N2503" s="1">
        <f>YEAR(Table1[[#This Row],[Order_Date]])</f>
        <v>2024</v>
      </c>
      <c r="O2503" s="7">
        <f>Table1[[#This Row],[Profit]]/Table1[[#This Row],[Total_Sales]]</f>
        <v>0.27747933051018348</v>
      </c>
    </row>
    <row r="2504" spans="1:15" x14ac:dyDescent="0.25">
      <c r="A2504" s="1">
        <v>2503</v>
      </c>
      <c r="B2504" s="2">
        <v>45549</v>
      </c>
      <c r="C2504" s="1" t="s">
        <v>16</v>
      </c>
      <c r="D2504" s="1" t="s">
        <v>20</v>
      </c>
      <c r="E2504" s="1" t="s">
        <v>21</v>
      </c>
      <c r="F2504" s="1" t="s">
        <v>40</v>
      </c>
      <c r="G2504" s="1">
        <v>5</v>
      </c>
      <c r="H2504" s="1">
        <v>993</v>
      </c>
      <c r="I2504" s="1">
        <v>10</v>
      </c>
      <c r="J2504" s="4">
        <v>4468.5</v>
      </c>
      <c r="K2504" s="4">
        <v>3462</v>
      </c>
      <c r="L2504" s="4">
        <v>1006.5</v>
      </c>
      <c r="M2504" s="1" t="str">
        <f>TEXT(Table1[[#This Row],[Order_Date]], "MMM")</f>
        <v>Sep</v>
      </c>
      <c r="N2504" s="1">
        <f>YEAR(Table1[[#This Row],[Order_Date]])</f>
        <v>2024</v>
      </c>
      <c r="O2504" s="7">
        <f>Table1[[#This Row],[Profit]]/Table1[[#This Row],[Total_Sales]]</f>
        <v>0.22524337025847599</v>
      </c>
    </row>
    <row r="2505" spans="1:15" x14ac:dyDescent="0.25">
      <c r="A2505" s="1">
        <v>2504</v>
      </c>
      <c r="B2505" s="2">
        <v>45177</v>
      </c>
      <c r="C2505" s="1" t="s">
        <v>25</v>
      </c>
      <c r="D2505" s="1" t="s">
        <v>26</v>
      </c>
      <c r="E2505" s="1" t="s">
        <v>37</v>
      </c>
      <c r="F2505" s="1" t="s">
        <v>35</v>
      </c>
      <c r="G2505" s="1">
        <v>1</v>
      </c>
      <c r="H2505" s="1">
        <v>434</v>
      </c>
      <c r="I2505" s="1">
        <v>5</v>
      </c>
      <c r="J2505" s="4">
        <v>412.3</v>
      </c>
      <c r="K2505" s="4">
        <v>286.92</v>
      </c>
      <c r="L2505" s="4">
        <v>125.38</v>
      </c>
      <c r="M2505" s="1" t="str">
        <f>TEXT(Table1[[#This Row],[Order_Date]], "MMM")</f>
        <v>Sep</v>
      </c>
      <c r="N2505" s="1">
        <f>YEAR(Table1[[#This Row],[Order_Date]])</f>
        <v>2023</v>
      </c>
      <c r="O2505" s="7">
        <f>Table1[[#This Row],[Profit]]/Table1[[#This Row],[Total_Sales]]</f>
        <v>0.30409895707009454</v>
      </c>
    </row>
    <row r="2506" spans="1:15" x14ac:dyDescent="0.25">
      <c r="A2506" s="1">
        <v>2505</v>
      </c>
      <c r="B2506" s="2">
        <v>45651</v>
      </c>
      <c r="C2506" s="1" t="s">
        <v>16</v>
      </c>
      <c r="D2506" s="1" t="s">
        <v>20</v>
      </c>
      <c r="E2506" s="1" t="s">
        <v>30</v>
      </c>
      <c r="F2506" s="1" t="s">
        <v>24</v>
      </c>
      <c r="G2506" s="1">
        <v>7</v>
      </c>
      <c r="H2506" s="1">
        <v>550</v>
      </c>
      <c r="I2506" s="1">
        <v>5</v>
      </c>
      <c r="J2506" s="4">
        <v>3657.5</v>
      </c>
      <c r="K2506" s="4">
        <v>2793.03</v>
      </c>
      <c r="L2506" s="4">
        <v>864.47</v>
      </c>
      <c r="M2506" s="1" t="str">
        <f>TEXT(Table1[[#This Row],[Order_Date]], "MMM")</f>
        <v>Dec</v>
      </c>
      <c r="N2506" s="1">
        <f>YEAR(Table1[[#This Row],[Order_Date]])</f>
        <v>2024</v>
      </c>
      <c r="O2506" s="7">
        <f>Table1[[#This Row],[Profit]]/Table1[[#This Row],[Total_Sales]]</f>
        <v>0.23635543403964457</v>
      </c>
    </row>
    <row r="2507" spans="1:15" x14ac:dyDescent="0.25">
      <c r="A2507" s="1">
        <v>2506</v>
      </c>
      <c r="B2507" s="2">
        <v>45262</v>
      </c>
      <c r="C2507" s="1" t="s">
        <v>19</v>
      </c>
      <c r="D2507" s="1" t="s">
        <v>13</v>
      </c>
      <c r="E2507" s="1" t="s">
        <v>38</v>
      </c>
      <c r="F2507" s="1" t="s">
        <v>35</v>
      </c>
      <c r="G2507" s="1">
        <v>8</v>
      </c>
      <c r="H2507" s="1">
        <v>214</v>
      </c>
      <c r="I2507" s="1">
        <v>15</v>
      </c>
      <c r="J2507" s="4">
        <v>1455.2</v>
      </c>
      <c r="K2507" s="4">
        <v>1126.6500000000001</v>
      </c>
      <c r="L2507" s="4">
        <v>328.55</v>
      </c>
      <c r="M2507" s="1" t="str">
        <f>TEXT(Table1[[#This Row],[Order_Date]], "MMM")</f>
        <v>Dec</v>
      </c>
      <c r="N2507" s="1">
        <f>YEAR(Table1[[#This Row],[Order_Date]])</f>
        <v>2023</v>
      </c>
      <c r="O2507" s="7">
        <f>Table1[[#This Row],[Profit]]/Table1[[#This Row],[Total_Sales]]</f>
        <v>0.22577652556349642</v>
      </c>
    </row>
    <row r="2508" spans="1:15" x14ac:dyDescent="0.25">
      <c r="A2508" s="1">
        <v>2507</v>
      </c>
      <c r="B2508" s="2">
        <v>44930</v>
      </c>
      <c r="C2508" s="1" t="s">
        <v>19</v>
      </c>
      <c r="D2508" s="1" t="s">
        <v>22</v>
      </c>
      <c r="E2508" s="1" t="s">
        <v>36</v>
      </c>
      <c r="F2508" s="1" t="s">
        <v>15</v>
      </c>
      <c r="G2508" s="1">
        <v>5</v>
      </c>
      <c r="H2508" s="1">
        <v>276</v>
      </c>
      <c r="I2508" s="1">
        <v>20</v>
      </c>
      <c r="J2508" s="4">
        <v>1104</v>
      </c>
      <c r="K2508" s="4">
        <v>633.91</v>
      </c>
      <c r="L2508" s="4">
        <v>470.09</v>
      </c>
      <c r="M2508" s="1" t="str">
        <f>TEXT(Table1[[#This Row],[Order_Date]], "MMM")</f>
        <v>Jan</v>
      </c>
      <c r="N2508" s="1">
        <f>YEAR(Table1[[#This Row],[Order_Date]])</f>
        <v>2023</v>
      </c>
      <c r="O2508" s="7">
        <f>Table1[[#This Row],[Profit]]/Table1[[#This Row],[Total_Sales]]</f>
        <v>0.42580615942028982</v>
      </c>
    </row>
    <row r="2509" spans="1:15" x14ac:dyDescent="0.25">
      <c r="A2509" s="1">
        <v>2508</v>
      </c>
      <c r="B2509" s="2">
        <v>45373</v>
      </c>
      <c r="C2509" s="1" t="s">
        <v>19</v>
      </c>
      <c r="D2509" s="1" t="s">
        <v>32</v>
      </c>
      <c r="E2509" s="1" t="s">
        <v>33</v>
      </c>
      <c r="F2509" s="1" t="s">
        <v>24</v>
      </c>
      <c r="G2509" s="1">
        <v>8</v>
      </c>
      <c r="H2509" s="1">
        <v>862</v>
      </c>
      <c r="I2509" s="1">
        <v>15</v>
      </c>
      <c r="J2509" s="4">
        <v>5861.6</v>
      </c>
      <c r="K2509" s="4">
        <v>4652.3900000000003</v>
      </c>
      <c r="L2509" s="4">
        <v>1209.21</v>
      </c>
      <c r="M2509" s="1" t="str">
        <f>TEXT(Table1[[#This Row],[Order_Date]], "MMM")</f>
        <v>Mar</v>
      </c>
      <c r="N2509" s="1">
        <f>YEAR(Table1[[#This Row],[Order_Date]])</f>
        <v>2024</v>
      </c>
      <c r="O2509" s="7">
        <f>Table1[[#This Row],[Profit]]/Table1[[#This Row],[Total_Sales]]</f>
        <v>0.20629350348027842</v>
      </c>
    </row>
    <row r="2510" spans="1:15" x14ac:dyDescent="0.25">
      <c r="A2510" s="1">
        <v>2509</v>
      </c>
      <c r="B2510" s="2">
        <v>45275</v>
      </c>
      <c r="C2510" s="1" t="s">
        <v>16</v>
      </c>
      <c r="D2510" s="1" t="s">
        <v>32</v>
      </c>
      <c r="E2510" s="1" t="s">
        <v>34</v>
      </c>
      <c r="F2510" s="1" t="s">
        <v>31</v>
      </c>
      <c r="G2510" s="1">
        <v>8</v>
      </c>
      <c r="H2510" s="1">
        <v>631</v>
      </c>
      <c r="I2510" s="1">
        <v>5</v>
      </c>
      <c r="J2510" s="4">
        <v>4795.6000000000004</v>
      </c>
      <c r="K2510" s="4">
        <v>2983.07</v>
      </c>
      <c r="L2510" s="4">
        <v>1812.53</v>
      </c>
      <c r="M2510" s="1" t="str">
        <f>TEXT(Table1[[#This Row],[Order_Date]], "MMM")</f>
        <v>Dec</v>
      </c>
      <c r="N2510" s="1">
        <f>YEAR(Table1[[#This Row],[Order_Date]])</f>
        <v>2023</v>
      </c>
      <c r="O2510" s="7">
        <f>Table1[[#This Row],[Profit]]/Table1[[#This Row],[Total_Sales]]</f>
        <v>0.37795687713737591</v>
      </c>
    </row>
    <row r="2511" spans="1:15" x14ac:dyDescent="0.25">
      <c r="A2511" s="1">
        <v>2510</v>
      </c>
      <c r="B2511" s="2">
        <v>45604</v>
      </c>
      <c r="C2511" s="1" t="s">
        <v>16</v>
      </c>
      <c r="D2511" s="1" t="s">
        <v>26</v>
      </c>
      <c r="E2511" s="1" t="s">
        <v>27</v>
      </c>
      <c r="F2511" s="1" t="s">
        <v>31</v>
      </c>
      <c r="G2511" s="1">
        <v>5</v>
      </c>
      <c r="H2511" s="1">
        <v>716</v>
      </c>
      <c r="I2511" s="1">
        <v>20</v>
      </c>
      <c r="J2511" s="4">
        <v>2864</v>
      </c>
      <c r="K2511" s="4">
        <v>2020.18</v>
      </c>
      <c r="L2511" s="4">
        <v>843.82</v>
      </c>
      <c r="M2511" s="1" t="str">
        <f>TEXT(Table1[[#This Row],[Order_Date]], "MMM")</f>
        <v>Nov</v>
      </c>
      <c r="N2511" s="1">
        <f>YEAR(Table1[[#This Row],[Order_Date]])</f>
        <v>2024</v>
      </c>
      <c r="O2511" s="7">
        <f>Table1[[#This Row],[Profit]]/Table1[[#This Row],[Total_Sales]]</f>
        <v>0.29462988826815645</v>
      </c>
    </row>
    <row r="2512" spans="1:15" x14ac:dyDescent="0.25">
      <c r="A2512" s="1">
        <v>2511</v>
      </c>
      <c r="B2512" s="2">
        <v>45338</v>
      </c>
      <c r="C2512" s="1" t="s">
        <v>19</v>
      </c>
      <c r="D2512" s="1" t="s">
        <v>32</v>
      </c>
      <c r="E2512" s="1" t="s">
        <v>34</v>
      </c>
      <c r="F2512" s="1" t="s">
        <v>40</v>
      </c>
      <c r="G2512" s="1">
        <v>9</v>
      </c>
      <c r="H2512" s="1">
        <v>580</v>
      </c>
      <c r="I2512" s="1">
        <v>5</v>
      </c>
      <c r="J2512" s="4">
        <v>4959</v>
      </c>
      <c r="K2512" s="4">
        <v>3158.6</v>
      </c>
      <c r="L2512" s="4">
        <v>1800.4</v>
      </c>
      <c r="M2512" s="1" t="str">
        <f>TEXT(Table1[[#This Row],[Order_Date]], "MMM")</f>
        <v>Feb</v>
      </c>
      <c r="N2512" s="1">
        <f>YEAR(Table1[[#This Row],[Order_Date]])</f>
        <v>2024</v>
      </c>
      <c r="O2512" s="7">
        <f>Table1[[#This Row],[Profit]]/Table1[[#This Row],[Total_Sales]]</f>
        <v>0.36305706795724946</v>
      </c>
    </row>
    <row r="2513" spans="1:15" x14ac:dyDescent="0.25">
      <c r="A2513" s="1">
        <v>2512</v>
      </c>
      <c r="B2513" s="2">
        <v>44994</v>
      </c>
      <c r="C2513" s="1" t="s">
        <v>25</v>
      </c>
      <c r="D2513" s="1" t="s">
        <v>20</v>
      </c>
      <c r="E2513" s="1" t="s">
        <v>21</v>
      </c>
      <c r="F2513" s="1" t="s">
        <v>31</v>
      </c>
      <c r="G2513" s="1">
        <v>6</v>
      </c>
      <c r="H2513" s="1">
        <v>894</v>
      </c>
      <c r="I2513" s="1">
        <v>20</v>
      </c>
      <c r="J2513" s="4">
        <v>4291.2</v>
      </c>
      <c r="K2513" s="4">
        <v>2149.9499999999998</v>
      </c>
      <c r="L2513" s="4">
        <v>2141.25</v>
      </c>
      <c r="M2513" s="1" t="str">
        <f>TEXT(Table1[[#This Row],[Order_Date]], "MMM")</f>
        <v>Mar</v>
      </c>
      <c r="N2513" s="1">
        <f>YEAR(Table1[[#This Row],[Order_Date]])</f>
        <v>2023</v>
      </c>
      <c r="O2513" s="7">
        <f>Table1[[#This Row],[Profit]]/Table1[[#This Row],[Total_Sales]]</f>
        <v>0.49898629753914991</v>
      </c>
    </row>
    <row r="2514" spans="1:15" x14ac:dyDescent="0.25">
      <c r="A2514" s="1">
        <v>2513</v>
      </c>
      <c r="B2514" s="2">
        <v>44998</v>
      </c>
      <c r="C2514" s="1" t="s">
        <v>25</v>
      </c>
      <c r="D2514" s="1" t="s">
        <v>13</v>
      </c>
      <c r="E2514" s="1" t="s">
        <v>38</v>
      </c>
      <c r="F2514" s="1" t="s">
        <v>40</v>
      </c>
      <c r="G2514" s="1">
        <v>6</v>
      </c>
      <c r="H2514" s="1">
        <v>538</v>
      </c>
      <c r="I2514" s="1">
        <v>5</v>
      </c>
      <c r="J2514" s="4">
        <v>3066.6</v>
      </c>
      <c r="K2514" s="4">
        <v>2140.31</v>
      </c>
      <c r="L2514" s="4">
        <v>926.29</v>
      </c>
      <c r="M2514" s="1" t="str">
        <f>TEXT(Table1[[#This Row],[Order_Date]], "MMM")</f>
        <v>Mar</v>
      </c>
      <c r="N2514" s="1">
        <f>YEAR(Table1[[#This Row],[Order_Date]])</f>
        <v>2023</v>
      </c>
      <c r="O2514" s="7">
        <f>Table1[[#This Row],[Profit]]/Table1[[#This Row],[Total_Sales]]</f>
        <v>0.30205765342724844</v>
      </c>
    </row>
    <row r="2515" spans="1:15" x14ac:dyDescent="0.25">
      <c r="A2515" s="1">
        <v>2514</v>
      </c>
      <c r="B2515" s="2">
        <v>45604</v>
      </c>
      <c r="C2515" s="1" t="s">
        <v>19</v>
      </c>
      <c r="D2515" s="1" t="s">
        <v>26</v>
      </c>
      <c r="E2515" s="1" t="s">
        <v>37</v>
      </c>
      <c r="F2515" s="1" t="s">
        <v>40</v>
      </c>
      <c r="G2515" s="1">
        <v>1</v>
      </c>
      <c r="H2515" s="1">
        <v>330</v>
      </c>
      <c r="I2515" s="1">
        <v>5</v>
      </c>
      <c r="J2515" s="4">
        <v>313.5</v>
      </c>
      <c r="K2515" s="4">
        <v>235.94</v>
      </c>
      <c r="L2515" s="4">
        <v>77.56</v>
      </c>
      <c r="M2515" s="1" t="str">
        <f>TEXT(Table1[[#This Row],[Order_Date]], "MMM")</f>
        <v>Nov</v>
      </c>
      <c r="N2515" s="1">
        <f>YEAR(Table1[[#This Row],[Order_Date]])</f>
        <v>2024</v>
      </c>
      <c r="O2515" s="7">
        <f>Table1[[#This Row],[Profit]]/Table1[[#This Row],[Total_Sales]]</f>
        <v>0.24740031897926634</v>
      </c>
    </row>
    <row r="2516" spans="1:15" x14ac:dyDescent="0.25">
      <c r="A2516" s="1">
        <v>2515</v>
      </c>
      <c r="B2516" s="2">
        <v>45609</v>
      </c>
      <c r="C2516" s="1" t="s">
        <v>16</v>
      </c>
      <c r="D2516" s="1" t="s">
        <v>32</v>
      </c>
      <c r="E2516" s="1" t="s">
        <v>41</v>
      </c>
      <c r="F2516" s="1" t="s">
        <v>31</v>
      </c>
      <c r="G2516" s="1">
        <v>6</v>
      </c>
      <c r="H2516" s="1">
        <v>674</v>
      </c>
      <c r="I2516" s="1">
        <v>10</v>
      </c>
      <c r="J2516" s="4">
        <v>3639.6</v>
      </c>
      <c r="K2516" s="4">
        <v>2409.52</v>
      </c>
      <c r="L2516" s="4">
        <v>1230.08</v>
      </c>
      <c r="M2516" s="1" t="str">
        <f>TEXT(Table1[[#This Row],[Order_Date]], "MMM")</f>
        <v>Nov</v>
      </c>
      <c r="N2516" s="1">
        <f>YEAR(Table1[[#This Row],[Order_Date]])</f>
        <v>2024</v>
      </c>
      <c r="O2516" s="7">
        <f>Table1[[#This Row],[Profit]]/Table1[[#This Row],[Total_Sales]]</f>
        <v>0.33797120562699196</v>
      </c>
    </row>
    <row r="2517" spans="1:15" x14ac:dyDescent="0.25">
      <c r="A2517" s="1">
        <v>2516</v>
      </c>
      <c r="B2517" s="2">
        <v>45211</v>
      </c>
      <c r="C2517" s="1" t="s">
        <v>12</v>
      </c>
      <c r="D2517" s="1" t="s">
        <v>26</v>
      </c>
      <c r="E2517" s="1" t="s">
        <v>37</v>
      </c>
      <c r="F2517" s="1" t="s">
        <v>40</v>
      </c>
      <c r="G2517" s="1">
        <v>3</v>
      </c>
      <c r="H2517" s="1">
        <v>390</v>
      </c>
      <c r="I2517" s="1">
        <v>20</v>
      </c>
      <c r="J2517" s="4">
        <v>936</v>
      </c>
      <c r="K2517" s="4">
        <v>509.45</v>
      </c>
      <c r="L2517" s="4">
        <v>426.55</v>
      </c>
      <c r="M2517" s="1" t="str">
        <f>TEXT(Table1[[#This Row],[Order_Date]], "MMM")</f>
        <v>Oct</v>
      </c>
      <c r="N2517" s="1">
        <f>YEAR(Table1[[#This Row],[Order_Date]])</f>
        <v>2023</v>
      </c>
      <c r="O2517" s="7">
        <f>Table1[[#This Row],[Profit]]/Table1[[#This Row],[Total_Sales]]</f>
        <v>0.45571581196581196</v>
      </c>
    </row>
    <row r="2518" spans="1:15" x14ac:dyDescent="0.25">
      <c r="A2518" s="1">
        <v>2517</v>
      </c>
      <c r="B2518" s="2">
        <v>45495</v>
      </c>
      <c r="C2518" s="1" t="s">
        <v>16</v>
      </c>
      <c r="D2518" s="1" t="s">
        <v>32</v>
      </c>
      <c r="E2518" s="1" t="s">
        <v>45</v>
      </c>
      <c r="F2518" s="1" t="s">
        <v>31</v>
      </c>
      <c r="G2518" s="1">
        <v>8</v>
      </c>
      <c r="H2518" s="1">
        <v>129</v>
      </c>
      <c r="I2518" s="1">
        <v>0</v>
      </c>
      <c r="J2518" s="4">
        <v>1032</v>
      </c>
      <c r="K2518" s="4">
        <v>660.78</v>
      </c>
      <c r="L2518" s="4">
        <v>371.22</v>
      </c>
      <c r="M2518" s="1" t="str">
        <f>TEXT(Table1[[#This Row],[Order_Date]], "MMM")</f>
        <v>Jul</v>
      </c>
      <c r="N2518" s="1">
        <f>YEAR(Table1[[#This Row],[Order_Date]])</f>
        <v>2024</v>
      </c>
      <c r="O2518" s="7">
        <f>Table1[[#This Row],[Profit]]/Table1[[#This Row],[Total_Sales]]</f>
        <v>0.3597093023255814</v>
      </c>
    </row>
    <row r="2519" spans="1:15" x14ac:dyDescent="0.25">
      <c r="A2519" s="1">
        <v>2518</v>
      </c>
      <c r="B2519" s="2">
        <v>45561</v>
      </c>
      <c r="C2519" s="1" t="s">
        <v>16</v>
      </c>
      <c r="D2519" s="1" t="s">
        <v>22</v>
      </c>
      <c r="E2519" s="1" t="s">
        <v>44</v>
      </c>
      <c r="F2519" s="1" t="s">
        <v>24</v>
      </c>
      <c r="G2519" s="1">
        <v>4</v>
      </c>
      <c r="H2519" s="1">
        <v>653</v>
      </c>
      <c r="I2519" s="1">
        <v>0</v>
      </c>
      <c r="J2519" s="4">
        <v>2612</v>
      </c>
      <c r="K2519" s="4">
        <v>1602.67</v>
      </c>
      <c r="L2519" s="4">
        <v>1009.33</v>
      </c>
      <c r="M2519" s="1" t="str">
        <f>TEXT(Table1[[#This Row],[Order_Date]], "MMM")</f>
        <v>Sep</v>
      </c>
      <c r="N2519" s="1">
        <f>YEAR(Table1[[#This Row],[Order_Date]])</f>
        <v>2024</v>
      </c>
      <c r="O2519" s="7">
        <f>Table1[[#This Row],[Profit]]/Table1[[#This Row],[Total_Sales]]</f>
        <v>0.38642036753445635</v>
      </c>
    </row>
    <row r="2520" spans="1:15" x14ac:dyDescent="0.25">
      <c r="A2520" s="1">
        <v>2519</v>
      </c>
      <c r="B2520" s="2">
        <v>45581</v>
      </c>
      <c r="C2520" s="1" t="s">
        <v>25</v>
      </c>
      <c r="D2520" s="1" t="s">
        <v>22</v>
      </c>
      <c r="E2520" s="1" t="s">
        <v>29</v>
      </c>
      <c r="F2520" s="1" t="s">
        <v>35</v>
      </c>
      <c r="G2520" s="1">
        <v>1</v>
      </c>
      <c r="H2520" s="1">
        <v>365</v>
      </c>
      <c r="I2520" s="1">
        <v>0</v>
      </c>
      <c r="J2520" s="4">
        <v>365</v>
      </c>
      <c r="K2520" s="4">
        <v>210.33</v>
      </c>
      <c r="L2520" s="4">
        <v>154.66999999999999</v>
      </c>
      <c r="M2520" s="1" t="str">
        <f>TEXT(Table1[[#This Row],[Order_Date]], "MMM")</f>
        <v>Oct</v>
      </c>
      <c r="N2520" s="1">
        <f>YEAR(Table1[[#This Row],[Order_Date]])</f>
        <v>2024</v>
      </c>
      <c r="O2520" s="7">
        <f>Table1[[#This Row],[Profit]]/Table1[[#This Row],[Total_Sales]]</f>
        <v>0.42375342465753424</v>
      </c>
    </row>
    <row r="2521" spans="1:15" x14ac:dyDescent="0.25">
      <c r="A2521" s="1">
        <v>2520</v>
      </c>
      <c r="B2521" s="2">
        <v>45630</v>
      </c>
      <c r="C2521" s="1" t="s">
        <v>12</v>
      </c>
      <c r="D2521" s="1" t="s">
        <v>22</v>
      </c>
      <c r="E2521" s="1" t="s">
        <v>29</v>
      </c>
      <c r="F2521" s="1" t="s">
        <v>35</v>
      </c>
      <c r="G2521" s="1">
        <v>8</v>
      </c>
      <c r="H2521" s="1">
        <v>860</v>
      </c>
      <c r="I2521" s="1">
        <v>15</v>
      </c>
      <c r="J2521" s="4">
        <v>5848</v>
      </c>
      <c r="K2521" s="4">
        <v>3636.37</v>
      </c>
      <c r="L2521" s="4">
        <v>2211.63</v>
      </c>
      <c r="M2521" s="1" t="str">
        <f>TEXT(Table1[[#This Row],[Order_Date]], "MMM")</f>
        <v>Dec</v>
      </c>
      <c r="N2521" s="1">
        <f>YEAR(Table1[[#This Row],[Order_Date]])</f>
        <v>2024</v>
      </c>
      <c r="O2521" s="7">
        <f>Table1[[#This Row],[Profit]]/Table1[[#This Row],[Total_Sales]]</f>
        <v>0.3781857045143639</v>
      </c>
    </row>
    <row r="2522" spans="1:15" x14ac:dyDescent="0.25">
      <c r="A2522" s="1">
        <v>2521</v>
      </c>
      <c r="B2522" s="2">
        <v>45030</v>
      </c>
      <c r="C2522" s="1" t="s">
        <v>25</v>
      </c>
      <c r="D2522" s="1" t="s">
        <v>26</v>
      </c>
      <c r="E2522" s="1" t="s">
        <v>37</v>
      </c>
      <c r="F2522" s="1" t="s">
        <v>24</v>
      </c>
      <c r="G2522" s="1">
        <v>6</v>
      </c>
      <c r="H2522" s="1">
        <v>273</v>
      </c>
      <c r="I2522" s="1">
        <v>5</v>
      </c>
      <c r="J2522" s="4">
        <v>1556.1</v>
      </c>
      <c r="K2522" s="4">
        <v>928.78</v>
      </c>
      <c r="L2522" s="4">
        <v>627.32000000000005</v>
      </c>
      <c r="M2522" s="1" t="str">
        <f>TEXT(Table1[[#This Row],[Order_Date]], "MMM")</f>
        <v>Apr</v>
      </c>
      <c r="N2522" s="1">
        <f>YEAR(Table1[[#This Row],[Order_Date]])</f>
        <v>2023</v>
      </c>
      <c r="O2522" s="7">
        <f>Table1[[#This Row],[Profit]]/Table1[[#This Row],[Total_Sales]]</f>
        <v>0.40313604524130847</v>
      </c>
    </row>
    <row r="2523" spans="1:15" x14ac:dyDescent="0.25">
      <c r="A2523" s="1">
        <v>2522</v>
      </c>
      <c r="B2523" s="2">
        <v>45559</v>
      </c>
      <c r="C2523" s="1" t="s">
        <v>16</v>
      </c>
      <c r="D2523" s="1" t="s">
        <v>32</v>
      </c>
      <c r="E2523" s="1" t="s">
        <v>33</v>
      </c>
      <c r="F2523" s="1" t="s">
        <v>24</v>
      </c>
      <c r="G2523" s="1">
        <v>9</v>
      </c>
      <c r="H2523" s="1">
        <v>771</v>
      </c>
      <c r="I2523" s="1">
        <v>10</v>
      </c>
      <c r="J2523" s="4">
        <v>6245.1</v>
      </c>
      <c r="K2523" s="4">
        <v>4917.6899999999996</v>
      </c>
      <c r="L2523" s="4">
        <v>1327.41</v>
      </c>
      <c r="M2523" s="1" t="str">
        <f>TEXT(Table1[[#This Row],[Order_Date]], "MMM")</f>
        <v>Sep</v>
      </c>
      <c r="N2523" s="1">
        <f>YEAR(Table1[[#This Row],[Order_Date]])</f>
        <v>2024</v>
      </c>
      <c r="O2523" s="7">
        <f>Table1[[#This Row],[Profit]]/Table1[[#This Row],[Total_Sales]]</f>
        <v>0.21255224095691022</v>
      </c>
    </row>
    <row r="2524" spans="1:15" x14ac:dyDescent="0.25">
      <c r="A2524" s="1">
        <v>2523</v>
      </c>
      <c r="B2524" s="2">
        <v>45109</v>
      </c>
      <c r="C2524" s="1" t="s">
        <v>16</v>
      </c>
      <c r="D2524" s="1" t="s">
        <v>26</v>
      </c>
      <c r="E2524" s="1" t="s">
        <v>42</v>
      </c>
      <c r="F2524" s="1" t="s">
        <v>24</v>
      </c>
      <c r="G2524" s="1">
        <v>7</v>
      </c>
      <c r="H2524" s="1">
        <v>704</v>
      </c>
      <c r="I2524" s="1">
        <v>15</v>
      </c>
      <c r="J2524" s="4">
        <v>4188.8</v>
      </c>
      <c r="K2524" s="4">
        <v>2225.63</v>
      </c>
      <c r="L2524" s="4">
        <v>1963.17</v>
      </c>
      <c r="M2524" s="1" t="str">
        <f>TEXT(Table1[[#This Row],[Order_Date]], "MMM")</f>
        <v>Jul</v>
      </c>
      <c r="N2524" s="1">
        <f>YEAR(Table1[[#This Row],[Order_Date]])</f>
        <v>2023</v>
      </c>
      <c r="O2524" s="7">
        <f>Table1[[#This Row],[Profit]]/Table1[[#This Row],[Total_Sales]]</f>
        <v>0.46867121848739496</v>
      </c>
    </row>
    <row r="2525" spans="1:15" x14ac:dyDescent="0.25">
      <c r="A2525" s="1">
        <v>2524</v>
      </c>
      <c r="B2525" s="2">
        <v>45118</v>
      </c>
      <c r="C2525" s="1" t="s">
        <v>19</v>
      </c>
      <c r="D2525" s="1" t="s">
        <v>20</v>
      </c>
      <c r="E2525" s="1" t="s">
        <v>30</v>
      </c>
      <c r="F2525" s="1" t="s">
        <v>31</v>
      </c>
      <c r="G2525" s="1">
        <v>9</v>
      </c>
      <c r="H2525" s="1">
        <v>455</v>
      </c>
      <c r="I2525" s="1">
        <v>15</v>
      </c>
      <c r="J2525" s="4">
        <v>3480.75</v>
      </c>
      <c r="K2525" s="4">
        <v>2707.12</v>
      </c>
      <c r="L2525" s="4">
        <v>773.63</v>
      </c>
      <c r="M2525" s="1" t="str">
        <f>TEXT(Table1[[#This Row],[Order_Date]], "MMM")</f>
        <v>Jul</v>
      </c>
      <c r="N2525" s="1">
        <f>YEAR(Table1[[#This Row],[Order_Date]])</f>
        <v>2023</v>
      </c>
      <c r="O2525" s="7">
        <f>Table1[[#This Row],[Profit]]/Table1[[#This Row],[Total_Sales]]</f>
        <v>0.22225957049486461</v>
      </c>
    </row>
    <row r="2526" spans="1:15" x14ac:dyDescent="0.25">
      <c r="A2526" s="1">
        <v>2525</v>
      </c>
      <c r="B2526" s="2">
        <v>45627</v>
      </c>
      <c r="C2526" s="1" t="s">
        <v>16</v>
      </c>
      <c r="D2526" s="1" t="s">
        <v>32</v>
      </c>
      <c r="E2526" s="1" t="s">
        <v>41</v>
      </c>
      <c r="F2526" s="1" t="s">
        <v>31</v>
      </c>
      <c r="G2526" s="1">
        <v>5</v>
      </c>
      <c r="H2526" s="1">
        <v>66</v>
      </c>
      <c r="I2526" s="1">
        <v>15</v>
      </c>
      <c r="J2526" s="4">
        <v>280.5</v>
      </c>
      <c r="K2526" s="4">
        <v>151.58000000000001</v>
      </c>
      <c r="L2526" s="4">
        <v>128.91999999999999</v>
      </c>
      <c r="M2526" s="1" t="str">
        <f>TEXT(Table1[[#This Row],[Order_Date]], "MMM")</f>
        <v>Dec</v>
      </c>
      <c r="N2526" s="1">
        <f>YEAR(Table1[[#This Row],[Order_Date]])</f>
        <v>2024</v>
      </c>
      <c r="O2526" s="7">
        <f>Table1[[#This Row],[Profit]]/Table1[[#This Row],[Total_Sales]]</f>
        <v>0.45960784313725483</v>
      </c>
    </row>
    <row r="2527" spans="1:15" x14ac:dyDescent="0.25">
      <c r="A2527" s="1">
        <v>2526</v>
      </c>
      <c r="B2527" s="2">
        <v>45393</v>
      </c>
      <c r="C2527" s="1" t="s">
        <v>12</v>
      </c>
      <c r="D2527" s="1" t="s">
        <v>13</v>
      </c>
      <c r="E2527" s="1" t="s">
        <v>38</v>
      </c>
      <c r="F2527" s="1" t="s">
        <v>15</v>
      </c>
      <c r="G2527" s="1">
        <v>1</v>
      </c>
      <c r="H2527" s="1">
        <v>336</v>
      </c>
      <c r="I2527" s="1">
        <v>0</v>
      </c>
      <c r="J2527" s="4">
        <v>336</v>
      </c>
      <c r="K2527" s="4">
        <v>211.4</v>
      </c>
      <c r="L2527" s="4">
        <v>124.6</v>
      </c>
      <c r="M2527" s="1" t="str">
        <f>TEXT(Table1[[#This Row],[Order_Date]], "MMM")</f>
        <v>Apr</v>
      </c>
      <c r="N2527" s="1">
        <f>YEAR(Table1[[#This Row],[Order_Date]])</f>
        <v>2024</v>
      </c>
      <c r="O2527" s="7">
        <f>Table1[[#This Row],[Profit]]/Table1[[#This Row],[Total_Sales]]</f>
        <v>0.37083333333333329</v>
      </c>
    </row>
    <row r="2528" spans="1:15" x14ac:dyDescent="0.25">
      <c r="A2528" s="1">
        <v>2527</v>
      </c>
      <c r="B2528" s="2">
        <v>44990</v>
      </c>
      <c r="C2528" s="1" t="s">
        <v>25</v>
      </c>
      <c r="D2528" s="1" t="s">
        <v>22</v>
      </c>
      <c r="E2528" s="1" t="s">
        <v>23</v>
      </c>
      <c r="F2528" s="1" t="s">
        <v>35</v>
      </c>
      <c r="G2528" s="1">
        <v>4</v>
      </c>
      <c r="H2528" s="1">
        <v>259</v>
      </c>
      <c r="I2528" s="1">
        <v>0</v>
      </c>
      <c r="J2528" s="4">
        <v>1036</v>
      </c>
      <c r="K2528" s="4">
        <v>728.44</v>
      </c>
      <c r="L2528" s="4">
        <v>307.56</v>
      </c>
      <c r="M2528" s="1" t="str">
        <f>TEXT(Table1[[#This Row],[Order_Date]], "MMM")</f>
        <v>Mar</v>
      </c>
      <c r="N2528" s="1">
        <f>YEAR(Table1[[#This Row],[Order_Date]])</f>
        <v>2023</v>
      </c>
      <c r="O2528" s="7">
        <f>Table1[[#This Row],[Profit]]/Table1[[#This Row],[Total_Sales]]</f>
        <v>0.29687258687258689</v>
      </c>
    </row>
    <row r="2529" spans="1:15" x14ac:dyDescent="0.25">
      <c r="A2529" s="1">
        <v>2528</v>
      </c>
      <c r="B2529" s="2">
        <v>45313</v>
      </c>
      <c r="C2529" s="1" t="s">
        <v>12</v>
      </c>
      <c r="D2529" s="1" t="s">
        <v>22</v>
      </c>
      <c r="E2529" s="1" t="s">
        <v>36</v>
      </c>
      <c r="F2529" s="1" t="s">
        <v>15</v>
      </c>
      <c r="G2529" s="1">
        <v>10</v>
      </c>
      <c r="H2529" s="1">
        <v>493</v>
      </c>
      <c r="I2529" s="1">
        <v>10</v>
      </c>
      <c r="J2529" s="4">
        <v>4437</v>
      </c>
      <c r="K2529" s="4">
        <v>3363.63</v>
      </c>
      <c r="L2529" s="4">
        <v>1073.3699999999999</v>
      </c>
      <c r="M2529" s="1" t="str">
        <f>TEXT(Table1[[#This Row],[Order_Date]], "MMM")</f>
        <v>Jan</v>
      </c>
      <c r="N2529" s="1">
        <f>YEAR(Table1[[#This Row],[Order_Date]])</f>
        <v>2024</v>
      </c>
      <c r="O2529" s="7">
        <f>Table1[[#This Row],[Profit]]/Table1[[#This Row],[Total_Sales]]</f>
        <v>0.24191345503718725</v>
      </c>
    </row>
    <row r="2530" spans="1:15" x14ac:dyDescent="0.25">
      <c r="A2530" s="1">
        <v>2529</v>
      </c>
      <c r="B2530" s="2">
        <v>45157</v>
      </c>
      <c r="C2530" s="1" t="s">
        <v>12</v>
      </c>
      <c r="D2530" s="1" t="s">
        <v>22</v>
      </c>
      <c r="E2530" s="1" t="s">
        <v>36</v>
      </c>
      <c r="F2530" s="1" t="s">
        <v>40</v>
      </c>
      <c r="G2530" s="1">
        <v>5</v>
      </c>
      <c r="H2530" s="1">
        <v>948</v>
      </c>
      <c r="I2530" s="1">
        <v>0</v>
      </c>
      <c r="J2530" s="4">
        <v>4740</v>
      </c>
      <c r="K2530" s="4">
        <v>2814.51</v>
      </c>
      <c r="L2530" s="4">
        <v>1925.49</v>
      </c>
      <c r="M2530" s="1" t="str">
        <f>TEXT(Table1[[#This Row],[Order_Date]], "MMM")</f>
        <v>Aug</v>
      </c>
      <c r="N2530" s="1">
        <f>YEAR(Table1[[#This Row],[Order_Date]])</f>
        <v>2023</v>
      </c>
      <c r="O2530" s="7">
        <f>Table1[[#This Row],[Profit]]/Table1[[#This Row],[Total_Sales]]</f>
        <v>0.40622151898734177</v>
      </c>
    </row>
    <row r="2531" spans="1:15" x14ac:dyDescent="0.25">
      <c r="A2531" s="1">
        <v>2530</v>
      </c>
      <c r="B2531" s="2">
        <v>45430</v>
      </c>
      <c r="C2531" s="1" t="s">
        <v>25</v>
      </c>
      <c r="D2531" s="1" t="s">
        <v>32</v>
      </c>
      <c r="E2531" s="1" t="s">
        <v>34</v>
      </c>
      <c r="F2531" s="1" t="s">
        <v>15</v>
      </c>
      <c r="G2531" s="1">
        <v>2</v>
      </c>
      <c r="H2531" s="1">
        <v>78</v>
      </c>
      <c r="I2531" s="1">
        <v>20</v>
      </c>
      <c r="J2531" s="4">
        <v>124.8</v>
      </c>
      <c r="K2531" s="4">
        <v>78.08</v>
      </c>
      <c r="L2531" s="4">
        <v>46.72</v>
      </c>
      <c r="M2531" s="1" t="str">
        <f>TEXT(Table1[[#This Row],[Order_Date]], "MMM")</f>
        <v>May</v>
      </c>
      <c r="N2531" s="1">
        <f>YEAR(Table1[[#This Row],[Order_Date]])</f>
        <v>2024</v>
      </c>
      <c r="O2531" s="7">
        <f>Table1[[#This Row],[Profit]]/Table1[[#This Row],[Total_Sales]]</f>
        <v>0.37435897435897436</v>
      </c>
    </row>
    <row r="2532" spans="1:15" x14ac:dyDescent="0.25">
      <c r="A2532" s="1">
        <v>2531</v>
      </c>
      <c r="B2532" s="2">
        <v>45007</v>
      </c>
      <c r="C2532" s="1" t="s">
        <v>19</v>
      </c>
      <c r="D2532" s="1" t="s">
        <v>26</v>
      </c>
      <c r="E2532" s="1" t="s">
        <v>42</v>
      </c>
      <c r="F2532" s="1" t="s">
        <v>40</v>
      </c>
      <c r="G2532" s="1">
        <v>10</v>
      </c>
      <c r="H2532" s="1">
        <v>809</v>
      </c>
      <c r="I2532" s="1">
        <v>10</v>
      </c>
      <c r="J2532" s="4">
        <v>7281</v>
      </c>
      <c r="K2532" s="4">
        <v>4692.66</v>
      </c>
      <c r="L2532" s="4">
        <v>2588.34</v>
      </c>
      <c r="M2532" s="1" t="str">
        <f>TEXT(Table1[[#This Row],[Order_Date]], "MMM")</f>
        <v>Mar</v>
      </c>
      <c r="N2532" s="1">
        <f>YEAR(Table1[[#This Row],[Order_Date]])</f>
        <v>2023</v>
      </c>
      <c r="O2532" s="7">
        <f>Table1[[#This Row],[Profit]]/Table1[[#This Row],[Total_Sales]]</f>
        <v>0.35549237742068401</v>
      </c>
    </row>
    <row r="2533" spans="1:15" x14ac:dyDescent="0.25">
      <c r="A2533" s="1">
        <v>2532</v>
      </c>
      <c r="B2533" s="2">
        <v>45202</v>
      </c>
      <c r="C2533" s="1" t="s">
        <v>12</v>
      </c>
      <c r="D2533" s="1" t="s">
        <v>26</v>
      </c>
      <c r="E2533" s="1" t="s">
        <v>46</v>
      </c>
      <c r="F2533" s="1" t="s">
        <v>40</v>
      </c>
      <c r="G2533" s="1">
        <v>3</v>
      </c>
      <c r="H2533" s="1">
        <v>683</v>
      </c>
      <c r="I2533" s="1">
        <v>5</v>
      </c>
      <c r="J2533" s="4">
        <v>1946.55</v>
      </c>
      <c r="K2533" s="4">
        <v>1320.8</v>
      </c>
      <c r="L2533" s="4">
        <v>625.75</v>
      </c>
      <c r="M2533" s="1" t="str">
        <f>TEXT(Table1[[#This Row],[Order_Date]], "MMM")</f>
        <v>Oct</v>
      </c>
      <c r="N2533" s="1">
        <f>YEAR(Table1[[#This Row],[Order_Date]])</f>
        <v>2023</v>
      </c>
      <c r="O2533" s="7">
        <f>Table1[[#This Row],[Profit]]/Table1[[#This Row],[Total_Sales]]</f>
        <v>0.3214661837610131</v>
      </c>
    </row>
    <row r="2534" spans="1:15" x14ac:dyDescent="0.25">
      <c r="A2534" s="1">
        <v>2533</v>
      </c>
      <c r="B2534" s="2">
        <v>45621</v>
      </c>
      <c r="C2534" s="1" t="s">
        <v>12</v>
      </c>
      <c r="D2534" s="1" t="s">
        <v>20</v>
      </c>
      <c r="E2534" s="1" t="s">
        <v>21</v>
      </c>
      <c r="F2534" s="1" t="s">
        <v>24</v>
      </c>
      <c r="G2534" s="1">
        <v>7</v>
      </c>
      <c r="H2534" s="1">
        <v>796</v>
      </c>
      <c r="I2534" s="1">
        <v>20</v>
      </c>
      <c r="J2534" s="4">
        <v>4457.6000000000004</v>
      </c>
      <c r="K2534" s="4">
        <v>3451.69</v>
      </c>
      <c r="L2534" s="4">
        <v>1005.91</v>
      </c>
      <c r="M2534" s="1" t="str">
        <f>TEXT(Table1[[#This Row],[Order_Date]], "MMM")</f>
        <v>Nov</v>
      </c>
      <c r="N2534" s="1">
        <f>YEAR(Table1[[#This Row],[Order_Date]])</f>
        <v>2024</v>
      </c>
      <c r="O2534" s="7">
        <f>Table1[[#This Row],[Profit]]/Table1[[#This Row],[Total_Sales]]</f>
        <v>0.22566179109834886</v>
      </c>
    </row>
    <row r="2535" spans="1:15" x14ac:dyDescent="0.25">
      <c r="A2535" s="1">
        <v>2534</v>
      </c>
      <c r="B2535" s="2">
        <v>45507</v>
      </c>
      <c r="C2535" s="1" t="s">
        <v>12</v>
      </c>
      <c r="D2535" s="1" t="s">
        <v>13</v>
      </c>
      <c r="E2535" s="1" t="s">
        <v>39</v>
      </c>
      <c r="F2535" s="1" t="s">
        <v>18</v>
      </c>
      <c r="G2535" s="1">
        <v>10</v>
      </c>
      <c r="H2535" s="1">
        <v>483</v>
      </c>
      <c r="I2535" s="1">
        <v>15</v>
      </c>
      <c r="J2535" s="4">
        <v>4105.5</v>
      </c>
      <c r="K2535" s="4">
        <v>2852.88</v>
      </c>
      <c r="L2535" s="4">
        <v>1252.6199999999999</v>
      </c>
      <c r="M2535" s="1" t="str">
        <f>TEXT(Table1[[#This Row],[Order_Date]], "MMM")</f>
        <v>Aug</v>
      </c>
      <c r="N2535" s="1">
        <f>YEAR(Table1[[#This Row],[Order_Date]])</f>
        <v>2024</v>
      </c>
      <c r="O2535" s="7">
        <f>Table1[[#This Row],[Profit]]/Table1[[#This Row],[Total_Sales]]</f>
        <v>0.30510778224333207</v>
      </c>
    </row>
    <row r="2536" spans="1:15" x14ac:dyDescent="0.25">
      <c r="A2536" s="1">
        <v>2535</v>
      </c>
      <c r="B2536" s="2">
        <v>45467</v>
      </c>
      <c r="C2536" s="1" t="s">
        <v>12</v>
      </c>
      <c r="D2536" s="1" t="s">
        <v>22</v>
      </c>
      <c r="E2536" s="1" t="s">
        <v>44</v>
      </c>
      <c r="F2536" s="1" t="s">
        <v>40</v>
      </c>
      <c r="G2536" s="1">
        <v>4</v>
      </c>
      <c r="H2536" s="1">
        <v>785</v>
      </c>
      <c r="I2536" s="1">
        <v>15</v>
      </c>
      <c r="J2536" s="4">
        <v>2669</v>
      </c>
      <c r="K2536" s="4">
        <v>1721.69</v>
      </c>
      <c r="L2536" s="4">
        <v>947.31</v>
      </c>
      <c r="M2536" s="1" t="str">
        <f>TEXT(Table1[[#This Row],[Order_Date]], "MMM")</f>
        <v>Jun</v>
      </c>
      <c r="N2536" s="1">
        <f>YEAR(Table1[[#This Row],[Order_Date]])</f>
        <v>2024</v>
      </c>
      <c r="O2536" s="7">
        <f>Table1[[#This Row],[Profit]]/Table1[[#This Row],[Total_Sales]]</f>
        <v>0.3549306856500562</v>
      </c>
    </row>
    <row r="2537" spans="1:15" x14ac:dyDescent="0.25">
      <c r="A2537" s="1">
        <v>2536</v>
      </c>
      <c r="B2537" s="2">
        <v>45459</v>
      </c>
      <c r="C2537" s="1" t="s">
        <v>19</v>
      </c>
      <c r="D2537" s="1" t="s">
        <v>32</v>
      </c>
      <c r="E2537" s="1" t="s">
        <v>33</v>
      </c>
      <c r="F2537" s="1" t="s">
        <v>15</v>
      </c>
      <c r="G2537" s="1">
        <v>10</v>
      </c>
      <c r="H2537" s="1">
        <v>902</v>
      </c>
      <c r="I2537" s="1">
        <v>15</v>
      </c>
      <c r="J2537" s="4">
        <v>7667</v>
      </c>
      <c r="K2537" s="4">
        <v>4099.03</v>
      </c>
      <c r="L2537" s="4">
        <v>3567.97</v>
      </c>
      <c r="M2537" s="1" t="str">
        <f>TEXT(Table1[[#This Row],[Order_Date]], "MMM")</f>
        <v>Jun</v>
      </c>
      <c r="N2537" s="1">
        <f>YEAR(Table1[[#This Row],[Order_Date]])</f>
        <v>2024</v>
      </c>
      <c r="O2537" s="7">
        <f>Table1[[#This Row],[Profit]]/Table1[[#This Row],[Total_Sales]]</f>
        <v>0.46536715794965433</v>
      </c>
    </row>
    <row r="2538" spans="1:15" x14ac:dyDescent="0.25">
      <c r="A2538" s="1">
        <v>2537</v>
      </c>
      <c r="B2538" s="2">
        <v>44965</v>
      </c>
      <c r="C2538" s="1" t="s">
        <v>12</v>
      </c>
      <c r="D2538" s="1" t="s">
        <v>13</v>
      </c>
      <c r="E2538" s="1" t="s">
        <v>14</v>
      </c>
      <c r="F2538" s="1" t="s">
        <v>40</v>
      </c>
      <c r="G2538" s="1">
        <v>9</v>
      </c>
      <c r="H2538" s="1">
        <v>472</v>
      </c>
      <c r="I2538" s="1">
        <v>5</v>
      </c>
      <c r="J2538" s="4">
        <v>4035.6</v>
      </c>
      <c r="K2538" s="4">
        <v>3022.93</v>
      </c>
      <c r="L2538" s="4">
        <v>1012.67</v>
      </c>
      <c r="M2538" s="1" t="str">
        <f>TEXT(Table1[[#This Row],[Order_Date]], "MMM")</f>
        <v>Feb</v>
      </c>
      <c r="N2538" s="1">
        <f>YEAR(Table1[[#This Row],[Order_Date]])</f>
        <v>2023</v>
      </c>
      <c r="O2538" s="7">
        <f>Table1[[#This Row],[Profit]]/Table1[[#This Row],[Total_Sales]]</f>
        <v>0.250934185746853</v>
      </c>
    </row>
    <row r="2539" spans="1:15" x14ac:dyDescent="0.25">
      <c r="A2539" s="1">
        <v>2538</v>
      </c>
      <c r="B2539" s="2">
        <v>45177</v>
      </c>
      <c r="C2539" s="1" t="s">
        <v>25</v>
      </c>
      <c r="D2539" s="1" t="s">
        <v>13</v>
      </c>
      <c r="E2539" s="1" t="s">
        <v>38</v>
      </c>
      <c r="F2539" s="1" t="s">
        <v>35</v>
      </c>
      <c r="G2539" s="1">
        <v>9</v>
      </c>
      <c r="H2539" s="1">
        <v>929</v>
      </c>
      <c r="I2539" s="1">
        <v>0</v>
      </c>
      <c r="J2539" s="4">
        <v>8361</v>
      </c>
      <c r="K2539" s="4">
        <v>5792.62</v>
      </c>
      <c r="L2539" s="4">
        <v>2568.38</v>
      </c>
      <c r="M2539" s="1" t="str">
        <f>TEXT(Table1[[#This Row],[Order_Date]], "MMM")</f>
        <v>Sep</v>
      </c>
      <c r="N2539" s="1">
        <f>YEAR(Table1[[#This Row],[Order_Date]])</f>
        <v>2023</v>
      </c>
      <c r="O2539" s="7">
        <f>Table1[[#This Row],[Profit]]/Table1[[#This Row],[Total_Sales]]</f>
        <v>0.30718574333213733</v>
      </c>
    </row>
    <row r="2540" spans="1:15" x14ac:dyDescent="0.25">
      <c r="A2540" s="1">
        <v>2539</v>
      </c>
      <c r="B2540" s="2">
        <v>45052</v>
      </c>
      <c r="C2540" s="1" t="s">
        <v>19</v>
      </c>
      <c r="D2540" s="1" t="s">
        <v>26</v>
      </c>
      <c r="E2540" s="1" t="s">
        <v>42</v>
      </c>
      <c r="F2540" s="1" t="s">
        <v>24</v>
      </c>
      <c r="G2540" s="1">
        <v>9</v>
      </c>
      <c r="H2540" s="1">
        <v>540</v>
      </c>
      <c r="I2540" s="1">
        <v>0</v>
      </c>
      <c r="J2540" s="4">
        <v>4860</v>
      </c>
      <c r="K2540" s="4">
        <v>2901.56</v>
      </c>
      <c r="L2540" s="4">
        <v>1958.44</v>
      </c>
      <c r="M2540" s="1" t="str">
        <f>TEXT(Table1[[#This Row],[Order_Date]], "MMM")</f>
        <v>May</v>
      </c>
      <c r="N2540" s="1">
        <f>YEAR(Table1[[#This Row],[Order_Date]])</f>
        <v>2023</v>
      </c>
      <c r="O2540" s="7">
        <f>Table1[[#This Row],[Profit]]/Table1[[#This Row],[Total_Sales]]</f>
        <v>0.40297119341563786</v>
      </c>
    </row>
    <row r="2541" spans="1:15" x14ac:dyDescent="0.25">
      <c r="A2541" s="1">
        <v>2540</v>
      </c>
      <c r="B2541" s="2">
        <v>45012</v>
      </c>
      <c r="C2541" s="1" t="s">
        <v>25</v>
      </c>
      <c r="D2541" s="1" t="s">
        <v>20</v>
      </c>
      <c r="E2541" s="1" t="s">
        <v>21</v>
      </c>
      <c r="F2541" s="1" t="s">
        <v>24</v>
      </c>
      <c r="G2541" s="1">
        <v>2</v>
      </c>
      <c r="H2541" s="1">
        <v>939</v>
      </c>
      <c r="I2541" s="1">
        <v>10</v>
      </c>
      <c r="J2541" s="4">
        <v>1690.2</v>
      </c>
      <c r="K2541" s="4">
        <v>1224.05</v>
      </c>
      <c r="L2541" s="4">
        <v>466.15</v>
      </c>
      <c r="M2541" s="1" t="str">
        <f>TEXT(Table1[[#This Row],[Order_Date]], "MMM")</f>
        <v>Mar</v>
      </c>
      <c r="N2541" s="1">
        <f>YEAR(Table1[[#This Row],[Order_Date]])</f>
        <v>2023</v>
      </c>
      <c r="O2541" s="7">
        <f>Table1[[#This Row],[Profit]]/Table1[[#This Row],[Total_Sales]]</f>
        <v>0.27579576381493315</v>
      </c>
    </row>
    <row r="2542" spans="1:15" x14ac:dyDescent="0.25">
      <c r="A2542" s="1">
        <v>2541</v>
      </c>
      <c r="B2542" s="2">
        <v>45076</v>
      </c>
      <c r="C2542" s="1" t="s">
        <v>25</v>
      </c>
      <c r="D2542" s="1" t="s">
        <v>32</v>
      </c>
      <c r="E2542" s="1" t="s">
        <v>33</v>
      </c>
      <c r="F2542" s="1" t="s">
        <v>24</v>
      </c>
      <c r="G2542" s="1">
        <v>3</v>
      </c>
      <c r="H2542" s="1">
        <v>524</v>
      </c>
      <c r="I2542" s="1">
        <v>5</v>
      </c>
      <c r="J2542" s="4">
        <v>1493.4</v>
      </c>
      <c r="K2542" s="4">
        <v>825.39</v>
      </c>
      <c r="L2542" s="4">
        <v>668.01</v>
      </c>
      <c r="M2542" s="1" t="str">
        <f>TEXT(Table1[[#This Row],[Order_Date]], "MMM")</f>
        <v>May</v>
      </c>
      <c r="N2542" s="1">
        <f>YEAR(Table1[[#This Row],[Order_Date]])</f>
        <v>2023</v>
      </c>
      <c r="O2542" s="7">
        <f>Table1[[#This Row],[Profit]]/Table1[[#This Row],[Total_Sales]]</f>
        <v>0.4473081558858979</v>
      </c>
    </row>
    <row r="2543" spans="1:15" x14ac:dyDescent="0.25">
      <c r="A2543" s="1">
        <v>2542</v>
      </c>
      <c r="B2543" s="2">
        <v>45147</v>
      </c>
      <c r="C2543" s="1" t="s">
        <v>12</v>
      </c>
      <c r="D2543" s="1" t="s">
        <v>26</v>
      </c>
      <c r="E2543" s="1" t="s">
        <v>27</v>
      </c>
      <c r="F2543" s="1" t="s">
        <v>18</v>
      </c>
      <c r="G2543" s="1">
        <v>6</v>
      </c>
      <c r="H2543" s="1">
        <v>404</v>
      </c>
      <c r="I2543" s="1">
        <v>20</v>
      </c>
      <c r="J2543" s="4">
        <v>1939.2</v>
      </c>
      <c r="K2543" s="4">
        <v>1083.7</v>
      </c>
      <c r="L2543" s="4">
        <v>855.5</v>
      </c>
      <c r="M2543" s="1" t="str">
        <f>TEXT(Table1[[#This Row],[Order_Date]], "MMM")</f>
        <v>Aug</v>
      </c>
      <c r="N2543" s="1">
        <f>YEAR(Table1[[#This Row],[Order_Date]])</f>
        <v>2023</v>
      </c>
      <c r="O2543" s="7">
        <f>Table1[[#This Row],[Profit]]/Table1[[#This Row],[Total_Sales]]</f>
        <v>0.44116130363036304</v>
      </c>
    </row>
    <row r="2544" spans="1:15" x14ac:dyDescent="0.25">
      <c r="A2544" s="1">
        <v>2543</v>
      </c>
      <c r="B2544" s="2">
        <v>45138</v>
      </c>
      <c r="C2544" s="1" t="s">
        <v>16</v>
      </c>
      <c r="D2544" s="1" t="s">
        <v>13</v>
      </c>
      <c r="E2544" s="1" t="s">
        <v>39</v>
      </c>
      <c r="F2544" s="1" t="s">
        <v>31</v>
      </c>
      <c r="G2544" s="1">
        <v>6</v>
      </c>
      <c r="H2544" s="1">
        <v>745</v>
      </c>
      <c r="I2544" s="1">
        <v>20</v>
      </c>
      <c r="J2544" s="4">
        <v>3576</v>
      </c>
      <c r="K2544" s="4">
        <v>2819.65</v>
      </c>
      <c r="L2544" s="4">
        <v>756.35</v>
      </c>
      <c r="M2544" s="1" t="str">
        <f>TEXT(Table1[[#This Row],[Order_Date]], "MMM")</f>
        <v>Jul</v>
      </c>
      <c r="N2544" s="1">
        <f>YEAR(Table1[[#This Row],[Order_Date]])</f>
        <v>2023</v>
      </c>
      <c r="O2544" s="7">
        <f>Table1[[#This Row],[Profit]]/Table1[[#This Row],[Total_Sales]]</f>
        <v>0.2115072706935123</v>
      </c>
    </row>
    <row r="2545" spans="1:15" x14ac:dyDescent="0.25">
      <c r="A2545" s="1">
        <v>2544</v>
      </c>
      <c r="B2545" s="2">
        <v>45225</v>
      </c>
      <c r="C2545" s="1" t="s">
        <v>19</v>
      </c>
      <c r="D2545" s="1" t="s">
        <v>13</v>
      </c>
      <c r="E2545" s="1" t="s">
        <v>38</v>
      </c>
      <c r="F2545" s="1" t="s">
        <v>35</v>
      </c>
      <c r="G2545" s="1">
        <v>9</v>
      </c>
      <c r="H2545" s="1">
        <v>61</v>
      </c>
      <c r="I2545" s="1">
        <v>20</v>
      </c>
      <c r="J2545" s="4">
        <v>439.2</v>
      </c>
      <c r="K2545" s="4">
        <v>231.6</v>
      </c>
      <c r="L2545" s="4">
        <v>207.6</v>
      </c>
      <c r="M2545" s="1" t="str">
        <f>TEXT(Table1[[#This Row],[Order_Date]], "MMM")</f>
        <v>Oct</v>
      </c>
      <c r="N2545" s="1">
        <f>YEAR(Table1[[#This Row],[Order_Date]])</f>
        <v>2023</v>
      </c>
      <c r="O2545" s="7">
        <f>Table1[[#This Row],[Profit]]/Table1[[#This Row],[Total_Sales]]</f>
        <v>0.47267759562841533</v>
      </c>
    </row>
    <row r="2546" spans="1:15" x14ac:dyDescent="0.25">
      <c r="A2546" s="1">
        <v>2545</v>
      </c>
      <c r="B2546" s="2">
        <v>45243</v>
      </c>
      <c r="C2546" s="1" t="s">
        <v>16</v>
      </c>
      <c r="D2546" s="1" t="s">
        <v>26</v>
      </c>
      <c r="E2546" s="1" t="s">
        <v>42</v>
      </c>
      <c r="F2546" s="1" t="s">
        <v>24</v>
      </c>
      <c r="G2546" s="1">
        <v>8</v>
      </c>
      <c r="H2546" s="1">
        <v>384</v>
      </c>
      <c r="I2546" s="1">
        <v>15</v>
      </c>
      <c r="J2546" s="4">
        <v>2611.1999999999998</v>
      </c>
      <c r="K2546" s="4">
        <v>1687.13</v>
      </c>
      <c r="L2546" s="4">
        <v>924.07</v>
      </c>
      <c r="M2546" s="1" t="str">
        <f>TEXT(Table1[[#This Row],[Order_Date]], "MMM")</f>
        <v>Nov</v>
      </c>
      <c r="N2546" s="1">
        <f>YEAR(Table1[[#This Row],[Order_Date]])</f>
        <v>2023</v>
      </c>
      <c r="O2546" s="7">
        <f>Table1[[#This Row],[Profit]]/Table1[[#This Row],[Total_Sales]]</f>
        <v>0.35388710171568633</v>
      </c>
    </row>
    <row r="2547" spans="1:15" x14ac:dyDescent="0.25">
      <c r="A2547" s="1">
        <v>2546</v>
      </c>
      <c r="B2547" s="2">
        <v>45651</v>
      </c>
      <c r="C2547" s="1" t="s">
        <v>12</v>
      </c>
      <c r="D2547" s="1" t="s">
        <v>13</v>
      </c>
      <c r="E2547" s="1" t="s">
        <v>17</v>
      </c>
      <c r="F2547" s="1" t="s">
        <v>24</v>
      </c>
      <c r="G2547" s="1">
        <v>6</v>
      </c>
      <c r="H2547" s="1">
        <v>701</v>
      </c>
      <c r="I2547" s="1">
        <v>0</v>
      </c>
      <c r="J2547" s="4">
        <v>4206</v>
      </c>
      <c r="K2547" s="4">
        <v>2787.91</v>
      </c>
      <c r="L2547" s="4">
        <v>1418.09</v>
      </c>
      <c r="M2547" s="1" t="str">
        <f>TEXT(Table1[[#This Row],[Order_Date]], "MMM")</f>
        <v>Dec</v>
      </c>
      <c r="N2547" s="1">
        <f>YEAR(Table1[[#This Row],[Order_Date]])</f>
        <v>2024</v>
      </c>
      <c r="O2547" s="7">
        <f>Table1[[#This Row],[Profit]]/Table1[[#This Row],[Total_Sales]]</f>
        <v>0.3371588207322872</v>
      </c>
    </row>
    <row r="2548" spans="1:15" x14ac:dyDescent="0.25">
      <c r="A2548" s="1">
        <v>2547</v>
      </c>
      <c r="B2548" s="2">
        <v>45145</v>
      </c>
      <c r="C2548" s="1" t="s">
        <v>16</v>
      </c>
      <c r="D2548" s="1" t="s">
        <v>26</v>
      </c>
      <c r="E2548" s="1" t="s">
        <v>37</v>
      </c>
      <c r="F2548" s="1" t="s">
        <v>18</v>
      </c>
      <c r="G2548" s="1">
        <v>7</v>
      </c>
      <c r="H2548" s="1">
        <v>669</v>
      </c>
      <c r="I2548" s="1">
        <v>5</v>
      </c>
      <c r="J2548" s="4">
        <v>4448.8500000000004</v>
      </c>
      <c r="K2548" s="4">
        <v>2985.98</v>
      </c>
      <c r="L2548" s="4">
        <v>1462.87</v>
      </c>
      <c r="M2548" s="1" t="str">
        <f>TEXT(Table1[[#This Row],[Order_Date]], "MMM")</f>
        <v>Aug</v>
      </c>
      <c r="N2548" s="1">
        <f>YEAR(Table1[[#This Row],[Order_Date]])</f>
        <v>2023</v>
      </c>
      <c r="O2548" s="7">
        <f>Table1[[#This Row],[Profit]]/Table1[[#This Row],[Total_Sales]]</f>
        <v>0.32881980736594846</v>
      </c>
    </row>
    <row r="2549" spans="1:15" x14ac:dyDescent="0.25">
      <c r="A2549" s="1">
        <v>2548</v>
      </c>
      <c r="B2549" s="2">
        <v>45320</v>
      </c>
      <c r="C2549" s="1" t="s">
        <v>16</v>
      </c>
      <c r="D2549" s="1" t="s">
        <v>26</v>
      </c>
      <c r="E2549" s="1" t="s">
        <v>46</v>
      </c>
      <c r="F2549" s="1" t="s">
        <v>15</v>
      </c>
      <c r="G2549" s="1">
        <v>7</v>
      </c>
      <c r="H2549" s="1">
        <v>595</v>
      </c>
      <c r="I2549" s="1">
        <v>5</v>
      </c>
      <c r="J2549" s="4">
        <v>3956.75</v>
      </c>
      <c r="K2549" s="4">
        <v>3036.33</v>
      </c>
      <c r="L2549" s="4">
        <v>920.42</v>
      </c>
      <c r="M2549" s="1" t="str">
        <f>TEXT(Table1[[#This Row],[Order_Date]], "MMM")</f>
        <v>Jan</v>
      </c>
      <c r="N2549" s="1">
        <f>YEAR(Table1[[#This Row],[Order_Date]])</f>
        <v>2024</v>
      </c>
      <c r="O2549" s="7">
        <f>Table1[[#This Row],[Profit]]/Table1[[#This Row],[Total_Sales]]</f>
        <v>0.23262020597712768</v>
      </c>
    </row>
    <row r="2550" spans="1:15" x14ac:dyDescent="0.25">
      <c r="A2550" s="1">
        <v>2549</v>
      </c>
      <c r="B2550" s="2">
        <v>44962</v>
      </c>
      <c r="C2550" s="1" t="s">
        <v>19</v>
      </c>
      <c r="D2550" s="1" t="s">
        <v>20</v>
      </c>
      <c r="E2550" s="1" t="s">
        <v>21</v>
      </c>
      <c r="F2550" s="1" t="s">
        <v>24</v>
      </c>
      <c r="G2550" s="1">
        <v>6</v>
      </c>
      <c r="H2550" s="1">
        <v>514</v>
      </c>
      <c r="I2550" s="1">
        <v>10</v>
      </c>
      <c r="J2550" s="4">
        <v>2775.6</v>
      </c>
      <c r="K2550" s="4">
        <v>2083.58</v>
      </c>
      <c r="L2550" s="4">
        <v>692.02</v>
      </c>
      <c r="M2550" s="1" t="str">
        <f>TEXT(Table1[[#This Row],[Order_Date]], "MMM")</f>
        <v>Feb</v>
      </c>
      <c r="N2550" s="1">
        <f>YEAR(Table1[[#This Row],[Order_Date]])</f>
        <v>2023</v>
      </c>
      <c r="O2550" s="7">
        <f>Table1[[#This Row],[Profit]]/Table1[[#This Row],[Total_Sales]]</f>
        <v>0.24932266897247443</v>
      </c>
    </row>
    <row r="2551" spans="1:15" x14ac:dyDescent="0.25">
      <c r="A2551" s="1">
        <v>2550</v>
      </c>
      <c r="B2551" s="2">
        <v>45148</v>
      </c>
      <c r="C2551" s="1" t="s">
        <v>25</v>
      </c>
      <c r="D2551" s="1" t="s">
        <v>20</v>
      </c>
      <c r="E2551" s="1" t="s">
        <v>21</v>
      </c>
      <c r="F2551" s="1" t="s">
        <v>35</v>
      </c>
      <c r="G2551" s="1">
        <v>3</v>
      </c>
      <c r="H2551" s="1">
        <v>390</v>
      </c>
      <c r="I2551" s="1">
        <v>15</v>
      </c>
      <c r="J2551" s="4">
        <v>994.5</v>
      </c>
      <c r="K2551" s="4">
        <v>607.25</v>
      </c>
      <c r="L2551" s="4">
        <v>387.25</v>
      </c>
      <c r="M2551" s="1" t="str">
        <f>TEXT(Table1[[#This Row],[Order_Date]], "MMM")</f>
        <v>Aug</v>
      </c>
      <c r="N2551" s="1">
        <f>YEAR(Table1[[#This Row],[Order_Date]])</f>
        <v>2023</v>
      </c>
      <c r="O2551" s="7">
        <f>Table1[[#This Row],[Profit]]/Table1[[#This Row],[Total_Sales]]</f>
        <v>0.38939165409753645</v>
      </c>
    </row>
    <row r="2552" spans="1:15" x14ac:dyDescent="0.25">
      <c r="A2552" s="1">
        <v>2551</v>
      </c>
      <c r="B2552" s="2">
        <v>45327</v>
      </c>
      <c r="C2552" s="1" t="s">
        <v>12</v>
      </c>
      <c r="D2552" s="1" t="s">
        <v>22</v>
      </c>
      <c r="E2552" s="1" t="s">
        <v>29</v>
      </c>
      <c r="F2552" s="1" t="s">
        <v>35</v>
      </c>
      <c r="G2552" s="1">
        <v>7</v>
      </c>
      <c r="H2552" s="1">
        <v>980</v>
      </c>
      <c r="I2552" s="1">
        <v>10</v>
      </c>
      <c r="J2552" s="4">
        <v>6174</v>
      </c>
      <c r="K2552" s="4">
        <v>3437.64</v>
      </c>
      <c r="L2552" s="4">
        <v>2736.36</v>
      </c>
      <c r="M2552" s="1" t="str">
        <f>TEXT(Table1[[#This Row],[Order_Date]], "MMM")</f>
        <v>Feb</v>
      </c>
      <c r="N2552" s="1">
        <f>YEAR(Table1[[#This Row],[Order_Date]])</f>
        <v>2024</v>
      </c>
      <c r="O2552" s="7">
        <f>Table1[[#This Row],[Profit]]/Table1[[#This Row],[Total_Sales]]</f>
        <v>0.44320699708454814</v>
      </c>
    </row>
    <row r="2553" spans="1:15" x14ac:dyDescent="0.25">
      <c r="A2553" s="1">
        <v>2552</v>
      </c>
      <c r="B2553" s="2">
        <v>45433</v>
      </c>
      <c r="C2553" s="1" t="s">
        <v>12</v>
      </c>
      <c r="D2553" s="1" t="s">
        <v>22</v>
      </c>
      <c r="E2553" s="1" t="s">
        <v>29</v>
      </c>
      <c r="F2553" s="1" t="s">
        <v>18</v>
      </c>
      <c r="G2553" s="1">
        <v>8</v>
      </c>
      <c r="H2553" s="1">
        <v>914</v>
      </c>
      <c r="I2553" s="1">
        <v>5</v>
      </c>
      <c r="J2553" s="4">
        <v>6946.4</v>
      </c>
      <c r="K2553" s="4">
        <v>5339.24</v>
      </c>
      <c r="L2553" s="4">
        <v>1607.16</v>
      </c>
      <c r="M2553" s="1" t="str">
        <f>TEXT(Table1[[#This Row],[Order_Date]], "MMM")</f>
        <v>May</v>
      </c>
      <c r="N2553" s="1">
        <f>YEAR(Table1[[#This Row],[Order_Date]])</f>
        <v>2024</v>
      </c>
      <c r="O2553" s="7">
        <f>Table1[[#This Row],[Profit]]/Table1[[#This Row],[Total_Sales]]</f>
        <v>0.23136588736611771</v>
      </c>
    </row>
    <row r="2554" spans="1:15" x14ac:dyDescent="0.25">
      <c r="A2554" s="1">
        <v>2553</v>
      </c>
      <c r="B2554" s="2">
        <v>45229</v>
      </c>
      <c r="C2554" s="1" t="s">
        <v>19</v>
      </c>
      <c r="D2554" s="1" t="s">
        <v>26</v>
      </c>
      <c r="E2554" s="1" t="s">
        <v>42</v>
      </c>
      <c r="F2554" s="1" t="s">
        <v>40</v>
      </c>
      <c r="G2554" s="1">
        <v>4</v>
      </c>
      <c r="H2554" s="1">
        <v>470</v>
      </c>
      <c r="I2554" s="1">
        <v>15</v>
      </c>
      <c r="J2554" s="4">
        <v>1598</v>
      </c>
      <c r="K2554" s="4">
        <v>846.5</v>
      </c>
      <c r="L2554" s="4">
        <v>751.5</v>
      </c>
      <c r="M2554" s="1" t="str">
        <f>TEXT(Table1[[#This Row],[Order_Date]], "MMM")</f>
        <v>Oct</v>
      </c>
      <c r="N2554" s="1">
        <f>YEAR(Table1[[#This Row],[Order_Date]])</f>
        <v>2023</v>
      </c>
      <c r="O2554" s="7">
        <f>Table1[[#This Row],[Profit]]/Table1[[#This Row],[Total_Sales]]</f>
        <v>0.47027534418022526</v>
      </c>
    </row>
    <row r="2555" spans="1:15" x14ac:dyDescent="0.25">
      <c r="A2555" s="1">
        <v>2554</v>
      </c>
      <c r="B2555" s="2">
        <v>44987</v>
      </c>
      <c r="C2555" s="1" t="s">
        <v>19</v>
      </c>
      <c r="D2555" s="1" t="s">
        <v>26</v>
      </c>
      <c r="E2555" s="1" t="s">
        <v>46</v>
      </c>
      <c r="F2555" s="1" t="s">
        <v>35</v>
      </c>
      <c r="G2555" s="1">
        <v>5</v>
      </c>
      <c r="H2555" s="1">
        <v>496</v>
      </c>
      <c r="I2555" s="1">
        <v>15</v>
      </c>
      <c r="J2555" s="4">
        <v>2108</v>
      </c>
      <c r="K2555" s="4">
        <v>1600.99</v>
      </c>
      <c r="L2555" s="4">
        <v>507.01</v>
      </c>
      <c r="M2555" s="1" t="str">
        <f>TEXT(Table1[[#This Row],[Order_Date]], "MMM")</f>
        <v>Mar</v>
      </c>
      <c r="N2555" s="1">
        <f>YEAR(Table1[[#This Row],[Order_Date]])</f>
        <v>2023</v>
      </c>
      <c r="O2555" s="7">
        <f>Table1[[#This Row],[Profit]]/Table1[[#This Row],[Total_Sales]]</f>
        <v>0.24051707779886147</v>
      </c>
    </row>
    <row r="2556" spans="1:15" x14ac:dyDescent="0.25">
      <c r="A2556" s="1">
        <v>2555</v>
      </c>
      <c r="B2556" s="2">
        <v>45052</v>
      </c>
      <c r="C2556" s="1" t="s">
        <v>16</v>
      </c>
      <c r="D2556" s="1" t="s">
        <v>32</v>
      </c>
      <c r="E2556" s="1" t="s">
        <v>45</v>
      </c>
      <c r="F2556" s="1" t="s">
        <v>18</v>
      </c>
      <c r="G2556" s="1">
        <v>2</v>
      </c>
      <c r="H2556" s="1">
        <v>698</v>
      </c>
      <c r="I2556" s="1">
        <v>20</v>
      </c>
      <c r="J2556" s="4">
        <v>1116.8</v>
      </c>
      <c r="K2556" s="4">
        <v>849.11</v>
      </c>
      <c r="L2556" s="4">
        <v>267.69</v>
      </c>
      <c r="M2556" s="1" t="str">
        <f>TEXT(Table1[[#This Row],[Order_Date]], "MMM")</f>
        <v>May</v>
      </c>
      <c r="N2556" s="1">
        <f>YEAR(Table1[[#This Row],[Order_Date]])</f>
        <v>2023</v>
      </c>
      <c r="O2556" s="7">
        <f>Table1[[#This Row],[Profit]]/Table1[[#This Row],[Total_Sales]]</f>
        <v>0.23969376790830946</v>
      </c>
    </row>
    <row r="2557" spans="1:15" x14ac:dyDescent="0.25">
      <c r="A2557" s="1">
        <v>2556</v>
      </c>
      <c r="B2557" s="2">
        <v>45455</v>
      </c>
      <c r="C2557" s="1" t="s">
        <v>16</v>
      </c>
      <c r="D2557" s="1" t="s">
        <v>20</v>
      </c>
      <c r="E2557" s="1" t="s">
        <v>30</v>
      </c>
      <c r="F2557" s="1" t="s">
        <v>31</v>
      </c>
      <c r="G2557" s="1">
        <v>5</v>
      </c>
      <c r="H2557" s="1">
        <v>476</v>
      </c>
      <c r="I2557" s="1">
        <v>20</v>
      </c>
      <c r="J2557" s="4">
        <v>1904</v>
      </c>
      <c r="K2557" s="4">
        <v>1493.46</v>
      </c>
      <c r="L2557" s="4">
        <v>410.54</v>
      </c>
      <c r="M2557" s="1" t="str">
        <f>TEXT(Table1[[#This Row],[Order_Date]], "MMM")</f>
        <v>Jun</v>
      </c>
      <c r="N2557" s="1">
        <f>YEAR(Table1[[#This Row],[Order_Date]])</f>
        <v>2024</v>
      </c>
      <c r="O2557" s="7">
        <f>Table1[[#This Row],[Profit]]/Table1[[#This Row],[Total_Sales]]</f>
        <v>0.21561974789915966</v>
      </c>
    </row>
    <row r="2558" spans="1:15" x14ac:dyDescent="0.25">
      <c r="A2558" s="1">
        <v>2557</v>
      </c>
      <c r="B2558" s="2">
        <v>45168</v>
      </c>
      <c r="C2558" s="1" t="s">
        <v>25</v>
      </c>
      <c r="D2558" s="1" t="s">
        <v>26</v>
      </c>
      <c r="E2558" s="1" t="s">
        <v>27</v>
      </c>
      <c r="F2558" s="1" t="s">
        <v>18</v>
      </c>
      <c r="G2558" s="1">
        <v>3</v>
      </c>
      <c r="H2558" s="1">
        <v>193</v>
      </c>
      <c r="I2558" s="1">
        <v>0</v>
      </c>
      <c r="J2558" s="4">
        <v>579</v>
      </c>
      <c r="K2558" s="4">
        <v>365</v>
      </c>
      <c r="L2558" s="4">
        <v>214</v>
      </c>
      <c r="M2558" s="1" t="str">
        <f>TEXT(Table1[[#This Row],[Order_Date]], "MMM")</f>
        <v>Aug</v>
      </c>
      <c r="N2558" s="1">
        <f>YEAR(Table1[[#This Row],[Order_Date]])</f>
        <v>2023</v>
      </c>
      <c r="O2558" s="7">
        <f>Table1[[#This Row],[Profit]]/Table1[[#This Row],[Total_Sales]]</f>
        <v>0.3696027633851468</v>
      </c>
    </row>
    <row r="2559" spans="1:15" x14ac:dyDescent="0.25">
      <c r="A2559" s="1">
        <v>2558</v>
      </c>
      <c r="B2559" s="2">
        <v>45567</v>
      </c>
      <c r="C2559" s="1" t="s">
        <v>25</v>
      </c>
      <c r="D2559" s="1" t="s">
        <v>26</v>
      </c>
      <c r="E2559" s="1" t="s">
        <v>37</v>
      </c>
      <c r="F2559" s="1" t="s">
        <v>40</v>
      </c>
      <c r="G2559" s="1">
        <v>7</v>
      </c>
      <c r="H2559" s="1">
        <v>880</v>
      </c>
      <c r="I2559" s="1">
        <v>15</v>
      </c>
      <c r="J2559" s="4">
        <v>5236</v>
      </c>
      <c r="K2559" s="4">
        <v>2688.19</v>
      </c>
      <c r="L2559" s="4">
        <v>2547.81</v>
      </c>
      <c r="M2559" s="1" t="str">
        <f>TEXT(Table1[[#This Row],[Order_Date]], "MMM")</f>
        <v>Oct</v>
      </c>
      <c r="N2559" s="1">
        <f>YEAR(Table1[[#This Row],[Order_Date]])</f>
        <v>2024</v>
      </c>
      <c r="O2559" s="7">
        <f>Table1[[#This Row],[Profit]]/Table1[[#This Row],[Total_Sales]]</f>
        <v>0.48659472880061116</v>
      </c>
    </row>
    <row r="2560" spans="1:15" x14ac:dyDescent="0.25">
      <c r="A2560" s="1">
        <v>2559</v>
      </c>
      <c r="B2560" s="2">
        <v>45123</v>
      </c>
      <c r="C2560" s="1" t="s">
        <v>16</v>
      </c>
      <c r="D2560" s="1" t="s">
        <v>32</v>
      </c>
      <c r="E2560" s="1" t="s">
        <v>45</v>
      </c>
      <c r="F2560" s="1" t="s">
        <v>40</v>
      </c>
      <c r="G2560" s="1">
        <v>6</v>
      </c>
      <c r="H2560" s="1">
        <v>823</v>
      </c>
      <c r="I2560" s="1">
        <v>0</v>
      </c>
      <c r="J2560" s="4">
        <v>4938</v>
      </c>
      <c r="K2560" s="4">
        <v>3691.04</v>
      </c>
      <c r="L2560" s="4">
        <v>1246.96</v>
      </c>
      <c r="M2560" s="1" t="str">
        <f>TEXT(Table1[[#This Row],[Order_Date]], "MMM")</f>
        <v>Jul</v>
      </c>
      <c r="N2560" s="1">
        <f>YEAR(Table1[[#This Row],[Order_Date]])</f>
        <v>2023</v>
      </c>
      <c r="O2560" s="7">
        <f>Table1[[#This Row],[Profit]]/Table1[[#This Row],[Total_Sales]]</f>
        <v>0.25252328878088298</v>
      </c>
    </row>
    <row r="2561" spans="1:15" x14ac:dyDescent="0.25">
      <c r="A2561" s="1">
        <v>2560</v>
      </c>
      <c r="B2561" s="2">
        <v>45517</v>
      </c>
      <c r="C2561" s="1" t="s">
        <v>19</v>
      </c>
      <c r="D2561" s="1" t="s">
        <v>13</v>
      </c>
      <c r="E2561" s="1" t="s">
        <v>38</v>
      </c>
      <c r="F2561" s="1" t="s">
        <v>24</v>
      </c>
      <c r="G2561" s="1">
        <v>4</v>
      </c>
      <c r="H2561" s="1">
        <v>550</v>
      </c>
      <c r="I2561" s="1">
        <v>0</v>
      </c>
      <c r="J2561" s="4">
        <v>2200</v>
      </c>
      <c r="K2561" s="4">
        <v>1606.32</v>
      </c>
      <c r="L2561" s="4">
        <v>593.67999999999995</v>
      </c>
      <c r="M2561" s="1" t="str">
        <f>TEXT(Table1[[#This Row],[Order_Date]], "MMM")</f>
        <v>Aug</v>
      </c>
      <c r="N2561" s="1">
        <f>YEAR(Table1[[#This Row],[Order_Date]])</f>
        <v>2024</v>
      </c>
      <c r="O2561" s="7">
        <f>Table1[[#This Row],[Profit]]/Table1[[#This Row],[Total_Sales]]</f>
        <v>0.26985454545454546</v>
      </c>
    </row>
    <row r="2562" spans="1:15" x14ac:dyDescent="0.25">
      <c r="A2562" s="1">
        <v>2561</v>
      </c>
      <c r="B2562" s="2">
        <v>45318</v>
      </c>
      <c r="C2562" s="1" t="s">
        <v>19</v>
      </c>
      <c r="D2562" s="1" t="s">
        <v>20</v>
      </c>
      <c r="E2562" s="1" t="s">
        <v>43</v>
      </c>
      <c r="F2562" s="1" t="s">
        <v>15</v>
      </c>
      <c r="G2562" s="1">
        <v>7</v>
      </c>
      <c r="H2562" s="1">
        <v>137</v>
      </c>
      <c r="I2562" s="1">
        <v>15</v>
      </c>
      <c r="J2562" s="4">
        <v>815.15</v>
      </c>
      <c r="K2562" s="4">
        <v>500.49</v>
      </c>
      <c r="L2562" s="4">
        <v>314.66000000000003</v>
      </c>
      <c r="M2562" s="1" t="str">
        <f>TEXT(Table1[[#This Row],[Order_Date]], "MMM")</f>
        <v>Jan</v>
      </c>
      <c r="N2562" s="1">
        <f>YEAR(Table1[[#This Row],[Order_Date]])</f>
        <v>2024</v>
      </c>
      <c r="O2562" s="7">
        <f>Table1[[#This Row],[Profit]]/Table1[[#This Row],[Total_Sales]]</f>
        <v>0.38601484389376195</v>
      </c>
    </row>
    <row r="2563" spans="1:15" x14ac:dyDescent="0.25">
      <c r="A2563" s="1">
        <v>2562</v>
      </c>
      <c r="B2563" s="2">
        <v>45626</v>
      </c>
      <c r="C2563" s="1" t="s">
        <v>19</v>
      </c>
      <c r="D2563" s="1" t="s">
        <v>22</v>
      </c>
      <c r="E2563" s="1" t="s">
        <v>29</v>
      </c>
      <c r="F2563" s="1" t="s">
        <v>40</v>
      </c>
      <c r="G2563" s="1">
        <v>2</v>
      </c>
      <c r="H2563" s="1">
        <v>335</v>
      </c>
      <c r="I2563" s="1">
        <v>15</v>
      </c>
      <c r="J2563" s="4">
        <v>569.5</v>
      </c>
      <c r="K2563" s="4">
        <v>388.15</v>
      </c>
      <c r="L2563" s="4">
        <v>181.35</v>
      </c>
      <c r="M2563" s="1" t="str">
        <f>TEXT(Table1[[#This Row],[Order_Date]], "MMM")</f>
        <v>Nov</v>
      </c>
      <c r="N2563" s="1">
        <f>YEAR(Table1[[#This Row],[Order_Date]])</f>
        <v>2024</v>
      </c>
      <c r="O2563" s="7">
        <f>Table1[[#This Row],[Profit]]/Table1[[#This Row],[Total_Sales]]</f>
        <v>0.31843722563652327</v>
      </c>
    </row>
    <row r="2564" spans="1:15" x14ac:dyDescent="0.25">
      <c r="A2564" s="1">
        <v>2563</v>
      </c>
      <c r="B2564" s="2">
        <v>45485</v>
      </c>
      <c r="C2564" s="1" t="s">
        <v>19</v>
      </c>
      <c r="D2564" s="1" t="s">
        <v>32</v>
      </c>
      <c r="E2564" s="1" t="s">
        <v>34</v>
      </c>
      <c r="F2564" s="1" t="s">
        <v>24</v>
      </c>
      <c r="G2564" s="1">
        <v>2</v>
      </c>
      <c r="H2564" s="1">
        <v>390</v>
      </c>
      <c r="I2564" s="1">
        <v>5</v>
      </c>
      <c r="J2564" s="4">
        <v>741</v>
      </c>
      <c r="K2564" s="4">
        <v>418.77</v>
      </c>
      <c r="L2564" s="4">
        <v>322.23</v>
      </c>
      <c r="M2564" s="1" t="str">
        <f>TEXT(Table1[[#This Row],[Order_Date]], "MMM")</f>
        <v>Jul</v>
      </c>
      <c r="N2564" s="1">
        <f>YEAR(Table1[[#This Row],[Order_Date]])</f>
        <v>2024</v>
      </c>
      <c r="O2564" s="7">
        <f>Table1[[#This Row],[Profit]]/Table1[[#This Row],[Total_Sales]]</f>
        <v>0.43485829959514172</v>
      </c>
    </row>
    <row r="2565" spans="1:15" x14ac:dyDescent="0.25">
      <c r="A2565" s="1">
        <v>2564</v>
      </c>
      <c r="B2565" s="2">
        <v>45006</v>
      </c>
      <c r="C2565" s="1" t="s">
        <v>12</v>
      </c>
      <c r="D2565" s="1" t="s">
        <v>20</v>
      </c>
      <c r="E2565" s="1" t="s">
        <v>30</v>
      </c>
      <c r="F2565" s="1" t="s">
        <v>31</v>
      </c>
      <c r="G2565" s="1">
        <v>6</v>
      </c>
      <c r="H2565" s="1">
        <v>690</v>
      </c>
      <c r="I2565" s="1">
        <v>10</v>
      </c>
      <c r="J2565" s="4">
        <v>3726</v>
      </c>
      <c r="K2565" s="4">
        <v>2729.84</v>
      </c>
      <c r="L2565" s="4">
        <v>996.16</v>
      </c>
      <c r="M2565" s="1" t="str">
        <f>TEXT(Table1[[#This Row],[Order_Date]], "MMM")</f>
        <v>Mar</v>
      </c>
      <c r="N2565" s="1">
        <f>YEAR(Table1[[#This Row],[Order_Date]])</f>
        <v>2023</v>
      </c>
      <c r="O2565" s="7">
        <f>Table1[[#This Row],[Profit]]/Table1[[#This Row],[Total_Sales]]</f>
        <v>0.26735373054213635</v>
      </c>
    </row>
    <row r="2566" spans="1:15" x14ac:dyDescent="0.25">
      <c r="A2566" s="1">
        <v>2565</v>
      </c>
      <c r="B2566" s="2">
        <v>45305</v>
      </c>
      <c r="C2566" s="1" t="s">
        <v>16</v>
      </c>
      <c r="D2566" s="1" t="s">
        <v>13</v>
      </c>
      <c r="E2566" s="1" t="s">
        <v>38</v>
      </c>
      <c r="F2566" s="1" t="s">
        <v>31</v>
      </c>
      <c r="G2566" s="1">
        <v>8</v>
      </c>
      <c r="H2566" s="1">
        <v>462</v>
      </c>
      <c r="I2566" s="1">
        <v>15</v>
      </c>
      <c r="J2566" s="4">
        <v>3141.6</v>
      </c>
      <c r="K2566" s="4">
        <v>2199.15</v>
      </c>
      <c r="L2566" s="4">
        <v>942.45</v>
      </c>
      <c r="M2566" s="1" t="str">
        <f>TEXT(Table1[[#This Row],[Order_Date]], "MMM")</f>
        <v>Jan</v>
      </c>
      <c r="N2566" s="1">
        <f>YEAR(Table1[[#This Row],[Order_Date]])</f>
        <v>2024</v>
      </c>
      <c r="O2566" s="7">
        <f>Table1[[#This Row],[Profit]]/Table1[[#This Row],[Total_Sales]]</f>
        <v>0.29999045072574487</v>
      </c>
    </row>
    <row r="2567" spans="1:15" x14ac:dyDescent="0.25">
      <c r="A2567" s="1">
        <v>2566</v>
      </c>
      <c r="B2567" s="2">
        <v>45570</v>
      </c>
      <c r="C2567" s="1" t="s">
        <v>25</v>
      </c>
      <c r="D2567" s="1" t="s">
        <v>32</v>
      </c>
      <c r="E2567" s="1" t="s">
        <v>34</v>
      </c>
      <c r="F2567" s="1" t="s">
        <v>40</v>
      </c>
      <c r="G2567" s="1">
        <v>9</v>
      </c>
      <c r="H2567" s="1">
        <v>378</v>
      </c>
      <c r="I2567" s="1">
        <v>15</v>
      </c>
      <c r="J2567" s="4">
        <v>2891.7</v>
      </c>
      <c r="K2567" s="4">
        <v>2268.35</v>
      </c>
      <c r="L2567" s="4">
        <v>623.35</v>
      </c>
      <c r="M2567" s="1" t="str">
        <f>TEXT(Table1[[#This Row],[Order_Date]], "MMM")</f>
        <v>Oct</v>
      </c>
      <c r="N2567" s="1">
        <f>YEAR(Table1[[#This Row],[Order_Date]])</f>
        <v>2024</v>
      </c>
      <c r="O2567" s="7">
        <f>Table1[[#This Row],[Profit]]/Table1[[#This Row],[Total_Sales]]</f>
        <v>0.21556523844105546</v>
      </c>
    </row>
    <row r="2568" spans="1:15" x14ac:dyDescent="0.25">
      <c r="A2568" s="1">
        <v>2567</v>
      </c>
      <c r="B2568" s="2">
        <v>45614</v>
      </c>
      <c r="C2568" s="1" t="s">
        <v>16</v>
      </c>
      <c r="D2568" s="1" t="s">
        <v>13</v>
      </c>
      <c r="E2568" s="1" t="s">
        <v>39</v>
      </c>
      <c r="F2568" s="1" t="s">
        <v>40</v>
      </c>
      <c r="G2568" s="1">
        <v>5</v>
      </c>
      <c r="H2568" s="1">
        <v>135</v>
      </c>
      <c r="I2568" s="1">
        <v>15</v>
      </c>
      <c r="J2568" s="4">
        <v>573.75</v>
      </c>
      <c r="K2568" s="4">
        <v>363.86</v>
      </c>
      <c r="L2568" s="4">
        <v>209.89</v>
      </c>
      <c r="M2568" s="1" t="str">
        <f>TEXT(Table1[[#This Row],[Order_Date]], "MMM")</f>
        <v>Nov</v>
      </c>
      <c r="N2568" s="1">
        <f>YEAR(Table1[[#This Row],[Order_Date]])</f>
        <v>2024</v>
      </c>
      <c r="O2568" s="7">
        <f>Table1[[#This Row],[Profit]]/Table1[[#This Row],[Total_Sales]]</f>
        <v>0.3658213507625272</v>
      </c>
    </row>
    <row r="2569" spans="1:15" x14ac:dyDescent="0.25">
      <c r="A2569" s="1">
        <v>2568</v>
      </c>
      <c r="B2569" s="2">
        <v>45088</v>
      </c>
      <c r="C2569" s="1" t="s">
        <v>12</v>
      </c>
      <c r="D2569" s="1" t="s">
        <v>13</v>
      </c>
      <c r="E2569" s="1" t="s">
        <v>39</v>
      </c>
      <c r="F2569" s="1" t="s">
        <v>40</v>
      </c>
      <c r="G2569" s="1">
        <v>9</v>
      </c>
      <c r="H2569" s="1">
        <v>411</v>
      </c>
      <c r="I2569" s="1">
        <v>0</v>
      </c>
      <c r="J2569" s="4">
        <v>3699</v>
      </c>
      <c r="K2569" s="4">
        <v>2742.92</v>
      </c>
      <c r="L2569" s="4">
        <v>956.08</v>
      </c>
      <c r="M2569" s="1" t="str">
        <f>TEXT(Table1[[#This Row],[Order_Date]], "MMM")</f>
        <v>Jun</v>
      </c>
      <c r="N2569" s="1">
        <f>YEAR(Table1[[#This Row],[Order_Date]])</f>
        <v>2023</v>
      </c>
      <c r="O2569" s="7">
        <f>Table1[[#This Row],[Profit]]/Table1[[#This Row],[Total_Sales]]</f>
        <v>0.25846985671803191</v>
      </c>
    </row>
    <row r="2570" spans="1:15" x14ac:dyDescent="0.25">
      <c r="A2570" s="1">
        <v>2569</v>
      </c>
      <c r="B2570" s="2">
        <v>45015</v>
      </c>
      <c r="C2570" s="1" t="s">
        <v>25</v>
      </c>
      <c r="D2570" s="1" t="s">
        <v>13</v>
      </c>
      <c r="E2570" s="1" t="s">
        <v>38</v>
      </c>
      <c r="F2570" s="1" t="s">
        <v>18</v>
      </c>
      <c r="G2570" s="1">
        <v>8</v>
      </c>
      <c r="H2570" s="1">
        <v>359</v>
      </c>
      <c r="I2570" s="1">
        <v>5</v>
      </c>
      <c r="J2570" s="4">
        <v>2728.4</v>
      </c>
      <c r="K2570" s="4">
        <v>1585.7</v>
      </c>
      <c r="L2570" s="4">
        <v>1142.7</v>
      </c>
      <c r="M2570" s="1" t="str">
        <f>TEXT(Table1[[#This Row],[Order_Date]], "MMM")</f>
        <v>Mar</v>
      </c>
      <c r="N2570" s="1">
        <f>YEAR(Table1[[#This Row],[Order_Date]])</f>
        <v>2023</v>
      </c>
      <c r="O2570" s="7">
        <f>Table1[[#This Row],[Profit]]/Table1[[#This Row],[Total_Sales]]</f>
        <v>0.41881688901920539</v>
      </c>
    </row>
    <row r="2571" spans="1:15" x14ac:dyDescent="0.25">
      <c r="A2571" s="1">
        <v>2570</v>
      </c>
      <c r="B2571" s="2">
        <v>45406</v>
      </c>
      <c r="C2571" s="1" t="s">
        <v>19</v>
      </c>
      <c r="D2571" s="1" t="s">
        <v>20</v>
      </c>
      <c r="E2571" s="1" t="s">
        <v>30</v>
      </c>
      <c r="F2571" s="1" t="s">
        <v>18</v>
      </c>
      <c r="G2571" s="1">
        <v>4</v>
      </c>
      <c r="H2571" s="1">
        <v>618</v>
      </c>
      <c r="I2571" s="1">
        <v>5</v>
      </c>
      <c r="J2571" s="4">
        <v>2348.4</v>
      </c>
      <c r="K2571" s="4">
        <v>1260.6500000000001</v>
      </c>
      <c r="L2571" s="4">
        <v>1087.75</v>
      </c>
      <c r="M2571" s="1" t="str">
        <f>TEXT(Table1[[#This Row],[Order_Date]], "MMM")</f>
        <v>Apr</v>
      </c>
      <c r="N2571" s="1">
        <f>YEAR(Table1[[#This Row],[Order_Date]])</f>
        <v>2024</v>
      </c>
      <c r="O2571" s="7">
        <f>Table1[[#This Row],[Profit]]/Table1[[#This Row],[Total_Sales]]</f>
        <v>0.46318770226537215</v>
      </c>
    </row>
    <row r="2572" spans="1:15" x14ac:dyDescent="0.25">
      <c r="A2572" s="1">
        <v>2571</v>
      </c>
      <c r="B2572" s="2">
        <v>45618</v>
      </c>
      <c r="C2572" s="1" t="s">
        <v>19</v>
      </c>
      <c r="D2572" s="1" t="s">
        <v>13</v>
      </c>
      <c r="E2572" s="1" t="s">
        <v>39</v>
      </c>
      <c r="F2572" s="1" t="s">
        <v>31</v>
      </c>
      <c r="G2572" s="1">
        <v>3</v>
      </c>
      <c r="H2572" s="1">
        <v>27</v>
      </c>
      <c r="I2572" s="1">
        <v>0</v>
      </c>
      <c r="J2572" s="4">
        <v>81</v>
      </c>
      <c r="K2572" s="4">
        <v>47.67</v>
      </c>
      <c r="L2572" s="4">
        <v>33.33</v>
      </c>
      <c r="M2572" s="1" t="str">
        <f>TEXT(Table1[[#This Row],[Order_Date]], "MMM")</f>
        <v>Nov</v>
      </c>
      <c r="N2572" s="1">
        <f>YEAR(Table1[[#This Row],[Order_Date]])</f>
        <v>2024</v>
      </c>
      <c r="O2572" s="7">
        <f>Table1[[#This Row],[Profit]]/Table1[[#This Row],[Total_Sales]]</f>
        <v>0.41148148148148145</v>
      </c>
    </row>
    <row r="2573" spans="1:15" x14ac:dyDescent="0.25">
      <c r="A2573" s="1">
        <v>2572</v>
      </c>
      <c r="B2573" s="2">
        <v>45355</v>
      </c>
      <c r="C2573" s="1" t="s">
        <v>19</v>
      </c>
      <c r="D2573" s="1" t="s">
        <v>13</v>
      </c>
      <c r="E2573" s="1" t="s">
        <v>38</v>
      </c>
      <c r="F2573" s="1" t="s">
        <v>15</v>
      </c>
      <c r="G2573" s="1">
        <v>4</v>
      </c>
      <c r="H2573" s="1">
        <v>266</v>
      </c>
      <c r="I2573" s="1">
        <v>10</v>
      </c>
      <c r="J2573" s="4">
        <v>957.6</v>
      </c>
      <c r="K2573" s="4">
        <v>719.71</v>
      </c>
      <c r="L2573" s="4">
        <v>237.89</v>
      </c>
      <c r="M2573" s="1" t="str">
        <f>TEXT(Table1[[#This Row],[Order_Date]], "MMM")</f>
        <v>Mar</v>
      </c>
      <c r="N2573" s="1">
        <f>YEAR(Table1[[#This Row],[Order_Date]])</f>
        <v>2024</v>
      </c>
      <c r="O2573" s="7">
        <f>Table1[[#This Row],[Profit]]/Table1[[#This Row],[Total_Sales]]</f>
        <v>0.24842314118629907</v>
      </c>
    </row>
    <row r="2574" spans="1:15" x14ac:dyDescent="0.25">
      <c r="A2574" s="1">
        <v>2573</v>
      </c>
      <c r="B2574" s="2">
        <v>44996</v>
      </c>
      <c r="C2574" s="1" t="s">
        <v>25</v>
      </c>
      <c r="D2574" s="1" t="s">
        <v>20</v>
      </c>
      <c r="E2574" s="1" t="s">
        <v>21</v>
      </c>
      <c r="F2574" s="1" t="s">
        <v>40</v>
      </c>
      <c r="G2574" s="1">
        <v>3</v>
      </c>
      <c r="H2574" s="1">
        <v>344</v>
      </c>
      <c r="I2574" s="1">
        <v>10</v>
      </c>
      <c r="J2574" s="4">
        <v>928.8</v>
      </c>
      <c r="K2574" s="4">
        <v>687.4</v>
      </c>
      <c r="L2574" s="4">
        <v>241.4</v>
      </c>
      <c r="M2574" s="1" t="str">
        <f>TEXT(Table1[[#This Row],[Order_Date]], "MMM")</f>
        <v>Mar</v>
      </c>
      <c r="N2574" s="1">
        <f>YEAR(Table1[[#This Row],[Order_Date]])</f>
        <v>2023</v>
      </c>
      <c r="O2574" s="7">
        <f>Table1[[#This Row],[Profit]]/Table1[[#This Row],[Total_Sales]]</f>
        <v>0.25990525409130061</v>
      </c>
    </row>
    <row r="2575" spans="1:15" x14ac:dyDescent="0.25">
      <c r="A2575" s="1">
        <v>2574</v>
      </c>
      <c r="B2575" s="2">
        <v>45249</v>
      </c>
      <c r="C2575" s="1" t="s">
        <v>19</v>
      </c>
      <c r="D2575" s="1" t="s">
        <v>13</v>
      </c>
      <c r="E2575" s="1" t="s">
        <v>17</v>
      </c>
      <c r="F2575" s="1" t="s">
        <v>31</v>
      </c>
      <c r="G2575" s="1">
        <v>5</v>
      </c>
      <c r="H2575" s="1">
        <v>443</v>
      </c>
      <c r="I2575" s="1">
        <v>20</v>
      </c>
      <c r="J2575" s="4">
        <v>1772</v>
      </c>
      <c r="K2575" s="4">
        <v>1135.75</v>
      </c>
      <c r="L2575" s="4">
        <v>636.25</v>
      </c>
      <c r="M2575" s="1" t="str">
        <f>TEXT(Table1[[#This Row],[Order_Date]], "MMM")</f>
        <v>Nov</v>
      </c>
      <c r="N2575" s="1">
        <f>YEAR(Table1[[#This Row],[Order_Date]])</f>
        <v>2023</v>
      </c>
      <c r="O2575" s="7">
        <f>Table1[[#This Row],[Profit]]/Table1[[#This Row],[Total_Sales]]</f>
        <v>0.35905756207674944</v>
      </c>
    </row>
    <row r="2576" spans="1:15" x14ac:dyDescent="0.25">
      <c r="A2576" s="1">
        <v>2575</v>
      </c>
      <c r="B2576" s="2">
        <v>45494</v>
      </c>
      <c r="C2576" s="1" t="s">
        <v>25</v>
      </c>
      <c r="D2576" s="1" t="s">
        <v>20</v>
      </c>
      <c r="E2576" s="1" t="s">
        <v>28</v>
      </c>
      <c r="F2576" s="1" t="s">
        <v>31</v>
      </c>
      <c r="G2576" s="1">
        <v>1</v>
      </c>
      <c r="H2576" s="1">
        <v>593</v>
      </c>
      <c r="I2576" s="1">
        <v>15</v>
      </c>
      <c r="J2576" s="4">
        <v>504.05</v>
      </c>
      <c r="K2576" s="4">
        <v>362.46</v>
      </c>
      <c r="L2576" s="4">
        <v>141.59</v>
      </c>
      <c r="M2576" s="1" t="str">
        <f>TEXT(Table1[[#This Row],[Order_Date]], "MMM")</f>
        <v>Jul</v>
      </c>
      <c r="N2576" s="1">
        <f>YEAR(Table1[[#This Row],[Order_Date]])</f>
        <v>2024</v>
      </c>
      <c r="O2576" s="7">
        <f>Table1[[#This Row],[Profit]]/Table1[[#This Row],[Total_Sales]]</f>
        <v>0.2809046721555401</v>
      </c>
    </row>
    <row r="2577" spans="1:15" x14ac:dyDescent="0.25">
      <c r="A2577" s="1">
        <v>2576</v>
      </c>
      <c r="B2577" s="2">
        <v>45305</v>
      </c>
      <c r="C2577" s="1" t="s">
        <v>19</v>
      </c>
      <c r="D2577" s="1" t="s">
        <v>20</v>
      </c>
      <c r="E2577" s="1" t="s">
        <v>21</v>
      </c>
      <c r="F2577" s="1" t="s">
        <v>18</v>
      </c>
      <c r="G2577" s="1">
        <v>1</v>
      </c>
      <c r="H2577" s="1">
        <v>644</v>
      </c>
      <c r="I2577" s="1">
        <v>15</v>
      </c>
      <c r="J2577" s="4">
        <v>547.4</v>
      </c>
      <c r="K2577" s="4">
        <v>426.24</v>
      </c>
      <c r="L2577" s="4">
        <v>121.16</v>
      </c>
      <c r="M2577" s="1" t="str">
        <f>TEXT(Table1[[#This Row],[Order_Date]], "MMM")</f>
        <v>Jan</v>
      </c>
      <c r="N2577" s="1">
        <f>YEAR(Table1[[#This Row],[Order_Date]])</f>
        <v>2024</v>
      </c>
      <c r="O2577" s="7">
        <f>Table1[[#This Row],[Profit]]/Table1[[#This Row],[Total_Sales]]</f>
        <v>0.22133723054439167</v>
      </c>
    </row>
    <row r="2578" spans="1:15" x14ac:dyDescent="0.25">
      <c r="A2578" s="1">
        <v>2577</v>
      </c>
      <c r="B2578" s="2">
        <v>45308</v>
      </c>
      <c r="C2578" s="1" t="s">
        <v>12</v>
      </c>
      <c r="D2578" s="1" t="s">
        <v>26</v>
      </c>
      <c r="E2578" s="1" t="s">
        <v>37</v>
      </c>
      <c r="F2578" s="1" t="s">
        <v>31</v>
      </c>
      <c r="G2578" s="1">
        <v>9</v>
      </c>
      <c r="H2578" s="1">
        <v>124</v>
      </c>
      <c r="I2578" s="1">
        <v>10</v>
      </c>
      <c r="J2578" s="4">
        <v>1004.4</v>
      </c>
      <c r="K2578" s="4">
        <v>725.24</v>
      </c>
      <c r="L2578" s="4">
        <v>279.16000000000003</v>
      </c>
      <c r="M2578" s="1" t="str">
        <f>TEXT(Table1[[#This Row],[Order_Date]], "MMM")</f>
        <v>Jan</v>
      </c>
      <c r="N2578" s="1">
        <f>YEAR(Table1[[#This Row],[Order_Date]])</f>
        <v>2024</v>
      </c>
      <c r="O2578" s="7">
        <f>Table1[[#This Row],[Profit]]/Table1[[#This Row],[Total_Sales]]</f>
        <v>0.27793707686180807</v>
      </c>
    </row>
    <row r="2579" spans="1:15" x14ac:dyDescent="0.25">
      <c r="A2579" s="1">
        <v>2578</v>
      </c>
      <c r="B2579" s="2">
        <v>45128</v>
      </c>
      <c r="C2579" s="1" t="s">
        <v>16</v>
      </c>
      <c r="D2579" s="1" t="s">
        <v>26</v>
      </c>
      <c r="E2579" s="1" t="s">
        <v>27</v>
      </c>
      <c r="F2579" s="1" t="s">
        <v>35</v>
      </c>
      <c r="G2579" s="1">
        <v>2</v>
      </c>
      <c r="H2579" s="1">
        <v>206</v>
      </c>
      <c r="I2579" s="1">
        <v>20</v>
      </c>
      <c r="J2579" s="4">
        <v>329.6</v>
      </c>
      <c r="K2579" s="4">
        <v>255.94</v>
      </c>
      <c r="L2579" s="4">
        <v>73.66</v>
      </c>
      <c r="M2579" s="1" t="str">
        <f>TEXT(Table1[[#This Row],[Order_Date]], "MMM")</f>
        <v>Jul</v>
      </c>
      <c r="N2579" s="1">
        <f>YEAR(Table1[[#This Row],[Order_Date]])</f>
        <v>2023</v>
      </c>
      <c r="O2579" s="7">
        <f>Table1[[#This Row],[Profit]]/Table1[[#This Row],[Total_Sales]]</f>
        <v>0.22348300970873783</v>
      </c>
    </row>
    <row r="2580" spans="1:15" x14ac:dyDescent="0.25">
      <c r="A2580" s="1">
        <v>2579</v>
      </c>
      <c r="B2580" s="2">
        <v>45180</v>
      </c>
      <c r="C2580" s="1" t="s">
        <v>16</v>
      </c>
      <c r="D2580" s="1" t="s">
        <v>32</v>
      </c>
      <c r="E2580" s="1" t="s">
        <v>45</v>
      </c>
      <c r="F2580" s="1" t="s">
        <v>31</v>
      </c>
      <c r="G2580" s="1">
        <v>2</v>
      </c>
      <c r="H2580" s="1">
        <v>272</v>
      </c>
      <c r="I2580" s="1">
        <v>5</v>
      </c>
      <c r="J2580" s="4">
        <v>516.79999999999995</v>
      </c>
      <c r="K2580" s="4">
        <v>318.07</v>
      </c>
      <c r="L2580" s="4">
        <v>198.73</v>
      </c>
      <c r="M2580" s="1" t="str">
        <f>TEXT(Table1[[#This Row],[Order_Date]], "MMM")</f>
        <v>Sep</v>
      </c>
      <c r="N2580" s="1">
        <f>YEAR(Table1[[#This Row],[Order_Date]])</f>
        <v>2023</v>
      </c>
      <c r="O2580" s="7">
        <f>Table1[[#This Row],[Profit]]/Table1[[#This Row],[Total_Sales]]</f>
        <v>0.38453947368421054</v>
      </c>
    </row>
    <row r="2581" spans="1:15" x14ac:dyDescent="0.25">
      <c r="A2581" s="1">
        <v>2580</v>
      </c>
      <c r="B2581" s="2">
        <v>45198</v>
      </c>
      <c r="C2581" s="1" t="s">
        <v>16</v>
      </c>
      <c r="D2581" s="1" t="s">
        <v>20</v>
      </c>
      <c r="E2581" s="1" t="s">
        <v>43</v>
      </c>
      <c r="F2581" s="1" t="s">
        <v>15</v>
      </c>
      <c r="G2581" s="1">
        <v>10</v>
      </c>
      <c r="H2581" s="1">
        <v>857</v>
      </c>
      <c r="I2581" s="1">
        <v>0</v>
      </c>
      <c r="J2581" s="4">
        <v>8570</v>
      </c>
      <c r="K2581" s="4">
        <v>5305.83</v>
      </c>
      <c r="L2581" s="4">
        <v>3264.17</v>
      </c>
      <c r="M2581" s="1" t="str">
        <f>TEXT(Table1[[#This Row],[Order_Date]], "MMM")</f>
        <v>Sep</v>
      </c>
      <c r="N2581" s="1">
        <f>YEAR(Table1[[#This Row],[Order_Date]])</f>
        <v>2023</v>
      </c>
      <c r="O2581" s="7">
        <f>Table1[[#This Row],[Profit]]/Table1[[#This Row],[Total_Sales]]</f>
        <v>0.38088331388564761</v>
      </c>
    </row>
    <row r="2582" spans="1:15" x14ac:dyDescent="0.25">
      <c r="A2582" s="1">
        <v>2581</v>
      </c>
      <c r="B2582" s="2">
        <v>45173</v>
      </c>
      <c r="C2582" s="1" t="s">
        <v>12</v>
      </c>
      <c r="D2582" s="1" t="s">
        <v>13</v>
      </c>
      <c r="E2582" s="1" t="s">
        <v>39</v>
      </c>
      <c r="F2582" s="1" t="s">
        <v>18</v>
      </c>
      <c r="G2582" s="1">
        <v>9</v>
      </c>
      <c r="H2582" s="1">
        <v>937</v>
      </c>
      <c r="I2582" s="1">
        <v>5</v>
      </c>
      <c r="J2582" s="4">
        <v>8011.35</v>
      </c>
      <c r="K2582" s="4">
        <v>4538.45</v>
      </c>
      <c r="L2582" s="4">
        <v>3472.9</v>
      </c>
      <c r="M2582" s="1" t="str">
        <f>TEXT(Table1[[#This Row],[Order_Date]], "MMM")</f>
        <v>Sep</v>
      </c>
      <c r="N2582" s="1">
        <f>YEAR(Table1[[#This Row],[Order_Date]])</f>
        <v>2023</v>
      </c>
      <c r="O2582" s="7">
        <f>Table1[[#This Row],[Profit]]/Table1[[#This Row],[Total_Sales]]</f>
        <v>0.43349747545669581</v>
      </c>
    </row>
    <row r="2583" spans="1:15" x14ac:dyDescent="0.25">
      <c r="A2583" s="1">
        <v>2582</v>
      </c>
      <c r="B2583" s="2">
        <v>44950</v>
      </c>
      <c r="C2583" s="1" t="s">
        <v>16</v>
      </c>
      <c r="D2583" s="1" t="s">
        <v>13</v>
      </c>
      <c r="E2583" s="1" t="s">
        <v>38</v>
      </c>
      <c r="F2583" s="1" t="s">
        <v>40</v>
      </c>
      <c r="G2583" s="1">
        <v>8</v>
      </c>
      <c r="H2583" s="1">
        <v>778</v>
      </c>
      <c r="I2583" s="1">
        <v>15</v>
      </c>
      <c r="J2583" s="4">
        <v>5290.4</v>
      </c>
      <c r="K2583" s="4">
        <v>3220.41</v>
      </c>
      <c r="L2583" s="4">
        <v>2069.9899999999998</v>
      </c>
      <c r="M2583" s="1" t="str">
        <f>TEXT(Table1[[#This Row],[Order_Date]], "MMM")</f>
        <v>Jan</v>
      </c>
      <c r="N2583" s="1">
        <f>YEAR(Table1[[#This Row],[Order_Date]])</f>
        <v>2023</v>
      </c>
      <c r="O2583" s="7">
        <f>Table1[[#This Row],[Profit]]/Table1[[#This Row],[Total_Sales]]</f>
        <v>0.39127287161651292</v>
      </c>
    </row>
    <row r="2584" spans="1:15" x14ac:dyDescent="0.25">
      <c r="A2584" s="1">
        <v>2583</v>
      </c>
      <c r="B2584" s="2">
        <v>45525</v>
      </c>
      <c r="C2584" s="1" t="s">
        <v>19</v>
      </c>
      <c r="D2584" s="1" t="s">
        <v>20</v>
      </c>
      <c r="E2584" s="1" t="s">
        <v>28</v>
      </c>
      <c r="F2584" s="1" t="s">
        <v>35</v>
      </c>
      <c r="G2584" s="1">
        <v>4</v>
      </c>
      <c r="H2584" s="1">
        <v>773</v>
      </c>
      <c r="I2584" s="1">
        <v>20</v>
      </c>
      <c r="J2584" s="4">
        <v>2473.6</v>
      </c>
      <c r="K2584" s="4">
        <v>1778.25</v>
      </c>
      <c r="L2584" s="4">
        <v>695.35</v>
      </c>
      <c r="M2584" s="1" t="str">
        <f>TEXT(Table1[[#This Row],[Order_Date]], "MMM")</f>
        <v>Aug</v>
      </c>
      <c r="N2584" s="1">
        <f>YEAR(Table1[[#This Row],[Order_Date]])</f>
        <v>2024</v>
      </c>
      <c r="O2584" s="7">
        <f>Table1[[#This Row],[Profit]]/Table1[[#This Row],[Total_Sales]]</f>
        <v>0.28110850582147479</v>
      </c>
    </row>
    <row r="2585" spans="1:15" x14ac:dyDescent="0.25">
      <c r="A2585" s="1">
        <v>2584</v>
      </c>
      <c r="B2585" s="2">
        <v>45000</v>
      </c>
      <c r="C2585" s="1" t="s">
        <v>25</v>
      </c>
      <c r="D2585" s="1" t="s">
        <v>13</v>
      </c>
      <c r="E2585" s="1" t="s">
        <v>17</v>
      </c>
      <c r="F2585" s="1" t="s">
        <v>40</v>
      </c>
      <c r="G2585" s="1">
        <v>3</v>
      </c>
      <c r="H2585" s="1">
        <v>824</v>
      </c>
      <c r="I2585" s="1">
        <v>0</v>
      </c>
      <c r="J2585" s="4">
        <v>2472</v>
      </c>
      <c r="K2585" s="4">
        <v>1651.21</v>
      </c>
      <c r="L2585" s="4">
        <v>820.79</v>
      </c>
      <c r="M2585" s="1" t="str">
        <f>TEXT(Table1[[#This Row],[Order_Date]], "MMM")</f>
        <v>Mar</v>
      </c>
      <c r="N2585" s="1">
        <f>YEAR(Table1[[#This Row],[Order_Date]])</f>
        <v>2023</v>
      </c>
      <c r="O2585" s="7">
        <f>Table1[[#This Row],[Profit]]/Table1[[#This Row],[Total_Sales]]</f>
        <v>0.33203478964401295</v>
      </c>
    </row>
    <row r="2586" spans="1:15" x14ac:dyDescent="0.25">
      <c r="A2586" s="1">
        <v>2585</v>
      </c>
      <c r="B2586" s="2">
        <v>45634</v>
      </c>
      <c r="C2586" s="1" t="s">
        <v>25</v>
      </c>
      <c r="D2586" s="1" t="s">
        <v>13</v>
      </c>
      <c r="E2586" s="1" t="s">
        <v>39</v>
      </c>
      <c r="F2586" s="1" t="s">
        <v>35</v>
      </c>
      <c r="G2586" s="1">
        <v>9</v>
      </c>
      <c r="H2586" s="1">
        <v>372</v>
      </c>
      <c r="I2586" s="1">
        <v>10</v>
      </c>
      <c r="J2586" s="4">
        <v>3013.2</v>
      </c>
      <c r="K2586" s="4">
        <v>2403.23</v>
      </c>
      <c r="L2586" s="4">
        <v>609.97</v>
      </c>
      <c r="M2586" s="1" t="str">
        <f>TEXT(Table1[[#This Row],[Order_Date]], "MMM")</f>
        <v>Dec</v>
      </c>
      <c r="N2586" s="1">
        <f>YEAR(Table1[[#This Row],[Order_Date]])</f>
        <v>2024</v>
      </c>
      <c r="O2586" s="7">
        <f>Table1[[#This Row],[Profit]]/Table1[[#This Row],[Total_Sales]]</f>
        <v>0.20243262976237889</v>
      </c>
    </row>
    <row r="2587" spans="1:15" x14ac:dyDescent="0.25">
      <c r="A2587" s="1">
        <v>2586</v>
      </c>
      <c r="B2587" s="2">
        <v>45267</v>
      </c>
      <c r="C2587" s="1" t="s">
        <v>12</v>
      </c>
      <c r="D2587" s="1" t="s">
        <v>22</v>
      </c>
      <c r="E2587" s="1" t="s">
        <v>29</v>
      </c>
      <c r="F2587" s="1" t="s">
        <v>18</v>
      </c>
      <c r="G2587" s="1">
        <v>1</v>
      </c>
      <c r="H2587" s="1">
        <v>128</v>
      </c>
      <c r="I2587" s="1">
        <v>20</v>
      </c>
      <c r="J2587" s="4">
        <v>102.4</v>
      </c>
      <c r="K2587" s="4">
        <v>75.849999999999994</v>
      </c>
      <c r="L2587" s="4">
        <v>26.55</v>
      </c>
      <c r="M2587" s="1" t="str">
        <f>TEXT(Table1[[#This Row],[Order_Date]], "MMM")</f>
        <v>Dec</v>
      </c>
      <c r="N2587" s="1">
        <f>YEAR(Table1[[#This Row],[Order_Date]])</f>
        <v>2023</v>
      </c>
      <c r="O2587" s="7">
        <f>Table1[[#This Row],[Profit]]/Table1[[#This Row],[Total_Sales]]</f>
        <v>0.25927734375</v>
      </c>
    </row>
    <row r="2588" spans="1:15" x14ac:dyDescent="0.25">
      <c r="A2588" s="1">
        <v>2587</v>
      </c>
      <c r="B2588" s="2">
        <v>45144</v>
      </c>
      <c r="C2588" s="1" t="s">
        <v>19</v>
      </c>
      <c r="D2588" s="1" t="s">
        <v>26</v>
      </c>
      <c r="E2588" s="1" t="s">
        <v>27</v>
      </c>
      <c r="F2588" s="1" t="s">
        <v>40</v>
      </c>
      <c r="G2588" s="1">
        <v>5</v>
      </c>
      <c r="H2588" s="1">
        <v>654</v>
      </c>
      <c r="I2588" s="1">
        <v>10</v>
      </c>
      <c r="J2588" s="4">
        <v>2943</v>
      </c>
      <c r="K2588" s="4">
        <v>2291.0100000000002</v>
      </c>
      <c r="L2588" s="4">
        <v>651.99</v>
      </c>
      <c r="M2588" s="1" t="str">
        <f>TEXT(Table1[[#This Row],[Order_Date]], "MMM")</f>
        <v>Aug</v>
      </c>
      <c r="N2588" s="1">
        <f>YEAR(Table1[[#This Row],[Order_Date]])</f>
        <v>2023</v>
      </c>
      <c r="O2588" s="7">
        <f>Table1[[#This Row],[Profit]]/Table1[[#This Row],[Total_Sales]]</f>
        <v>0.22153924566768604</v>
      </c>
    </row>
    <row r="2589" spans="1:15" x14ac:dyDescent="0.25">
      <c r="A2589" s="1">
        <v>2588</v>
      </c>
      <c r="B2589" s="2">
        <v>45589</v>
      </c>
      <c r="C2589" s="1" t="s">
        <v>19</v>
      </c>
      <c r="D2589" s="1" t="s">
        <v>22</v>
      </c>
      <c r="E2589" s="1" t="s">
        <v>44</v>
      </c>
      <c r="F2589" s="1" t="s">
        <v>31</v>
      </c>
      <c r="G2589" s="1">
        <v>9</v>
      </c>
      <c r="H2589" s="1">
        <v>646</v>
      </c>
      <c r="I2589" s="1">
        <v>5</v>
      </c>
      <c r="J2589" s="4">
        <v>5523.3</v>
      </c>
      <c r="K2589" s="4">
        <v>4407.3</v>
      </c>
      <c r="L2589" s="4">
        <v>1116</v>
      </c>
      <c r="M2589" s="1" t="str">
        <f>TEXT(Table1[[#This Row],[Order_Date]], "MMM")</f>
        <v>Oct</v>
      </c>
      <c r="N2589" s="1">
        <f>YEAR(Table1[[#This Row],[Order_Date]])</f>
        <v>2024</v>
      </c>
      <c r="O2589" s="7">
        <f>Table1[[#This Row],[Profit]]/Table1[[#This Row],[Total_Sales]]</f>
        <v>0.20205312041714191</v>
      </c>
    </row>
    <row r="2590" spans="1:15" x14ac:dyDescent="0.25">
      <c r="A2590" s="1">
        <v>2589</v>
      </c>
      <c r="B2590" s="2">
        <v>45542</v>
      </c>
      <c r="C2590" s="1" t="s">
        <v>25</v>
      </c>
      <c r="D2590" s="1" t="s">
        <v>22</v>
      </c>
      <c r="E2590" s="1" t="s">
        <v>23</v>
      </c>
      <c r="F2590" s="1" t="s">
        <v>31</v>
      </c>
      <c r="G2590" s="1">
        <v>6</v>
      </c>
      <c r="H2590" s="1">
        <v>339</v>
      </c>
      <c r="I2590" s="1">
        <v>15</v>
      </c>
      <c r="J2590" s="4">
        <v>1728.9</v>
      </c>
      <c r="K2590" s="4">
        <v>1226.3699999999999</v>
      </c>
      <c r="L2590" s="4">
        <v>502.53</v>
      </c>
      <c r="M2590" s="1" t="str">
        <f>TEXT(Table1[[#This Row],[Order_Date]], "MMM")</f>
        <v>Sep</v>
      </c>
      <c r="N2590" s="1">
        <f>YEAR(Table1[[#This Row],[Order_Date]])</f>
        <v>2024</v>
      </c>
      <c r="O2590" s="7">
        <f>Table1[[#This Row],[Profit]]/Table1[[#This Row],[Total_Sales]]</f>
        <v>0.29066458441783788</v>
      </c>
    </row>
    <row r="2591" spans="1:15" x14ac:dyDescent="0.25">
      <c r="A2591" s="1">
        <v>2590</v>
      </c>
      <c r="B2591" s="2">
        <v>44951</v>
      </c>
      <c r="C2591" s="1" t="s">
        <v>12</v>
      </c>
      <c r="D2591" s="1" t="s">
        <v>13</v>
      </c>
      <c r="E2591" s="1" t="s">
        <v>17</v>
      </c>
      <c r="F2591" s="1" t="s">
        <v>24</v>
      </c>
      <c r="G2591" s="1">
        <v>5</v>
      </c>
      <c r="H2591" s="1">
        <v>948</v>
      </c>
      <c r="I2591" s="1">
        <v>5</v>
      </c>
      <c r="J2591" s="4">
        <v>4503</v>
      </c>
      <c r="K2591" s="4">
        <v>2943.42</v>
      </c>
      <c r="L2591" s="4">
        <v>1559.58</v>
      </c>
      <c r="M2591" s="1" t="str">
        <f>TEXT(Table1[[#This Row],[Order_Date]], "MMM")</f>
        <v>Jan</v>
      </c>
      <c r="N2591" s="1">
        <f>YEAR(Table1[[#This Row],[Order_Date]])</f>
        <v>2023</v>
      </c>
      <c r="O2591" s="7">
        <f>Table1[[#This Row],[Profit]]/Table1[[#This Row],[Total_Sales]]</f>
        <v>0.34634243837441703</v>
      </c>
    </row>
    <row r="2592" spans="1:15" x14ac:dyDescent="0.25">
      <c r="A2592" s="1">
        <v>2591</v>
      </c>
      <c r="B2592" s="2">
        <v>45515</v>
      </c>
      <c r="C2592" s="1" t="s">
        <v>19</v>
      </c>
      <c r="D2592" s="1" t="s">
        <v>22</v>
      </c>
      <c r="E2592" s="1" t="s">
        <v>23</v>
      </c>
      <c r="F2592" s="1" t="s">
        <v>18</v>
      </c>
      <c r="G2592" s="1">
        <v>1</v>
      </c>
      <c r="H2592" s="1">
        <v>501</v>
      </c>
      <c r="I2592" s="1">
        <v>20</v>
      </c>
      <c r="J2592" s="4">
        <v>400.8</v>
      </c>
      <c r="K2592" s="4">
        <v>261.23</v>
      </c>
      <c r="L2592" s="4">
        <v>139.57</v>
      </c>
      <c r="M2592" s="1" t="str">
        <f>TEXT(Table1[[#This Row],[Order_Date]], "MMM")</f>
        <v>Aug</v>
      </c>
      <c r="N2592" s="1">
        <f>YEAR(Table1[[#This Row],[Order_Date]])</f>
        <v>2024</v>
      </c>
      <c r="O2592" s="7">
        <f>Table1[[#This Row],[Profit]]/Table1[[#This Row],[Total_Sales]]</f>
        <v>0.34822854291417166</v>
      </c>
    </row>
    <row r="2593" spans="1:15" x14ac:dyDescent="0.25">
      <c r="A2593" s="1">
        <v>2592</v>
      </c>
      <c r="B2593" s="2">
        <v>45303</v>
      </c>
      <c r="C2593" s="1" t="s">
        <v>12</v>
      </c>
      <c r="D2593" s="1" t="s">
        <v>20</v>
      </c>
      <c r="E2593" s="1" t="s">
        <v>43</v>
      </c>
      <c r="F2593" s="1" t="s">
        <v>40</v>
      </c>
      <c r="G2593" s="1">
        <v>3</v>
      </c>
      <c r="H2593" s="1">
        <v>984</v>
      </c>
      <c r="I2593" s="1">
        <v>15</v>
      </c>
      <c r="J2593" s="4">
        <v>2509.1999999999998</v>
      </c>
      <c r="K2593" s="4">
        <v>1808.42</v>
      </c>
      <c r="L2593" s="4">
        <v>700.78</v>
      </c>
      <c r="M2593" s="1" t="str">
        <f>TEXT(Table1[[#This Row],[Order_Date]], "MMM")</f>
        <v>Jan</v>
      </c>
      <c r="N2593" s="1">
        <f>YEAR(Table1[[#This Row],[Order_Date]])</f>
        <v>2024</v>
      </c>
      <c r="O2593" s="7">
        <f>Table1[[#This Row],[Profit]]/Table1[[#This Row],[Total_Sales]]</f>
        <v>0.27928423401881081</v>
      </c>
    </row>
    <row r="2594" spans="1:15" x14ac:dyDescent="0.25">
      <c r="A2594" s="1">
        <v>2593</v>
      </c>
      <c r="B2594" s="2">
        <v>45168</v>
      </c>
      <c r="C2594" s="1" t="s">
        <v>25</v>
      </c>
      <c r="D2594" s="1" t="s">
        <v>26</v>
      </c>
      <c r="E2594" s="1" t="s">
        <v>42</v>
      </c>
      <c r="F2594" s="1" t="s">
        <v>40</v>
      </c>
      <c r="G2594" s="1">
        <v>1</v>
      </c>
      <c r="H2594" s="1">
        <v>598</v>
      </c>
      <c r="I2594" s="1">
        <v>10</v>
      </c>
      <c r="J2594" s="4">
        <v>538.20000000000005</v>
      </c>
      <c r="K2594" s="4">
        <v>346.02</v>
      </c>
      <c r="L2594" s="4">
        <v>192.18</v>
      </c>
      <c r="M2594" s="1" t="str">
        <f>TEXT(Table1[[#This Row],[Order_Date]], "MMM")</f>
        <v>Aug</v>
      </c>
      <c r="N2594" s="1">
        <f>YEAR(Table1[[#This Row],[Order_Date]])</f>
        <v>2023</v>
      </c>
      <c r="O2594" s="7">
        <f>Table1[[#This Row],[Profit]]/Table1[[#This Row],[Total_Sales]]</f>
        <v>0.35707915273132662</v>
      </c>
    </row>
    <row r="2595" spans="1:15" x14ac:dyDescent="0.25">
      <c r="A2595" s="1">
        <v>2594</v>
      </c>
      <c r="B2595" s="2">
        <v>45501</v>
      </c>
      <c r="C2595" s="1" t="s">
        <v>25</v>
      </c>
      <c r="D2595" s="1" t="s">
        <v>13</v>
      </c>
      <c r="E2595" s="1" t="s">
        <v>39</v>
      </c>
      <c r="F2595" s="1" t="s">
        <v>15</v>
      </c>
      <c r="G2595" s="1">
        <v>3</v>
      </c>
      <c r="H2595" s="1">
        <v>894</v>
      </c>
      <c r="I2595" s="1">
        <v>0</v>
      </c>
      <c r="J2595" s="4">
        <v>2682</v>
      </c>
      <c r="K2595" s="4">
        <v>1451.57</v>
      </c>
      <c r="L2595" s="4">
        <v>1230.43</v>
      </c>
      <c r="M2595" s="1" t="str">
        <f>TEXT(Table1[[#This Row],[Order_Date]], "MMM")</f>
        <v>Jul</v>
      </c>
      <c r="N2595" s="1">
        <f>YEAR(Table1[[#This Row],[Order_Date]])</f>
        <v>2024</v>
      </c>
      <c r="O2595" s="7">
        <f>Table1[[#This Row],[Profit]]/Table1[[#This Row],[Total_Sales]]</f>
        <v>0.45877330350484713</v>
      </c>
    </row>
    <row r="2596" spans="1:15" x14ac:dyDescent="0.25">
      <c r="A2596" s="1">
        <v>2595</v>
      </c>
      <c r="B2596" s="2">
        <v>45373</v>
      </c>
      <c r="C2596" s="1" t="s">
        <v>25</v>
      </c>
      <c r="D2596" s="1" t="s">
        <v>20</v>
      </c>
      <c r="E2596" s="1" t="s">
        <v>30</v>
      </c>
      <c r="F2596" s="1" t="s">
        <v>15</v>
      </c>
      <c r="G2596" s="1">
        <v>1</v>
      </c>
      <c r="H2596" s="1">
        <v>479</v>
      </c>
      <c r="I2596" s="1">
        <v>15</v>
      </c>
      <c r="J2596" s="4">
        <v>407.15</v>
      </c>
      <c r="K2596" s="4">
        <v>212.65</v>
      </c>
      <c r="L2596" s="4">
        <v>194.5</v>
      </c>
      <c r="M2596" s="1" t="str">
        <f>TEXT(Table1[[#This Row],[Order_Date]], "MMM")</f>
        <v>Mar</v>
      </c>
      <c r="N2596" s="1">
        <f>YEAR(Table1[[#This Row],[Order_Date]])</f>
        <v>2024</v>
      </c>
      <c r="O2596" s="7">
        <f>Table1[[#This Row],[Profit]]/Table1[[#This Row],[Total_Sales]]</f>
        <v>0.47771091735232718</v>
      </c>
    </row>
    <row r="2597" spans="1:15" x14ac:dyDescent="0.25">
      <c r="A2597" s="1">
        <v>2596</v>
      </c>
      <c r="B2597" s="2">
        <v>45573</v>
      </c>
      <c r="C2597" s="1" t="s">
        <v>16</v>
      </c>
      <c r="D2597" s="1" t="s">
        <v>32</v>
      </c>
      <c r="E2597" s="1" t="s">
        <v>33</v>
      </c>
      <c r="F2597" s="1" t="s">
        <v>31</v>
      </c>
      <c r="G2597" s="1">
        <v>4</v>
      </c>
      <c r="H2597" s="1">
        <v>213</v>
      </c>
      <c r="I2597" s="1">
        <v>20</v>
      </c>
      <c r="J2597" s="4">
        <v>681.6</v>
      </c>
      <c r="K2597" s="4">
        <v>343.33</v>
      </c>
      <c r="L2597" s="4">
        <v>338.27</v>
      </c>
      <c r="M2597" s="1" t="str">
        <f>TEXT(Table1[[#This Row],[Order_Date]], "MMM")</f>
        <v>Oct</v>
      </c>
      <c r="N2597" s="1">
        <f>YEAR(Table1[[#This Row],[Order_Date]])</f>
        <v>2024</v>
      </c>
      <c r="O2597" s="7">
        <f>Table1[[#This Row],[Profit]]/Table1[[#This Row],[Total_Sales]]</f>
        <v>0.49628814553990608</v>
      </c>
    </row>
    <row r="2598" spans="1:15" x14ac:dyDescent="0.25">
      <c r="A2598" s="1">
        <v>2597</v>
      </c>
      <c r="B2598" s="2">
        <v>45212</v>
      </c>
      <c r="C2598" s="1" t="s">
        <v>12</v>
      </c>
      <c r="D2598" s="1" t="s">
        <v>26</v>
      </c>
      <c r="E2598" s="1" t="s">
        <v>27</v>
      </c>
      <c r="F2598" s="1" t="s">
        <v>31</v>
      </c>
      <c r="G2598" s="1">
        <v>2</v>
      </c>
      <c r="H2598" s="1">
        <v>791</v>
      </c>
      <c r="I2598" s="1">
        <v>0</v>
      </c>
      <c r="J2598" s="4">
        <v>1582</v>
      </c>
      <c r="K2598" s="4">
        <v>872.78</v>
      </c>
      <c r="L2598" s="4">
        <v>709.22</v>
      </c>
      <c r="M2598" s="1" t="str">
        <f>TEXT(Table1[[#This Row],[Order_Date]], "MMM")</f>
        <v>Oct</v>
      </c>
      <c r="N2598" s="1">
        <f>YEAR(Table1[[#This Row],[Order_Date]])</f>
        <v>2023</v>
      </c>
      <c r="O2598" s="7">
        <f>Table1[[#This Row],[Profit]]/Table1[[#This Row],[Total_Sales]]</f>
        <v>0.44830594184576489</v>
      </c>
    </row>
    <row r="2599" spans="1:15" x14ac:dyDescent="0.25">
      <c r="A2599" s="1">
        <v>2598</v>
      </c>
      <c r="B2599" s="2">
        <v>45470</v>
      </c>
      <c r="C2599" s="1" t="s">
        <v>25</v>
      </c>
      <c r="D2599" s="1" t="s">
        <v>20</v>
      </c>
      <c r="E2599" s="1" t="s">
        <v>21</v>
      </c>
      <c r="F2599" s="1" t="s">
        <v>40</v>
      </c>
      <c r="G2599" s="1">
        <v>5</v>
      </c>
      <c r="H2599" s="1">
        <v>920</v>
      </c>
      <c r="I2599" s="1">
        <v>5</v>
      </c>
      <c r="J2599" s="4">
        <v>4370</v>
      </c>
      <c r="K2599" s="4">
        <v>2939.3</v>
      </c>
      <c r="L2599" s="4">
        <v>1430.7</v>
      </c>
      <c r="M2599" s="1" t="str">
        <f>TEXT(Table1[[#This Row],[Order_Date]], "MMM")</f>
        <v>Jun</v>
      </c>
      <c r="N2599" s="1">
        <f>YEAR(Table1[[#This Row],[Order_Date]])</f>
        <v>2024</v>
      </c>
      <c r="O2599" s="7">
        <f>Table1[[#This Row],[Profit]]/Table1[[#This Row],[Total_Sales]]</f>
        <v>0.3273913043478261</v>
      </c>
    </row>
    <row r="2600" spans="1:15" x14ac:dyDescent="0.25">
      <c r="A2600" s="1">
        <v>2599</v>
      </c>
      <c r="B2600" s="2">
        <v>45095</v>
      </c>
      <c r="C2600" s="1" t="s">
        <v>12</v>
      </c>
      <c r="D2600" s="1" t="s">
        <v>20</v>
      </c>
      <c r="E2600" s="1" t="s">
        <v>21</v>
      </c>
      <c r="F2600" s="1" t="s">
        <v>35</v>
      </c>
      <c r="G2600" s="1">
        <v>10</v>
      </c>
      <c r="H2600" s="1">
        <v>148</v>
      </c>
      <c r="I2600" s="1">
        <v>10</v>
      </c>
      <c r="J2600" s="4">
        <v>1332</v>
      </c>
      <c r="K2600" s="4">
        <v>944.71</v>
      </c>
      <c r="L2600" s="4">
        <v>387.29</v>
      </c>
      <c r="M2600" s="1" t="str">
        <f>TEXT(Table1[[#This Row],[Order_Date]], "MMM")</f>
        <v>Jun</v>
      </c>
      <c r="N2600" s="1">
        <f>YEAR(Table1[[#This Row],[Order_Date]])</f>
        <v>2023</v>
      </c>
      <c r="O2600" s="7">
        <f>Table1[[#This Row],[Profit]]/Table1[[#This Row],[Total_Sales]]</f>
        <v>0.2907582582582583</v>
      </c>
    </row>
    <row r="2601" spans="1:15" x14ac:dyDescent="0.25">
      <c r="A2601" s="1">
        <v>2600</v>
      </c>
      <c r="B2601" s="2">
        <v>45282</v>
      </c>
      <c r="C2601" s="1" t="s">
        <v>16</v>
      </c>
      <c r="D2601" s="1" t="s">
        <v>13</v>
      </c>
      <c r="E2601" s="1" t="s">
        <v>14</v>
      </c>
      <c r="F2601" s="1" t="s">
        <v>35</v>
      </c>
      <c r="G2601" s="1">
        <v>3</v>
      </c>
      <c r="H2601" s="1">
        <v>142</v>
      </c>
      <c r="I2601" s="1">
        <v>15</v>
      </c>
      <c r="J2601" s="4">
        <v>362.1</v>
      </c>
      <c r="K2601" s="4">
        <v>213.27</v>
      </c>
      <c r="L2601" s="4">
        <v>148.83000000000001</v>
      </c>
      <c r="M2601" s="1" t="str">
        <f>TEXT(Table1[[#This Row],[Order_Date]], "MMM")</f>
        <v>Dec</v>
      </c>
      <c r="N2601" s="1">
        <f>YEAR(Table1[[#This Row],[Order_Date]])</f>
        <v>2023</v>
      </c>
      <c r="O2601" s="7">
        <f>Table1[[#This Row],[Profit]]/Table1[[#This Row],[Total_Sales]]</f>
        <v>0.41101905550952778</v>
      </c>
    </row>
    <row r="2602" spans="1:15" x14ac:dyDescent="0.25">
      <c r="A2602" s="1">
        <v>2601</v>
      </c>
      <c r="B2602" s="2">
        <v>45399</v>
      </c>
      <c r="C2602" s="1" t="s">
        <v>12</v>
      </c>
      <c r="D2602" s="1" t="s">
        <v>26</v>
      </c>
      <c r="E2602" s="1" t="s">
        <v>27</v>
      </c>
      <c r="F2602" s="1" t="s">
        <v>24</v>
      </c>
      <c r="G2602" s="1">
        <v>10</v>
      </c>
      <c r="H2602" s="1">
        <v>200</v>
      </c>
      <c r="I2602" s="1">
        <v>15</v>
      </c>
      <c r="J2602" s="4">
        <v>1700</v>
      </c>
      <c r="K2602" s="4">
        <v>1054.81</v>
      </c>
      <c r="L2602" s="4">
        <v>645.19000000000005</v>
      </c>
      <c r="M2602" s="1" t="str">
        <f>TEXT(Table1[[#This Row],[Order_Date]], "MMM")</f>
        <v>Apr</v>
      </c>
      <c r="N2602" s="1">
        <f>YEAR(Table1[[#This Row],[Order_Date]])</f>
        <v>2024</v>
      </c>
      <c r="O2602" s="7">
        <f>Table1[[#This Row],[Profit]]/Table1[[#This Row],[Total_Sales]]</f>
        <v>0.37952352941176476</v>
      </c>
    </row>
    <row r="2603" spans="1:15" x14ac:dyDescent="0.25">
      <c r="A2603" s="1">
        <v>2602</v>
      </c>
      <c r="B2603" s="2">
        <v>45193</v>
      </c>
      <c r="C2603" s="1" t="s">
        <v>16</v>
      </c>
      <c r="D2603" s="1" t="s">
        <v>32</v>
      </c>
      <c r="E2603" s="1" t="s">
        <v>41</v>
      </c>
      <c r="F2603" s="1" t="s">
        <v>40</v>
      </c>
      <c r="G2603" s="1">
        <v>5</v>
      </c>
      <c r="H2603" s="1">
        <v>139</v>
      </c>
      <c r="I2603" s="1">
        <v>5</v>
      </c>
      <c r="J2603" s="4">
        <v>660.25</v>
      </c>
      <c r="K2603" s="4">
        <v>507.2</v>
      </c>
      <c r="L2603" s="4">
        <v>153.05000000000001</v>
      </c>
      <c r="M2603" s="1" t="str">
        <f>TEXT(Table1[[#This Row],[Order_Date]], "MMM")</f>
        <v>Sep</v>
      </c>
      <c r="N2603" s="1">
        <f>YEAR(Table1[[#This Row],[Order_Date]])</f>
        <v>2023</v>
      </c>
      <c r="O2603" s="7">
        <f>Table1[[#This Row],[Profit]]/Table1[[#This Row],[Total_Sales]]</f>
        <v>0.23180613404013634</v>
      </c>
    </row>
    <row r="2604" spans="1:15" x14ac:dyDescent="0.25">
      <c r="A2604" s="1">
        <v>2603</v>
      </c>
      <c r="B2604" s="2">
        <v>45220</v>
      </c>
      <c r="C2604" s="1" t="s">
        <v>19</v>
      </c>
      <c r="D2604" s="1" t="s">
        <v>22</v>
      </c>
      <c r="E2604" s="1" t="s">
        <v>44</v>
      </c>
      <c r="F2604" s="1" t="s">
        <v>31</v>
      </c>
      <c r="G2604" s="1">
        <v>2</v>
      </c>
      <c r="H2604" s="1">
        <v>555</v>
      </c>
      <c r="I2604" s="1">
        <v>15</v>
      </c>
      <c r="J2604" s="4">
        <v>943.5</v>
      </c>
      <c r="K2604" s="4">
        <v>677.6</v>
      </c>
      <c r="L2604" s="4">
        <v>265.89999999999998</v>
      </c>
      <c r="M2604" s="1" t="str">
        <f>TEXT(Table1[[#This Row],[Order_Date]], "MMM")</f>
        <v>Oct</v>
      </c>
      <c r="N2604" s="1">
        <f>YEAR(Table1[[#This Row],[Order_Date]])</f>
        <v>2023</v>
      </c>
      <c r="O2604" s="7">
        <f>Table1[[#This Row],[Profit]]/Table1[[#This Row],[Total_Sales]]</f>
        <v>0.28182299947005829</v>
      </c>
    </row>
    <row r="2605" spans="1:15" x14ac:dyDescent="0.25">
      <c r="A2605" s="1">
        <v>2604</v>
      </c>
      <c r="B2605" s="2">
        <v>45153</v>
      </c>
      <c r="C2605" s="1" t="s">
        <v>12</v>
      </c>
      <c r="D2605" s="1" t="s">
        <v>20</v>
      </c>
      <c r="E2605" s="1" t="s">
        <v>43</v>
      </c>
      <c r="F2605" s="1" t="s">
        <v>40</v>
      </c>
      <c r="G2605" s="1">
        <v>8</v>
      </c>
      <c r="H2605" s="1">
        <v>727</v>
      </c>
      <c r="I2605" s="1">
        <v>15</v>
      </c>
      <c r="J2605" s="4">
        <v>4943.6000000000004</v>
      </c>
      <c r="K2605" s="4">
        <v>3391.3</v>
      </c>
      <c r="L2605" s="4">
        <v>1552.3</v>
      </c>
      <c r="M2605" s="1" t="str">
        <f>TEXT(Table1[[#This Row],[Order_Date]], "MMM")</f>
        <v>Aug</v>
      </c>
      <c r="N2605" s="1">
        <f>YEAR(Table1[[#This Row],[Order_Date]])</f>
        <v>2023</v>
      </c>
      <c r="O2605" s="7">
        <f>Table1[[#This Row],[Profit]]/Table1[[#This Row],[Total_Sales]]</f>
        <v>0.31400194190468483</v>
      </c>
    </row>
    <row r="2606" spans="1:15" x14ac:dyDescent="0.25">
      <c r="A2606" s="1">
        <v>2605</v>
      </c>
      <c r="B2606" s="2">
        <v>45613</v>
      </c>
      <c r="C2606" s="1" t="s">
        <v>25</v>
      </c>
      <c r="D2606" s="1" t="s">
        <v>13</v>
      </c>
      <c r="E2606" s="1" t="s">
        <v>17</v>
      </c>
      <c r="F2606" s="1" t="s">
        <v>35</v>
      </c>
      <c r="G2606" s="1">
        <v>8</v>
      </c>
      <c r="H2606" s="1">
        <v>256</v>
      </c>
      <c r="I2606" s="1">
        <v>5</v>
      </c>
      <c r="J2606" s="4">
        <v>1945.6</v>
      </c>
      <c r="K2606" s="4">
        <v>1338.74</v>
      </c>
      <c r="L2606" s="4">
        <v>606.86</v>
      </c>
      <c r="M2606" s="1" t="str">
        <f>TEXT(Table1[[#This Row],[Order_Date]], "MMM")</f>
        <v>Nov</v>
      </c>
      <c r="N2606" s="1">
        <f>YEAR(Table1[[#This Row],[Order_Date]])</f>
        <v>2024</v>
      </c>
      <c r="O2606" s="7">
        <f>Table1[[#This Row],[Profit]]/Table1[[#This Row],[Total_Sales]]</f>
        <v>0.31191406250000003</v>
      </c>
    </row>
    <row r="2607" spans="1:15" x14ac:dyDescent="0.25">
      <c r="A2607" s="1">
        <v>2606</v>
      </c>
      <c r="B2607" s="2">
        <v>44989</v>
      </c>
      <c r="C2607" s="1" t="s">
        <v>16</v>
      </c>
      <c r="D2607" s="1" t="s">
        <v>32</v>
      </c>
      <c r="E2607" s="1" t="s">
        <v>33</v>
      </c>
      <c r="F2607" s="1" t="s">
        <v>40</v>
      </c>
      <c r="G2607" s="1">
        <v>7</v>
      </c>
      <c r="H2607" s="1">
        <v>243</v>
      </c>
      <c r="I2607" s="1">
        <v>10</v>
      </c>
      <c r="J2607" s="4">
        <v>1530.9</v>
      </c>
      <c r="K2607" s="4">
        <v>1219.1500000000001</v>
      </c>
      <c r="L2607" s="4">
        <v>311.75</v>
      </c>
      <c r="M2607" s="1" t="str">
        <f>TEXT(Table1[[#This Row],[Order_Date]], "MMM")</f>
        <v>Mar</v>
      </c>
      <c r="N2607" s="1">
        <f>YEAR(Table1[[#This Row],[Order_Date]])</f>
        <v>2023</v>
      </c>
      <c r="O2607" s="7">
        <f>Table1[[#This Row],[Profit]]/Table1[[#This Row],[Total_Sales]]</f>
        <v>0.20363838265072831</v>
      </c>
    </row>
    <row r="2608" spans="1:15" x14ac:dyDescent="0.25">
      <c r="A2608" s="1">
        <v>2607</v>
      </c>
      <c r="B2608" s="2">
        <v>45388</v>
      </c>
      <c r="C2608" s="1" t="s">
        <v>16</v>
      </c>
      <c r="D2608" s="1" t="s">
        <v>13</v>
      </c>
      <c r="E2608" s="1" t="s">
        <v>17</v>
      </c>
      <c r="F2608" s="1" t="s">
        <v>24</v>
      </c>
      <c r="G2608" s="1">
        <v>9</v>
      </c>
      <c r="H2608" s="1">
        <v>660</v>
      </c>
      <c r="I2608" s="1">
        <v>10</v>
      </c>
      <c r="J2608" s="4">
        <v>5346</v>
      </c>
      <c r="K2608" s="4">
        <v>3873.43</v>
      </c>
      <c r="L2608" s="4">
        <v>1472.57</v>
      </c>
      <c r="M2608" s="1" t="str">
        <f>TEXT(Table1[[#This Row],[Order_Date]], "MMM")</f>
        <v>Apr</v>
      </c>
      <c r="N2608" s="1">
        <f>YEAR(Table1[[#This Row],[Order_Date]])</f>
        <v>2024</v>
      </c>
      <c r="O2608" s="7">
        <f>Table1[[#This Row],[Profit]]/Table1[[#This Row],[Total_Sales]]</f>
        <v>0.27545267489711933</v>
      </c>
    </row>
    <row r="2609" spans="1:15" x14ac:dyDescent="0.25">
      <c r="A2609" s="1">
        <v>2608</v>
      </c>
      <c r="B2609" s="2">
        <v>45428</v>
      </c>
      <c r="C2609" s="1" t="s">
        <v>25</v>
      </c>
      <c r="D2609" s="1" t="s">
        <v>20</v>
      </c>
      <c r="E2609" s="1" t="s">
        <v>30</v>
      </c>
      <c r="F2609" s="1" t="s">
        <v>18</v>
      </c>
      <c r="G2609" s="1">
        <v>5</v>
      </c>
      <c r="H2609" s="1">
        <v>801</v>
      </c>
      <c r="I2609" s="1">
        <v>5</v>
      </c>
      <c r="J2609" s="4">
        <v>3804.75</v>
      </c>
      <c r="K2609" s="4">
        <v>2741.83</v>
      </c>
      <c r="L2609" s="4">
        <v>1062.92</v>
      </c>
      <c r="M2609" s="1" t="str">
        <f>TEXT(Table1[[#This Row],[Order_Date]], "MMM")</f>
        <v>May</v>
      </c>
      <c r="N2609" s="1">
        <f>YEAR(Table1[[#This Row],[Order_Date]])</f>
        <v>2024</v>
      </c>
      <c r="O2609" s="7">
        <f>Table1[[#This Row],[Profit]]/Table1[[#This Row],[Total_Sales]]</f>
        <v>0.27936658124712532</v>
      </c>
    </row>
    <row r="2610" spans="1:15" x14ac:dyDescent="0.25">
      <c r="A2610" s="1">
        <v>2609</v>
      </c>
      <c r="B2610" s="2">
        <v>45285</v>
      </c>
      <c r="C2610" s="1" t="s">
        <v>12</v>
      </c>
      <c r="D2610" s="1" t="s">
        <v>13</v>
      </c>
      <c r="E2610" s="1" t="s">
        <v>17</v>
      </c>
      <c r="F2610" s="1" t="s">
        <v>31</v>
      </c>
      <c r="G2610" s="1">
        <v>4</v>
      </c>
      <c r="H2610" s="1">
        <v>426</v>
      </c>
      <c r="I2610" s="1">
        <v>20</v>
      </c>
      <c r="J2610" s="4">
        <v>1363.2</v>
      </c>
      <c r="K2610" s="4">
        <v>1008.34</v>
      </c>
      <c r="L2610" s="4">
        <v>354.86</v>
      </c>
      <c r="M2610" s="1" t="str">
        <f>TEXT(Table1[[#This Row],[Order_Date]], "MMM")</f>
        <v>Dec</v>
      </c>
      <c r="N2610" s="1">
        <f>YEAR(Table1[[#This Row],[Order_Date]])</f>
        <v>2023</v>
      </c>
      <c r="O2610" s="7">
        <f>Table1[[#This Row],[Profit]]/Table1[[#This Row],[Total_Sales]]</f>
        <v>0.26031396713615024</v>
      </c>
    </row>
    <row r="2611" spans="1:15" x14ac:dyDescent="0.25">
      <c r="A2611" s="1">
        <v>2610</v>
      </c>
      <c r="B2611" s="2">
        <v>45045</v>
      </c>
      <c r="C2611" s="1" t="s">
        <v>25</v>
      </c>
      <c r="D2611" s="1" t="s">
        <v>13</v>
      </c>
      <c r="E2611" s="1" t="s">
        <v>17</v>
      </c>
      <c r="F2611" s="1" t="s">
        <v>18</v>
      </c>
      <c r="G2611" s="1">
        <v>6</v>
      </c>
      <c r="H2611" s="1">
        <v>408</v>
      </c>
      <c r="I2611" s="1">
        <v>20</v>
      </c>
      <c r="J2611" s="4">
        <v>1958.4</v>
      </c>
      <c r="K2611" s="4">
        <v>1267.95</v>
      </c>
      <c r="L2611" s="4">
        <v>690.45</v>
      </c>
      <c r="M2611" s="1" t="str">
        <f>TEXT(Table1[[#This Row],[Order_Date]], "MMM")</f>
        <v>Apr</v>
      </c>
      <c r="N2611" s="1">
        <f>YEAR(Table1[[#This Row],[Order_Date]])</f>
        <v>2023</v>
      </c>
      <c r="O2611" s="7">
        <f>Table1[[#This Row],[Profit]]/Table1[[#This Row],[Total_Sales]]</f>
        <v>0.35255821078431371</v>
      </c>
    </row>
    <row r="2612" spans="1:15" x14ac:dyDescent="0.25">
      <c r="A2612" s="1">
        <v>2611</v>
      </c>
      <c r="B2612" s="2">
        <v>45141</v>
      </c>
      <c r="C2612" s="1" t="s">
        <v>19</v>
      </c>
      <c r="D2612" s="1" t="s">
        <v>13</v>
      </c>
      <c r="E2612" s="1" t="s">
        <v>14</v>
      </c>
      <c r="F2612" s="1" t="s">
        <v>40</v>
      </c>
      <c r="G2612" s="1">
        <v>3</v>
      </c>
      <c r="H2612" s="1">
        <v>288</v>
      </c>
      <c r="I2612" s="1">
        <v>10</v>
      </c>
      <c r="J2612" s="4">
        <v>777.6</v>
      </c>
      <c r="K2612" s="4">
        <v>402.97</v>
      </c>
      <c r="L2612" s="4">
        <v>374.63</v>
      </c>
      <c r="M2612" s="1" t="str">
        <f>TEXT(Table1[[#This Row],[Order_Date]], "MMM")</f>
        <v>Aug</v>
      </c>
      <c r="N2612" s="1">
        <f>YEAR(Table1[[#This Row],[Order_Date]])</f>
        <v>2023</v>
      </c>
      <c r="O2612" s="7">
        <f>Table1[[#This Row],[Profit]]/Table1[[#This Row],[Total_Sales]]</f>
        <v>0.48177726337448556</v>
      </c>
    </row>
    <row r="2613" spans="1:15" x14ac:dyDescent="0.25">
      <c r="A2613" s="1">
        <v>2612</v>
      </c>
      <c r="B2613" s="2">
        <v>45016</v>
      </c>
      <c r="C2613" s="1" t="s">
        <v>16</v>
      </c>
      <c r="D2613" s="1" t="s">
        <v>22</v>
      </c>
      <c r="E2613" s="1" t="s">
        <v>36</v>
      </c>
      <c r="F2613" s="1" t="s">
        <v>24</v>
      </c>
      <c r="G2613" s="1">
        <v>6</v>
      </c>
      <c r="H2613" s="1">
        <v>966</v>
      </c>
      <c r="I2613" s="1">
        <v>20</v>
      </c>
      <c r="J2613" s="4">
        <v>4636.8</v>
      </c>
      <c r="K2613" s="4">
        <v>2630.86</v>
      </c>
      <c r="L2613" s="4">
        <v>2005.94</v>
      </c>
      <c r="M2613" s="1" t="str">
        <f>TEXT(Table1[[#This Row],[Order_Date]], "MMM")</f>
        <v>Mar</v>
      </c>
      <c r="N2613" s="1">
        <f>YEAR(Table1[[#This Row],[Order_Date]])</f>
        <v>2023</v>
      </c>
      <c r="O2613" s="7">
        <f>Table1[[#This Row],[Profit]]/Table1[[#This Row],[Total_Sales]]</f>
        <v>0.43261300897170463</v>
      </c>
    </row>
    <row r="2614" spans="1:15" x14ac:dyDescent="0.25">
      <c r="A2614" s="1">
        <v>2613</v>
      </c>
      <c r="B2614" s="2">
        <v>45165</v>
      </c>
      <c r="C2614" s="1" t="s">
        <v>12</v>
      </c>
      <c r="D2614" s="1" t="s">
        <v>20</v>
      </c>
      <c r="E2614" s="1" t="s">
        <v>21</v>
      </c>
      <c r="F2614" s="1" t="s">
        <v>35</v>
      </c>
      <c r="G2614" s="1">
        <v>7</v>
      </c>
      <c r="H2614" s="1">
        <v>77</v>
      </c>
      <c r="I2614" s="1">
        <v>10</v>
      </c>
      <c r="J2614" s="4">
        <v>485.1</v>
      </c>
      <c r="K2614" s="4">
        <v>348.86</v>
      </c>
      <c r="L2614" s="4">
        <v>136.24</v>
      </c>
      <c r="M2614" s="1" t="str">
        <f>TEXT(Table1[[#This Row],[Order_Date]], "MMM")</f>
        <v>Aug</v>
      </c>
      <c r="N2614" s="1">
        <f>YEAR(Table1[[#This Row],[Order_Date]])</f>
        <v>2023</v>
      </c>
      <c r="O2614" s="7">
        <f>Table1[[#This Row],[Profit]]/Table1[[#This Row],[Total_Sales]]</f>
        <v>0.28084930942073799</v>
      </c>
    </row>
    <row r="2615" spans="1:15" x14ac:dyDescent="0.25">
      <c r="A2615" s="1">
        <v>2614</v>
      </c>
      <c r="B2615" s="2">
        <v>45587</v>
      </c>
      <c r="C2615" s="1" t="s">
        <v>12</v>
      </c>
      <c r="D2615" s="1" t="s">
        <v>32</v>
      </c>
      <c r="E2615" s="1" t="s">
        <v>33</v>
      </c>
      <c r="F2615" s="1" t="s">
        <v>35</v>
      </c>
      <c r="G2615" s="1">
        <v>4</v>
      </c>
      <c r="H2615" s="1">
        <v>518</v>
      </c>
      <c r="I2615" s="1">
        <v>5</v>
      </c>
      <c r="J2615" s="4">
        <v>1968.4</v>
      </c>
      <c r="K2615" s="4">
        <v>1144.03</v>
      </c>
      <c r="L2615" s="4">
        <v>824.37</v>
      </c>
      <c r="M2615" s="1" t="str">
        <f>TEXT(Table1[[#This Row],[Order_Date]], "MMM")</f>
        <v>Oct</v>
      </c>
      <c r="N2615" s="1">
        <f>YEAR(Table1[[#This Row],[Order_Date]])</f>
        <v>2024</v>
      </c>
      <c r="O2615" s="7">
        <f>Table1[[#This Row],[Profit]]/Table1[[#This Row],[Total_Sales]]</f>
        <v>0.41880207274944115</v>
      </c>
    </row>
    <row r="2616" spans="1:15" x14ac:dyDescent="0.25">
      <c r="A2616" s="1">
        <v>2615</v>
      </c>
      <c r="B2616" s="2">
        <v>45532</v>
      </c>
      <c r="C2616" s="1" t="s">
        <v>19</v>
      </c>
      <c r="D2616" s="1" t="s">
        <v>22</v>
      </c>
      <c r="E2616" s="1" t="s">
        <v>36</v>
      </c>
      <c r="F2616" s="1" t="s">
        <v>15</v>
      </c>
      <c r="G2616" s="1">
        <v>9</v>
      </c>
      <c r="H2616" s="1">
        <v>781</v>
      </c>
      <c r="I2616" s="1">
        <v>15</v>
      </c>
      <c r="J2616" s="4">
        <v>5974.65</v>
      </c>
      <c r="K2616" s="4">
        <v>4485.7</v>
      </c>
      <c r="L2616" s="4">
        <v>1488.95</v>
      </c>
      <c r="M2616" s="1" t="str">
        <f>TEXT(Table1[[#This Row],[Order_Date]], "MMM")</f>
        <v>Aug</v>
      </c>
      <c r="N2616" s="1">
        <f>YEAR(Table1[[#This Row],[Order_Date]])</f>
        <v>2024</v>
      </c>
      <c r="O2616" s="7">
        <f>Table1[[#This Row],[Profit]]/Table1[[#This Row],[Total_Sales]]</f>
        <v>0.24921125086825172</v>
      </c>
    </row>
    <row r="2617" spans="1:15" x14ac:dyDescent="0.25">
      <c r="A2617" s="1">
        <v>2616</v>
      </c>
      <c r="B2617" s="2">
        <v>45479</v>
      </c>
      <c r="C2617" s="1" t="s">
        <v>19</v>
      </c>
      <c r="D2617" s="1" t="s">
        <v>13</v>
      </c>
      <c r="E2617" s="1" t="s">
        <v>14</v>
      </c>
      <c r="F2617" s="1" t="s">
        <v>31</v>
      </c>
      <c r="G2617" s="1">
        <v>10</v>
      </c>
      <c r="H2617" s="1">
        <v>288</v>
      </c>
      <c r="I2617" s="1">
        <v>20</v>
      </c>
      <c r="J2617" s="4">
        <v>2304</v>
      </c>
      <c r="K2617" s="4">
        <v>1221.6300000000001</v>
      </c>
      <c r="L2617" s="4">
        <v>1082.3699999999999</v>
      </c>
      <c r="M2617" s="1" t="str">
        <f>TEXT(Table1[[#This Row],[Order_Date]], "MMM")</f>
        <v>Jul</v>
      </c>
      <c r="N2617" s="1">
        <f>YEAR(Table1[[#This Row],[Order_Date]])</f>
        <v>2024</v>
      </c>
      <c r="O2617" s="7">
        <f>Table1[[#This Row],[Profit]]/Table1[[#This Row],[Total_Sales]]</f>
        <v>0.46977864583333329</v>
      </c>
    </row>
    <row r="2618" spans="1:15" x14ac:dyDescent="0.25">
      <c r="A2618" s="1">
        <v>2617</v>
      </c>
      <c r="B2618" s="2">
        <v>45348</v>
      </c>
      <c r="C2618" s="1" t="s">
        <v>12</v>
      </c>
      <c r="D2618" s="1" t="s">
        <v>20</v>
      </c>
      <c r="E2618" s="1" t="s">
        <v>43</v>
      </c>
      <c r="F2618" s="1" t="s">
        <v>31</v>
      </c>
      <c r="G2618" s="1">
        <v>6</v>
      </c>
      <c r="H2618" s="1">
        <v>675</v>
      </c>
      <c r="I2618" s="1">
        <v>15</v>
      </c>
      <c r="J2618" s="4">
        <v>3442.5</v>
      </c>
      <c r="K2618" s="4">
        <v>2550.37</v>
      </c>
      <c r="L2618" s="4">
        <v>892.13</v>
      </c>
      <c r="M2618" s="1" t="str">
        <f>TEXT(Table1[[#This Row],[Order_Date]], "MMM")</f>
        <v>Feb</v>
      </c>
      <c r="N2618" s="1">
        <f>YEAR(Table1[[#This Row],[Order_Date]])</f>
        <v>2024</v>
      </c>
      <c r="O2618" s="7">
        <f>Table1[[#This Row],[Profit]]/Table1[[#This Row],[Total_Sales]]</f>
        <v>0.2591517792302106</v>
      </c>
    </row>
    <row r="2619" spans="1:15" x14ac:dyDescent="0.25">
      <c r="A2619" s="1">
        <v>2618</v>
      </c>
      <c r="B2619" s="2">
        <v>45315</v>
      </c>
      <c r="C2619" s="1" t="s">
        <v>16</v>
      </c>
      <c r="D2619" s="1" t="s">
        <v>32</v>
      </c>
      <c r="E2619" s="1" t="s">
        <v>33</v>
      </c>
      <c r="F2619" s="1" t="s">
        <v>15</v>
      </c>
      <c r="G2619" s="1">
        <v>7</v>
      </c>
      <c r="H2619" s="1">
        <v>977</v>
      </c>
      <c r="I2619" s="1">
        <v>15</v>
      </c>
      <c r="J2619" s="4">
        <v>5813.15</v>
      </c>
      <c r="K2619" s="4">
        <v>3182.01</v>
      </c>
      <c r="L2619" s="4">
        <v>2631.14</v>
      </c>
      <c r="M2619" s="1" t="str">
        <f>TEXT(Table1[[#This Row],[Order_Date]], "MMM")</f>
        <v>Jan</v>
      </c>
      <c r="N2619" s="1">
        <f>YEAR(Table1[[#This Row],[Order_Date]])</f>
        <v>2024</v>
      </c>
      <c r="O2619" s="7">
        <f>Table1[[#This Row],[Profit]]/Table1[[#This Row],[Total_Sales]]</f>
        <v>0.4526186318949279</v>
      </c>
    </row>
    <row r="2620" spans="1:15" x14ac:dyDescent="0.25">
      <c r="A2620" s="1">
        <v>2619</v>
      </c>
      <c r="B2620" s="2">
        <v>45345</v>
      </c>
      <c r="C2620" s="1" t="s">
        <v>12</v>
      </c>
      <c r="D2620" s="1" t="s">
        <v>22</v>
      </c>
      <c r="E2620" s="1" t="s">
        <v>36</v>
      </c>
      <c r="F2620" s="1" t="s">
        <v>31</v>
      </c>
      <c r="G2620" s="1">
        <v>9</v>
      </c>
      <c r="H2620" s="1">
        <v>596</v>
      </c>
      <c r="I2620" s="1">
        <v>5</v>
      </c>
      <c r="J2620" s="4">
        <v>5095.8</v>
      </c>
      <c r="K2620" s="4">
        <v>4018.88</v>
      </c>
      <c r="L2620" s="4">
        <v>1076.92</v>
      </c>
      <c r="M2620" s="1" t="str">
        <f>TEXT(Table1[[#This Row],[Order_Date]], "MMM")</f>
        <v>Feb</v>
      </c>
      <c r="N2620" s="1">
        <f>YEAR(Table1[[#This Row],[Order_Date]])</f>
        <v>2024</v>
      </c>
      <c r="O2620" s="7">
        <f>Table1[[#This Row],[Profit]]/Table1[[#This Row],[Total_Sales]]</f>
        <v>0.21133482475764356</v>
      </c>
    </row>
    <row r="2621" spans="1:15" x14ac:dyDescent="0.25">
      <c r="A2621" s="1">
        <v>2620</v>
      </c>
      <c r="B2621" s="2">
        <v>45253</v>
      </c>
      <c r="C2621" s="1" t="s">
        <v>16</v>
      </c>
      <c r="D2621" s="1" t="s">
        <v>22</v>
      </c>
      <c r="E2621" s="1" t="s">
        <v>29</v>
      </c>
      <c r="F2621" s="1" t="s">
        <v>40</v>
      </c>
      <c r="G2621" s="1">
        <v>10</v>
      </c>
      <c r="H2621" s="1">
        <v>736</v>
      </c>
      <c r="I2621" s="1">
        <v>5</v>
      </c>
      <c r="J2621" s="4">
        <v>6992</v>
      </c>
      <c r="K2621" s="4">
        <v>4223.5600000000004</v>
      </c>
      <c r="L2621" s="4">
        <v>2768.44</v>
      </c>
      <c r="M2621" s="1" t="str">
        <f>TEXT(Table1[[#This Row],[Order_Date]], "MMM")</f>
        <v>Nov</v>
      </c>
      <c r="N2621" s="1">
        <f>YEAR(Table1[[#This Row],[Order_Date]])</f>
        <v>2023</v>
      </c>
      <c r="O2621" s="7">
        <f>Table1[[#This Row],[Profit]]/Table1[[#This Row],[Total_Sales]]</f>
        <v>0.39594393592677346</v>
      </c>
    </row>
    <row r="2622" spans="1:15" x14ac:dyDescent="0.25">
      <c r="A2622" s="1">
        <v>2621</v>
      </c>
      <c r="B2622" s="2">
        <v>44947</v>
      </c>
      <c r="C2622" s="1" t="s">
        <v>12</v>
      </c>
      <c r="D2622" s="1" t="s">
        <v>26</v>
      </c>
      <c r="E2622" s="1" t="s">
        <v>42</v>
      </c>
      <c r="F2622" s="1" t="s">
        <v>35</v>
      </c>
      <c r="G2622" s="1">
        <v>8</v>
      </c>
      <c r="H2622" s="1">
        <v>776</v>
      </c>
      <c r="I2622" s="1">
        <v>0</v>
      </c>
      <c r="J2622" s="4">
        <v>6208</v>
      </c>
      <c r="K2622" s="4">
        <v>4770.66</v>
      </c>
      <c r="L2622" s="4">
        <v>1437.34</v>
      </c>
      <c r="M2622" s="1" t="str">
        <f>TEXT(Table1[[#This Row],[Order_Date]], "MMM")</f>
        <v>Jan</v>
      </c>
      <c r="N2622" s="1">
        <f>YEAR(Table1[[#This Row],[Order_Date]])</f>
        <v>2023</v>
      </c>
      <c r="O2622" s="7">
        <f>Table1[[#This Row],[Profit]]/Table1[[#This Row],[Total_Sales]]</f>
        <v>0.23153028350515462</v>
      </c>
    </row>
    <row r="2623" spans="1:15" x14ac:dyDescent="0.25">
      <c r="A2623" s="1">
        <v>2622</v>
      </c>
      <c r="B2623" s="2">
        <v>45495</v>
      </c>
      <c r="C2623" s="1" t="s">
        <v>16</v>
      </c>
      <c r="D2623" s="1" t="s">
        <v>13</v>
      </c>
      <c r="E2623" s="1" t="s">
        <v>38</v>
      </c>
      <c r="F2623" s="1" t="s">
        <v>35</v>
      </c>
      <c r="G2623" s="1">
        <v>4</v>
      </c>
      <c r="H2623" s="1">
        <v>444</v>
      </c>
      <c r="I2623" s="1">
        <v>5</v>
      </c>
      <c r="J2623" s="4">
        <v>1687.2</v>
      </c>
      <c r="K2623" s="4">
        <v>1096.53</v>
      </c>
      <c r="L2623" s="4">
        <v>590.66999999999996</v>
      </c>
      <c r="M2623" s="1" t="str">
        <f>TEXT(Table1[[#This Row],[Order_Date]], "MMM")</f>
        <v>Jul</v>
      </c>
      <c r="N2623" s="1">
        <f>YEAR(Table1[[#This Row],[Order_Date]])</f>
        <v>2024</v>
      </c>
      <c r="O2623" s="7">
        <f>Table1[[#This Row],[Profit]]/Table1[[#This Row],[Total_Sales]]</f>
        <v>0.35008890469416781</v>
      </c>
    </row>
    <row r="2624" spans="1:15" x14ac:dyDescent="0.25">
      <c r="A2624" s="1">
        <v>2623</v>
      </c>
      <c r="B2624" s="2">
        <v>45045</v>
      </c>
      <c r="C2624" s="1" t="s">
        <v>19</v>
      </c>
      <c r="D2624" s="1" t="s">
        <v>20</v>
      </c>
      <c r="E2624" s="1" t="s">
        <v>21</v>
      </c>
      <c r="F2624" s="1" t="s">
        <v>35</v>
      </c>
      <c r="G2624" s="1">
        <v>9</v>
      </c>
      <c r="H2624" s="1">
        <v>282</v>
      </c>
      <c r="I2624" s="1">
        <v>20</v>
      </c>
      <c r="J2624" s="4">
        <v>2030.4</v>
      </c>
      <c r="K2624" s="4">
        <v>1026.3800000000001</v>
      </c>
      <c r="L2624" s="4">
        <v>1004.02</v>
      </c>
      <c r="M2624" s="1" t="str">
        <f>TEXT(Table1[[#This Row],[Order_Date]], "MMM")</f>
        <v>Apr</v>
      </c>
      <c r="N2624" s="1">
        <f>YEAR(Table1[[#This Row],[Order_Date]])</f>
        <v>2023</v>
      </c>
      <c r="O2624" s="7">
        <f>Table1[[#This Row],[Profit]]/Table1[[#This Row],[Total_Sales]]</f>
        <v>0.49449369582348301</v>
      </c>
    </row>
    <row r="2625" spans="1:15" x14ac:dyDescent="0.25">
      <c r="A2625" s="1">
        <v>2624</v>
      </c>
      <c r="B2625" s="2">
        <v>45199</v>
      </c>
      <c r="C2625" s="1" t="s">
        <v>12</v>
      </c>
      <c r="D2625" s="1" t="s">
        <v>13</v>
      </c>
      <c r="E2625" s="1" t="s">
        <v>17</v>
      </c>
      <c r="F2625" s="1" t="s">
        <v>40</v>
      </c>
      <c r="G2625" s="1">
        <v>1</v>
      </c>
      <c r="H2625" s="1">
        <v>143</v>
      </c>
      <c r="I2625" s="1">
        <v>20</v>
      </c>
      <c r="J2625" s="4">
        <v>114.4</v>
      </c>
      <c r="K2625" s="4">
        <v>77.37</v>
      </c>
      <c r="L2625" s="4">
        <v>37.03</v>
      </c>
      <c r="M2625" s="1" t="str">
        <f>TEXT(Table1[[#This Row],[Order_Date]], "MMM")</f>
        <v>Sep</v>
      </c>
      <c r="N2625" s="1">
        <f>YEAR(Table1[[#This Row],[Order_Date]])</f>
        <v>2023</v>
      </c>
      <c r="O2625" s="7">
        <f>Table1[[#This Row],[Profit]]/Table1[[#This Row],[Total_Sales]]</f>
        <v>0.32368881118881121</v>
      </c>
    </row>
    <row r="2626" spans="1:15" x14ac:dyDescent="0.25">
      <c r="A2626" s="1">
        <v>2625</v>
      </c>
      <c r="B2626" s="2">
        <v>45301</v>
      </c>
      <c r="C2626" s="1" t="s">
        <v>19</v>
      </c>
      <c r="D2626" s="1" t="s">
        <v>26</v>
      </c>
      <c r="E2626" s="1" t="s">
        <v>37</v>
      </c>
      <c r="F2626" s="1" t="s">
        <v>18</v>
      </c>
      <c r="G2626" s="1">
        <v>6</v>
      </c>
      <c r="H2626" s="1">
        <v>93</v>
      </c>
      <c r="I2626" s="1">
        <v>5</v>
      </c>
      <c r="J2626" s="4">
        <v>530.1</v>
      </c>
      <c r="K2626" s="4">
        <v>312.89999999999998</v>
      </c>
      <c r="L2626" s="4">
        <v>217.2</v>
      </c>
      <c r="M2626" s="1" t="str">
        <f>TEXT(Table1[[#This Row],[Order_Date]], "MMM")</f>
        <v>Jan</v>
      </c>
      <c r="N2626" s="1">
        <f>YEAR(Table1[[#This Row],[Order_Date]])</f>
        <v>2024</v>
      </c>
      <c r="O2626" s="7">
        <f>Table1[[#This Row],[Profit]]/Table1[[#This Row],[Total_Sales]]</f>
        <v>0.40973401245048102</v>
      </c>
    </row>
    <row r="2627" spans="1:15" x14ac:dyDescent="0.25">
      <c r="A2627" s="1">
        <v>2626</v>
      </c>
      <c r="B2627" s="2">
        <v>45132</v>
      </c>
      <c r="C2627" s="1" t="s">
        <v>19</v>
      </c>
      <c r="D2627" s="1" t="s">
        <v>26</v>
      </c>
      <c r="E2627" s="1" t="s">
        <v>37</v>
      </c>
      <c r="F2627" s="1" t="s">
        <v>24</v>
      </c>
      <c r="G2627" s="1">
        <v>5</v>
      </c>
      <c r="H2627" s="1">
        <v>986</v>
      </c>
      <c r="I2627" s="1">
        <v>15</v>
      </c>
      <c r="J2627" s="4">
        <v>4190.5</v>
      </c>
      <c r="K2627" s="4">
        <v>3041.13</v>
      </c>
      <c r="L2627" s="4">
        <v>1149.3699999999999</v>
      </c>
      <c r="M2627" s="1" t="str">
        <f>TEXT(Table1[[#This Row],[Order_Date]], "MMM")</f>
        <v>Jul</v>
      </c>
      <c r="N2627" s="1">
        <f>YEAR(Table1[[#This Row],[Order_Date]])</f>
        <v>2023</v>
      </c>
      <c r="O2627" s="7">
        <f>Table1[[#This Row],[Profit]]/Table1[[#This Row],[Total_Sales]]</f>
        <v>0.27427991886409736</v>
      </c>
    </row>
    <row r="2628" spans="1:15" x14ac:dyDescent="0.25">
      <c r="A2628" s="1">
        <v>2627</v>
      </c>
      <c r="B2628" s="2">
        <v>45499</v>
      </c>
      <c r="C2628" s="1" t="s">
        <v>25</v>
      </c>
      <c r="D2628" s="1" t="s">
        <v>32</v>
      </c>
      <c r="E2628" s="1" t="s">
        <v>41</v>
      </c>
      <c r="F2628" s="1" t="s">
        <v>24</v>
      </c>
      <c r="G2628" s="1">
        <v>5</v>
      </c>
      <c r="H2628" s="1">
        <v>704</v>
      </c>
      <c r="I2628" s="1">
        <v>20</v>
      </c>
      <c r="J2628" s="4">
        <v>2816</v>
      </c>
      <c r="K2628" s="4">
        <v>2203.9899999999998</v>
      </c>
      <c r="L2628" s="4">
        <v>612.01</v>
      </c>
      <c r="M2628" s="1" t="str">
        <f>TEXT(Table1[[#This Row],[Order_Date]], "MMM")</f>
        <v>Jul</v>
      </c>
      <c r="N2628" s="1">
        <f>YEAR(Table1[[#This Row],[Order_Date]])</f>
        <v>2024</v>
      </c>
      <c r="O2628" s="7">
        <f>Table1[[#This Row],[Profit]]/Table1[[#This Row],[Total_Sales]]</f>
        <v>0.21733309659090908</v>
      </c>
    </row>
    <row r="2629" spans="1:15" x14ac:dyDescent="0.25">
      <c r="A2629" s="1">
        <v>2628</v>
      </c>
      <c r="B2629" s="2">
        <v>45436</v>
      </c>
      <c r="C2629" s="1" t="s">
        <v>25</v>
      </c>
      <c r="D2629" s="1" t="s">
        <v>20</v>
      </c>
      <c r="E2629" s="1" t="s">
        <v>28</v>
      </c>
      <c r="F2629" s="1" t="s">
        <v>24</v>
      </c>
      <c r="G2629" s="1">
        <v>3</v>
      </c>
      <c r="H2629" s="1">
        <v>774</v>
      </c>
      <c r="I2629" s="1">
        <v>0</v>
      </c>
      <c r="J2629" s="4">
        <v>2322</v>
      </c>
      <c r="K2629" s="4">
        <v>1683.21</v>
      </c>
      <c r="L2629" s="4">
        <v>638.79</v>
      </c>
      <c r="M2629" s="1" t="str">
        <f>TEXT(Table1[[#This Row],[Order_Date]], "MMM")</f>
        <v>May</v>
      </c>
      <c r="N2629" s="1">
        <f>YEAR(Table1[[#This Row],[Order_Date]])</f>
        <v>2024</v>
      </c>
      <c r="O2629" s="7">
        <f>Table1[[#This Row],[Profit]]/Table1[[#This Row],[Total_Sales]]</f>
        <v>0.27510335917312662</v>
      </c>
    </row>
    <row r="2630" spans="1:15" x14ac:dyDescent="0.25">
      <c r="A2630" s="1">
        <v>2629</v>
      </c>
      <c r="B2630" s="2">
        <v>45104</v>
      </c>
      <c r="C2630" s="1" t="s">
        <v>12</v>
      </c>
      <c r="D2630" s="1" t="s">
        <v>20</v>
      </c>
      <c r="E2630" s="1" t="s">
        <v>43</v>
      </c>
      <c r="F2630" s="1" t="s">
        <v>15</v>
      </c>
      <c r="G2630" s="1">
        <v>9</v>
      </c>
      <c r="H2630" s="1">
        <v>13</v>
      </c>
      <c r="I2630" s="1">
        <v>10</v>
      </c>
      <c r="J2630" s="4">
        <v>105.3</v>
      </c>
      <c r="K2630" s="4">
        <v>82.06</v>
      </c>
      <c r="L2630" s="4">
        <v>23.24</v>
      </c>
      <c r="M2630" s="1" t="str">
        <f>TEXT(Table1[[#This Row],[Order_Date]], "MMM")</f>
        <v>Jun</v>
      </c>
      <c r="N2630" s="1">
        <f>YEAR(Table1[[#This Row],[Order_Date]])</f>
        <v>2023</v>
      </c>
      <c r="O2630" s="7">
        <f>Table1[[#This Row],[Profit]]/Table1[[#This Row],[Total_Sales]]</f>
        <v>0.22070275403608736</v>
      </c>
    </row>
    <row r="2631" spans="1:15" x14ac:dyDescent="0.25">
      <c r="A2631" s="1">
        <v>2630</v>
      </c>
      <c r="B2631" s="2">
        <v>45216</v>
      </c>
      <c r="C2631" s="1" t="s">
        <v>19</v>
      </c>
      <c r="D2631" s="1" t="s">
        <v>20</v>
      </c>
      <c r="E2631" s="1" t="s">
        <v>30</v>
      </c>
      <c r="F2631" s="1" t="s">
        <v>18</v>
      </c>
      <c r="G2631" s="1">
        <v>8</v>
      </c>
      <c r="H2631" s="1">
        <v>445</v>
      </c>
      <c r="I2631" s="1">
        <v>0</v>
      </c>
      <c r="J2631" s="4">
        <v>3560</v>
      </c>
      <c r="K2631" s="4">
        <v>2012.42</v>
      </c>
      <c r="L2631" s="4">
        <v>1547.58</v>
      </c>
      <c r="M2631" s="1" t="str">
        <f>TEXT(Table1[[#This Row],[Order_Date]], "MMM")</f>
        <v>Oct</v>
      </c>
      <c r="N2631" s="1">
        <f>YEAR(Table1[[#This Row],[Order_Date]])</f>
        <v>2023</v>
      </c>
      <c r="O2631" s="7">
        <f>Table1[[#This Row],[Profit]]/Table1[[#This Row],[Total_Sales]]</f>
        <v>0.43471348314606739</v>
      </c>
    </row>
    <row r="2632" spans="1:15" x14ac:dyDescent="0.25">
      <c r="A2632" s="1">
        <v>2631</v>
      </c>
      <c r="B2632" s="2">
        <v>45366</v>
      </c>
      <c r="C2632" s="1" t="s">
        <v>19</v>
      </c>
      <c r="D2632" s="1" t="s">
        <v>20</v>
      </c>
      <c r="E2632" s="1" t="s">
        <v>21</v>
      </c>
      <c r="F2632" s="1" t="s">
        <v>15</v>
      </c>
      <c r="G2632" s="1">
        <v>9</v>
      </c>
      <c r="H2632" s="1">
        <v>248</v>
      </c>
      <c r="I2632" s="1">
        <v>10</v>
      </c>
      <c r="J2632" s="4">
        <v>2008.8</v>
      </c>
      <c r="K2632" s="4">
        <v>1109.78</v>
      </c>
      <c r="L2632" s="4">
        <v>899.02</v>
      </c>
      <c r="M2632" s="1" t="str">
        <f>TEXT(Table1[[#This Row],[Order_Date]], "MMM")</f>
        <v>Mar</v>
      </c>
      <c r="N2632" s="1">
        <f>YEAR(Table1[[#This Row],[Order_Date]])</f>
        <v>2024</v>
      </c>
      <c r="O2632" s="7">
        <f>Table1[[#This Row],[Profit]]/Table1[[#This Row],[Total_Sales]]</f>
        <v>0.44754082039028276</v>
      </c>
    </row>
    <row r="2633" spans="1:15" x14ac:dyDescent="0.25">
      <c r="A2633" s="1">
        <v>2632</v>
      </c>
      <c r="B2633" s="2">
        <v>44985</v>
      </c>
      <c r="C2633" s="1" t="s">
        <v>12</v>
      </c>
      <c r="D2633" s="1" t="s">
        <v>13</v>
      </c>
      <c r="E2633" s="1" t="s">
        <v>17</v>
      </c>
      <c r="F2633" s="1" t="s">
        <v>18</v>
      </c>
      <c r="G2633" s="1">
        <v>10</v>
      </c>
      <c r="H2633" s="1">
        <v>65</v>
      </c>
      <c r="I2633" s="1">
        <v>20</v>
      </c>
      <c r="J2633" s="4">
        <v>520</v>
      </c>
      <c r="K2633" s="4">
        <v>320.91000000000003</v>
      </c>
      <c r="L2633" s="4">
        <v>199.09</v>
      </c>
      <c r="M2633" s="1" t="str">
        <f>TEXT(Table1[[#This Row],[Order_Date]], "MMM")</f>
        <v>Feb</v>
      </c>
      <c r="N2633" s="1">
        <f>YEAR(Table1[[#This Row],[Order_Date]])</f>
        <v>2023</v>
      </c>
      <c r="O2633" s="7">
        <f>Table1[[#This Row],[Profit]]/Table1[[#This Row],[Total_Sales]]</f>
        <v>0.38286538461538461</v>
      </c>
    </row>
    <row r="2634" spans="1:15" x14ac:dyDescent="0.25">
      <c r="A2634" s="1">
        <v>2633</v>
      </c>
      <c r="B2634" s="2">
        <v>45017</v>
      </c>
      <c r="C2634" s="1" t="s">
        <v>25</v>
      </c>
      <c r="D2634" s="1" t="s">
        <v>32</v>
      </c>
      <c r="E2634" s="1" t="s">
        <v>41</v>
      </c>
      <c r="F2634" s="1" t="s">
        <v>18</v>
      </c>
      <c r="G2634" s="1">
        <v>10</v>
      </c>
      <c r="H2634" s="1">
        <v>908</v>
      </c>
      <c r="I2634" s="1">
        <v>15</v>
      </c>
      <c r="J2634" s="4">
        <v>7718</v>
      </c>
      <c r="K2634" s="4">
        <v>5638.71</v>
      </c>
      <c r="L2634" s="4">
        <v>2079.29</v>
      </c>
      <c r="M2634" s="1" t="str">
        <f>TEXT(Table1[[#This Row],[Order_Date]], "MMM")</f>
        <v>Apr</v>
      </c>
      <c r="N2634" s="1">
        <f>YEAR(Table1[[#This Row],[Order_Date]])</f>
        <v>2023</v>
      </c>
      <c r="O2634" s="7">
        <f>Table1[[#This Row],[Profit]]/Table1[[#This Row],[Total_Sales]]</f>
        <v>0.26940787768852031</v>
      </c>
    </row>
    <row r="2635" spans="1:15" x14ac:dyDescent="0.25">
      <c r="A2635" s="1">
        <v>2634</v>
      </c>
      <c r="B2635" s="2">
        <v>45534</v>
      </c>
      <c r="C2635" s="1" t="s">
        <v>19</v>
      </c>
      <c r="D2635" s="1" t="s">
        <v>26</v>
      </c>
      <c r="E2635" s="1" t="s">
        <v>42</v>
      </c>
      <c r="F2635" s="1" t="s">
        <v>24</v>
      </c>
      <c r="G2635" s="1">
        <v>6</v>
      </c>
      <c r="H2635" s="1">
        <v>463</v>
      </c>
      <c r="I2635" s="1">
        <v>20</v>
      </c>
      <c r="J2635" s="4">
        <v>2222.4</v>
      </c>
      <c r="K2635" s="4">
        <v>1418.16</v>
      </c>
      <c r="L2635" s="4">
        <v>804.24</v>
      </c>
      <c r="M2635" s="1" t="str">
        <f>TEXT(Table1[[#This Row],[Order_Date]], "MMM")</f>
        <v>Aug</v>
      </c>
      <c r="N2635" s="1">
        <f>YEAR(Table1[[#This Row],[Order_Date]])</f>
        <v>2024</v>
      </c>
      <c r="O2635" s="7">
        <f>Table1[[#This Row],[Profit]]/Table1[[#This Row],[Total_Sales]]</f>
        <v>0.36187904967602591</v>
      </c>
    </row>
    <row r="2636" spans="1:15" x14ac:dyDescent="0.25">
      <c r="A2636" s="1">
        <v>2635</v>
      </c>
      <c r="B2636" s="2">
        <v>45486</v>
      </c>
      <c r="C2636" s="1" t="s">
        <v>16</v>
      </c>
      <c r="D2636" s="1" t="s">
        <v>32</v>
      </c>
      <c r="E2636" s="1" t="s">
        <v>33</v>
      </c>
      <c r="F2636" s="1" t="s">
        <v>35</v>
      </c>
      <c r="G2636" s="1">
        <v>10</v>
      </c>
      <c r="H2636" s="1">
        <v>665</v>
      </c>
      <c r="I2636" s="1">
        <v>0</v>
      </c>
      <c r="J2636" s="4">
        <v>6650</v>
      </c>
      <c r="K2636" s="4">
        <v>4268.22</v>
      </c>
      <c r="L2636" s="4">
        <v>2381.7800000000002</v>
      </c>
      <c r="M2636" s="1" t="str">
        <f>TEXT(Table1[[#This Row],[Order_Date]], "MMM")</f>
        <v>Jul</v>
      </c>
      <c r="N2636" s="1">
        <f>YEAR(Table1[[#This Row],[Order_Date]])</f>
        <v>2024</v>
      </c>
      <c r="O2636" s="7">
        <f>Table1[[#This Row],[Profit]]/Table1[[#This Row],[Total_Sales]]</f>
        <v>0.35816240601503763</v>
      </c>
    </row>
    <row r="2637" spans="1:15" x14ac:dyDescent="0.25">
      <c r="A2637" s="1">
        <v>2636</v>
      </c>
      <c r="B2637" s="2">
        <v>45391</v>
      </c>
      <c r="C2637" s="1" t="s">
        <v>16</v>
      </c>
      <c r="D2637" s="1" t="s">
        <v>13</v>
      </c>
      <c r="E2637" s="1" t="s">
        <v>17</v>
      </c>
      <c r="F2637" s="1" t="s">
        <v>15</v>
      </c>
      <c r="G2637" s="1">
        <v>1</v>
      </c>
      <c r="H2637" s="1">
        <v>947</v>
      </c>
      <c r="I2637" s="1">
        <v>10</v>
      </c>
      <c r="J2637" s="4">
        <v>852.3</v>
      </c>
      <c r="K2637" s="4">
        <v>568.01</v>
      </c>
      <c r="L2637" s="4">
        <v>284.29000000000002</v>
      </c>
      <c r="M2637" s="1" t="str">
        <f>TEXT(Table1[[#This Row],[Order_Date]], "MMM")</f>
        <v>Apr</v>
      </c>
      <c r="N2637" s="1">
        <f>YEAR(Table1[[#This Row],[Order_Date]])</f>
        <v>2024</v>
      </c>
      <c r="O2637" s="7">
        <f>Table1[[#This Row],[Profit]]/Table1[[#This Row],[Total_Sales]]</f>
        <v>0.33355625953302831</v>
      </c>
    </row>
    <row r="2638" spans="1:15" x14ac:dyDescent="0.25">
      <c r="A2638" s="1">
        <v>2637</v>
      </c>
      <c r="B2638" s="2">
        <v>45085</v>
      </c>
      <c r="C2638" s="1" t="s">
        <v>16</v>
      </c>
      <c r="D2638" s="1" t="s">
        <v>32</v>
      </c>
      <c r="E2638" s="1" t="s">
        <v>33</v>
      </c>
      <c r="F2638" s="1" t="s">
        <v>15</v>
      </c>
      <c r="G2638" s="1">
        <v>7</v>
      </c>
      <c r="H2638" s="1">
        <v>329</v>
      </c>
      <c r="I2638" s="1">
        <v>5</v>
      </c>
      <c r="J2638" s="4">
        <v>2187.85</v>
      </c>
      <c r="K2638" s="4">
        <v>1292.28</v>
      </c>
      <c r="L2638" s="4">
        <v>895.57</v>
      </c>
      <c r="M2638" s="1" t="str">
        <f>TEXT(Table1[[#This Row],[Order_Date]], "MMM")</f>
        <v>Jun</v>
      </c>
      <c r="N2638" s="1">
        <f>YEAR(Table1[[#This Row],[Order_Date]])</f>
        <v>2023</v>
      </c>
      <c r="O2638" s="7">
        <f>Table1[[#This Row],[Profit]]/Table1[[#This Row],[Total_Sales]]</f>
        <v>0.40933793450190831</v>
      </c>
    </row>
    <row r="2639" spans="1:15" x14ac:dyDescent="0.25">
      <c r="A2639" s="1">
        <v>2638</v>
      </c>
      <c r="B2639" s="2">
        <v>45469</v>
      </c>
      <c r="C2639" s="1" t="s">
        <v>19</v>
      </c>
      <c r="D2639" s="1" t="s">
        <v>32</v>
      </c>
      <c r="E2639" s="1" t="s">
        <v>45</v>
      </c>
      <c r="F2639" s="1" t="s">
        <v>24</v>
      </c>
      <c r="G2639" s="1">
        <v>3</v>
      </c>
      <c r="H2639" s="1">
        <v>308</v>
      </c>
      <c r="I2639" s="1">
        <v>0</v>
      </c>
      <c r="J2639" s="4">
        <v>924</v>
      </c>
      <c r="K2639" s="4">
        <v>683.86</v>
      </c>
      <c r="L2639" s="4">
        <v>240.14</v>
      </c>
      <c r="M2639" s="1" t="str">
        <f>TEXT(Table1[[#This Row],[Order_Date]], "MMM")</f>
        <v>Jun</v>
      </c>
      <c r="N2639" s="1">
        <f>YEAR(Table1[[#This Row],[Order_Date]])</f>
        <v>2024</v>
      </c>
      <c r="O2639" s="7">
        <f>Table1[[#This Row],[Profit]]/Table1[[#This Row],[Total_Sales]]</f>
        <v>0.2598917748917749</v>
      </c>
    </row>
    <row r="2640" spans="1:15" x14ac:dyDescent="0.25">
      <c r="A2640" s="1">
        <v>2639</v>
      </c>
      <c r="B2640" s="2">
        <v>44932</v>
      </c>
      <c r="C2640" s="1" t="s">
        <v>25</v>
      </c>
      <c r="D2640" s="1" t="s">
        <v>13</v>
      </c>
      <c r="E2640" s="1" t="s">
        <v>39</v>
      </c>
      <c r="F2640" s="1" t="s">
        <v>24</v>
      </c>
      <c r="G2640" s="1">
        <v>3</v>
      </c>
      <c r="H2640" s="1">
        <v>752</v>
      </c>
      <c r="I2640" s="1">
        <v>0</v>
      </c>
      <c r="J2640" s="4">
        <v>2256</v>
      </c>
      <c r="K2640" s="4">
        <v>1557.53</v>
      </c>
      <c r="L2640" s="4">
        <v>698.47</v>
      </c>
      <c r="M2640" s="1" t="str">
        <f>TEXT(Table1[[#This Row],[Order_Date]], "MMM")</f>
        <v>Jan</v>
      </c>
      <c r="N2640" s="1">
        <f>YEAR(Table1[[#This Row],[Order_Date]])</f>
        <v>2023</v>
      </c>
      <c r="O2640" s="7">
        <f>Table1[[#This Row],[Profit]]/Table1[[#This Row],[Total_Sales]]</f>
        <v>0.30960549645390073</v>
      </c>
    </row>
    <row r="2641" spans="1:15" x14ac:dyDescent="0.25">
      <c r="A2641" s="1">
        <v>2640</v>
      </c>
      <c r="B2641" s="2">
        <v>45155</v>
      </c>
      <c r="C2641" s="1" t="s">
        <v>19</v>
      </c>
      <c r="D2641" s="1" t="s">
        <v>26</v>
      </c>
      <c r="E2641" s="1" t="s">
        <v>37</v>
      </c>
      <c r="F2641" s="1" t="s">
        <v>18</v>
      </c>
      <c r="G2641" s="1">
        <v>4</v>
      </c>
      <c r="H2641" s="1">
        <v>173</v>
      </c>
      <c r="I2641" s="1">
        <v>10</v>
      </c>
      <c r="J2641" s="4">
        <v>622.79999999999995</v>
      </c>
      <c r="K2641" s="4">
        <v>419.86</v>
      </c>
      <c r="L2641" s="4">
        <v>202.94</v>
      </c>
      <c r="M2641" s="1" t="str">
        <f>TEXT(Table1[[#This Row],[Order_Date]], "MMM")</f>
        <v>Aug</v>
      </c>
      <c r="N2641" s="1">
        <f>YEAR(Table1[[#This Row],[Order_Date]])</f>
        <v>2023</v>
      </c>
      <c r="O2641" s="7">
        <f>Table1[[#This Row],[Profit]]/Table1[[#This Row],[Total_Sales]]</f>
        <v>0.32585099550417473</v>
      </c>
    </row>
    <row r="2642" spans="1:15" x14ac:dyDescent="0.25">
      <c r="A2642" s="1">
        <v>2641</v>
      </c>
      <c r="B2642" s="2">
        <v>45022</v>
      </c>
      <c r="C2642" s="1" t="s">
        <v>16</v>
      </c>
      <c r="D2642" s="1" t="s">
        <v>20</v>
      </c>
      <c r="E2642" s="1" t="s">
        <v>30</v>
      </c>
      <c r="F2642" s="1" t="s">
        <v>18</v>
      </c>
      <c r="G2642" s="1">
        <v>1</v>
      </c>
      <c r="H2642" s="1">
        <v>589</v>
      </c>
      <c r="I2642" s="1">
        <v>10</v>
      </c>
      <c r="J2642" s="4">
        <v>530.1</v>
      </c>
      <c r="K2642" s="4">
        <v>269.27999999999997</v>
      </c>
      <c r="L2642" s="4">
        <v>260.82</v>
      </c>
      <c r="M2642" s="1" t="str">
        <f>TEXT(Table1[[#This Row],[Order_Date]], "MMM")</f>
        <v>Apr</v>
      </c>
      <c r="N2642" s="1">
        <f>YEAR(Table1[[#This Row],[Order_Date]])</f>
        <v>2023</v>
      </c>
      <c r="O2642" s="7">
        <f>Table1[[#This Row],[Profit]]/Table1[[#This Row],[Total_Sales]]</f>
        <v>0.49202037351443123</v>
      </c>
    </row>
    <row r="2643" spans="1:15" x14ac:dyDescent="0.25">
      <c r="A2643" s="1">
        <v>2642</v>
      </c>
      <c r="B2643" s="2">
        <v>45569</v>
      </c>
      <c r="C2643" s="1" t="s">
        <v>16</v>
      </c>
      <c r="D2643" s="1" t="s">
        <v>26</v>
      </c>
      <c r="E2643" s="1" t="s">
        <v>42</v>
      </c>
      <c r="F2643" s="1" t="s">
        <v>40</v>
      </c>
      <c r="G2643" s="1">
        <v>10</v>
      </c>
      <c r="H2643" s="1">
        <v>902</v>
      </c>
      <c r="I2643" s="1">
        <v>5</v>
      </c>
      <c r="J2643" s="4">
        <v>8569</v>
      </c>
      <c r="K2643" s="4">
        <v>6363.01</v>
      </c>
      <c r="L2643" s="4">
        <v>2205.9899999999998</v>
      </c>
      <c r="M2643" s="1" t="str">
        <f>TEXT(Table1[[#This Row],[Order_Date]], "MMM")</f>
        <v>Oct</v>
      </c>
      <c r="N2643" s="1">
        <f>YEAR(Table1[[#This Row],[Order_Date]])</f>
        <v>2024</v>
      </c>
      <c r="O2643" s="7">
        <f>Table1[[#This Row],[Profit]]/Table1[[#This Row],[Total_Sales]]</f>
        <v>0.25743844089158591</v>
      </c>
    </row>
    <row r="2644" spans="1:15" x14ac:dyDescent="0.25">
      <c r="A2644" s="1">
        <v>2643</v>
      </c>
      <c r="B2644" s="2">
        <v>45368</v>
      </c>
      <c r="C2644" s="1" t="s">
        <v>16</v>
      </c>
      <c r="D2644" s="1" t="s">
        <v>32</v>
      </c>
      <c r="E2644" s="1" t="s">
        <v>45</v>
      </c>
      <c r="F2644" s="1" t="s">
        <v>24</v>
      </c>
      <c r="G2644" s="1">
        <v>2</v>
      </c>
      <c r="H2644" s="1">
        <v>965</v>
      </c>
      <c r="I2644" s="1">
        <v>20</v>
      </c>
      <c r="J2644" s="4">
        <v>1544</v>
      </c>
      <c r="K2644" s="4">
        <v>1063.82</v>
      </c>
      <c r="L2644" s="4">
        <v>480.18</v>
      </c>
      <c r="M2644" s="1" t="str">
        <f>TEXT(Table1[[#This Row],[Order_Date]], "MMM")</f>
        <v>Mar</v>
      </c>
      <c r="N2644" s="1">
        <f>YEAR(Table1[[#This Row],[Order_Date]])</f>
        <v>2024</v>
      </c>
      <c r="O2644" s="7">
        <f>Table1[[#This Row],[Profit]]/Table1[[#This Row],[Total_Sales]]</f>
        <v>0.31099740932642489</v>
      </c>
    </row>
    <row r="2645" spans="1:15" x14ac:dyDescent="0.25">
      <c r="A2645" s="1">
        <v>2644</v>
      </c>
      <c r="B2645" s="2">
        <v>45098</v>
      </c>
      <c r="C2645" s="1" t="s">
        <v>19</v>
      </c>
      <c r="D2645" s="1" t="s">
        <v>32</v>
      </c>
      <c r="E2645" s="1" t="s">
        <v>41</v>
      </c>
      <c r="F2645" s="1" t="s">
        <v>24</v>
      </c>
      <c r="G2645" s="1">
        <v>6</v>
      </c>
      <c r="H2645" s="1">
        <v>656</v>
      </c>
      <c r="I2645" s="1">
        <v>10</v>
      </c>
      <c r="J2645" s="4">
        <v>3542.4</v>
      </c>
      <c r="K2645" s="4">
        <v>2228.85</v>
      </c>
      <c r="L2645" s="4">
        <v>1313.55</v>
      </c>
      <c r="M2645" s="1" t="str">
        <f>TEXT(Table1[[#This Row],[Order_Date]], "MMM")</f>
        <v>Jun</v>
      </c>
      <c r="N2645" s="1">
        <f>YEAR(Table1[[#This Row],[Order_Date]])</f>
        <v>2023</v>
      </c>
      <c r="O2645" s="7">
        <f>Table1[[#This Row],[Profit]]/Table1[[#This Row],[Total_Sales]]</f>
        <v>0.37080792682926828</v>
      </c>
    </row>
    <row r="2646" spans="1:15" x14ac:dyDescent="0.25">
      <c r="A2646" s="1">
        <v>2645</v>
      </c>
      <c r="B2646" s="2">
        <v>44999</v>
      </c>
      <c r="C2646" s="1" t="s">
        <v>16</v>
      </c>
      <c r="D2646" s="1" t="s">
        <v>13</v>
      </c>
      <c r="E2646" s="1" t="s">
        <v>39</v>
      </c>
      <c r="F2646" s="1" t="s">
        <v>24</v>
      </c>
      <c r="G2646" s="1">
        <v>2</v>
      </c>
      <c r="H2646" s="1">
        <v>722</v>
      </c>
      <c r="I2646" s="1">
        <v>20</v>
      </c>
      <c r="J2646" s="4">
        <v>1155.2</v>
      </c>
      <c r="K2646" s="4">
        <v>695.94</v>
      </c>
      <c r="L2646" s="4">
        <v>459.26</v>
      </c>
      <c r="M2646" s="1" t="str">
        <f>TEXT(Table1[[#This Row],[Order_Date]], "MMM")</f>
        <v>Mar</v>
      </c>
      <c r="N2646" s="1">
        <f>YEAR(Table1[[#This Row],[Order_Date]])</f>
        <v>2023</v>
      </c>
      <c r="O2646" s="7">
        <f>Table1[[#This Row],[Profit]]/Table1[[#This Row],[Total_Sales]]</f>
        <v>0.39755886426592796</v>
      </c>
    </row>
    <row r="2647" spans="1:15" x14ac:dyDescent="0.25">
      <c r="A2647" s="1">
        <v>2646</v>
      </c>
      <c r="B2647" s="2">
        <v>45315</v>
      </c>
      <c r="C2647" s="1" t="s">
        <v>12</v>
      </c>
      <c r="D2647" s="1" t="s">
        <v>26</v>
      </c>
      <c r="E2647" s="1" t="s">
        <v>46</v>
      </c>
      <c r="F2647" s="1" t="s">
        <v>24</v>
      </c>
      <c r="G2647" s="1">
        <v>8</v>
      </c>
      <c r="H2647" s="1">
        <v>183</v>
      </c>
      <c r="I2647" s="1">
        <v>0</v>
      </c>
      <c r="J2647" s="4">
        <v>1464</v>
      </c>
      <c r="K2647" s="4">
        <v>1153.6600000000001</v>
      </c>
      <c r="L2647" s="4">
        <v>310.33999999999997</v>
      </c>
      <c r="M2647" s="1" t="str">
        <f>TEXT(Table1[[#This Row],[Order_Date]], "MMM")</f>
        <v>Jan</v>
      </c>
      <c r="N2647" s="1">
        <f>YEAR(Table1[[#This Row],[Order_Date]])</f>
        <v>2024</v>
      </c>
      <c r="O2647" s="7">
        <f>Table1[[#This Row],[Profit]]/Table1[[#This Row],[Total_Sales]]</f>
        <v>0.21198087431693988</v>
      </c>
    </row>
    <row r="2648" spans="1:15" x14ac:dyDescent="0.25">
      <c r="A2648" s="1">
        <v>2647</v>
      </c>
      <c r="B2648" s="2">
        <v>45209</v>
      </c>
      <c r="C2648" s="1" t="s">
        <v>25</v>
      </c>
      <c r="D2648" s="1" t="s">
        <v>22</v>
      </c>
      <c r="E2648" s="1" t="s">
        <v>29</v>
      </c>
      <c r="F2648" s="1" t="s">
        <v>31</v>
      </c>
      <c r="G2648" s="1">
        <v>3</v>
      </c>
      <c r="H2648" s="1">
        <v>365</v>
      </c>
      <c r="I2648" s="1">
        <v>5</v>
      </c>
      <c r="J2648" s="4">
        <v>1040.25</v>
      </c>
      <c r="K2648" s="4">
        <v>709.65</v>
      </c>
      <c r="L2648" s="4">
        <v>330.6</v>
      </c>
      <c r="M2648" s="1" t="str">
        <f>TEXT(Table1[[#This Row],[Order_Date]], "MMM")</f>
        <v>Oct</v>
      </c>
      <c r="N2648" s="1">
        <f>YEAR(Table1[[#This Row],[Order_Date]])</f>
        <v>2023</v>
      </c>
      <c r="O2648" s="7">
        <f>Table1[[#This Row],[Profit]]/Table1[[#This Row],[Total_Sales]]</f>
        <v>0.31780821917808222</v>
      </c>
    </row>
    <row r="2649" spans="1:15" x14ac:dyDescent="0.25">
      <c r="A2649" s="1">
        <v>2648</v>
      </c>
      <c r="B2649" s="2">
        <v>45609</v>
      </c>
      <c r="C2649" s="1" t="s">
        <v>19</v>
      </c>
      <c r="D2649" s="1" t="s">
        <v>20</v>
      </c>
      <c r="E2649" s="1" t="s">
        <v>30</v>
      </c>
      <c r="F2649" s="1" t="s">
        <v>15</v>
      </c>
      <c r="G2649" s="1">
        <v>10</v>
      </c>
      <c r="H2649" s="1">
        <v>328</v>
      </c>
      <c r="I2649" s="1">
        <v>10</v>
      </c>
      <c r="J2649" s="4">
        <v>2952</v>
      </c>
      <c r="K2649" s="4">
        <v>1483.36</v>
      </c>
      <c r="L2649" s="4">
        <v>1468.64</v>
      </c>
      <c r="M2649" s="1" t="str">
        <f>TEXT(Table1[[#This Row],[Order_Date]], "MMM")</f>
        <v>Nov</v>
      </c>
      <c r="N2649" s="1">
        <f>YEAR(Table1[[#This Row],[Order_Date]])</f>
        <v>2024</v>
      </c>
      <c r="O2649" s="7">
        <f>Table1[[#This Row],[Profit]]/Table1[[#This Row],[Total_Sales]]</f>
        <v>0.49750677506775071</v>
      </c>
    </row>
    <row r="2650" spans="1:15" x14ac:dyDescent="0.25">
      <c r="A2650" s="1">
        <v>2649</v>
      </c>
      <c r="B2650" s="2">
        <v>45257</v>
      </c>
      <c r="C2650" s="1" t="s">
        <v>12</v>
      </c>
      <c r="D2650" s="1" t="s">
        <v>22</v>
      </c>
      <c r="E2650" s="1" t="s">
        <v>36</v>
      </c>
      <c r="F2650" s="1" t="s">
        <v>40</v>
      </c>
      <c r="G2650" s="1">
        <v>5</v>
      </c>
      <c r="H2650" s="1">
        <v>10</v>
      </c>
      <c r="I2650" s="1">
        <v>0</v>
      </c>
      <c r="J2650" s="4">
        <v>50</v>
      </c>
      <c r="K2650" s="4">
        <v>25.6</v>
      </c>
      <c r="L2650" s="4">
        <v>24.4</v>
      </c>
      <c r="M2650" s="1" t="str">
        <f>TEXT(Table1[[#This Row],[Order_Date]], "MMM")</f>
        <v>Nov</v>
      </c>
      <c r="N2650" s="1">
        <f>YEAR(Table1[[#This Row],[Order_Date]])</f>
        <v>2023</v>
      </c>
      <c r="O2650" s="7">
        <f>Table1[[#This Row],[Profit]]/Table1[[#This Row],[Total_Sales]]</f>
        <v>0.48799999999999999</v>
      </c>
    </row>
    <row r="2651" spans="1:15" x14ac:dyDescent="0.25">
      <c r="A2651" s="1">
        <v>2650</v>
      </c>
      <c r="B2651" s="2">
        <v>45391</v>
      </c>
      <c r="C2651" s="1" t="s">
        <v>19</v>
      </c>
      <c r="D2651" s="1" t="s">
        <v>26</v>
      </c>
      <c r="E2651" s="1" t="s">
        <v>42</v>
      </c>
      <c r="F2651" s="1" t="s">
        <v>18</v>
      </c>
      <c r="G2651" s="1">
        <v>8</v>
      </c>
      <c r="H2651" s="1">
        <v>762</v>
      </c>
      <c r="I2651" s="1">
        <v>0</v>
      </c>
      <c r="J2651" s="4">
        <v>6096</v>
      </c>
      <c r="K2651" s="4">
        <v>3357.36</v>
      </c>
      <c r="L2651" s="4">
        <v>2738.64</v>
      </c>
      <c r="M2651" s="1" t="str">
        <f>TEXT(Table1[[#This Row],[Order_Date]], "MMM")</f>
        <v>Apr</v>
      </c>
      <c r="N2651" s="1">
        <f>YEAR(Table1[[#This Row],[Order_Date]])</f>
        <v>2024</v>
      </c>
      <c r="O2651" s="7">
        <f>Table1[[#This Row],[Profit]]/Table1[[#This Row],[Total_Sales]]</f>
        <v>0.449251968503937</v>
      </c>
    </row>
    <row r="2652" spans="1:15" x14ac:dyDescent="0.25">
      <c r="A2652" s="1">
        <v>2651</v>
      </c>
      <c r="B2652" s="2">
        <v>45173</v>
      </c>
      <c r="C2652" s="1" t="s">
        <v>19</v>
      </c>
      <c r="D2652" s="1" t="s">
        <v>22</v>
      </c>
      <c r="E2652" s="1" t="s">
        <v>44</v>
      </c>
      <c r="F2652" s="1" t="s">
        <v>35</v>
      </c>
      <c r="G2652" s="1">
        <v>8</v>
      </c>
      <c r="H2652" s="1">
        <v>367</v>
      </c>
      <c r="I2652" s="1">
        <v>20</v>
      </c>
      <c r="J2652" s="4">
        <v>2348.8000000000002</v>
      </c>
      <c r="K2652" s="4">
        <v>1600.45</v>
      </c>
      <c r="L2652" s="4">
        <v>748.35</v>
      </c>
      <c r="M2652" s="1" t="str">
        <f>TEXT(Table1[[#This Row],[Order_Date]], "MMM")</f>
        <v>Sep</v>
      </c>
      <c r="N2652" s="1">
        <f>YEAR(Table1[[#This Row],[Order_Date]])</f>
        <v>2023</v>
      </c>
      <c r="O2652" s="7">
        <f>Table1[[#This Row],[Profit]]/Table1[[#This Row],[Total_Sales]]</f>
        <v>0.3186095027247956</v>
      </c>
    </row>
    <row r="2653" spans="1:15" x14ac:dyDescent="0.25">
      <c r="A2653" s="1">
        <v>2652</v>
      </c>
      <c r="B2653" s="2">
        <v>45305</v>
      </c>
      <c r="C2653" s="1" t="s">
        <v>16</v>
      </c>
      <c r="D2653" s="1" t="s">
        <v>13</v>
      </c>
      <c r="E2653" s="1" t="s">
        <v>39</v>
      </c>
      <c r="F2653" s="1" t="s">
        <v>31</v>
      </c>
      <c r="G2653" s="1">
        <v>7</v>
      </c>
      <c r="H2653" s="1">
        <v>337</v>
      </c>
      <c r="I2653" s="1">
        <v>20</v>
      </c>
      <c r="J2653" s="4">
        <v>1887.2</v>
      </c>
      <c r="K2653" s="4">
        <v>1293.07</v>
      </c>
      <c r="L2653" s="4">
        <v>594.13</v>
      </c>
      <c r="M2653" s="1" t="str">
        <f>TEXT(Table1[[#This Row],[Order_Date]], "MMM")</f>
        <v>Jan</v>
      </c>
      <c r="N2653" s="1">
        <f>YEAR(Table1[[#This Row],[Order_Date]])</f>
        <v>2024</v>
      </c>
      <c r="O2653" s="7">
        <f>Table1[[#This Row],[Profit]]/Table1[[#This Row],[Total_Sales]]</f>
        <v>0.31482089868588387</v>
      </c>
    </row>
    <row r="2654" spans="1:15" x14ac:dyDescent="0.25">
      <c r="A2654" s="1">
        <v>2653</v>
      </c>
      <c r="B2654" s="2">
        <v>45081</v>
      </c>
      <c r="C2654" s="1" t="s">
        <v>19</v>
      </c>
      <c r="D2654" s="1" t="s">
        <v>13</v>
      </c>
      <c r="E2654" s="1" t="s">
        <v>38</v>
      </c>
      <c r="F2654" s="1" t="s">
        <v>40</v>
      </c>
      <c r="G2654" s="1">
        <v>1</v>
      </c>
      <c r="H2654" s="1">
        <v>628</v>
      </c>
      <c r="I2654" s="1">
        <v>10</v>
      </c>
      <c r="J2654" s="4">
        <v>565.20000000000005</v>
      </c>
      <c r="K2654" s="4">
        <v>444.06</v>
      </c>
      <c r="L2654" s="4">
        <v>121.14</v>
      </c>
      <c r="M2654" s="1" t="str">
        <f>TEXT(Table1[[#This Row],[Order_Date]], "MMM")</f>
        <v>Jun</v>
      </c>
      <c r="N2654" s="1">
        <f>YEAR(Table1[[#This Row],[Order_Date]])</f>
        <v>2023</v>
      </c>
      <c r="O2654" s="7">
        <f>Table1[[#This Row],[Profit]]/Table1[[#This Row],[Total_Sales]]</f>
        <v>0.21433121019108278</v>
      </c>
    </row>
    <row r="2655" spans="1:15" x14ac:dyDescent="0.25">
      <c r="A2655" s="1">
        <v>2654</v>
      </c>
      <c r="B2655" s="2">
        <v>45351</v>
      </c>
      <c r="C2655" s="1" t="s">
        <v>19</v>
      </c>
      <c r="D2655" s="1" t="s">
        <v>32</v>
      </c>
      <c r="E2655" s="1" t="s">
        <v>33</v>
      </c>
      <c r="F2655" s="1" t="s">
        <v>31</v>
      </c>
      <c r="G2655" s="1">
        <v>6</v>
      </c>
      <c r="H2655" s="1">
        <v>38</v>
      </c>
      <c r="I2655" s="1">
        <v>5</v>
      </c>
      <c r="J2655" s="4">
        <v>216.6</v>
      </c>
      <c r="K2655" s="4">
        <v>149.16999999999999</v>
      </c>
      <c r="L2655" s="4">
        <v>67.430000000000007</v>
      </c>
      <c r="M2655" s="1" t="str">
        <f>TEXT(Table1[[#This Row],[Order_Date]], "MMM")</f>
        <v>Feb</v>
      </c>
      <c r="N2655" s="1">
        <f>YEAR(Table1[[#This Row],[Order_Date]])</f>
        <v>2024</v>
      </c>
      <c r="O2655" s="7">
        <f>Table1[[#This Row],[Profit]]/Table1[[#This Row],[Total_Sales]]</f>
        <v>0.31131117266851344</v>
      </c>
    </row>
    <row r="2656" spans="1:15" x14ac:dyDescent="0.25">
      <c r="A2656" s="1">
        <v>2655</v>
      </c>
      <c r="B2656" s="2">
        <v>45362</v>
      </c>
      <c r="C2656" s="1" t="s">
        <v>19</v>
      </c>
      <c r="D2656" s="1" t="s">
        <v>20</v>
      </c>
      <c r="E2656" s="1" t="s">
        <v>28</v>
      </c>
      <c r="F2656" s="1" t="s">
        <v>35</v>
      </c>
      <c r="G2656" s="1">
        <v>8</v>
      </c>
      <c r="H2656" s="1">
        <v>927</v>
      </c>
      <c r="I2656" s="1">
        <v>5</v>
      </c>
      <c r="J2656" s="4">
        <v>7045.2</v>
      </c>
      <c r="K2656" s="4">
        <v>4397.1099999999997</v>
      </c>
      <c r="L2656" s="4">
        <v>2648.09</v>
      </c>
      <c r="M2656" s="1" t="str">
        <f>TEXT(Table1[[#This Row],[Order_Date]], "MMM")</f>
        <v>Mar</v>
      </c>
      <c r="N2656" s="1">
        <f>YEAR(Table1[[#This Row],[Order_Date]])</f>
        <v>2024</v>
      </c>
      <c r="O2656" s="7">
        <f>Table1[[#This Row],[Profit]]/Table1[[#This Row],[Total_Sales]]</f>
        <v>0.37587151535797425</v>
      </c>
    </row>
    <row r="2657" spans="1:15" x14ac:dyDescent="0.25">
      <c r="A2657" s="1">
        <v>2656</v>
      </c>
      <c r="B2657" s="2">
        <v>45289</v>
      </c>
      <c r="C2657" s="1" t="s">
        <v>12</v>
      </c>
      <c r="D2657" s="1" t="s">
        <v>26</v>
      </c>
      <c r="E2657" s="1" t="s">
        <v>37</v>
      </c>
      <c r="F2657" s="1" t="s">
        <v>18</v>
      </c>
      <c r="G2657" s="1">
        <v>5</v>
      </c>
      <c r="H2657" s="1">
        <v>534</v>
      </c>
      <c r="I2657" s="1">
        <v>20</v>
      </c>
      <c r="J2657" s="4">
        <v>2136</v>
      </c>
      <c r="K2657" s="4">
        <v>1705.42</v>
      </c>
      <c r="L2657" s="4">
        <v>430.58</v>
      </c>
      <c r="M2657" s="1" t="str">
        <f>TEXT(Table1[[#This Row],[Order_Date]], "MMM")</f>
        <v>Dec</v>
      </c>
      <c r="N2657" s="1">
        <f>YEAR(Table1[[#This Row],[Order_Date]])</f>
        <v>2023</v>
      </c>
      <c r="O2657" s="7">
        <f>Table1[[#This Row],[Profit]]/Table1[[#This Row],[Total_Sales]]</f>
        <v>0.20158239700374531</v>
      </c>
    </row>
    <row r="2658" spans="1:15" x14ac:dyDescent="0.25">
      <c r="A2658" s="1">
        <v>2657</v>
      </c>
      <c r="B2658" s="2">
        <v>45079</v>
      </c>
      <c r="C2658" s="1" t="s">
        <v>25</v>
      </c>
      <c r="D2658" s="1" t="s">
        <v>13</v>
      </c>
      <c r="E2658" s="1" t="s">
        <v>38</v>
      </c>
      <c r="F2658" s="1" t="s">
        <v>31</v>
      </c>
      <c r="G2658" s="1">
        <v>7</v>
      </c>
      <c r="H2658" s="1">
        <v>167</v>
      </c>
      <c r="I2658" s="1">
        <v>15</v>
      </c>
      <c r="J2658" s="4">
        <v>993.65</v>
      </c>
      <c r="K2658" s="4">
        <v>690.1</v>
      </c>
      <c r="L2658" s="4">
        <v>303.55</v>
      </c>
      <c r="M2658" s="1" t="str">
        <f>TEXT(Table1[[#This Row],[Order_Date]], "MMM")</f>
        <v>Jun</v>
      </c>
      <c r="N2658" s="1">
        <f>YEAR(Table1[[#This Row],[Order_Date]])</f>
        <v>2023</v>
      </c>
      <c r="O2658" s="7">
        <f>Table1[[#This Row],[Profit]]/Table1[[#This Row],[Total_Sales]]</f>
        <v>0.30548986061490468</v>
      </c>
    </row>
    <row r="2659" spans="1:15" x14ac:dyDescent="0.25">
      <c r="A2659" s="1">
        <v>2658</v>
      </c>
      <c r="B2659" s="2">
        <v>45444</v>
      </c>
      <c r="C2659" s="1" t="s">
        <v>12</v>
      </c>
      <c r="D2659" s="1" t="s">
        <v>26</v>
      </c>
      <c r="E2659" s="1" t="s">
        <v>27</v>
      </c>
      <c r="F2659" s="1" t="s">
        <v>18</v>
      </c>
      <c r="G2659" s="1">
        <v>7</v>
      </c>
      <c r="H2659" s="1">
        <v>509</v>
      </c>
      <c r="I2659" s="1">
        <v>0</v>
      </c>
      <c r="J2659" s="4">
        <v>3563</v>
      </c>
      <c r="K2659" s="4">
        <v>2239.08</v>
      </c>
      <c r="L2659" s="4">
        <v>1323.92</v>
      </c>
      <c r="M2659" s="1" t="str">
        <f>TEXT(Table1[[#This Row],[Order_Date]], "MMM")</f>
        <v>Jun</v>
      </c>
      <c r="N2659" s="1">
        <f>YEAR(Table1[[#This Row],[Order_Date]])</f>
        <v>2024</v>
      </c>
      <c r="O2659" s="7">
        <f>Table1[[#This Row],[Profit]]/Table1[[#This Row],[Total_Sales]]</f>
        <v>0.37157451585742352</v>
      </c>
    </row>
    <row r="2660" spans="1:15" x14ac:dyDescent="0.25">
      <c r="A2660" s="1">
        <v>2659</v>
      </c>
      <c r="B2660" s="2">
        <v>45490</v>
      </c>
      <c r="C2660" s="1" t="s">
        <v>12</v>
      </c>
      <c r="D2660" s="1" t="s">
        <v>26</v>
      </c>
      <c r="E2660" s="1" t="s">
        <v>46</v>
      </c>
      <c r="F2660" s="1" t="s">
        <v>24</v>
      </c>
      <c r="G2660" s="1">
        <v>8</v>
      </c>
      <c r="H2660" s="1">
        <v>996</v>
      </c>
      <c r="I2660" s="1">
        <v>10</v>
      </c>
      <c r="J2660" s="4">
        <v>7171.2</v>
      </c>
      <c r="K2660" s="4">
        <v>5065.7700000000004</v>
      </c>
      <c r="L2660" s="4">
        <v>2105.4299999999998</v>
      </c>
      <c r="M2660" s="1" t="str">
        <f>TEXT(Table1[[#This Row],[Order_Date]], "MMM")</f>
        <v>Jul</v>
      </c>
      <c r="N2660" s="1">
        <f>YEAR(Table1[[#This Row],[Order_Date]])</f>
        <v>2024</v>
      </c>
      <c r="O2660" s="7">
        <f>Table1[[#This Row],[Profit]]/Table1[[#This Row],[Total_Sales]]</f>
        <v>0.29359521419009371</v>
      </c>
    </row>
    <row r="2661" spans="1:15" x14ac:dyDescent="0.25">
      <c r="A2661" s="1">
        <v>2660</v>
      </c>
      <c r="B2661" s="2">
        <v>45304</v>
      </c>
      <c r="C2661" s="1" t="s">
        <v>19</v>
      </c>
      <c r="D2661" s="1" t="s">
        <v>20</v>
      </c>
      <c r="E2661" s="1" t="s">
        <v>28</v>
      </c>
      <c r="F2661" s="1" t="s">
        <v>15</v>
      </c>
      <c r="G2661" s="1">
        <v>10</v>
      </c>
      <c r="H2661" s="1">
        <v>413</v>
      </c>
      <c r="I2661" s="1">
        <v>15</v>
      </c>
      <c r="J2661" s="4">
        <v>3510.5</v>
      </c>
      <c r="K2661" s="4">
        <v>2355.11</v>
      </c>
      <c r="L2661" s="4">
        <v>1155.3900000000001</v>
      </c>
      <c r="M2661" s="1" t="str">
        <f>TEXT(Table1[[#This Row],[Order_Date]], "MMM")</f>
        <v>Jan</v>
      </c>
      <c r="N2661" s="1">
        <f>YEAR(Table1[[#This Row],[Order_Date]])</f>
        <v>2024</v>
      </c>
      <c r="O2661" s="7">
        <f>Table1[[#This Row],[Profit]]/Table1[[#This Row],[Total_Sales]]</f>
        <v>0.32912405640222192</v>
      </c>
    </row>
    <row r="2662" spans="1:15" x14ac:dyDescent="0.25">
      <c r="A2662" s="1">
        <v>2661</v>
      </c>
      <c r="B2662" s="2">
        <v>45621</v>
      </c>
      <c r="C2662" s="1" t="s">
        <v>12</v>
      </c>
      <c r="D2662" s="1" t="s">
        <v>13</v>
      </c>
      <c r="E2662" s="1" t="s">
        <v>17</v>
      </c>
      <c r="F2662" s="1" t="s">
        <v>18</v>
      </c>
      <c r="G2662" s="1">
        <v>5</v>
      </c>
      <c r="H2662" s="1">
        <v>419</v>
      </c>
      <c r="I2662" s="1">
        <v>20</v>
      </c>
      <c r="J2662" s="4">
        <v>1676</v>
      </c>
      <c r="K2662" s="4">
        <v>1094.81</v>
      </c>
      <c r="L2662" s="4">
        <v>581.19000000000005</v>
      </c>
      <c r="M2662" s="1" t="str">
        <f>TEXT(Table1[[#This Row],[Order_Date]], "MMM")</f>
        <v>Nov</v>
      </c>
      <c r="N2662" s="1">
        <f>YEAR(Table1[[#This Row],[Order_Date]])</f>
        <v>2024</v>
      </c>
      <c r="O2662" s="7">
        <f>Table1[[#This Row],[Profit]]/Table1[[#This Row],[Total_Sales]]</f>
        <v>0.34677207637231505</v>
      </c>
    </row>
    <row r="2663" spans="1:15" x14ac:dyDescent="0.25">
      <c r="A2663" s="1">
        <v>2662</v>
      </c>
      <c r="B2663" s="2">
        <v>45392</v>
      </c>
      <c r="C2663" s="1" t="s">
        <v>16</v>
      </c>
      <c r="D2663" s="1" t="s">
        <v>20</v>
      </c>
      <c r="E2663" s="1" t="s">
        <v>43</v>
      </c>
      <c r="F2663" s="1" t="s">
        <v>31</v>
      </c>
      <c r="G2663" s="1">
        <v>7</v>
      </c>
      <c r="H2663" s="1">
        <v>823</v>
      </c>
      <c r="I2663" s="1">
        <v>0</v>
      </c>
      <c r="J2663" s="4">
        <v>5761</v>
      </c>
      <c r="K2663" s="4">
        <v>3944.79</v>
      </c>
      <c r="L2663" s="4">
        <v>1816.21</v>
      </c>
      <c r="M2663" s="1" t="str">
        <f>TEXT(Table1[[#This Row],[Order_Date]], "MMM")</f>
        <v>Apr</v>
      </c>
      <c r="N2663" s="1">
        <f>YEAR(Table1[[#This Row],[Order_Date]])</f>
        <v>2024</v>
      </c>
      <c r="O2663" s="7">
        <f>Table1[[#This Row],[Profit]]/Table1[[#This Row],[Total_Sales]]</f>
        <v>0.31525950355840998</v>
      </c>
    </row>
    <row r="2664" spans="1:15" x14ac:dyDescent="0.25">
      <c r="A2664" s="1">
        <v>2663</v>
      </c>
      <c r="B2664" s="2">
        <v>45441</v>
      </c>
      <c r="C2664" s="1" t="s">
        <v>19</v>
      </c>
      <c r="D2664" s="1" t="s">
        <v>13</v>
      </c>
      <c r="E2664" s="1" t="s">
        <v>38</v>
      </c>
      <c r="F2664" s="1" t="s">
        <v>31</v>
      </c>
      <c r="G2664" s="1">
        <v>10</v>
      </c>
      <c r="H2664" s="1">
        <v>84</v>
      </c>
      <c r="I2664" s="1">
        <v>0</v>
      </c>
      <c r="J2664" s="4">
        <v>840</v>
      </c>
      <c r="K2664" s="4">
        <v>513.04</v>
      </c>
      <c r="L2664" s="4">
        <v>326.95999999999998</v>
      </c>
      <c r="M2664" s="1" t="str">
        <f>TEXT(Table1[[#This Row],[Order_Date]], "MMM")</f>
        <v>May</v>
      </c>
      <c r="N2664" s="1">
        <f>YEAR(Table1[[#This Row],[Order_Date]])</f>
        <v>2024</v>
      </c>
      <c r="O2664" s="7">
        <f>Table1[[#This Row],[Profit]]/Table1[[#This Row],[Total_Sales]]</f>
        <v>0.38923809523809522</v>
      </c>
    </row>
    <row r="2665" spans="1:15" x14ac:dyDescent="0.25">
      <c r="A2665" s="1">
        <v>2664</v>
      </c>
      <c r="B2665" s="2">
        <v>45210</v>
      </c>
      <c r="C2665" s="1" t="s">
        <v>25</v>
      </c>
      <c r="D2665" s="1" t="s">
        <v>20</v>
      </c>
      <c r="E2665" s="1" t="s">
        <v>43</v>
      </c>
      <c r="F2665" s="1" t="s">
        <v>24</v>
      </c>
      <c r="G2665" s="1">
        <v>3</v>
      </c>
      <c r="H2665" s="1">
        <v>580</v>
      </c>
      <c r="I2665" s="1">
        <v>0</v>
      </c>
      <c r="J2665" s="4">
        <v>1740</v>
      </c>
      <c r="K2665" s="4">
        <v>1277.44</v>
      </c>
      <c r="L2665" s="4">
        <v>462.56</v>
      </c>
      <c r="M2665" s="1" t="str">
        <f>TEXT(Table1[[#This Row],[Order_Date]], "MMM")</f>
        <v>Oct</v>
      </c>
      <c r="N2665" s="1">
        <f>YEAR(Table1[[#This Row],[Order_Date]])</f>
        <v>2023</v>
      </c>
      <c r="O2665" s="7">
        <f>Table1[[#This Row],[Profit]]/Table1[[#This Row],[Total_Sales]]</f>
        <v>0.26583908045977012</v>
      </c>
    </row>
    <row r="2666" spans="1:15" x14ac:dyDescent="0.25">
      <c r="A2666" s="1">
        <v>2665</v>
      </c>
      <c r="B2666" s="2">
        <v>45054</v>
      </c>
      <c r="C2666" s="1" t="s">
        <v>25</v>
      </c>
      <c r="D2666" s="1" t="s">
        <v>32</v>
      </c>
      <c r="E2666" s="1" t="s">
        <v>41</v>
      </c>
      <c r="F2666" s="1" t="s">
        <v>35</v>
      </c>
      <c r="G2666" s="1">
        <v>7</v>
      </c>
      <c r="H2666" s="1">
        <v>646</v>
      </c>
      <c r="I2666" s="1">
        <v>5</v>
      </c>
      <c r="J2666" s="4">
        <v>4295.8999999999996</v>
      </c>
      <c r="K2666" s="4">
        <v>2272.8200000000002</v>
      </c>
      <c r="L2666" s="4">
        <v>2023.08</v>
      </c>
      <c r="M2666" s="1" t="str">
        <f>TEXT(Table1[[#This Row],[Order_Date]], "MMM")</f>
        <v>May</v>
      </c>
      <c r="N2666" s="1">
        <f>YEAR(Table1[[#This Row],[Order_Date]])</f>
        <v>2023</v>
      </c>
      <c r="O2666" s="7">
        <f>Table1[[#This Row],[Profit]]/Table1[[#This Row],[Total_Sales]]</f>
        <v>0.47093274983123445</v>
      </c>
    </row>
    <row r="2667" spans="1:15" x14ac:dyDescent="0.25">
      <c r="A2667" s="1">
        <v>2666</v>
      </c>
      <c r="B2667" s="2">
        <v>45140</v>
      </c>
      <c r="C2667" s="1" t="s">
        <v>25</v>
      </c>
      <c r="D2667" s="1" t="s">
        <v>32</v>
      </c>
      <c r="E2667" s="1" t="s">
        <v>45</v>
      </c>
      <c r="F2667" s="1" t="s">
        <v>31</v>
      </c>
      <c r="G2667" s="1">
        <v>2</v>
      </c>
      <c r="H2667" s="1">
        <v>790</v>
      </c>
      <c r="I2667" s="1">
        <v>15</v>
      </c>
      <c r="J2667" s="4">
        <v>1343</v>
      </c>
      <c r="K2667" s="4">
        <v>901.34</v>
      </c>
      <c r="L2667" s="4">
        <v>441.66</v>
      </c>
      <c r="M2667" s="1" t="str">
        <f>TEXT(Table1[[#This Row],[Order_Date]], "MMM")</f>
        <v>Aug</v>
      </c>
      <c r="N2667" s="1">
        <f>YEAR(Table1[[#This Row],[Order_Date]])</f>
        <v>2023</v>
      </c>
      <c r="O2667" s="7">
        <f>Table1[[#This Row],[Profit]]/Table1[[#This Row],[Total_Sales]]</f>
        <v>0.32886075949367088</v>
      </c>
    </row>
    <row r="2668" spans="1:15" x14ac:dyDescent="0.25">
      <c r="A2668" s="1">
        <v>2667</v>
      </c>
      <c r="B2668" s="2">
        <v>45058</v>
      </c>
      <c r="C2668" s="1" t="s">
        <v>16</v>
      </c>
      <c r="D2668" s="1" t="s">
        <v>22</v>
      </c>
      <c r="E2668" s="1" t="s">
        <v>29</v>
      </c>
      <c r="F2668" s="1" t="s">
        <v>35</v>
      </c>
      <c r="G2668" s="1">
        <v>8</v>
      </c>
      <c r="H2668" s="1">
        <v>995</v>
      </c>
      <c r="I2668" s="1">
        <v>5</v>
      </c>
      <c r="J2668" s="4">
        <v>7562</v>
      </c>
      <c r="K2668" s="4">
        <v>4968.18</v>
      </c>
      <c r="L2668" s="4">
        <v>2593.8200000000002</v>
      </c>
      <c r="M2668" s="1" t="str">
        <f>TEXT(Table1[[#This Row],[Order_Date]], "MMM")</f>
        <v>May</v>
      </c>
      <c r="N2668" s="1">
        <f>YEAR(Table1[[#This Row],[Order_Date]])</f>
        <v>2023</v>
      </c>
      <c r="O2668" s="7">
        <f>Table1[[#This Row],[Profit]]/Table1[[#This Row],[Total_Sales]]</f>
        <v>0.34300714096799789</v>
      </c>
    </row>
    <row r="2669" spans="1:15" x14ac:dyDescent="0.25">
      <c r="A2669" s="1">
        <v>2668</v>
      </c>
      <c r="B2669" s="2">
        <v>45491</v>
      </c>
      <c r="C2669" s="1" t="s">
        <v>25</v>
      </c>
      <c r="D2669" s="1" t="s">
        <v>26</v>
      </c>
      <c r="E2669" s="1" t="s">
        <v>42</v>
      </c>
      <c r="F2669" s="1" t="s">
        <v>15</v>
      </c>
      <c r="G2669" s="1">
        <v>4</v>
      </c>
      <c r="H2669" s="1">
        <v>731</v>
      </c>
      <c r="I2669" s="1">
        <v>0</v>
      </c>
      <c r="J2669" s="4">
        <v>2924</v>
      </c>
      <c r="K2669" s="4">
        <v>1529.64</v>
      </c>
      <c r="L2669" s="4">
        <v>1394.36</v>
      </c>
      <c r="M2669" s="1" t="str">
        <f>TEXT(Table1[[#This Row],[Order_Date]], "MMM")</f>
        <v>Jul</v>
      </c>
      <c r="N2669" s="1">
        <f>YEAR(Table1[[#This Row],[Order_Date]])</f>
        <v>2024</v>
      </c>
      <c r="O2669" s="7">
        <f>Table1[[#This Row],[Profit]]/Table1[[#This Row],[Total_Sales]]</f>
        <v>0.4768673050615595</v>
      </c>
    </row>
    <row r="2670" spans="1:15" x14ac:dyDescent="0.25">
      <c r="A2670" s="1">
        <v>2669</v>
      </c>
      <c r="B2670" s="2">
        <v>45017</v>
      </c>
      <c r="C2670" s="1" t="s">
        <v>12</v>
      </c>
      <c r="D2670" s="1" t="s">
        <v>26</v>
      </c>
      <c r="E2670" s="1" t="s">
        <v>46</v>
      </c>
      <c r="F2670" s="1" t="s">
        <v>31</v>
      </c>
      <c r="G2670" s="1">
        <v>1</v>
      </c>
      <c r="H2670" s="1">
        <v>901</v>
      </c>
      <c r="I2670" s="1">
        <v>0</v>
      </c>
      <c r="J2670" s="4">
        <v>901</v>
      </c>
      <c r="K2670" s="4">
        <v>562.21</v>
      </c>
      <c r="L2670" s="4">
        <v>338.79</v>
      </c>
      <c r="M2670" s="1" t="str">
        <f>TEXT(Table1[[#This Row],[Order_Date]], "MMM")</f>
        <v>Apr</v>
      </c>
      <c r="N2670" s="1">
        <f>YEAR(Table1[[#This Row],[Order_Date]])</f>
        <v>2023</v>
      </c>
      <c r="O2670" s="7">
        <f>Table1[[#This Row],[Profit]]/Table1[[#This Row],[Total_Sales]]</f>
        <v>0.37601553829078804</v>
      </c>
    </row>
    <row r="2671" spans="1:15" x14ac:dyDescent="0.25">
      <c r="A2671" s="1">
        <v>2670</v>
      </c>
      <c r="B2671" s="2">
        <v>45455</v>
      </c>
      <c r="C2671" s="1" t="s">
        <v>19</v>
      </c>
      <c r="D2671" s="1" t="s">
        <v>22</v>
      </c>
      <c r="E2671" s="1" t="s">
        <v>36</v>
      </c>
      <c r="F2671" s="1" t="s">
        <v>31</v>
      </c>
      <c r="G2671" s="1">
        <v>1</v>
      </c>
      <c r="H2671" s="1">
        <v>856</v>
      </c>
      <c r="I2671" s="1">
        <v>15</v>
      </c>
      <c r="J2671" s="4">
        <v>727.6</v>
      </c>
      <c r="K2671" s="4">
        <v>495.46</v>
      </c>
      <c r="L2671" s="4">
        <v>232.14</v>
      </c>
      <c r="M2671" s="1" t="str">
        <f>TEXT(Table1[[#This Row],[Order_Date]], "MMM")</f>
        <v>Jun</v>
      </c>
      <c r="N2671" s="1">
        <f>YEAR(Table1[[#This Row],[Order_Date]])</f>
        <v>2024</v>
      </c>
      <c r="O2671" s="7">
        <f>Table1[[#This Row],[Profit]]/Table1[[#This Row],[Total_Sales]]</f>
        <v>0.31904892798240791</v>
      </c>
    </row>
    <row r="2672" spans="1:15" x14ac:dyDescent="0.25">
      <c r="A2672" s="1">
        <v>2671</v>
      </c>
      <c r="B2672" s="2">
        <v>45123</v>
      </c>
      <c r="C2672" s="1" t="s">
        <v>25</v>
      </c>
      <c r="D2672" s="1" t="s">
        <v>20</v>
      </c>
      <c r="E2672" s="1" t="s">
        <v>43</v>
      </c>
      <c r="F2672" s="1" t="s">
        <v>40</v>
      </c>
      <c r="G2672" s="1">
        <v>9</v>
      </c>
      <c r="H2672" s="1">
        <v>453</v>
      </c>
      <c r="I2672" s="1">
        <v>0</v>
      </c>
      <c r="J2672" s="4">
        <v>4077</v>
      </c>
      <c r="K2672" s="4">
        <v>2268.64</v>
      </c>
      <c r="L2672" s="4">
        <v>1808.36</v>
      </c>
      <c r="M2672" s="1" t="str">
        <f>TEXT(Table1[[#This Row],[Order_Date]], "MMM")</f>
        <v>Jul</v>
      </c>
      <c r="N2672" s="1">
        <f>YEAR(Table1[[#This Row],[Order_Date]])</f>
        <v>2023</v>
      </c>
      <c r="O2672" s="7">
        <f>Table1[[#This Row],[Profit]]/Table1[[#This Row],[Total_Sales]]</f>
        <v>0.44355163110129997</v>
      </c>
    </row>
    <row r="2673" spans="1:15" x14ac:dyDescent="0.25">
      <c r="A2673" s="1">
        <v>2672</v>
      </c>
      <c r="B2673" s="2">
        <v>45383</v>
      </c>
      <c r="C2673" s="1" t="s">
        <v>16</v>
      </c>
      <c r="D2673" s="1" t="s">
        <v>32</v>
      </c>
      <c r="E2673" s="1" t="s">
        <v>34</v>
      </c>
      <c r="F2673" s="1" t="s">
        <v>31</v>
      </c>
      <c r="G2673" s="1">
        <v>8</v>
      </c>
      <c r="H2673" s="1">
        <v>40</v>
      </c>
      <c r="I2673" s="1">
        <v>20</v>
      </c>
      <c r="J2673" s="4">
        <v>256</v>
      </c>
      <c r="K2673" s="4">
        <v>191.9</v>
      </c>
      <c r="L2673" s="4">
        <v>64.099999999999994</v>
      </c>
      <c r="M2673" s="1" t="str">
        <f>TEXT(Table1[[#This Row],[Order_Date]], "MMM")</f>
        <v>Apr</v>
      </c>
      <c r="N2673" s="1">
        <f>YEAR(Table1[[#This Row],[Order_Date]])</f>
        <v>2024</v>
      </c>
      <c r="O2673" s="7">
        <f>Table1[[#This Row],[Profit]]/Table1[[#This Row],[Total_Sales]]</f>
        <v>0.25039062499999998</v>
      </c>
    </row>
    <row r="2674" spans="1:15" x14ac:dyDescent="0.25">
      <c r="A2674" s="1">
        <v>2673</v>
      </c>
      <c r="B2674" s="2">
        <v>45509</v>
      </c>
      <c r="C2674" s="1" t="s">
        <v>19</v>
      </c>
      <c r="D2674" s="1" t="s">
        <v>13</v>
      </c>
      <c r="E2674" s="1" t="s">
        <v>39</v>
      </c>
      <c r="F2674" s="1" t="s">
        <v>18</v>
      </c>
      <c r="G2674" s="1">
        <v>2</v>
      </c>
      <c r="H2674" s="1">
        <v>645</v>
      </c>
      <c r="I2674" s="1">
        <v>10</v>
      </c>
      <c r="J2674" s="4">
        <v>1161</v>
      </c>
      <c r="K2674" s="4">
        <v>712.71</v>
      </c>
      <c r="L2674" s="4">
        <v>448.29</v>
      </c>
      <c r="M2674" s="1" t="str">
        <f>TEXT(Table1[[#This Row],[Order_Date]], "MMM")</f>
        <v>Aug</v>
      </c>
      <c r="N2674" s="1">
        <f>YEAR(Table1[[#This Row],[Order_Date]])</f>
        <v>2024</v>
      </c>
      <c r="O2674" s="7">
        <f>Table1[[#This Row],[Profit]]/Table1[[#This Row],[Total_Sales]]</f>
        <v>0.38612403100775194</v>
      </c>
    </row>
    <row r="2675" spans="1:15" x14ac:dyDescent="0.25">
      <c r="A2675" s="1">
        <v>2674</v>
      </c>
      <c r="B2675" s="2">
        <v>45414</v>
      </c>
      <c r="C2675" s="1" t="s">
        <v>16</v>
      </c>
      <c r="D2675" s="1" t="s">
        <v>22</v>
      </c>
      <c r="E2675" s="1" t="s">
        <v>44</v>
      </c>
      <c r="F2675" s="1" t="s">
        <v>31</v>
      </c>
      <c r="G2675" s="1">
        <v>6</v>
      </c>
      <c r="H2675" s="1">
        <v>884</v>
      </c>
      <c r="I2675" s="1">
        <v>10</v>
      </c>
      <c r="J2675" s="4">
        <v>4773.6000000000004</v>
      </c>
      <c r="K2675" s="4">
        <v>3595.47</v>
      </c>
      <c r="L2675" s="4">
        <v>1178.1300000000001</v>
      </c>
      <c r="M2675" s="1" t="str">
        <f>TEXT(Table1[[#This Row],[Order_Date]], "MMM")</f>
        <v>May</v>
      </c>
      <c r="N2675" s="1">
        <f>YEAR(Table1[[#This Row],[Order_Date]])</f>
        <v>2024</v>
      </c>
      <c r="O2675" s="7">
        <f>Table1[[#This Row],[Profit]]/Table1[[#This Row],[Total_Sales]]</f>
        <v>0.2468011563599799</v>
      </c>
    </row>
    <row r="2676" spans="1:15" x14ac:dyDescent="0.25">
      <c r="A2676" s="1">
        <v>2675</v>
      </c>
      <c r="B2676" s="2">
        <v>44962</v>
      </c>
      <c r="C2676" s="1" t="s">
        <v>16</v>
      </c>
      <c r="D2676" s="1" t="s">
        <v>22</v>
      </c>
      <c r="E2676" s="1" t="s">
        <v>44</v>
      </c>
      <c r="F2676" s="1" t="s">
        <v>40</v>
      </c>
      <c r="G2676" s="1">
        <v>7</v>
      </c>
      <c r="H2676" s="1">
        <v>746</v>
      </c>
      <c r="I2676" s="1">
        <v>20</v>
      </c>
      <c r="J2676" s="4">
        <v>4177.6000000000004</v>
      </c>
      <c r="K2676" s="4">
        <v>2758.4</v>
      </c>
      <c r="L2676" s="4">
        <v>1419.2</v>
      </c>
      <c r="M2676" s="1" t="str">
        <f>TEXT(Table1[[#This Row],[Order_Date]], "MMM")</f>
        <v>Feb</v>
      </c>
      <c r="N2676" s="1">
        <f>YEAR(Table1[[#This Row],[Order_Date]])</f>
        <v>2023</v>
      </c>
      <c r="O2676" s="7">
        <f>Table1[[#This Row],[Profit]]/Table1[[#This Row],[Total_Sales]]</f>
        <v>0.3397165836844121</v>
      </c>
    </row>
    <row r="2677" spans="1:15" x14ac:dyDescent="0.25">
      <c r="A2677" s="1">
        <v>2676</v>
      </c>
      <c r="B2677" s="2">
        <v>44960</v>
      </c>
      <c r="C2677" s="1" t="s">
        <v>12</v>
      </c>
      <c r="D2677" s="1" t="s">
        <v>26</v>
      </c>
      <c r="E2677" s="1" t="s">
        <v>37</v>
      </c>
      <c r="F2677" s="1" t="s">
        <v>18</v>
      </c>
      <c r="G2677" s="1">
        <v>10</v>
      </c>
      <c r="H2677" s="1">
        <v>51</v>
      </c>
      <c r="I2677" s="1">
        <v>20</v>
      </c>
      <c r="J2677" s="4">
        <v>408</v>
      </c>
      <c r="K2677" s="4">
        <v>233.15</v>
      </c>
      <c r="L2677" s="4">
        <v>174.85</v>
      </c>
      <c r="M2677" s="1" t="str">
        <f>TEXT(Table1[[#This Row],[Order_Date]], "MMM")</f>
        <v>Feb</v>
      </c>
      <c r="N2677" s="1">
        <f>YEAR(Table1[[#This Row],[Order_Date]])</f>
        <v>2023</v>
      </c>
      <c r="O2677" s="7">
        <f>Table1[[#This Row],[Profit]]/Table1[[#This Row],[Total_Sales]]</f>
        <v>0.42855392156862743</v>
      </c>
    </row>
    <row r="2678" spans="1:15" x14ac:dyDescent="0.25">
      <c r="A2678" s="1">
        <v>2677</v>
      </c>
      <c r="B2678" s="2">
        <v>45239</v>
      </c>
      <c r="C2678" s="1" t="s">
        <v>12</v>
      </c>
      <c r="D2678" s="1" t="s">
        <v>32</v>
      </c>
      <c r="E2678" s="1" t="s">
        <v>41</v>
      </c>
      <c r="F2678" s="1" t="s">
        <v>35</v>
      </c>
      <c r="G2678" s="1">
        <v>3</v>
      </c>
      <c r="H2678" s="1">
        <v>629</v>
      </c>
      <c r="I2678" s="1">
        <v>15</v>
      </c>
      <c r="J2678" s="4">
        <v>1603.95</v>
      </c>
      <c r="K2678" s="4">
        <v>1227.73</v>
      </c>
      <c r="L2678" s="4">
        <v>376.22</v>
      </c>
      <c r="M2678" s="1" t="str">
        <f>TEXT(Table1[[#This Row],[Order_Date]], "MMM")</f>
        <v>Nov</v>
      </c>
      <c r="N2678" s="1">
        <f>YEAR(Table1[[#This Row],[Order_Date]])</f>
        <v>2023</v>
      </c>
      <c r="O2678" s="7">
        <f>Table1[[#This Row],[Profit]]/Table1[[#This Row],[Total_Sales]]</f>
        <v>0.23455843386639236</v>
      </c>
    </row>
    <row r="2679" spans="1:15" x14ac:dyDescent="0.25">
      <c r="A2679" s="1">
        <v>2678</v>
      </c>
      <c r="B2679" s="2">
        <v>45437</v>
      </c>
      <c r="C2679" s="1" t="s">
        <v>16</v>
      </c>
      <c r="D2679" s="1" t="s">
        <v>20</v>
      </c>
      <c r="E2679" s="1" t="s">
        <v>30</v>
      </c>
      <c r="F2679" s="1" t="s">
        <v>40</v>
      </c>
      <c r="G2679" s="1">
        <v>8</v>
      </c>
      <c r="H2679" s="1">
        <v>123</v>
      </c>
      <c r="I2679" s="1">
        <v>0</v>
      </c>
      <c r="J2679" s="4">
        <v>984</v>
      </c>
      <c r="K2679" s="4">
        <v>660.2</v>
      </c>
      <c r="L2679" s="4">
        <v>323.8</v>
      </c>
      <c r="M2679" s="1" t="str">
        <f>TEXT(Table1[[#This Row],[Order_Date]], "MMM")</f>
        <v>May</v>
      </c>
      <c r="N2679" s="1">
        <f>YEAR(Table1[[#This Row],[Order_Date]])</f>
        <v>2024</v>
      </c>
      <c r="O2679" s="7">
        <f>Table1[[#This Row],[Profit]]/Table1[[#This Row],[Total_Sales]]</f>
        <v>0.32906504065040654</v>
      </c>
    </row>
    <row r="2680" spans="1:15" x14ac:dyDescent="0.25">
      <c r="A2680" s="1">
        <v>2679</v>
      </c>
      <c r="B2680" s="2">
        <v>44943</v>
      </c>
      <c r="C2680" s="1" t="s">
        <v>19</v>
      </c>
      <c r="D2680" s="1" t="s">
        <v>26</v>
      </c>
      <c r="E2680" s="1" t="s">
        <v>42</v>
      </c>
      <c r="F2680" s="1" t="s">
        <v>40</v>
      </c>
      <c r="G2680" s="1">
        <v>1</v>
      </c>
      <c r="H2680" s="1">
        <v>414</v>
      </c>
      <c r="I2680" s="1">
        <v>15</v>
      </c>
      <c r="J2680" s="4">
        <v>351.9</v>
      </c>
      <c r="K2680" s="4">
        <v>281.05</v>
      </c>
      <c r="L2680" s="4">
        <v>70.849999999999994</v>
      </c>
      <c r="M2680" s="1" t="str">
        <f>TEXT(Table1[[#This Row],[Order_Date]], "MMM")</f>
        <v>Jan</v>
      </c>
      <c r="N2680" s="1">
        <f>YEAR(Table1[[#This Row],[Order_Date]])</f>
        <v>2023</v>
      </c>
      <c r="O2680" s="7">
        <f>Table1[[#This Row],[Profit]]/Table1[[#This Row],[Total_Sales]]</f>
        <v>0.2013356067064507</v>
      </c>
    </row>
    <row r="2681" spans="1:15" x14ac:dyDescent="0.25">
      <c r="A2681" s="1">
        <v>2680</v>
      </c>
      <c r="B2681" s="2">
        <v>45218</v>
      </c>
      <c r="C2681" s="1" t="s">
        <v>16</v>
      </c>
      <c r="D2681" s="1" t="s">
        <v>26</v>
      </c>
      <c r="E2681" s="1" t="s">
        <v>37</v>
      </c>
      <c r="F2681" s="1" t="s">
        <v>31</v>
      </c>
      <c r="G2681" s="1">
        <v>9</v>
      </c>
      <c r="H2681" s="1">
        <v>293</v>
      </c>
      <c r="I2681" s="1">
        <v>5</v>
      </c>
      <c r="J2681" s="4">
        <v>2505.15</v>
      </c>
      <c r="K2681" s="4">
        <v>1884.68</v>
      </c>
      <c r="L2681" s="4">
        <v>620.47</v>
      </c>
      <c r="M2681" s="1" t="str">
        <f>TEXT(Table1[[#This Row],[Order_Date]], "MMM")</f>
        <v>Oct</v>
      </c>
      <c r="N2681" s="1">
        <f>YEAR(Table1[[#This Row],[Order_Date]])</f>
        <v>2023</v>
      </c>
      <c r="O2681" s="7">
        <f>Table1[[#This Row],[Profit]]/Table1[[#This Row],[Total_Sales]]</f>
        <v>0.24767778376544319</v>
      </c>
    </row>
    <row r="2682" spans="1:15" x14ac:dyDescent="0.25">
      <c r="A2682" s="1">
        <v>2681</v>
      </c>
      <c r="B2682" s="2">
        <v>45534</v>
      </c>
      <c r="C2682" s="1" t="s">
        <v>12</v>
      </c>
      <c r="D2682" s="1" t="s">
        <v>32</v>
      </c>
      <c r="E2682" s="1" t="s">
        <v>41</v>
      </c>
      <c r="F2682" s="1" t="s">
        <v>40</v>
      </c>
      <c r="G2682" s="1">
        <v>9</v>
      </c>
      <c r="H2682" s="1">
        <v>915</v>
      </c>
      <c r="I2682" s="1">
        <v>10</v>
      </c>
      <c r="J2682" s="4">
        <v>7411.5</v>
      </c>
      <c r="K2682" s="4">
        <v>4363.45</v>
      </c>
      <c r="L2682" s="4">
        <v>3048.05</v>
      </c>
      <c r="M2682" s="1" t="str">
        <f>TEXT(Table1[[#This Row],[Order_Date]], "MMM")</f>
        <v>Aug</v>
      </c>
      <c r="N2682" s="1">
        <f>YEAR(Table1[[#This Row],[Order_Date]])</f>
        <v>2024</v>
      </c>
      <c r="O2682" s="7">
        <f>Table1[[#This Row],[Profit]]/Table1[[#This Row],[Total_Sales]]</f>
        <v>0.41125952911016667</v>
      </c>
    </row>
    <row r="2683" spans="1:15" x14ac:dyDescent="0.25">
      <c r="A2683" s="1">
        <v>2682</v>
      </c>
      <c r="B2683" s="2">
        <v>45643</v>
      </c>
      <c r="C2683" s="1" t="s">
        <v>25</v>
      </c>
      <c r="D2683" s="1" t="s">
        <v>22</v>
      </c>
      <c r="E2683" s="1" t="s">
        <v>23</v>
      </c>
      <c r="F2683" s="1" t="s">
        <v>18</v>
      </c>
      <c r="G2683" s="1">
        <v>10</v>
      </c>
      <c r="H2683" s="1">
        <v>77</v>
      </c>
      <c r="I2683" s="1">
        <v>5</v>
      </c>
      <c r="J2683" s="4">
        <v>731.5</v>
      </c>
      <c r="K2683" s="4">
        <v>434.62</v>
      </c>
      <c r="L2683" s="4">
        <v>296.88</v>
      </c>
      <c r="M2683" s="1" t="str">
        <f>TEXT(Table1[[#This Row],[Order_Date]], "MMM")</f>
        <v>Dec</v>
      </c>
      <c r="N2683" s="1">
        <f>YEAR(Table1[[#This Row],[Order_Date]])</f>
        <v>2024</v>
      </c>
      <c r="O2683" s="7">
        <f>Table1[[#This Row],[Profit]]/Table1[[#This Row],[Total_Sales]]</f>
        <v>0.40585099111414902</v>
      </c>
    </row>
    <row r="2684" spans="1:15" x14ac:dyDescent="0.25">
      <c r="A2684" s="1">
        <v>2683</v>
      </c>
      <c r="B2684" s="2">
        <v>45149</v>
      </c>
      <c r="C2684" s="1" t="s">
        <v>19</v>
      </c>
      <c r="D2684" s="1" t="s">
        <v>20</v>
      </c>
      <c r="E2684" s="1" t="s">
        <v>30</v>
      </c>
      <c r="F2684" s="1" t="s">
        <v>24</v>
      </c>
      <c r="G2684" s="1">
        <v>6</v>
      </c>
      <c r="H2684" s="1">
        <v>124</v>
      </c>
      <c r="I2684" s="1">
        <v>0</v>
      </c>
      <c r="J2684" s="4">
        <v>744</v>
      </c>
      <c r="K2684" s="4">
        <v>582.78</v>
      </c>
      <c r="L2684" s="4">
        <v>161.22</v>
      </c>
      <c r="M2684" s="1" t="str">
        <f>TEXT(Table1[[#This Row],[Order_Date]], "MMM")</f>
        <v>Aug</v>
      </c>
      <c r="N2684" s="1">
        <f>YEAR(Table1[[#This Row],[Order_Date]])</f>
        <v>2023</v>
      </c>
      <c r="O2684" s="7">
        <f>Table1[[#This Row],[Profit]]/Table1[[#This Row],[Total_Sales]]</f>
        <v>0.21669354838709678</v>
      </c>
    </row>
    <row r="2685" spans="1:15" x14ac:dyDescent="0.25">
      <c r="A2685" s="1">
        <v>2684</v>
      </c>
      <c r="B2685" s="2">
        <v>45368</v>
      </c>
      <c r="C2685" s="1" t="s">
        <v>19</v>
      </c>
      <c r="D2685" s="1" t="s">
        <v>20</v>
      </c>
      <c r="E2685" s="1" t="s">
        <v>43</v>
      </c>
      <c r="F2685" s="1" t="s">
        <v>24</v>
      </c>
      <c r="G2685" s="1">
        <v>6</v>
      </c>
      <c r="H2685" s="1">
        <v>747</v>
      </c>
      <c r="I2685" s="1">
        <v>15</v>
      </c>
      <c r="J2685" s="4">
        <v>3809.7</v>
      </c>
      <c r="K2685" s="4">
        <v>2617.3200000000002</v>
      </c>
      <c r="L2685" s="4">
        <v>1192.3800000000001</v>
      </c>
      <c r="M2685" s="1" t="str">
        <f>TEXT(Table1[[#This Row],[Order_Date]], "MMM")</f>
        <v>Mar</v>
      </c>
      <c r="N2685" s="1">
        <f>YEAR(Table1[[#This Row],[Order_Date]])</f>
        <v>2024</v>
      </c>
      <c r="O2685" s="7">
        <f>Table1[[#This Row],[Profit]]/Table1[[#This Row],[Total_Sales]]</f>
        <v>0.31298527443105761</v>
      </c>
    </row>
    <row r="2686" spans="1:15" x14ac:dyDescent="0.25">
      <c r="A2686" s="1">
        <v>2685</v>
      </c>
      <c r="B2686" s="2">
        <v>44957</v>
      </c>
      <c r="C2686" s="1" t="s">
        <v>19</v>
      </c>
      <c r="D2686" s="1" t="s">
        <v>22</v>
      </c>
      <c r="E2686" s="1" t="s">
        <v>23</v>
      </c>
      <c r="F2686" s="1" t="s">
        <v>35</v>
      </c>
      <c r="G2686" s="1">
        <v>6</v>
      </c>
      <c r="H2686" s="1">
        <v>912</v>
      </c>
      <c r="I2686" s="1">
        <v>5</v>
      </c>
      <c r="J2686" s="4">
        <v>5198.3999999999996</v>
      </c>
      <c r="K2686" s="4">
        <v>4101.33</v>
      </c>
      <c r="L2686" s="4">
        <v>1097.07</v>
      </c>
      <c r="M2686" s="1" t="str">
        <f>TEXT(Table1[[#This Row],[Order_Date]], "MMM")</f>
        <v>Jan</v>
      </c>
      <c r="N2686" s="1">
        <f>YEAR(Table1[[#This Row],[Order_Date]])</f>
        <v>2023</v>
      </c>
      <c r="O2686" s="7">
        <f>Table1[[#This Row],[Profit]]/Table1[[#This Row],[Total_Sales]]</f>
        <v>0.21103993536472762</v>
      </c>
    </row>
    <row r="2687" spans="1:15" x14ac:dyDescent="0.25">
      <c r="A2687" s="1">
        <v>2686</v>
      </c>
      <c r="B2687" s="2">
        <v>45265</v>
      </c>
      <c r="C2687" s="1" t="s">
        <v>12</v>
      </c>
      <c r="D2687" s="1" t="s">
        <v>20</v>
      </c>
      <c r="E2687" s="1" t="s">
        <v>28</v>
      </c>
      <c r="F2687" s="1" t="s">
        <v>15</v>
      </c>
      <c r="G2687" s="1">
        <v>6</v>
      </c>
      <c r="H2687" s="1">
        <v>592</v>
      </c>
      <c r="I2687" s="1">
        <v>20</v>
      </c>
      <c r="J2687" s="4">
        <v>2841.6</v>
      </c>
      <c r="K2687" s="4">
        <v>1469.97</v>
      </c>
      <c r="L2687" s="4">
        <v>1371.63</v>
      </c>
      <c r="M2687" s="1" t="str">
        <f>TEXT(Table1[[#This Row],[Order_Date]], "MMM")</f>
        <v>Dec</v>
      </c>
      <c r="N2687" s="1">
        <f>YEAR(Table1[[#This Row],[Order_Date]])</f>
        <v>2023</v>
      </c>
      <c r="O2687" s="7">
        <f>Table1[[#This Row],[Profit]]/Table1[[#This Row],[Total_Sales]]</f>
        <v>0.4826963682432433</v>
      </c>
    </row>
    <row r="2688" spans="1:15" x14ac:dyDescent="0.25">
      <c r="A2688" s="1">
        <v>2687</v>
      </c>
      <c r="B2688" s="2">
        <v>45438</v>
      </c>
      <c r="C2688" s="1" t="s">
        <v>16</v>
      </c>
      <c r="D2688" s="1" t="s">
        <v>13</v>
      </c>
      <c r="E2688" s="1" t="s">
        <v>38</v>
      </c>
      <c r="F2688" s="1" t="s">
        <v>15</v>
      </c>
      <c r="G2688" s="1">
        <v>8</v>
      </c>
      <c r="H2688" s="1">
        <v>421</v>
      </c>
      <c r="I2688" s="1">
        <v>10</v>
      </c>
      <c r="J2688" s="4">
        <v>3031.2</v>
      </c>
      <c r="K2688" s="4">
        <v>1766.51</v>
      </c>
      <c r="L2688" s="4">
        <v>1264.69</v>
      </c>
      <c r="M2688" s="1" t="str">
        <f>TEXT(Table1[[#This Row],[Order_Date]], "MMM")</f>
        <v>May</v>
      </c>
      <c r="N2688" s="1">
        <f>YEAR(Table1[[#This Row],[Order_Date]])</f>
        <v>2024</v>
      </c>
      <c r="O2688" s="7">
        <f>Table1[[#This Row],[Profit]]/Table1[[#This Row],[Total_Sales]]</f>
        <v>0.41722420163631568</v>
      </c>
    </row>
    <row r="2689" spans="1:15" x14ac:dyDescent="0.25">
      <c r="A2689" s="1">
        <v>2688</v>
      </c>
      <c r="B2689" s="2">
        <v>45367</v>
      </c>
      <c r="C2689" s="1" t="s">
        <v>25</v>
      </c>
      <c r="D2689" s="1" t="s">
        <v>13</v>
      </c>
      <c r="E2689" s="1" t="s">
        <v>14</v>
      </c>
      <c r="F2689" s="1" t="s">
        <v>31</v>
      </c>
      <c r="G2689" s="1">
        <v>6</v>
      </c>
      <c r="H2689" s="1">
        <v>924</v>
      </c>
      <c r="I2689" s="1">
        <v>5</v>
      </c>
      <c r="J2689" s="4">
        <v>5266.8</v>
      </c>
      <c r="K2689" s="4">
        <v>4008.21</v>
      </c>
      <c r="L2689" s="4">
        <v>1258.5899999999999</v>
      </c>
      <c r="M2689" s="1" t="str">
        <f>TEXT(Table1[[#This Row],[Order_Date]], "MMM")</f>
        <v>Mar</v>
      </c>
      <c r="N2689" s="1">
        <f>YEAR(Table1[[#This Row],[Order_Date]])</f>
        <v>2024</v>
      </c>
      <c r="O2689" s="7">
        <f>Table1[[#This Row],[Profit]]/Table1[[#This Row],[Total_Sales]]</f>
        <v>0.23896673501936658</v>
      </c>
    </row>
    <row r="2690" spans="1:15" x14ac:dyDescent="0.25">
      <c r="A2690" s="1">
        <v>2689</v>
      </c>
      <c r="B2690" s="2">
        <v>45266</v>
      </c>
      <c r="C2690" s="1" t="s">
        <v>16</v>
      </c>
      <c r="D2690" s="1" t="s">
        <v>13</v>
      </c>
      <c r="E2690" s="1" t="s">
        <v>39</v>
      </c>
      <c r="F2690" s="1" t="s">
        <v>18</v>
      </c>
      <c r="G2690" s="1">
        <v>9</v>
      </c>
      <c r="H2690" s="1">
        <v>333</v>
      </c>
      <c r="I2690" s="1">
        <v>10</v>
      </c>
      <c r="J2690" s="4">
        <v>2697.3</v>
      </c>
      <c r="K2690" s="4">
        <v>1829.38</v>
      </c>
      <c r="L2690" s="4">
        <v>867.92</v>
      </c>
      <c r="M2690" s="1" t="str">
        <f>TEXT(Table1[[#This Row],[Order_Date]], "MMM")</f>
        <v>Dec</v>
      </c>
      <c r="N2690" s="1">
        <f>YEAR(Table1[[#This Row],[Order_Date]])</f>
        <v>2023</v>
      </c>
      <c r="O2690" s="7">
        <f>Table1[[#This Row],[Profit]]/Table1[[#This Row],[Total_Sales]]</f>
        <v>0.32177362547732913</v>
      </c>
    </row>
    <row r="2691" spans="1:15" x14ac:dyDescent="0.25">
      <c r="A2691" s="1">
        <v>2690</v>
      </c>
      <c r="B2691" s="2">
        <v>45569</v>
      </c>
      <c r="C2691" s="1" t="s">
        <v>12</v>
      </c>
      <c r="D2691" s="1" t="s">
        <v>32</v>
      </c>
      <c r="E2691" s="1" t="s">
        <v>45</v>
      </c>
      <c r="F2691" s="1" t="s">
        <v>35</v>
      </c>
      <c r="G2691" s="1">
        <v>6</v>
      </c>
      <c r="H2691" s="1">
        <v>862</v>
      </c>
      <c r="I2691" s="1">
        <v>15</v>
      </c>
      <c r="J2691" s="4">
        <v>4396.2</v>
      </c>
      <c r="K2691" s="4">
        <v>3407.57</v>
      </c>
      <c r="L2691" s="4">
        <v>988.63</v>
      </c>
      <c r="M2691" s="1" t="str">
        <f>TEXT(Table1[[#This Row],[Order_Date]], "MMM")</f>
        <v>Oct</v>
      </c>
      <c r="N2691" s="1">
        <f>YEAR(Table1[[#This Row],[Order_Date]])</f>
        <v>2024</v>
      </c>
      <c r="O2691" s="7">
        <f>Table1[[#This Row],[Profit]]/Table1[[#This Row],[Total_Sales]]</f>
        <v>0.22488285337336791</v>
      </c>
    </row>
    <row r="2692" spans="1:15" x14ac:dyDescent="0.25">
      <c r="A2692" s="1">
        <v>2691</v>
      </c>
      <c r="B2692" s="2">
        <v>45324</v>
      </c>
      <c r="C2692" s="1" t="s">
        <v>25</v>
      </c>
      <c r="D2692" s="1" t="s">
        <v>20</v>
      </c>
      <c r="E2692" s="1" t="s">
        <v>43</v>
      </c>
      <c r="F2692" s="1" t="s">
        <v>31</v>
      </c>
      <c r="G2692" s="1">
        <v>8</v>
      </c>
      <c r="H2692" s="1">
        <v>209</v>
      </c>
      <c r="I2692" s="1">
        <v>15</v>
      </c>
      <c r="J2692" s="4">
        <v>1421.2</v>
      </c>
      <c r="K2692" s="4">
        <v>793.02</v>
      </c>
      <c r="L2692" s="4">
        <v>628.17999999999995</v>
      </c>
      <c r="M2692" s="1" t="str">
        <f>TEXT(Table1[[#This Row],[Order_Date]], "MMM")</f>
        <v>Feb</v>
      </c>
      <c r="N2692" s="1">
        <f>YEAR(Table1[[#This Row],[Order_Date]])</f>
        <v>2024</v>
      </c>
      <c r="O2692" s="7">
        <f>Table1[[#This Row],[Profit]]/Table1[[#This Row],[Total_Sales]]</f>
        <v>0.44200675485505203</v>
      </c>
    </row>
    <row r="2693" spans="1:15" x14ac:dyDescent="0.25">
      <c r="A2693" s="1">
        <v>2692</v>
      </c>
      <c r="B2693" s="2">
        <v>45362</v>
      </c>
      <c r="C2693" s="1" t="s">
        <v>16</v>
      </c>
      <c r="D2693" s="1" t="s">
        <v>13</v>
      </c>
      <c r="E2693" s="1" t="s">
        <v>38</v>
      </c>
      <c r="F2693" s="1" t="s">
        <v>18</v>
      </c>
      <c r="G2693" s="1">
        <v>9</v>
      </c>
      <c r="H2693" s="1">
        <v>427</v>
      </c>
      <c r="I2693" s="1">
        <v>15</v>
      </c>
      <c r="J2693" s="4">
        <v>3266.55</v>
      </c>
      <c r="K2693" s="4">
        <v>2083.4</v>
      </c>
      <c r="L2693" s="4">
        <v>1183.1500000000001</v>
      </c>
      <c r="M2693" s="1" t="str">
        <f>TEXT(Table1[[#This Row],[Order_Date]], "MMM")</f>
        <v>Mar</v>
      </c>
      <c r="N2693" s="1">
        <f>YEAR(Table1[[#This Row],[Order_Date]])</f>
        <v>2024</v>
      </c>
      <c r="O2693" s="7">
        <f>Table1[[#This Row],[Profit]]/Table1[[#This Row],[Total_Sales]]</f>
        <v>0.36220171128560713</v>
      </c>
    </row>
    <row r="2694" spans="1:15" x14ac:dyDescent="0.25">
      <c r="A2694" s="1">
        <v>2693</v>
      </c>
      <c r="B2694" s="2">
        <v>45362</v>
      </c>
      <c r="C2694" s="1" t="s">
        <v>16</v>
      </c>
      <c r="D2694" s="1" t="s">
        <v>22</v>
      </c>
      <c r="E2694" s="1" t="s">
        <v>36</v>
      </c>
      <c r="F2694" s="1" t="s">
        <v>40</v>
      </c>
      <c r="G2694" s="1">
        <v>10</v>
      </c>
      <c r="H2694" s="1">
        <v>496</v>
      </c>
      <c r="I2694" s="1">
        <v>0</v>
      </c>
      <c r="J2694" s="4">
        <v>4960</v>
      </c>
      <c r="K2694" s="4">
        <v>3024.76</v>
      </c>
      <c r="L2694" s="4">
        <v>1935.24</v>
      </c>
      <c r="M2694" s="1" t="str">
        <f>TEXT(Table1[[#This Row],[Order_Date]], "MMM")</f>
        <v>Mar</v>
      </c>
      <c r="N2694" s="1">
        <f>YEAR(Table1[[#This Row],[Order_Date]])</f>
        <v>2024</v>
      </c>
      <c r="O2694" s="7">
        <f>Table1[[#This Row],[Profit]]/Table1[[#This Row],[Total_Sales]]</f>
        <v>0.39016935483870968</v>
      </c>
    </row>
    <row r="2695" spans="1:15" x14ac:dyDescent="0.25">
      <c r="A2695" s="1">
        <v>2694</v>
      </c>
      <c r="B2695" s="2">
        <v>45292</v>
      </c>
      <c r="C2695" s="1" t="s">
        <v>16</v>
      </c>
      <c r="D2695" s="1" t="s">
        <v>32</v>
      </c>
      <c r="E2695" s="1" t="s">
        <v>45</v>
      </c>
      <c r="F2695" s="1" t="s">
        <v>35</v>
      </c>
      <c r="G2695" s="1">
        <v>1</v>
      </c>
      <c r="H2695" s="1">
        <v>102</v>
      </c>
      <c r="I2695" s="1">
        <v>15</v>
      </c>
      <c r="J2695" s="4">
        <v>86.7</v>
      </c>
      <c r="K2695" s="4">
        <v>50.77</v>
      </c>
      <c r="L2695" s="4">
        <v>35.93</v>
      </c>
      <c r="M2695" s="1" t="str">
        <f>TEXT(Table1[[#This Row],[Order_Date]], "MMM")</f>
        <v>Jan</v>
      </c>
      <c r="N2695" s="1">
        <f>YEAR(Table1[[#This Row],[Order_Date]])</f>
        <v>2024</v>
      </c>
      <c r="O2695" s="7">
        <f>Table1[[#This Row],[Profit]]/Table1[[#This Row],[Total_Sales]]</f>
        <v>0.41441753171856976</v>
      </c>
    </row>
    <row r="2696" spans="1:15" x14ac:dyDescent="0.25">
      <c r="A2696" s="1">
        <v>2695</v>
      </c>
      <c r="B2696" s="2">
        <v>45145</v>
      </c>
      <c r="C2696" s="1" t="s">
        <v>12</v>
      </c>
      <c r="D2696" s="1" t="s">
        <v>20</v>
      </c>
      <c r="E2696" s="1" t="s">
        <v>43</v>
      </c>
      <c r="F2696" s="1" t="s">
        <v>15</v>
      </c>
      <c r="G2696" s="1">
        <v>8</v>
      </c>
      <c r="H2696" s="1">
        <v>989</v>
      </c>
      <c r="I2696" s="1">
        <v>5</v>
      </c>
      <c r="J2696" s="4">
        <v>7516.4</v>
      </c>
      <c r="K2696" s="4">
        <v>5884.77</v>
      </c>
      <c r="L2696" s="4">
        <v>1631.63</v>
      </c>
      <c r="M2696" s="1" t="str">
        <f>TEXT(Table1[[#This Row],[Order_Date]], "MMM")</f>
        <v>Aug</v>
      </c>
      <c r="N2696" s="1">
        <f>YEAR(Table1[[#This Row],[Order_Date]])</f>
        <v>2023</v>
      </c>
      <c r="O2696" s="7">
        <f>Table1[[#This Row],[Profit]]/Table1[[#This Row],[Total_Sales]]</f>
        <v>0.21707599382683201</v>
      </c>
    </row>
    <row r="2697" spans="1:15" x14ac:dyDescent="0.25">
      <c r="A2697" s="1">
        <v>2696</v>
      </c>
      <c r="B2697" s="2">
        <v>45127</v>
      </c>
      <c r="C2697" s="1" t="s">
        <v>19</v>
      </c>
      <c r="D2697" s="1" t="s">
        <v>22</v>
      </c>
      <c r="E2697" s="1" t="s">
        <v>29</v>
      </c>
      <c r="F2697" s="1" t="s">
        <v>18</v>
      </c>
      <c r="G2697" s="1">
        <v>2</v>
      </c>
      <c r="H2697" s="1">
        <v>111</v>
      </c>
      <c r="I2697" s="1">
        <v>10</v>
      </c>
      <c r="J2697" s="4">
        <v>199.8</v>
      </c>
      <c r="K2697" s="4">
        <v>157.61000000000001</v>
      </c>
      <c r="L2697" s="4">
        <v>42.19</v>
      </c>
      <c r="M2697" s="1" t="str">
        <f>TEXT(Table1[[#This Row],[Order_Date]], "MMM")</f>
        <v>Jul</v>
      </c>
      <c r="N2697" s="1">
        <f>YEAR(Table1[[#This Row],[Order_Date]])</f>
        <v>2023</v>
      </c>
      <c r="O2697" s="7">
        <f>Table1[[#This Row],[Profit]]/Table1[[#This Row],[Total_Sales]]</f>
        <v>0.21116116116116113</v>
      </c>
    </row>
    <row r="2698" spans="1:15" x14ac:dyDescent="0.25">
      <c r="A2698" s="1">
        <v>2697</v>
      </c>
      <c r="B2698" s="2">
        <v>45240</v>
      </c>
      <c r="C2698" s="1" t="s">
        <v>16</v>
      </c>
      <c r="D2698" s="1" t="s">
        <v>32</v>
      </c>
      <c r="E2698" s="1" t="s">
        <v>45</v>
      </c>
      <c r="F2698" s="1" t="s">
        <v>18</v>
      </c>
      <c r="G2698" s="1">
        <v>3</v>
      </c>
      <c r="H2698" s="1">
        <v>552</v>
      </c>
      <c r="I2698" s="1">
        <v>0</v>
      </c>
      <c r="J2698" s="4">
        <v>1656</v>
      </c>
      <c r="K2698" s="4">
        <v>1240.82</v>
      </c>
      <c r="L2698" s="4">
        <v>415.18</v>
      </c>
      <c r="M2698" s="1" t="str">
        <f>TEXT(Table1[[#This Row],[Order_Date]], "MMM")</f>
        <v>Nov</v>
      </c>
      <c r="N2698" s="1">
        <f>YEAR(Table1[[#This Row],[Order_Date]])</f>
        <v>2023</v>
      </c>
      <c r="O2698" s="7">
        <f>Table1[[#This Row],[Profit]]/Table1[[#This Row],[Total_Sales]]</f>
        <v>0.25071256038647344</v>
      </c>
    </row>
    <row r="2699" spans="1:15" x14ac:dyDescent="0.25">
      <c r="A2699" s="1">
        <v>2698</v>
      </c>
      <c r="B2699" s="2">
        <v>45121</v>
      </c>
      <c r="C2699" s="1" t="s">
        <v>16</v>
      </c>
      <c r="D2699" s="1" t="s">
        <v>13</v>
      </c>
      <c r="E2699" s="1" t="s">
        <v>14</v>
      </c>
      <c r="F2699" s="1" t="s">
        <v>18</v>
      </c>
      <c r="G2699" s="1">
        <v>9</v>
      </c>
      <c r="H2699" s="1">
        <v>346</v>
      </c>
      <c r="I2699" s="1">
        <v>0</v>
      </c>
      <c r="J2699" s="4">
        <v>3114</v>
      </c>
      <c r="K2699" s="4">
        <v>2243.2600000000002</v>
      </c>
      <c r="L2699" s="4">
        <v>870.74</v>
      </c>
      <c r="M2699" s="1" t="str">
        <f>TEXT(Table1[[#This Row],[Order_Date]], "MMM")</f>
        <v>Jul</v>
      </c>
      <c r="N2699" s="1">
        <f>YEAR(Table1[[#This Row],[Order_Date]])</f>
        <v>2023</v>
      </c>
      <c r="O2699" s="7">
        <f>Table1[[#This Row],[Profit]]/Table1[[#This Row],[Total_Sales]]</f>
        <v>0.27962106615285809</v>
      </c>
    </row>
    <row r="2700" spans="1:15" x14ac:dyDescent="0.25">
      <c r="A2700" s="1">
        <v>2699</v>
      </c>
      <c r="B2700" s="2">
        <v>45350</v>
      </c>
      <c r="C2700" s="1" t="s">
        <v>25</v>
      </c>
      <c r="D2700" s="1" t="s">
        <v>26</v>
      </c>
      <c r="E2700" s="1" t="s">
        <v>42</v>
      </c>
      <c r="F2700" s="1" t="s">
        <v>31</v>
      </c>
      <c r="G2700" s="1">
        <v>6</v>
      </c>
      <c r="H2700" s="1">
        <v>762</v>
      </c>
      <c r="I2700" s="1">
        <v>0</v>
      </c>
      <c r="J2700" s="4">
        <v>4572</v>
      </c>
      <c r="K2700" s="4">
        <v>2319.56</v>
      </c>
      <c r="L2700" s="4">
        <v>2252.44</v>
      </c>
      <c r="M2700" s="1" t="str">
        <f>TEXT(Table1[[#This Row],[Order_Date]], "MMM")</f>
        <v>Feb</v>
      </c>
      <c r="N2700" s="1">
        <f>YEAR(Table1[[#This Row],[Order_Date]])</f>
        <v>2024</v>
      </c>
      <c r="O2700" s="7">
        <f>Table1[[#This Row],[Profit]]/Table1[[#This Row],[Total_Sales]]</f>
        <v>0.49265966754155732</v>
      </c>
    </row>
    <row r="2701" spans="1:15" x14ac:dyDescent="0.25">
      <c r="A2701" s="1">
        <v>2700</v>
      </c>
      <c r="B2701" s="2">
        <v>45569</v>
      </c>
      <c r="C2701" s="1" t="s">
        <v>19</v>
      </c>
      <c r="D2701" s="1" t="s">
        <v>20</v>
      </c>
      <c r="E2701" s="1" t="s">
        <v>28</v>
      </c>
      <c r="F2701" s="1" t="s">
        <v>40</v>
      </c>
      <c r="G2701" s="1">
        <v>1</v>
      </c>
      <c r="H2701" s="1">
        <v>33</v>
      </c>
      <c r="I2701" s="1">
        <v>20</v>
      </c>
      <c r="J2701" s="4">
        <v>26.4</v>
      </c>
      <c r="K2701" s="4">
        <v>19.3</v>
      </c>
      <c r="L2701" s="4">
        <v>7.1</v>
      </c>
      <c r="M2701" s="1" t="str">
        <f>TEXT(Table1[[#This Row],[Order_Date]], "MMM")</f>
        <v>Oct</v>
      </c>
      <c r="N2701" s="1">
        <f>YEAR(Table1[[#This Row],[Order_Date]])</f>
        <v>2024</v>
      </c>
      <c r="O2701" s="7">
        <f>Table1[[#This Row],[Profit]]/Table1[[#This Row],[Total_Sales]]</f>
        <v>0.26893939393939392</v>
      </c>
    </row>
    <row r="2702" spans="1:15" x14ac:dyDescent="0.25">
      <c r="A2702" s="1">
        <v>2701</v>
      </c>
      <c r="B2702" s="2">
        <v>45193</v>
      </c>
      <c r="C2702" s="1" t="s">
        <v>25</v>
      </c>
      <c r="D2702" s="1" t="s">
        <v>32</v>
      </c>
      <c r="E2702" s="1" t="s">
        <v>41</v>
      </c>
      <c r="F2702" s="1" t="s">
        <v>18</v>
      </c>
      <c r="G2702" s="1">
        <v>4</v>
      </c>
      <c r="H2702" s="1">
        <v>149</v>
      </c>
      <c r="I2702" s="1">
        <v>0</v>
      </c>
      <c r="J2702" s="4">
        <v>596</v>
      </c>
      <c r="K2702" s="4">
        <v>359.4</v>
      </c>
      <c r="L2702" s="4">
        <v>236.6</v>
      </c>
      <c r="M2702" s="1" t="str">
        <f>TEXT(Table1[[#This Row],[Order_Date]], "MMM")</f>
        <v>Sep</v>
      </c>
      <c r="N2702" s="1">
        <f>YEAR(Table1[[#This Row],[Order_Date]])</f>
        <v>2023</v>
      </c>
      <c r="O2702" s="7">
        <f>Table1[[#This Row],[Profit]]/Table1[[#This Row],[Total_Sales]]</f>
        <v>0.39697986577181205</v>
      </c>
    </row>
    <row r="2703" spans="1:15" x14ac:dyDescent="0.25">
      <c r="A2703" s="1">
        <v>2702</v>
      </c>
      <c r="B2703" s="2">
        <v>45656</v>
      </c>
      <c r="C2703" s="1" t="s">
        <v>25</v>
      </c>
      <c r="D2703" s="1" t="s">
        <v>26</v>
      </c>
      <c r="E2703" s="1" t="s">
        <v>42</v>
      </c>
      <c r="F2703" s="1" t="s">
        <v>15</v>
      </c>
      <c r="G2703" s="1">
        <v>9</v>
      </c>
      <c r="H2703" s="1">
        <v>587</v>
      </c>
      <c r="I2703" s="1">
        <v>0</v>
      </c>
      <c r="J2703" s="4">
        <v>5283</v>
      </c>
      <c r="K2703" s="4">
        <v>2825.3</v>
      </c>
      <c r="L2703" s="4">
        <v>2457.6999999999998</v>
      </c>
      <c r="M2703" s="1" t="str">
        <f>TEXT(Table1[[#This Row],[Order_Date]], "MMM")</f>
        <v>Dec</v>
      </c>
      <c r="N2703" s="1">
        <f>YEAR(Table1[[#This Row],[Order_Date]])</f>
        <v>2024</v>
      </c>
      <c r="O2703" s="7">
        <f>Table1[[#This Row],[Profit]]/Table1[[#This Row],[Total_Sales]]</f>
        <v>0.46520916146129088</v>
      </c>
    </row>
    <row r="2704" spans="1:15" x14ac:dyDescent="0.25">
      <c r="A2704" s="1">
        <v>2703</v>
      </c>
      <c r="B2704" s="2">
        <v>45422</v>
      </c>
      <c r="C2704" s="1" t="s">
        <v>25</v>
      </c>
      <c r="D2704" s="1" t="s">
        <v>20</v>
      </c>
      <c r="E2704" s="1" t="s">
        <v>28</v>
      </c>
      <c r="F2704" s="1" t="s">
        <v>35</v>
      </c>
      <c r="G2704" s="1">
        <v>6</v>
      </c>
      <c r="H2704" s="1">
        <v>465</v>
      </c>
      <c r="I2704" s="1">
        <v>20</v>
      </c>
      <c r="J2704" s="4">
        <v>2232</v>
      </c>
      <c r="K2704" s="4">
        <v>1426.26</v>
      </c>
      <c r="L2704" s="4">
        <v>805.74</v>
      </c>
      <c r="M2704" s="1" t="str">
        <f>TEXT(Table1[[#This Row],[Order_Date]], "MMM")</f>
        <v>May</v>
      </c>
      <c r="N2704" s="1">
        <f>YEAR(Table1[[#This Row],[Order_Date]])</f>
        <v>2024</v>
      </c>
      <c r="O2704" s="7">
        <f>Table1[[#This Row],[Profit]]/Table1[[#This Row],[Total_Sales]]</f>
        <v>0.360994623655914</v>
      </c>
    </row>
    <row r="2705" spans="1:15" x14ac:dyDescent="0.25">
      <c r="A2705" s="1">
        <v>2704</v>
      </c>
      <c r="B2705" s="2">
        <v>45287</v>
      </c>
      <c r="C2705" s="1" t="s">
        <v>19</v>
      </c>
      <c r="D2705" s="1" t="s">
        <v>22</v>
      </c>
      <c r="E2705" s="1" t="s">
        <v>44</v>
      </c>
      <c r="F2705" s="1" t="s">
        <v>18</v>
      </c>
      <c r="G2705" s="1">
        <v>3</v>
      </c>
      <c r="H2705" s="1">
        <v>445</v>
      </c>
      <c r="I2705" s="1">
        <v>0</v>
      </c>
      <c r="J2705" s="4">
        <v>1335</v>
      </c>
      <c r="K2705" s="4">
        <v>974.42</v>
      </c>
      <c r="L2705" s="4">
        <v>360.58</v>
      </c>
      <c r="M2705" s="1" t="str">
        <f>TEXT(Table1[[#This Row],[Order_Date]], "MMM")</f>
        <v>Dec</v>
      </c>
      <c r="N2705" s="1">
        <f>YEAR(Table1[[#This Row],[Order_Date]])</f>
        <v>2023</v>
      </c>
      <c r="O2705" s="7">
        <f>Table1[[#This Row],[Profit]]/Table1[[#This Row],[Total_Sales]]</f>
        <v>0.27009737827715352</v>
      </c>
    </row>
    <row r="2706" spans="1:15" x14ac:dyDescent="0.25">
      <c r="A2706" s="1">
        <v>2705</v>
      </c>
      <c r="B2706" s="2">
        <v>45454</v>
      </c>
      <c r="C2706" s="1" t="s">
        <v>12</v>
      </c>
      <c r="D2706" s="1" t="s">
        <v>20</v>
      </c>
      <c r="E2706" s="1" t="s">
        <v>30</v>
      </c>
      <c r="F2706" s="1" t="s">
        <v>24</v>
      </c>
      <c r="G2706" s="1">
        <v>1</v>
      </c>
      <c r="H2706" s="1">
        <v>804</v>
      </c>
      <c r="I2706" s="1">
        <v>15</v>
      </c>
      <c r="J2706" s="4">
        <v>683.4</v>
      </c>
      <c r="K2706" s="4">
        <v>504.44</v>
      </c>
      <c r="L2706" s="4">
        <v>178.96</v>
      </c>
      <c r="M2706" s="1" t="str">
        <f>TEXT(Table1[[#This Row],[Order_Date]], "MMM")</f>
        <v>Jun</v>
      </c>
      <c r="N2706" s="1">
        <f>YEAR(Table1[[#This Row],[Order_Date]])</f>
        <v>2024</v>
      </c>
      <c r="O2706" s="7">
        <f>Table1[[#This Row],[Profit]]/Table1[[#This Row],[Total_Sales]]</f>
        <v>0.26186713491366698</v>
      </c>
    </row>
    <row r="2707" spans="1:15" x14ac:dyDescent="0.25">
      <c r="A2707" s="1">
        <v>2706</v>
      </c>
      <c r="B2707" s="2">
        <v>45414</v>
      </c>
      <c r="C2707" s="1" t="s">
        <v>25</v>
      </c>
      <c r="D2707" s="1" t="s">
        <v>22</v>
      </c>
      <c r="E2707" s="1" t="s">
        <v>23</v>
      </c>
      <c r="F2707" s="1" t="s">
        <v>18</v>
      </c>
      <c r="G2707" s="1">
        <v>4</v>
      </c>
      <c r="H2707" s="1">
        <v>169</v>
      </c>
      <c r="I2707" s="1">
        <v>15</v>
      </c>
      <c r="J2707" s="4">
        <v>574.6</v>
      </c>
      <c r="K2707" s="4">
        <v>433.54</v>
      </c>
      <c r="L2707" s="4">
        <v>141.06</v>
      </c>
      <c r="M2707" s="1" t="str">
        <f>TEXT(Table1[[#This Row],[Order_Date]], "MMM")</f>
        <v>May</v>
      </c>
      <c r="N2707" s="1">
        <f>YEAR(Table1[[#This Row],[Order_Date]])</f>
        <v>2024</v>
      </c>
      <c r="O2707" s="7">
        <f>Table1[[#This Row],[Profit]]/Table1[[#This Row],[Total_Sales]]</f>
        <v>0.2454925165332405</v>
      </c>
    </row>
    <row r="2708" spans="1:15" x14ac:dyDescent="0.25">
      <c r="A2708" s="1">
        <v>2707</v>
      </c>
      <c r="B2708" s="2">
        <v>45220</v>
      </c>
      <c r="C2708" s="1" t="s">
        <v>25</v>
      </c>
      <c r="D2708" s="1" t="s">
        <v>22</v>
      </c>
      <c r="E2708" s="1" t="s">
        <v>44</v>
      </c>
      <c r="F2708" s="1" t="s">
        <v>35</v>
      </c>
      <c r="G2708" s="1">
        <v>1</v>
      </c>
      <c r="H2708" s="1">
        <v>408</v>
      </c>
      <c r="I2708" s="1">
        <v>5</v>
      </c>
      <c r="J2708" s="4">
        <v>387.6</v>
      </c>
      <c r="K2708" s="4">
        <v>238.36</v>
      </c>
      <c r="L2708" s="4">
        <v>149.24</v>
      </c>
      <c r="M2708" s="1" t="str">
        <f>TEXT(Table1[[#This Row],[Order_Date]], "MMM")</f>
        <v>Oct</v>
      </c>
      <c r="N2708" s="1">
        <f>YEAR(Table1[[#This Row],[Order_Date]])</f>
        <v>2023</v>
      </c>
      <c r="O2708" s="7">
        <f>Table1[[#This Row],[Profit]]/Table1[[#This Row],[Total_Sales]]</f>
        <v>0.38503611971104229</v>
      </c>
    </row>
    <row r="2709" spans="1:15" x14ac:dyDescent="0.25">
      <c r="A2709" s="1">
        <v>2708</v>
      </c>
      <c r="B2709" s="2">
        <v>45600</v>
      </c>
      <c r="C2709" s="1" t="s">
        <v>25</v>
      </c>
      <c r="D2709" s="1" t="s">
        <v>13</v>
      </c>
      <c r="E2709" s="1" t="s">
        <v>17</v>
      </c>
      <c r="F2709" s="1" t="s">
        <v>15</v>
      </c>
      <c r="G2709" s="1">
        <v>6</v>
      </c>
      <c r="H2709" s="1">
        <v>433</v>
      </c>
      <c r="I2709" s="1">
        <v>0</v>
      </c>
      <c r="J2709" s="4">
        <v>2598</v>
      </c>
      <c r="K2709" s="4">
        <v>1466.85</v>
      </c>
      <c r="L2709" s="4">
        <v>1131.1500000000001</v>
      </c>
      <c r="M2709" s="1" t="str">
        <f>TEXT(Table1[[#This Row],[Order_Date]], "MMM")</f>
        <v>Nov</v>
      </c>
      <c r="N2709" s="1">
        <f>YEAR(Table1[[#This Row],[Order_Date]])</f>
        <v>2024</v>
      </c>
      <c r="O2709" s="7">
        <f>Table1[[#This Row],[Profit]]/Table1[[#This Row],[Total_Sales]]</f>
        <v>0.43539260969976906</v>
      </c>
    </row>
    <row r="2710" spans="1:15" x14ac:dyDescent="0.25">
      <c r="A2710" s="1">
        <v>2709</v>
      </c>
      <c r="B2710" s="2">
        <v>45307</v>
      </c>
      <c r="C2710" s="1" t="s">
        <v>12</v>
      </c>
      <c r="D2710" s="1" t="s">
        <v>26</v>
      </c>
      <c r="E2710" s="1" t="s">
        <v>37</v>
      </c>
      <c r="F2710" s="1" t="s">
        <v>31</v>
      </c>
      <c r="G2710" s="1">
        <v>7</v>
      </c>
      <c r="H2710" s="1">
        <v>204</v>
      </c>
      <c r="I2710" s="1">
        <v>5</v>
      </c>
      <c r="J2710" s="4">
        <v>1356.6</v>
      </c>
      <c r="K2710" s="4">
        <v>862.9</v>
      </c>
      <c r="L2710" s="4">
        <v>493.7</v>
      </c>
      <c r="M2710" s="1" t="str">
        <f>TEXT(Table1[[#This Row],[Order_Date]], "MMM")</f>
        <v>Jan</v>
      </c>
      <c r="N2710" s="1">
        <f>YEAR(Table1[[#This Row],[Order_Date]])</f>
        <v>2024</v>
      </c>
      <c r="O2710" s="7">
        <f>Table1[[#This Row],[Profit]]/Table1[[#This Row],[Total_Sales]]</f>
        <v>0.36392451717529117</v>
      </c>
    </row>
    <row r="2711" spans="1:15" x14ac:dyDescent="0.25">
      <c r="A2711" s="1">
        <v>2710</v>
      </c>
      <c r="B2711" s="2">
        <v>45577</v>
      </c>
      <c r="C2711" s="1" t="s">
        <v>25</v>
      </c>
      <c r="D2711" s="1" t="s">
        <v>20</v>
      </c>
      <c r="E2711" s="1" t="s">
        <v>30</v>
      </c>
      <c r="F2711" s="1" t="s">
        <v>35</v>
      </c>
      <c r="G2711" s="1">
        <v>1</v>
      </c>
      <c r="H2711" s="1">
        <v>640</v>
      </c>
      <c r="I2711" s="1">
        <v>5</v>
      </c>
      <c r="J2711" s="4">
        <v>608</v>
      </c>
      <c r="K2711" s="4">
        <v>368.75</v>
      </c>
      <c r="L2711" s="4">
        <v>239.25</v>
      </c>
      <c r="M2711" s="1" t="str">
        <f>TEXT(Table1[[#This Row],[Order_Date]], "MMM")</f>
        <v>Oct</v>
      </c>
      <c r="N2711" s="1">
        <f>YEAR(Table1[[#This Row],[Order_Date]])</f>
        <v>2024</v>
      </c>
      <c r="O2711" s="7">
        <f>Table1[[#This Row],[Profit]]/Table1[[#This Row],[Total_Sales]]</f>
        <v>0.39350328947368424</v>
      </c>
    </row>
    <row r="2712" spans="1:15" x14ac:dyDescent="0.25">
      <c r="A2712" s="1">
        <v>2711</v>
      </c>
      <c r="B2712" s="2">
        <v>45316</v>
      </c>
      <c r="C2712" s="1" t="s">
        <v>25</v>
      </c>
      <c r="D2712" s="1" t="s">
        <v>32</v>
      </c>
      <c r="E2712" s="1" t="s">
        <v>34</v>
      </c>
      <c r="F2712" s="1" t="s">
        <v>18</v>
      </c>
      <c r="G2712" s="1">
        <v>2</v>
      </c>
      <c r="H2712" s="1">
        <v>643</v>
      </c>
      <c r="I2712" s="1">
        <v>10</v>
      </c>
      <c r="J2712" s="4">
        <v>1157.4000000000001</v>
      </c>
      <c r="K2712" s="4">
        <v>671.16</v>
      </c>
      <c r="L2712" s="4">
        <v>486.24</v>
      </c>
      <c r="M2712" s="1" t="str">
        <f>TEXT(Table1[[#This Row],[Order_Date]], "MMM")</f>
        <v>Jan</v>
      </c>
      <c r="N2712" s="1">
        <f>YEAR(Table1[[#This Row],[Order_Date]])</f>
        <v>2024</v>
      </c>
      <c r="O2712" s="7">
        <f>Table1[[#This Row],[Profit]]/Table1[[#This Row],[Total_Sales]]</f>
        <v>0.42011404872991187</v>
      </c>
    </row>
    <row r="2713" spans="1:15" x14ac:dyDescent="0.25">
      <c r="A2713" s="1">
        <v>2712</v>
      </c>
      <c r="B2713" s="2">
        <v>45519</v>
      </c>
      <c r="C2713" s="1" t="s">
        <v>12</v>
      </c>
      <c r="D2713" s="1" t="s">
        <v>22</v>
      </c>
      <c r="E2713" s="1" t="s">
        <v>23</v>
      </c>
      <c r="F2713" s="1" t="s">
        <v>35</v>
      </c>
      <c r="G2713" s="1">
        <v>8</v>
      </c>
      <c r="H2713" s="1">
        <v>396</v>
      </c>
      <c r="I2713" s="1">
        <v>10</v>
      </c>
      <c r="J2713" s="4">
        <v>2851.2</v>
      </c>
      <c r="K2713" s="4">
        <v>2038.72</v>
      </c>
      <c r="L2713" s="4">
        <v>812.48</v>
      </c>
      <c r="M2713" s="1" t="str">
        <f>TEXT(Table1[[#This Row],[Order_Date]], "MMM")</f>
        <v>Aug</v>
      </c>
      <c r="N2713" s="1">
        <f>YEAR(Table1[[#This Row],[Order_Date]])</f>
        <v>2024</v>
      </c>
      <c r="O2713" s="7">
        <f>Table1[[#This Row],[Profit]]/Table1[[#This Row],[Total_Sales]]</f>
        <v>0.28496071829405167</v>
      </c>
    </row>
    <row r="2714" spans="1:15" x14ac:dyDescent="0.25">
      <c r="A2714" s="1">
        <v>2713</v>
      </c>
      <c r="B2714" s="2">
        <v>44968</v>
      </c>
      <c r="C2714" s="1" t="s">
        <v>25</v>
      </c>
      <c r="D2714" s="1" t="s">
        <v>13</v>
      </c>
      <c r="E2714" s="1" t="s">
        <v>14</v>
      </c>
      <c r="F2714" s="1" t="s">
        <v>35</v>
      </c>
      <c r="G2714" s="1">
        <v>7</v>
      </c>
      <c r="H2714" s="1">
        <v>402</v>
      </c>
      <c r="I2714" s="1">
        <v>0</v>
      </c>
      <c r="J2714" s="4">
        <v>2814</v>
      </c>
      <c r="K2714" s="4">
        <v>2189.1</v>
      </c>
      <c r="L2714" s="4">
        <v>624.9</v>
      </c>
      <c r="M2714" s="1" t="str">
        <f>TEXT(Table1[[#This Row],[Order_Date]], "MMM")</f>
        <v>Feb</v>
      </c>
      <c r="N2714" s="1">
        <f>YEAR(Table1[[#This Row],[Order_Date]])</f>
        <v>2023</v>
      </c>
      <c r="O2714" s="7">
        <f>Table1[[#This Row],[Profit]]/Table1[[#This Row],[Total_Sales]]</f>
        <v>0.2220682302771855</v>
      </c>
    </row>
    <row r="2715" spans="1:15" x14ac:dyDescent="0.25">
      <c r="A2715" s="1">
        <v>2714</v>
      </c>
      <c r="B2715" s="2">
        <v>45629</v>
      </c>
      <c r="C2715" s="1" t="s">
        <v>16</v>
      </c>
      <c r="D2715" s="1" t="s">
        <v>26</v>
      </c>
      <c r="E2715" s="1" t="s">
        <v>42</v>
      </c>
      <c r="F2715" s="1" t="s">
        <v>35</v>
      </c>
      <c r="G2715" s="1">
        <v>6</v>
      </c>
      <c r="H2715" s="1">
        <v>295</v>
      </c>
      <c r="I2715" s="1">
        <v>20</v>
      </c>
      <c r="J2715" s="4">
        <v>1416</v>
      </c>
      <c r="K2715" s="4">
        <v>734.7</v>
      </c>
      <c r="L2715" s="4">
        <v>681.3</v>
      </c>
      <c r="M2715" s="1" t="str">
        <f>TEXT(Table1[[#This Row],[Order_Date]], "MMM")</f>
        <v>Dec</v>
      </c>
      <c r="N2715" s="1">
        <f>YEAR(Table1[[#This Row],[Order_Date]])</f>
        <v>2024</v>
      </c>
      <c r="O2715" s="7">
        <f>Table1[[#This Row],[Profit]]/Table1[[#This Row],[Total_Sales]]</f>
        <v>0.48114406779661012</v>
      </c>
    </row>
    <row r="2716" spans="1:15" x14ac:dyDescent="0.25">
      <c r="A2716" s="1">
        <v>2715</v>
      </c>
      <c r="B2716" s="2">
        <v>45594</v>
      </c>
      <c r="C2716" s="1" t="s">
        <v>12</v>
      </c>
      <c r="D2716" s="1" t="s">
        <v>32</v>
      </c>
      <c r="E2716" s="1" t="s">
        <v>33</v>
      </c>
      <c r="F2716" s="1" t="s">
        <v>40</v>
      </c>
      <c r="G2716" s="1">
        <v>1</v>
      </c>
      <c r="H2716" s="1">
        <v>453</v>
      </c>
      <c r="I2716" s="1">
        <v>5</v>
      </c>
      <c r="J2716" s="4">
        <v>430.35</v>
      </c>
      <c r="K2716" s="4">
        <v>314.18</v>
      </c>
      <c r="L2716" s="4">
        <v>116.17</v>
      </c>
      <c r="M2716" s="1" t="str">
        <f>TEXT(Table1[[#This Row],[Order_Date]], "MMM")</f>
        <v>Oct</v>
      </c>
      <c r="N2716" s="1">
        <f>YEAR(Table1[[#This Row],[Order_Date]])</f>
        <v>2024</v>
      </c>
      <c r="O2716" s="7">
        <f>Table1[[#This Row],[Profit]]/Table1[[#This Row],[Total_Sales]]</f>
        <v>0.26994306959451608</v>
      </c>
    </row>
    <row r="2717" spans="1:15" x14ac:dyDescent="0.25">
      <c r="A2717" s="1">
        <v>2716</v>
      </c>
      <c r="B2717" s="2">
        <v>45434</v>
      </c>
      <c r="C2717" s="1" t="s">
        <v>12</v>
      </c>
      <c r="D2717" s="1" t="s">
        <v>22</v>
      </c>
      <c r="E2717" s="1" t="s">
        <v>29</v>
      </c>
      <c r="F2717" s="1" t="s">
        <v>40</v>
      </c>
      <c r="G2717" s="1">
        <v>9</v>
      </c>
      <c r="H2717" s="1">
        <v>493</v>
      </c>
      <c r="I2717" s="1">
        <v>5</v>
      </c>
      <c r="J2717" s="4">
        <v>4215.1499999999996</v>
      </c>
      <c r="K2717" s="4">
        <v>3119.83</v>
      </c>
      <c r="L2717" s="4">
        <v>1095.32</v>
      </c>
      <c r="M2717" s="1" t="str">
        <f>TEXT(Table1[[#This Row],[Order_Date]], "MMM")</f>
        <v>May</v>
      </c>
      <c r="N2717" s="1">
        <f>YEAR(Table1[[#This Row],[Order_Date]])</f>
        <v>2024</v>
      </c>
      <c r="O2717" s="7">
        <f>Table1[[#This Row],[Profit]]/Table1[[#This Row],[Total_Sales]]</f>
        <v>0.25985314876101684</v>
      </c>
    </row>
    <row r="2718" spans="1:15" x14ac:dyDescent="0.25">
      <c r="A2718" s="1">
        <v>2717</v>
      </c>
      <c r="B2718" s="2">
        <v>45341</v>
      </c>
      <c r="C2718" s="1" t="s">
        <v>19</v>
      </c>
      <c r="D2718" s="1" t="s">
        <v>13</v>
      </c>
      <c r="E2718" s="1" t="s">
        <v>38</v>
      </c>
      <c r="F2718" s="1" t="s">
        <v>40</v>
      </c>
      <c r="G2718" s="1">
        <v>7</v>
      </c>
      <c r="H2718" s="1">
        <v>526</v>
      </c>
      <c r="I2718" s="1">
        <v>5</v>
      </c>
      <c r="J2718" s="4">
        <v>3497.9</v>
      </c>
      <c r="K2718" s="4">
        <v>2289.4299999999998</v>
      </c>
      <c r="L2718" s="4">
        <v>1208.47</v>
      </c>
      <c r="M2718" s="1" t="str">
        <f>TEXT(Table1[[#This Row],[Order_Date]], "MMM")</f>
        <v>Feb</v>
      </c>
      <c r="N2718" s="1">
        <f>YEAR(Table1[[#This Row],[Order_Date]])</f>
        <v>2024</v>
      </c>
      <c r="O2718" s="7">
        <f>Table1[[#This Row],[Profit]]/Table1[[#This Row],[Total_Sales]]</f>
        <v>0.34548443351725322</v>
      </c>
    </row>
    <row r="2719" spans="1:15" x14ac:dyDescent="0.25">
      <c r="A2719" s="1">
        <v>2718</v>
      </c>
      <c r="B2719" s="2">
        <v>45044</v>
      </c>
      <c r="C2719" s="1" t="s">
        <v>25</v>
      </c>
      <c r="D2719" s="1" t="s">
        <v>32</v>
      </c>
      <c r="E2719" s="1" t="s">
        <v>41</v>
      </c>
      <c r="F2719" s="1" t="s">
        <v>31</v>
      </c>
      <c r="G2719" s="1">
        <v>1</v>
      </c>
      <c r="H2719" s="1">
        <v>624</v>
      </c>
      <c r="I2719" s="1">
        <v>0</v>
      </c>
      <c r="J2719" s="4">
        <v>624</v>
      </c>
      <c r="K2719" s="4">
        <v>317.58</v>
      </c>
      <c r="L2719" s="4">
        <v>306.42</v>
      </c>
      <c r="M2719" s="1" t="str">
        <f>TEXT(Table1[[#This Row],[Order_Date]], "MMM")</f>
        <v>Apr</v>
      </c>
      <c r="N2719" s="1">
        <f>YEAR(Table1[[#This Row],[Order_Date]])</f>
        <v>2023</v>
      </c>
      <c r="O2719" s="7">
        <f>Table1[[#This Row],[Profit]]/Table1[[#This Row],[Total_Sales]]</f>
        <v>0.49105769230769231</v>
      </c>
    </row>
    <row r="2720" spans="1:15" x14ac:dyDescent="0.25">
      <c r="A2720" s="1">
        <v>2719</v>
      </c>
      <c r="B2720" s="2">
        <v>45608</v>
      </c>
      <c r="C2720" s="1" t="s">
        <v>16</v>
      </c>
      <c r="D2720" s="1" t="s">
        <v>26</v>
      </c>
      <c r="E2720" s="1" t="s">
        <v>27</v>
      </c>
      <c r="F2720" s="1" t="s">
        <v>40</v>
      </c>
      <c r="G2720" s="1">
        <v>6</v>
      </c>
      <c r="H2720" s="1">
        <v>463</v>
      </c>
      <c r="I2720" s="1">
        <v>0</v>
      </c>
      <c r="J2720" s="4">
        <v>2778</v>
      </c>
      <c r="K2720" s="4">
        <v>2092.0100000000002</v>
      </c>
      <c r="L2720" s="4">
        <v>685.99</v>
      </c>
      <c r="M2720" s="1" t="str">
        <f>TEXT(Table1[[#This Row],[Order_Date]], "MMM")</f>
        <v>Nov</v>
      </c>
      <c r="N2720" s="1">
        <f>YEAR(Table1[[#This Row],[Order_Date]])</f>
        <v>2024</v>
      </c>
      <c r="O2720" s="7">
        <f>Table1[[#This Row],[Profit]]/Table1[[#This Row],[Total_Sales]]</f>
        <v>0.24693664506839452</v>
      </c>
    </row>
    <row r="2721" spans="1:15" x14ac:dyDescent="0.25">
      <c r="A2721" s="1">
        <v>2720</v>
      </c>
      <c r="B2721" s="2">
        <v>45013</v>
      </c>
      <c r="C2721" s="1" t="s">
        <v>12</v>
      </c>
      <c r="D2721" s="1" t="s">
        <v>13</v>
      </c>
      <c r="E2721" s="1" t="s">
        <v>14</v>
      </c>
      <c r="F2721" s="1" t="s">
        <v>31</v>
      </c>
      <c r="G2721" s="1">
        <v>9</v>
      </c>
      <c r="H2721" s="1">
        <v>961</v>
      </c>
      <c r="I2721" s="1">
        <v>10</v>
      </c>
      <c r="J2721" s="4">
        <v>7784.1</v>
      </c>
      <c r="K2721" s="4">
        <v>4474.8900000000003</v>
      </c>
      <c r="L2721" s="4">
        <v>3309.21</v>
      </c>
      <c r="M2721" s="1" t="str">
        <f>TEXT(Table1[[#This Row],[Order_Date]], "MMM")</f>
        <v>Mar</v>
      </c>
      <c r="N2721" s="1">
        <f>YEAR(Table1[[#This Row],[Order_Date]])</f>
        <v>2023</v>
      </c>
      <c r="O2721" s="7">
        <f>Table1[[#This Row],[Profit]]/Table1[[#This Row],[Total_Sales]]</f>
        <v>0.4251242918256446</v>
      </c>
    </row>
    <row r="2722" spans="1:15" x14ac:dyDescent="0.25">
      <c r="A2722" s="1">
        <v>2721</v>
      </c>
      <c r="B2722" s="2">
        <v>44960</v>
      </c>
      <c r="C2722" s="1" t="s">
        <v>25</v>
      </c>
      <c r="D2722" s="1" t="s">
        <v>26</v>
      </c>
      <c r="E2722" s="1" t="s">
        <v>27</v>
      </c>
      <c r="F2722" s="1" t="s">
        <v>31</v>
      </c>
      <c r="G2722" s="1">
        <v>9</v>
      </c>
      <c r="H2722" s="1">
        <v>295</v>
      </c>
      <c r="I2722" s="1">
        <v>5</v>
      </c>
      <c r="J2722" s="4">
        <v>2522.25</v>
      </c>
      <c r="K2722" s="4">
        <v>1268.21</v>
      </c>
      <c r="L2722" s="4">
        <v>1254.04</v>
      </c>
      <c r="M2722" s="1" t="str">
        <f>TEXT(Table1[[#This Row],[Order_Date]], "MMM")</f>
        <v>Feb</v>
      </c>
      <c r="N2722" s="1">
        <f>YEAR(Table1[[#This Row],[Order_Date]])</f>
        <v>2023</v>
      </c>
      <c r="O2722" s="7">
        <f>Table1[[#This Row],[Profit]]/Table1[[#This Row],[Total_Sales]]</f>
        <v>0.49719100009911782</v>
      </c>
    </row>
    <row r="2723" spans="1:15" x14ac:dyDescent="0.25">
      <c r="A2723" s="1">
        <v>2722</v>
      </c>
      <c r="B2723" s="2">
        <v>45508</v>
      </c>
      <c r="C2723" s="1" t="s">
        <v>19</v>
      </c>
      <c r="D2723" s="1" t="s">
        <v>20</v>
      </c>
      <c r="E2723" s="1" t="s">
        <v>43</v>
      </c>
      <c r="F2723" s="1" t="s">
        <v>15</v>
      </c>
      <c r="G2723" s="1">
        <v>2</v>
      </c>
      <c r="H2723" s="1">
        <v>485</v>
      </c>
      <c r="I2723" s="1">
        <v>5</v>
      </c>
      <c r="J2723" s="4">
        <v>921.5</v>
      </c>
      <c r="K2723" s="4">
        <v>692.47</v>
      </c>
      <c r="L2723" s="4">
        <v>229.03</v>
      </c>
      <c r="M2723" s="1" t="str">
        <f>TEXT(Table1[[#This Row],[Order_Date]], "MMM")</f>
        <v>Aug</v>
      </c>
      <c r="N2723" s="1">
        <f>YEAR(Table1[[#This Row],[Order_Date]])</f>
        <v>2024</v>
      </c>
      <c r="O2723" s="7">
        <f>Table1[[#This Row],[Profit]]/Table1[[#This Row],[Total_Sales]]</f>
        <v>0.24854042322300596</v>
      </c>
    </row>
    <row r="2724" spans="1:15" x14ac:dyDescent="0.25">
      <c r="A2724" s="1">
        <v>2723</v>
      </c>
      <c r="B2724" s="2">
        <v>45235</v>
      </c>
      <c r="C2724" s="1" t="s">
        <v>12</v>
      </c>
      <c r="D2724" s="1" t="s">
        <v>13</v>
      </c>
      <c r="E2724" s="1" t="s">
        <v>38</v>
      </c>
      <c r="F2724" s="1" t="s">
        <v>31</v>
      </c>
      <c r="G2724" s="1">
        <v>7</v>
      </c>
      <c r="H2724" s="1">
        <v>845</v>
      </c>
      <c r="I2724" s="1">
        <v>0</v>
      </c>
      <c r="J2724" s="4">
        <v>5915</v>
      </c>
      <c r="K2724" s="4">
        <v>3706.84</v>
      </c>
      <c r="L2724" s="4">
        <v>2208.16</v>
      </c>
      <c r="M2724" s="1" t="str">
        <f>TEXT(Table1[[#This Row],[Order_Date]], "MMM")</f>
        <v>Nov</v>
      </c>
      <c r="N2724" s="1">
        <f>YEAR(Table1[[#This Row],[Order_Date]])</f>
        <v>2023</v>
      </c>
      <c r="O2724" s="7">
        <f>Table1[[#This Row],[Profit]]/Table1[[#This Row],[Total_Sales]]</f>
        <v>0.37331530008453084</v>
      </c>
    </row>
    <row r="2725" spans="1:15" x14ac:dyDescent="0.25">
      <c r="A2725" s="1">
        <v>2724</v>
      </c>
      <c r="B2725" s="2">
        <v>45039</v>
      </c>
      <c r="C2725" s="1" t="s">
        <v>19</v>
      </c>
      <c r="D2725" s="1" t="s">
        <v>13</v>
      </c>
      <c r="E2725" s="1" t="s">
        <v>17</v>
      </c>
      <c r="F2725" s="1" t="s">
        <v>24</v>
      </c>
      <c r="G2725" s="1">
        <v>5</v>
      </c>
      <c r="H2725" s="1">
        <v>160</v>
      </c>
      <c r="I2725" s="1">
        <v>15</v>
      </c>
      <c r="J2725" s="4">
        <v>680</v>
      </c>
      <c r="K2725" s="4">
        <v>511.7</v>
      </c>
      <c r="L2725" s="4">
        <v>168.3</v>
      </c>
      <c r="M2725" s="1" t="str">
        <f>TEXT(Table1[[#This Row],[Order_Date]], "MMM")</f>
        <v>Apr</v>
      </c>
      <c r="N2725" s="1">
        <f>YEAR(Table1[[#This Row],[Order_Date]])</f>
        <v>2023</v>
      </c>
      <c r="O2725" s="7">
        <f>Table1[[#This Row],[Profit]]/Table1[[#This Row],[Total_Sales]]</f>
        <v>0.24750000000000003</v>
      </c>
    </row>
    <row r="2726" spans="1:15" x14ac:dyDescent="0.25">
      <c r="A2726" s="1">
        <v>2725</v>
      </c>
      <c r="B2726" s="2">
        <v>45656</v>
      </c>
      <c r="C2726" s="1" t="s">
        <v>19</v>
      </c>
      <c r="D2726" s="1" t="s">
        <v>26</v>
      </c>
      <c r="E2726" s="1" t="s">
        <v>46</v>
      </c>
      <c r="F2726" s="1" t="s">
        <v>40</v>
      </c>
      <c r="G2726" s="1">
        <v>9</v>
      </c>
      <c r="H2726" s="1">
        <v>902</v>
      </c>
      <c r="I2726" s="1">
        <v>0</v>
      </c>
      <c r="J2726" s="4">
        <v>8118</v>
      </c>
      <c r="K2726" s="4">
        <v>4078.43</v>
      </c>
      <c r="L2726" s="4">
        <v>4039.57</v>
      </c>
      <c r="M2726" s="1" t="str">
        <f>TEXT(Table1[[#This Row],[Order_Date]], "MMM")</f>
        <v>Dec</v>
      </c>
      <c r="N2726" s="1">
        <f>YEAR(Table1[[#This Row],[Order_Date]])</f>
        <v>2024</v>
      </c>
      <c r="O2726" s="7">
        <f>Table1[[#This Row],[Profit]]/Table1[[#This Row],[Total_Sales]]</f>
        <v>0.49760655333826065</v>
      </c>
    </row>
    <row r="2727" spans="1:15" x14ac:dyDescent="0.25">
      <c r="A2727" s="1">
        <v>2726</v>
      </c>
      <c r="B2727" s="2">
        <v>45519</v>
      </c>
      <c r="C2727" s="1" t="s">
        <v>12</v>
      </c>
      <c r="D2727" s="1" t="s">
        <v>26</v>
      </c>
      <c r="E2727" s="1" t="s">
        <v>42</v>
      </c>
      <c r="F2727" s="1" t="s">
        <v>31</v>
      </c>
      <c r="G2727" s="1">
        <v>10</v>
      </c>
      <c r="H2727" s="1">
        <v>522</v>
      </c>
      <c r="I2727" s="1">
        <v>5</v>
      </c>
      <c r="J2727" s="4">
        <v>4959</v>
      </c>
      <c r="K2727" s="4">
        <v>2631.27</v>
      </c>
      <c r="L2727" s="4">
        <v>2327.73</v>
      </c>
      <c r="M2727" s="1" t="str">
        <f>TEXT(Table1[[#This Row],[Order_Date]], "MMM")</f>
        <v>Aug</v>
      </c>
      <c r="N2727" s="1">
        <f>YEAR(Table1[[#This Row],[Order_Date]])</f>
        <v>2024</v>
      </c>
      <c r="O2727" s="7">
        <f>Table1[[#This Row],[Profit]]/Table1[[#This Row],[Total_Sales]]</f>
        <v>0.46939503932244403</v>
      </c>
    </row>
    <row r="2728" spans="1:15" x14ac:dyDescent="0.25">
      <c r="A2728" s="1">
        <v>2727</v>
      </c>
      <c r="B2728" s="2">
        <v>45336</v>
      </c>
      <c r="C2728" s="1" t="s">
        <v>19</v>
      </c>
      <c r="D2728" s="1" t="s">
        <v>13</v>
      </c>
      <c r="E2728" s="1" t="s">
        <v>39</v>
      </c>
      <c r="F2728" s="1" t="s">
        <v>35</v>
      </c>
      <c r="G2728" s="1">
        <v>2</v>
      </c>
      <c r="H2728" s="1">
        <v>800</v>
      </c>
      <c r="I2728" s="1">
        <v>20</v>
      </c>
      <c r="J2728" s="4">
        <v>1280</v>
      </c>
      <c r="K2728" s="4">
        <v>986.98</v>
      </c>
      <c r="L2728" s="4">
        <v>293.02</v>
      </c>
      <c r="M2728" s="1" t="str">
        <f>TEXT(Table1[[#This Row],[Order_Date]], "MMM")</f>
        <v>Feb</v>
      </c>
      <c r="N2728" s="1">
        <f>YEAR(Table1[[#This Row],[Order_Date]])</f>
        <v>2024</v>
      </c>
      <c r="O2728" s="7">
        <f>Table1[[#This Row],[Profit]]/Table1[[#This Row],[Total_Sales]]</f>
        <v>0.228921875</v>
      </c>
    </row>
    <row r="2729" spans="1:15" x14ac:dyDescent="0.25">
      <c r="A2729" s="1">
        <v>2728</v>
      </c>
      <c r="B2729" s="2">
        <v>45129</v>
      </c>
      <c r="C2729" s="1" t="s">
        <v>12</v>
      </c>
      <c r="D2729" s="1" t="s">
        <v>22</v>
      </c>
      <c r="E2729" s="1" t="s">
        <v>36</v>
      </c>
      <c r="F2729" s="1" t="s">
        <v>35</v>
      </c>
      <c r="G2729" s="1">
        <v>7</v>
      </c>
      <c r="H2729" s="1">
        <v>347</v>
      </c>
      <c r="I2729" s="1">
        <v>15</v>
      </c>
      <c r="J2729" s="4">
        <v>2064.65</v>
      </c>
      <c r="K2729" s="4">
        <v>1300.6500000000001</v>
      </c>
      <c r="L2729" s="4">
        <v>764</v>
      </c>
      <c r="M2729" s="1" t="str">
        <f>TEXT(Table1[[#This Row],[Order_Date]], "MMM")</f>
        <v>Jul</v>
      </c>
      <c r="N2729" s="1">
        <f>YEAR(Table1[[#This Row],[Order_Date]])</f>
        <v>2023</v>
      </c>
      <c r="O2729" s="7">
        <f>Table1[[#This Row],[Profit]]/Table1[[#This Row],[Total_Sales]]</f>
        <v>0.3700385053156709</v>
      </c>
    </row>
    <row r="2730" spans="1:15" x14ac:dyDescent="0.25">
      <c r="A2730" s="1">
        <v>2729</v>
      </c>
      <c r="B2730" s="2">
        <v>45065</v>
      </c>
      <c r="C2730" s="1" t="s">
        <v>16</v>
      </c>
      <c r="D2730" s="1" t="s">
        <v>26</v>
      </c>
      <c r="E2730" s="1" t="s">
        <v>42</v>
      </c>
      <c r="F2730" s="1" t="s">
        <v>15</v>
      </c>
      <c r="G2730" s="1">
        <v>8</v>
      </c>
      <c r="H2730" s="1">
        <v>746</v>
      </c>
      <c r="I2730" s="1">
        <v>0</v>
      </c>
      <c r="J2730" s="4">
        <v>5968</v>
      </c>
      <c r="K2730" s="4">
        <v>4581.59</v>
      </c>
      <c r="L2730" s="4">
        <v>1386.41</v>
      </c>
      <c r="M2730" s="1" t="str">
        <f>TEXT(Table1[[#This Row],[Order_Date]], "MMM")</f>
        <v>May</v>
      </c>
      <c r="N2730" s="1">
        <f>YEAR(Table1[[#This Row],[Order_Date]])</f>
        <v>2023</v>
      </c>
      <c r="O2730" s="7">
        <f>Table1[[#This Row],[Profit]]/Table1[[#This Row],[Total_Sales]]</f>
        <v>0.23230730563002683</v>
      </c>
    </row>
    <row r="2731" spans="1:15" x14ac:dyDescent="0.25">
      <c r="A2731" s="1">
        <v>2730</v>
      </c>
      <c r="B2731" s="2">
        <v>45158</v>
      </c>
      <c r="C2731" s="1" t="s">
        <v>16</v>
      </c>
      <c r="D2731" s="1" t="s">
        <v>20</v>
      </c>
      <c r="E2731" s="1" t="s">
        <v>30</v>
      </c>
      <c r="F2731" s="1" t="s">
        <v>15</v>
      </c>
      <c r="G2731" s="1">
        <v>5</v>
      </c>
      <c r="H2731" s="1">
        <v>884</v>
      </c>
      <c r="I2731" s="1">
        <v>0</v>
      </c>
      <c r="J2731" s="4">
        <v>4420</v>
      </c>
      <c r="K2731" s="4">
        <v>2778.96</v>
      </c>
      <c r="L2731" s="4">
        <v>1641.04</v>
      </c>
      <c r="M2731" s="1" t="str">
        <f>TEXT(Table1[[#This Row],[Order_Date]], "MMM")</f>
        <v>Aug</v>
      </c>
      <c r="N2731" s="1">
        <f>YEAR(Table1[[#This Row],[Order_Date]])</f>
        <v>2023</v>
      </c>
      <c r="O2731" s="7">
        <f>Table1[[#This Row],[Profit]]/Table1[[#This Row],[Total_Sales]]</f>
        <v>0.37127601809954752</v>
      </c>
    </row>
    <row r="2732" spans="1:15" x14ac:dyDescent="0.25">
      <c r="A2732" s="1">
        <v>2731</v>
      </c>
      <c r="B2732" s="2">
        <v>45402</v>
      </c>
      <c r="C2732" s="1" t="s">
        <v>19</v>
      </c>
      <c r="D2732" s="1" t="s">
        <v>20</v>
      </c>
      <c r="E2732" s="1" t="s">
        <v>43</v>
      </c>
      <c r="F2732" s="1" t="s">
        <v>31</v>
      </c>
      <c r="G2732" s="1">
        <v>9</v>
      </c>
      <c r="H2732" s="1">
        <v>222</v>
      </c>
      <c r="I2732" s="1">
        <v>15</v>
      </c>
      <c r="J2732" s="4">
        <v>1698.3</v>
      </c>
      <c r="K2732" s="4">
        <v>1077.18</v>
      </c>
      <c r="L2732" s="4">
        <v>621.12</v>
      </c>
      <c r="M2732" s="1" t="str">
        <f>TEXT(Table1[[#This Row],[Order_Date]], "MMM")</f>
        <v>Apr</v>
      </c>
      <c r="N2732" s="1">
        <f>YEAR(Table1[[#This Row],[Order_Date]])</f>
        <v>2024</v>
      </c>
      <c r="O2732" s="7">
        <f>Table1[[#This Row],[Profit]]/Table1[[#This Row],[Total_Sales]]</f>
        <v>0.36573043631867164</v>
      </c>
    </row>
    <row r="2733" spans="1:15" x14ac:dyDescent="0.25">
      <c r="A2733" s="1">
        <v>2732</v>
      </c>
      <c r="B2733" s="2">
        <v>45264</v>
      </c>
      <c r="C2733" s="1" t="s">
        <v>19</v>
      </c>
      <c r="D2733" s="1" t="s">
        <v>20</v>
      </c>
      <c r="E2733" s="1" t="s">
        <v>43</v>
      </c>
      <c r="F2733" s="1" t="s">
        <v>35</v>
      </c>
      <c r="G2733" s="1">
        <v>10</v>
      </c>
      <c r="H2733" s="1">
        <v>378</v>
      </c>
      <c r="I2733" s="1">
        <v>0</v>
      </c>
      <c r="J2733" s="4">
        <v>3780</v>
      </c>
      <c r="K2733" s="4">
        <v>2073.7600000000002</v>
      </c>
      <c r="L2733" s="4">
        <v>1706.24</v>
      </c>
      <c r="M2733" s="1" t="str">
        <f>TEXT(Table1[[#This Row],[Order_Date]], "MMM")</f>
        <v>Dec</v>
      </c>
      <c r="N2733" s="1">
        <f>YEAR(Table1[[#This Row],[Order_Date]])</f>
        <v>2023</v>
      </c>
      <c r="O2733" s="7">
        <f>Table1[[#This Row],[Profit]]/Table1[[#This Row],[Total_Sales]]</f>
        <v>0.45138624338624339</v>
      </c>
    </row>
    <row r="2734" spans="1:15" x14ac:dyDescent="0.25">
      <c r="A2734" s="1">
        <v>2733</v>
      </c>
      <c r="B2734" s="2">
        <v>45296</v>
      </c>
      <c r="C2734" s="1" t="s">
        <v>19</v>
      </c>
      <c r="D2734" s="1" t="s">
        <v>26</v>
      </c>
      <c r="E2734" s="1" t="s">
        <v>37</v>
      </c>
      <c r="F2734" s="1" t="s">
        <v>31</v>
      </c>
      <c r="G2734" s="1">
        <v>2</v>
      </c>
      <c r="H2734" s="1">
        <v>259</v>
      </c>
      <c r="I2734" s="1">
        <v>5</v>
      </c>
      <c r="J2734" s="4">
        <v>492.1</v>
      </c>
      <c r="K2734" s="4">
        <v>373.77</v>
      </c>
      <c r="L2734" s="4">
        <v>118.33</v>
      </c>
      <c r="M2734" s="1" t="str">
        <f>TEXT(Table1[[#This Row],[Order_Date]], "MMM")</f>
        <v>Jan</v>
      </c>
      <c r="N2734" s="1">
        <f>YEAR(Table1[[#This Row],[Order_Date]])</f>
        <v>2024</v>
      </c>
      <c r="O2734" s="7">
        <f>Table1[[#This Row],[Profit]]/Table1[[#This Row],[Total_Sales]]</f>
        <v>0.24045925624872991</v>
      </c>
    </row>
    <row r="2735" spans="1:15" x14ac:dyDescent="0.25">
      <c r="A2735" s="1">
        <v>2734</v>
      </c>
      <c r="B2735" s="2">
        <v>45657</v>
      </c>
      <c r="C2735" s="1" t="s">
        <v>12</v>
      </c>
      <c r="D2735" s="1" t="s">
        <v>22</v>
      </c>
      <c r="E2735" s="1" t="s">
        <v>23</v>
      </c>
      <c r="F2735" s="1" t="s">
        <v>24</v>
      </c>
      <c r="G2735" s="1">
        <v>2</v>
      </c>
      <c r="H2735" s="1">
        <v>391</v>
      </c>
      <c r="I2735" s="1">
        <v>15</v>
      </c>
      <c r="J2735" s="4">
        <v>664.7</v>
      </c>
      <c r="K2735" s="4">
        <v>420.09</v>
      </c>
      <c r="L2735" s="4">
        <v>244.61</v>
      </c>
      <c r="M2735" s="1" t="str">
        <f>TEXT(Table1[[#This Row],[Order_Date]], "MMM")</f>
        <v>Dec</v>
      </c>
      <c r="N2735" s="1">
        <f>YEAR(Table1[[#This Row],[Order_Date]])</f>
        <v>2024</v>
      </c>
      <c r="O2735" s="7">
        <f>Table1[[#This Row],[Profit]]/Table1[[#This Row],[Total_Sales]]</f>
        <v>0.36800060177523697</v>
      </c>
    </row>
    <row r="2736" spans="1:15" x14ac:dyDescent="0.25">
      <c r="A2736" s="1">
        <v>2735</v>
      </c>
      <c r="B2736" s="2">
        <v>44965</v>
      </c>
      <c r="C2736" s="1" t="s">
        <v>25</v>
      </c>
      <c r="D2736" s="1" t="s">
        <v>20</v>
      </c>
      <c r="E2736" s="1" t="s">
        <v>43</v>
      </c>
      <c r="F2736" s="1" t="s">
        <v>31</v>
      </c>
      <c r="G2736" s="1">
        <v>10</v>
      </c>
      <c r="H2736" s="1">
        <v>522</v>
      </c>
      <c r="I2736" s="1">
        <v>15</v>
      </c>
      <c r="J2736" s="4">
        <v>4437</v>
      </c>
      <c r="K2736" s="4">
        <v>3511.85</v>
      </c>
      <c r="L2736" s="4">
        <v>925.15</v>
      </c>
      <c r="M2736" s="1" t="str">
        <f>TEXT(Table1[[#This Row],[Order_Date]], "MMM")</f>
        <v>Feb</v>
      </c>
      <c r="N2736" s="1">
        <f>YEAR(Table1[[#This Row],[Order_Date]])</f>
        <v>2023</v>
      </c>
      <c r="O2736" s="7">
        <f>Table1[[#This Row],[Profit]]/Table1[[#This Row],[Total_Sales]]</f>
        <v>0.20850800090151003</v>
      </c>
    </row>
    <row r="2737" spans="1:15" x14ac:dyDescent="0.25">
      <c r="A2737" s="1">
        <v>2736</v>
      </c>
      <c r="B2737" s="2">
        <v>45463</v>
      </c>
      <c r="C2737" s="1" t="s">
        <v>25</v>
      </c>
      <c r="D2737" s="1" t="s">
        <v>20</v>
      </c>
      <c r="E2737" s="1" t="s">
        <v>30</v>
      </c>
      <c r="F2737" s="1" t="s">
        <v>35</v>
      </c>
      <c r="G2737" s="1">
        <v>3</v>
      </c>
      <c r="H2737" s="1">
        <v>256</v>
      </c>
      <c r="I2737" s="1">
        <v>15</v>
      </c>
      <c r="J2737" s="4">
        <v>652.79999999999995</v>
      </c>
      <c r="K2737" s="4">
        <v>352.54</v>
      </c>
      <c r="L2737" s="4">
        <v>300.26</v>
      </c>
      <c r="M2737" s="1" t="str">
        <f>TEXT(Table1[[#This Row],[Order_Date]], "MMM")</f>
        <v>Jun</v>
      </c>
      <c r="N2737" s="1">
        <f>YEAR(Table1[[#This Row],[Order_Date]])</f>
        <v>2024</v>
      </c>
      <c r="O2737" s="7">
        <f>Table1[[#This Row],[Profit]]/Table1[[#This Row],[Total_Sales]]</f>
        <v>0.45995710784313726</v>
      </c>
    </row>
    <row r="2738" spans="1:15" x14ac:dyDescent="0.25">
      <c r="A2738" s="1">
        <v>2737</v>
      </c>
      <c r="B2738" s="2">
        <v>44950</v>
      </c>
      <c r="C2738" s="1" t="s">
        <v>25</v>
      </c>
      <c r="D2738" s="1" t="s">
        <v>32</v>
      </c>
      <c r="E2738" s="1" t="s">
        <v>33</v>
      </c>
      <c r="F2738" s="1" t="s">
        <v>40</v>
      </c>
      <c r="G2738" s="1">
        <v>4</v>
      </c>
      <c r="H2738" s="1">
        <v>114</v>
      </c>
      <c r="I2738" s="1">
        <v>10</v>
      </c>
      <c r="J2738" s="4">
        <v>410.4</v>
      </c>
      <c r="K2738" s="4">
        <v>227.61</v>
      </c>
      <c r="L2738" s="4">
        <v>182.79</v>
      </c>
      <c r="M2738" s="1" t="str">
        <f>TEXT(Table1[[#This Row],[Order_Date]], "MMM")</f>
        <v>Jan</v>
      </c>
      <c r="N2738" s="1">
        <f>YEAR(Table1[[#This Row],[Order_Date]])</f>
        <v>2023</v>
      </c>
      <c r="O2738" s="7">
        <f>Table1[[#This Row],[Profit]]/Table1[[#This Row],[Total_Sales]]</f>
        <v>0.44539473684210529</v>
      </c>
    </row>
    <row r="2739" spans="1:15" x14ac:dyDescent="0.25">
      <c r="A2739" s="1">
        <v>2738</v>
      </c>
      <c r="B2739" s="2">
        <v>45287</v>
      </c>
      <c r="C2739" s="1" t="s">
        <v>16</v>
      </c>
      <c r="D2739" s="1" t="s">
        <v>20</v>
      </c>
      <c r="E2739" s="1" t="s">
        <v>28</v>
      </c>
      <c r="F2739" s="1" t="s">
        <v>40</v>
      </c>
      <c r="G2739" s="1">
        <v>10</v>
      </c>
      <c r="H2739" s="1">
        <v>71</v>
      </c>
      <c r="I2739" s="1">
        <v>5</v>
      </c>
      <c r="J2739" s="4">
        <v>674.5</v>
      </c>
      <c r="K2739" s="4">
        <v>356.73</v>
      </c>
      <c r="L2739" s="4">
        <v>317.77</v>
      </c>
      <c r="M2739" s="1" t="str">
        <f>TEXT(Table1[[#This Row],[Order_Date]], "MMM")</f>
        <v>Dec</v>
      </c>
      <c r="N2739" s="1">
        <f>YEAR(Table1[[#This Row],[Order_Date]])</f>
        <v>2023</v>
      </c>
      <c r="O2739" s="7">
        <f>Table1[[#This Row],[Profit]]/Table1[[#This Row],[Total_Sales]]</f>
        <v>0.47111934766493696</v>
      </c>
    </row>
    <row r="2740" spans="1:15" x14ac:dyDescent="0.25">
      <c r="A2740" s="1">
        <v>2739</v>
      </c>
      <c r="B2740" s="2">
        <v>44973</v>
      </c>
      <c r="C2740" s="1" t="s">
        <v>12</v>
      </c>
      <c r="D2740" s="1" t="s">
        <v>32</v>
      </c>
      <c r="E2740" s="1" t="s">
        <v>33</v>
      </c>
      <c r="F2740" s="1" t="s">
        <v>40</v>
      </c>
      <c r="G2740" s="1">
        <v>4</v>
      </c>
      <c r="H2740" s="1">
        <v>467</v>
      </c>
      <c r="I2740" s="1">
        <v>5</v>
      </c>
      <c r="J2740" s="4">
        <v>1774.6</v>
      </c>
      <c r="K2740" s="4">
        <v>1384.73</v>
      </c>
      <c r="L2740" s="4">
        <v>389.87</v>
      </c>
      <c r="M2740" s="1" t="str">
        <f>TEXT(Table1[[#This Row],[Order_Date]], "MMM")</f>
        <v>Feb</v>
      </c>
      <c r="N2740" s="1">
        <f>YEAR(Table1[[#This Row],[Order_Date]])</f>
        <v>2023</v>
      </c>
      <c r="O2740" s="7">
        <f>Table1[[#This Row],[Profit]]/Table1[[#This Row],[Total_Sales]]</f>
        <v>0.21969457906006989</v>
      </c>
    </row>
    <row r="2741" spans="1:15" x14ac:dyDescent="0.25">
      <c r="A2741" s="1">
        <v>2740</v>
      </c>
      <c r="B2741" s="2">
        <v>45551</v>
      </c>
      <c r="C2741" s="1" t="s">
        <v>12</v>
      </c>
      <c r="D2741" s="1" t="s">
        <v>32</v>
      </c>
      <c r="E2741" s="1" t="s">
        <v>41</v>
      </c>
      <c r="F2741" s="1" t="s">
        <v>15</v>
      </c>
      <c r="G2741" s="1">
        <v>10</v>
      </c>
      <c r="H2741" s="1">
        <v>420</v>
      </c>
      <c r="I2741" s="1">
        <v>15</v>
      </c>
      <c r="J2741" s="4">
        <v>3570</v>
      </c>
      <c r="K2741" s="4">
        <v>2018.49</v>
      </c>
      <c r="L2741" s="4">
        <v>1551.51</v>
      </c>
      <c r="M2741" s="1" t="str">
        <f>TEXT(Table1[[#This Row],[Order_Date]], "MMM")</f>
        <v>Sep</v>
      </c>
      <c r="N2741" s="1">
        <f>YEAR(Table1[[#This Row],[Order_Date]])</f>
        <v>2024</v>
      </c>
      <c r="O2741" s="7">
        <f>Table1[[#This Row],[Profit]]/Table1[[#This Row],[Total_Sales]]</f>
        <v>0.43459663865546216</v>
      </c>
    </row>
    <row r="2742" spans="1:15" x14ac:dyDescent="0.25">
      <c r="A2742" s="1">
        <v>2741</v>
      </c>
      <c r="B2742" s="2">
        <v>44983</v>
      </c>
      <c r="C2742" s="1" t="s">
        <v>12</v>
      </c>
      <c r="D2742" s="1" t="s">
        <v>32</v>
      </c>
      <c r="E2742" s="1" t="s">
        <v>45</v>
      </c>
      <c r="F2742" s="1" t="s">
        <v>31</v>
      </c>
      <c r="G2742" s="1">
        <v>8</v>
      </c>
      <c r="H2742" s="1">
        <v>918</v>
      </c>
      <c r="I2742" s="1">
        <v>5</v>
      </c>
      <c r="J2742" s="4">
        <v>6976.8</v>
      </c>
      <c r="K2742" s="4">
        <v>3937.31</v>
      </c>
      <c r="L2742" s="4">
        <v>3039.49</v>
      </c>
      <c r="M2742" s="1" t="str">
        <f>TEXT(Table1[[#This Row],[Order_Date]], "MMM")</f>
        <v>Feb</v>
      </c>
      <c r="N2742" s="1">
        <f>YEAR(Table1[[#This Row],[Order_Date]])</f>
        <v>2023</v>
      </c>
      <c r="O2742" s="7">
        <f>Table1[[#This Row],[Profit]]/Table1[[#This Row],[Total_Sales]]</f>
        <v>0.43565674807934868</v>
      </c>
    </row>
    <row r="2743" spans="1:15" x14ac:dyDescent="0.25">
      <c r="A2743" s="1">
        <v>2742</v>
      </c>
      <c r="B2743" s="2">
        <v>44998</v>
      </c>
      <c r="C2743" s="1" t="s">
        <v>12</v>
      </c>
      <c r="D2743" s="1" t="s">
        <v>22</v>
      </c>
      <c r="E2743" s="1" t="s">
        <v>29</v>
      </c>
      <c r="F2743" s="1" t="s">
        <v>31</v>
      </c>
      <c r="G2743" s="1">
        <v>2</v>
      </c>
      <c r="H2743" s="1">
        <v>136</v>
      </c>
      <c r="I2743" s="1">
        <v>15</v>
      </c>
      <c r="J2743" s="4">
        <v>231.2</v>
      </c>
      <c r="K2743" s="4">
        <v>132.62</v>
      </c>
      <c r="L2743" s="4">
        <v>98.58</v>
      </c>
      <c r="M2743" s="1" t="str">
        <f>TEXT(Table1[[#This Row],[Order_Date]], "MMM")</f>
        <v>Mar</v>
      </c>
      <c r="N2743" s="1">
        <f>YEAR(Table1[[#This Row],[Order_Date]])</f>
        <v>2023</v>
      </c>
      <c r="O2743" s="7">
        <f>Table1[[#This Row],[Profit]]/Table1[[#This Row],[Total_Sales]]</f>
        <v>0.42638408304498271</v>
      </c>
    </row>
    <row r="2744" spans="1:15" x14ac:dyDescent="0.25">
      <c r="A2744" s="1">
        <v>2743</v>
      </c>
      <c r="B2744" s="2">
        <v>45144</v>
      </c>
      <c r="C2744" s="1" t="s">
        <v>16</v>
      </c>
      <c r="D2744" s="1" t="s">
        <v>22</v>
      </c>
      <c r="E2744" s="1" t="s">
        <v>29</v>
      </c>
      <c r="F2744" s="1" t="s">
        <v>24</v>
      </c>
      <c r="G2744" s="1">
        <v>7</v>
      </c>
      <c r="H2744" s="1">
        <v>593</v>
      </c>
      <c r="I2744" s="1">
        <v>0</v>
      </c>
      <c r="J2744" s="4">
        <v>4151</v>
      </c>
      <c r="K2744" s="4">
        <v>2189.19</v>
      </c>
      <c r="L2744" s="4">
        <v>1961.81</v>
      </c>
      <c r="M2744" s="1" t="str">
        <f>TEXT(Table1[[#This Row],[Order_Date]], "MMM")</f>
        <v>Aug</v>
      </c>
      <c r="N2744" s="1">
        <f>YEAR(Table1[[#This Row],[Order_Date]])</f>
        <v>2023</v>
      </c>
      <c r="O2744" s="7">
        <f>Table1[[#This Row],[Profit]]/Table1[[#This Row],[Total_Sales]]</f>
        <v>0.47261141893519631</v>
      </c>
    </row>
    <row r="2745" spans="1:15" x14ac:dyDescent="0.25">
      <c r="A2745" s="1">
        <v>2744</v>
      </c>
      <c r="B2745" s="2">
        <v>45384</v>
      </c>
      <c r="C2745" s="1" t="s">
        <v>25</v>
      </c>
      <c r="D2745" s="1" t="s">
        <v>20</v>
      </c>
      <c r="E2745" s="1" t="s">
        <v>21</v>
      </c>
      <c r="F2745" s="1" t="s">
        <v>24</v>
      </c>
      <c r="G2745" s="1">
        <v>4</v>
      </c>
      <c r="H2745" s="1">
        <v>62</v>
      </c>
      <c r="I2745" s="1">
        <v>20</v>
      </c>
      <c r="J2745" s="4">
        <v>198.4</v>
      </c>
      <c r="K2745" s="4">
        <v>115.63</v>
      </c>
      <c r="L2745" s="4">
        <v>82.77</v>
      </c>
      <c r="M2745" s="1" t="str">
        <f>TEXT(Table1[[#This Row],[Order_Date]], "MMM")</f>
        <v>Apr</v>
      </c>
      <c r="N2745" s="1">
        <f>YEAR(Table1[[#This Row],[Order_Date]])</f>
        <v>2024</v>
      </c>
      <c r="O2745" s="7">
        <f>Table1[[#This Row],[Profit]]/Table1[[#This Row],[Total_Sales]]</f>
        <v>0.41718749999999999</v>
      </c>
    </row>
    <row r="2746" spans="1:15" x14ac:dyDescent="0.25">
      <c r="A2746" s="1">
        <v>2745</v>
      </c>
      <c r="B2746" s="2">
        <v>45160</v>
      </c>
      <c r="C2746" s="1" t="s">
        <v>12</v>
      </c>
      <c r="D2746" s="1" t="s">
        <v>13</v>
      </c>
      <c r="E2746" s="1" t="s">
        <v>39</v>
      </c>
      <c r="F2746" s="1" t="s">
        <v>18</v>
      </c>
      <c r="G2746" s="1">
        <v>1</v>
      </c>
      <c r="H2746" s="1">
        <v>946</v>
      </c>
      <c r="I2746" s="1">
        <v>15</v>
      </c>
      <c r="J2746" s="4">
        <v>804.1</v>
      </c>
      <c r="K2746" s="4">
        <v>565.66999999999996</v>
      </c>
      <c r="L2746" s="4">
        <v>238.43</v>
      </c>
      <c r="M2746" s="1" t="str">
        <f>TEXT(Table1[[#This Row],[Order_Date]], "MMM")</f>
        <v>Aug</v>
      </c>
      <c r="N2746" s="1">
        <f>YEAR(Table1[[#This Row],[Order_Date]])</f>
        <v>2023</v>
      </c>
      <c r="O2746" s="7">
        <f>Table1[[#This Row],[Profit]]/Table1[[#This Row],[Total_Sales]]</f>
        <v>0.29651784603904985</v>
      </c>
    </row>
    <row r="2747" spans="1:15" x14ac:dyDescent="0.25">
      <c r="A2747" s="1">
        <v>2746</v>
      </c>
      <c r="B2747" s="2">
        <v>45144</v>
      </c>
      <c r="C2747" s="1" t="s">
        <v>19</v>
      </c>
      <c r="D2747" s="1" t="s">
        <v>20</v>
      </c>
      <c r="E2747" s="1" t="s">
        <v>43</v>
      </c>
      <c r="F2747" s="1" t="s">
        <v>18</v>
      </c>
      <c r="G2747" s="1">
        <v>5</v>
      </c>
      <c r="H2747" s="1">
        <v>344</v>
      </c>
      <c r="I2747" s="1">
        <v>15</v>
      </c>
      <c r="J2747" s="4">
        <v>1462</v>
      </c>
      <c r="K2747" s="4">
        <v>985.74</v>
      </c>
      <c r="L2747" s="4">
        <v>476.26</v>
      </c>
      <c r="M2747" s="1" t="str">
        <f>TEXT(Table1[[#This Row],[Order_Date]], "MMM")</f>
        <v>Aug</v>
      </c>
      <c r="N2747" s="1">
        <f>YEAR(Table1[[#This Row],[Order_Date]])</f>
        <v>2023</v>
      </c>
      <c r="O2747" s="7">
        <f>Table1[[#This Row],[Profit]]/Table1[[#This Row],[Total_Sales]]</f>
        <v>0.3257592339261286</v>
      </c>
    </row>
    <row r="2748" spans="1:15" x14ac:dyDescent="0.25">
      <c r="A2748" s="1">
        <v>2747</v>
      </c>
      <c r="B2748" s="2">
        <v>45144</v>
      </c>
      <c r="C2748" s="1" t="s">
        <v>19</v>
      </c>
      <c r="D2748" s="1" t="s">
        <v>20</v>
      </c>
      <c r="E2748" s="1" t="s">
        <v>30</v>
      </c>
      <c r="F2748" s="1" t="s">
        <v>24</v>
      </c>
      <c r="G2748" s="1">
        <v>1</v>
      </c>
      <c r="H2748" s="1">
        <v>681</v>
      </c>
      <c r="I2748" s="1">
        <v>5</v>
      </c>
      <c r="J2748" s="4">
        <v>646.95000000000005</v>
      </c>
      <c r="K2748" s="4">
        <v>382.05</v>
      </c>
      <c r="L2748" s="4">
        <v>264.89999999999998</v>
      </c>
      <c r="M2748" s="1" t="str">
        <f>TEXT(Table1[[#This Row],[Order_Date]], "MMM")</f>
        <v>Aug</v>
      </c>
      <c r="N2748" s="1">
        <f>YEAR(Table1[[#This Row],[Order_Date]])</f>
        <v>2023</v>
      </c>
      <c r="O2748" s="7">
        <f>Table1[[#This Row],[Profit]]/Table1[[#This Row],[Total_Sales]]</f>
        <v>0.40945977277996748</v>
      </c>
    </row>
    <row r="2749" spans="1:15" x14ac:dyDescent="0.25">
      <c r="A2749" s="1">
        <v>2748</v>
      </c>
      <c r="B2749" s="2">
        <v>45214</v>
      </c>
      <c r="C2749" s="1" t="s">
        <v>12</v>
      </c>
      <c r="D2749" s="1" t="s">
        <v>32</v>
      </c>
      <c r="E2749" s="1" t="s">
        <v>45</v>
      </c>
      <c r="F2749" s="1" t="s">
        <v>15</v>
      </c>
      <c r="G2749" s="1">
        <v>3</v>
      </c>
      <c r="H2749" s="1">
        <v>510</v>
      </c>
      <c r="I2749" s="1">
        <v>0</v>
      </c>
      <c r="J2749" s="4">
        <v>1530</v>
      </c>
      <c r="K2749" s="4">
        <v>955.2</v>
      </c>
      <c r="L2749" s="4">
        <v>574.79999999999995</v>
      </c>
      <c r="M2749" s="1" t="str">
        <f>TEXT(Table1[[#This Row],[Order_Date]], "MMM")</f>
        <v>Oct</v>
      </c>
      <c r="N2749" s="1">
        <f>YEAR(Table1[[#This Row],[Order_Date]])</f>
        <v>2023</v>
      </c>
      <c r="O2749" s="7">
        <f>Table1[[#This Row],[Profit]]/Table1[[#This Row],[Total_Sales]]</f>
        <v>0.37568627450980391</v>
      </c>
    </row>
    <row r="2750" spans="1:15" x14ac:dyDescent="0.25">
      <c r="A2750" s="1">
        <v>2749</v>
      </c>
      <c r="B2750" s="2">
        <v>44977</v>
      </c>
      <c r="C2750" s="1" t="s">
        <v>19</v>
      </c>
      <c r="D2750" s="1" t="s">
        <v>22</v>
      </c>
      <c r="E2750" s="1" t="s">
        <v>36</v>
      </c>
      <c r="F2750" s="1" t="s">
        <v>40</v>
      </c>
      <c r="G2750" s="1">
        <v>9</v>
      </c>
      <c r="H2750" s="1">
        <v>455</v>
      </c>
      <c r="I2750" s="1">
        <v>10</v>
      </c>
      <c r="J2750" s="4">
        <v>3685.5</v>
      </c>
      <c r="K2750" s="4">
        <v>2937.78</v>
      </c>
      <c r="L2750" s="4">
        <v>747.72</v>
      </c>
      <c r="M2750" s="1" t="str">
        <f>TEXT(Table1[[#This Row],[Order_Date]], "MMM")</f>
        <v>Feb</v>
      </c>
      <c r="N2750" s="1">
        <f>YEAR(Table1[[#This Row],[Order_Date]])</f>
        <v>2023</v>
      </c>
      <c r="O2750" s="7">
        <f>Table1[[#This Row],[Profit]]/Table1[[#This Row],[Total_Sales]]</f>
        <v>0.20288156288156289</v>
      </c>
    </row>
    <row r="2751" spans="1:15" x14ac:dyDescent="0.25">
      <c r="A2751" s="1">
        <v>2750</v>
      </c>
      <c r="B2751" s="2">
        <v>45329</v>
      </c>
      <c r="C2751" s="1" t="s">
        <v>12</v>
      </c>
      <c r="D2751" s="1" t="s">
        <v>26</v>
      </c>
      <c r="E2751" s="1" t="s">
        <v>46</v>
      </c>
      <c r="F2751" s="1" t="s">
        <v>35</v>
      </c>
      <c r="G2751" s="1">
        <v>9</v>
      </c>
      <c r="H2751" s="1">
        <v>138</v>
      </c>
      <c r="I2751" s="1">
        <v>5</v>
      </c>
      <c r="J2751" s="4">
        <v>1179.9000000000001</v>
      </c>
      <c r="K2751" s="4">
        <v>648.39</v>
      </c>
      <c r="L2751" s="4">
        <v>531.51</v>
      </c>
      <c r="M2751" s="1" t="str">
        <f>TEXT(Table1[[#This Row],[Order_Date]], "MMM")</f>
        <v>Feb</v>
      </c>
      <c r="N2751" s="1">
        <f>YEAR(Table1[[#This Row],[Order_Date]])</f>
        <v>2024</v>
      </c>
      <c r="O2751" s="7">
        <f>Table1[[#This Row],[Profit]]/Table1[[#This Row],[Total_Sales]]</f>
        <v>0.45047037884566482</v>
      </c>
    </row>
    <row r="2752" spans="1:15" x14ac:dyDescent="0.25">
      <c r="A2752" s="1">
        <v>2751</v>
      </c>
      <c r="B2752" s="2">
        <v>44938</v>
      </c>
      <c r="C2752" s="1" t="s">
        <v>19</v>
      </c>
      <c r="D2752" s="1" t="s">
        <v>20</v>
      </c>
      <c r="E2752" s="1" t="s">
        <v>28</v>
      </c>
      <c r="F2752" s="1" t="s">
        <v>24</v>
      </c>
      <c r="G2752" s="1">
        <v>4</v>
      </c>
      <c r="H2752" s="1">
        <v>117</v>
      </c>
      <c r="I2752" s="1">
        <v>20</v>
      </c>
      <c r="J2752" s="4">
        <v>374.4</v>
      </c>
      <c r="K2752" s="4">
        <v>233.58</v>
      </c>
      <c r="L2752" s="4">
        <v>140.82</v>
      </c>
      <c r="M2752" s="1" t="str">
        <f>TEXT(Table1[[#This Row],[Order_Date]], "MMM")</f>
        <v>Jan</v>
      </c>
      <c r="N2752" s="1">
        <f>YEAR(Table1[[#This Row],[Order_Date]])</f>
        <v>2023</v>
      </c>
      <c r="O2752" s="7">
        <f>Table1[[#This Row],[Profit]]/Table1[[#This Row],[Total_Sales]]</f>
        <v>0.37612179487179487</v>
      </c>
    </row>
    <row r="2753" spans="1:15" x14ac:dyDescent="0.25">
      <c r="A2753" s="1">
        <v>2752</v>
      </c>
      <c r="B2753" s="2">
        <v>45331</v>
      </c>
      <c r="C2753" s="1" t="s">
        <v>25</v>
      </c>
      <c r="D2753" s="1" t="s">
        <v>32</v>
      </c>
      <c r="E2753" s="1" t="s">
        <v>34</v>
      </c>
      <c r="F2753" s="1" t="s">
        <v>18</v>
      </c>
      <c r="G2753" s="1">
        <v>5</v>
      </c>
      <c r="H2753" s="1">
        <v>926</v>
      </c>
      <c r="I2753" s="1">
        <v>15</v>
      </c>
      <c r="J2753" s="4">
        <v>3935.5</v>
      </c>
      <c r="K2753" s="4">
        <v>3128.96</v>
      </c>
      <c r="L2753" s="4">
        <v>806.54</v>
      </c>
      <c r="M2753" s="1" t="str">
        <f>TEXT(Table1[[#This Row],[Order_Date]], "MMM")</f>
        <v>Feb</v>
      </c>
      <c r="N2753" s="1">
        <f>YEAR(Table1[[#This Row],[Order_Date]])</f>
        <v>2024</v>
      </c>
      <c r="O2753" s="7">
        <f>Table1[[#This Row],[Profit]]/Table1[[#This Row],[Total_Sales]]</f>
        <v>0.2049396518866726</v>
      </c>
    </row>
    <row r="2754" spans="1:15" x14ac:dyDescent="0.25">
      <c r="A2754" s="1">
        <v>2753</v>
      </c>
      <c r="B2754" s="2">
        <v>45562</v>
      </c>
      <c r="C2754" s="1" t="s">
        <v>25</v>
      </c>
      <c r="D2754" s="1" t="s">
        <v>22</v>
      </c>
      <c r="E2754" s="1" t="s">
        <v>44</v>
      </c>
      <c r="F2754" s="1" t="s">
        <v>31</v>
      </c>
      <c r="G2754" s="1">
        <v>8</v>
      </c>
      <c r="H2754" s="1">
        <v>220</v>
      </c>
      <c r="I2754" s="1">
        <v>0</v>
      </c>
      <c r="J2754" s="4">
        <v>1760</v>
      </c>
      <c r="K2754" s="4">
        <v>1193.93</v>
      </c>
      <c r="L2754" s="4">
        <v>566.07000000000005</v>
      </c>
      <c r="M2754" s="1" t="str">
        <f>TEXT(Table1[[#This Row],[Order_Date]], "MMM")</f>
        <v>Sep</v>
      </c>
      <c r="N2754" s="1">
        <f>YEAR(Table1[[#This Row],[Order_Date]])</f>
        <v>2024</v>
      </c>
      <c r="O2754" s="7">
        <f>Table1[[#This Row],[Profit]]/Table1[[#This Row],[Total_Sales]]</f>
        <v>0.32163068181818183</v>
      </c>
    </row>
    <row r="2755" spans="1:15" x14ac:dyDescent="0.25">
      <c r="A2755" s="1">
        <v>2754</v>
      </c>
      <c r="B2755" s="2">
        <v>45076</v>
      </c>
      <c r="C2755" s="1" t="s">
        <v>12</v>
      </c>
      <c r="D2755" s="1" t="s">
        <v>26</v>
      </c>
      <c r="E2755" s="1" t="s">
        <v>46</v>
      </c>
      <c r="F2755" s="1" t="s">
        <v>15</v>
      </c>
      <c r="G2755" s="1">
        <v>5</v>
      </c>
      <c r="H2755" s="1">
        <v>580</v>
      </c>
      <c r="I2755" s="1">
        <v>0</v>
      </c>
      <c r="J2755" s="4">
        <v>2900</v>
      </c>
      <c r="K2755" s="4">
        <v>2317.12</v>
      </c>
      <c r="L2755" s="4">
        <v>582.88</v>
      </c>
      <c r="M2755" s="1" t="str">
        <f>TEXT(Table1[[#This Row],[Order_Date]], "MMM")</f>
        <v>May</v>
      </c>
      <c r="N2755" s="1">
        <f>YEAR(Table1[[#This Row],[Order_Date]])</f>
        <v>2023</v>
      </c>
      <c r="O2755" s="7">
        <f>Table1[[#This Row],[Profit]]/Table1[[#This Row],[Total_Sales]]</f>
        <v>0.20099310344827587</v>
      </c>
    </row>
    <row r="2756" spans="1:15" x14ac:dyDescent="0.25">
      <c r="A2756" s="1">
        <v>2755</v>
      </c>
      <c r="B2756" s="2">
        <v>45121</v>
      </c>
      <c r="C2756" s="1" t="s">
        <v>16</v>
      </c>
      <c r="D2756" s="1" t="s">
        <v>26</v>
      </c>
      <c r="E2756" s="1" t="s">
        <v>46</v>
      </c>
      <c r="F2756" s="1" t="s">
        <v>31</v>
      </c>
      <c r="G2756" s="1">
        <v>3</v>
      </c>
      <c r="H2756" s="1">
        <v>243</v>
      </c>
      <c r="I2756" s="1">
        <v>20</v>
      </c>
      <c r="J2756" s="4">
        <v>583.20000000000005</v>
      </c>
      <c r="K2756" s="4">
        <v>381.08</v>
      </c>
      <c r="L2756" s="4">
        <v>202.12</v>
      </c>
      <c r="M2756" s="1" t="str">
        <f>TEXT(Table1[[#This Row],[Order_Date]], "MMM")</f>
        <v>Jul</v>
      </c>
      <c r="N2756" s="1">
        <f>YEAR(Table1[[#This Row],[Order_Date]])</f>
        <v>2023</v>
      </c>
      <c r="O2756" s="7">
        <f>Table1[[#This Row],[Profit]]/Table1[[#This Row],[Total_Sales]]</f>
        <v>0.34657064471879284</v>
      </c>
    </row>
    <row r="2757" spans="1:15" x14ac:dyDescent="0.25">
      <c r="A2757" s="1">
        <v>2756</v>
      </c>
      <c r="B2757" s="2">
        <v>45234</v>
      </c>
      <c r="C2757" s="1" t="s">
        <v>16</v>
      </c>
      <c r="D2757" s="1" t="s">
        <v>20</v>
      </c>
      <c r="E2757" s="1" t="s">
        <v>21</v>
      </c>
      <c r="F2757" s="1" t="s">
        <v>15</v>
      </c>
      <c r="G2757" s="1">
        <v>1</v>
      </c>
      <c r="H2757" s="1">
        <v>204</v>
      </c>
      <c r="I2757" s="1">
        <v>10</v>
      </c>
      <c r="J2757" s="4">
        <v>183.6</v>
      </c>
      <c r="K2757" s="4">
        <v>126.37</v>
      </c>
      <c r="L2757" s="4">
        <v>57.23</v>
      </c>
      <c r="M2757" s="1" t="str">
        <f>TEXT(Table1[[#This Row],[Order_Date]], "MMM")</f>
        <v>Nov</v>
      </c>
      <c r="N2757" s="1">
        <f>YEAR(Table1[[#This Row],[Order_Date]])</f>
        <v>2023</v>
      </c>
      <c r="O2757" s="7">
        <f>Table1[[#This Row],[Profit]]/Table1[[#This Row],[Total_Sales]]</f>
        <v>0.31171023965141609</v>
      </c>
    </row>
    <row r="2758" spans="1:15" x14ac:dyDescent="0.25">
      <c r="A2758" s="1">
        <v>2757</v>
      </c>
      <c r="B2758" s="2">
        <v>44945</v>
      </c>
      <c r="C2758" s="1" t="s">
        <v>19</v>
      </c>
      <c r="D2758" s="1" t="s">
        <v>26</v>
      </c>
      <c r="E2758" s="1" t="s">
        <v>37</v>
      </c>
      <c r="F2758" s="1" t="s">
        <v>31</v>
      </c>
      <c r="G2758" s="1">
        <v>7</v>
      </c>
      <c r="H2758" s="1">
        <v>503</v>
      </c>
      <c r="I2758" s="1">
        <v>10</v>
      </c>
      <c r="J2758" s="4">
        <v>3168.9</v>
      </c>
      <c r="K2758" s="4">
        <v>2148.02</v>
      </c>
      <c r="L2758" s="4">
        <v>1020.88</v>
      </c>
      <c r="M2758" s="1" t="str">
        <f>TEXT(Table1[[#This Row],[Order_Date]], "MMM")</f>
        <v>Jan</v>
      </c>
      <c r="N2758" s="1">
        <f>YEAR(Table1[[#This Row],[Order_Date]])</f>
        <v>2023</v>
      </c>
      <c r="O2758" s="7">
        <f>Table1[[#This Row],[Profit]]/Table1[[#This Row],[Total_Sales]]</f>
        <v>0.32215595316986967</v>
      </c>
    </row>
    <row r="2759" spans="1:15" x14ac:dyDescent="0.25">
      <c r="A2759" s="1">
        <v>2758</v>
      </c>
      <c r="B2759" s="2">
        <v>44991</v>
      </c>
      <c r="C2759" s="1" t="s">
        <v>25</v>
      </c>
      <c r="D2759" s="1" t="s">
        <v>32</v>
      </c>
      <c r="E2759" s="1" t="s">
        <v>41</v>
      </c>
      <c r="F2759" s="1" t="s">
        <v>40</v>
      </c>
      <c r="G2759" s="1">
        <v>9</v>
      </c>
      <c r="H2759" s="1">
        <v>516</v>
      </c>
      <c r="I2759" s="1">
        <v>5</v>
      </c>
      <c r="J2759" s="4">
        <v>4411.8</v>
      </c>
      <c r="K2759" s="4">
        <v>2332.5700000000002</v>
      </c>
      <c r="L2759" s="4">
        <v>2079.23</v>
      </c>
      <c r="M2759" s="1" t="str">
        <f>TEXT(Table1[[#This Row],[Order_Date]], "MMM")</f>
        <v>Mar</v>
      </c>
      <c r="N2759" s="1">
        <f>YEAR(Table1[[#This Row],[Order_Date]])</f>
        <v>2023</v>
      </c>
      <c r="O2759" s="7">
        <f>Table1[[#This Row],[Profit]]/Table1[[#This Row],[Total_Sales]]</f>
        <v>0.47128836302642912</v>
      </c>
    </row>
    <row r="2760" spans="1:15" x14ac:dyDescent="0.25">
      <c r="A2760" s="1">
        <v>2759</v>
      </c>
      <c r="B2760" s="2">
        <v>45221</v>
      </c>
      <c r="C2760" s="1" t="s">
        <v>25</v>
      </c>
      <c r="D2760" s="1" t="s">
        <v>20</v>
      </c>
      <c r="E2760" s="1" t="s">
        <v>43</v>
      </c>
      <c r="F2760" s="1" t="s">
        <v>40</v>
      </c>
      <c r="G2760" s="1">
        <v>2</v>
      </c>
      <c r="H2760" s="1">
        <v>978</v>
      </c>
      <c r="I2760" s="1">
        <v>0</v>
      </c>
      <c r="J2760" s="4">
        <v>1956</v>
      </c>
      <c r="K2760" s="4">
        <v>1265.92</v>
      </c>
      <c r="L2760" s="4">
        <v>690.08</v>
      </c>
      <c r="M2760" s="1" t="str">
        <f>TEXT(Table1[[#This Row],[Order_Date]], "MMM")</f>
        <v>Oct</v>
      </c>
      <c r="N2760" s="1">
        <f>YEAR(Table1[[#This Row],[Order_Date]])</f>
        <v>2023</v>
      </c>
      <c r="O2760" s="7">
        <f>Table1[[#This Row],[Profit]]/Table1[[#This Row],[Total_Sales]]</f>
        <v>0.35280163599182007</v>
      </c>
    </row>
    <row r="2761" spans="1:15" x14ac:dyDescent="0.25">
      <c r="A2761" s="1">
        <v>2760</v>
      </c>
      <c r="B2761" s="2">
        <v>45298</v>
      </c>
      <c r="C2761" s="1" t="s">
        <v>19</v>
      </c>
      <c r="D2761" s="1" t="s">
        <v>20</v>
      </c>
      <c r="E2761" s="1" t="s">
        <v>28</v>
      </c>
      <c r="F2761" s="1" t="s">
        <v>18</v>
      </c>
      <c r="G2761" s="1">
        <v>3</v>
      </c>
      <c r="H2761" s="1">
        <v>449</v>
      </c>
      <c r="I2761" s="1">
        <v>5</v>
      </c>
      <c r="J2761" s="4">
        <v>1279.6500000000001</v>
      </c>
      <c r="K2761" s="4">
        <v>861.78</v>
      </c>
      <c r="L2761" s="4">
        <v>417.87</v>
      </c>
      <c r="M2761" s="1" t="str">
        <f>TEXT(Table1[[#This Row],[Order_Date]], "MMM")</f>
        <v>Jan</v>
      </c>
      <c r="N2761" s="1">
        <f>YEAR(Table1[[#This Row],[Order_Date]])</f>
        <v>2024</v>
      </c>
      <c r="O2761" s="7">
        <f>Table1[[#This Row],[Profit]]/Table1[[#This Row],[Total_Sales]]</f>
        <v>0.32655022857812682</v>
      </c>
    </row>
    <row r="2762" spans="1:15" x14ac:dyDescent="0.25">
      <c r="A2762" s="1">
        <v>2761</v>
      </c>
      <c r="B2762" s="2">
        <v>45501</v>
      </c>
      <c r="C2762" s="1" t="s">
        <v>16</v>
      </c>
      <c r="D2762" s="1" t="s">
        <v>26</v>
      </c>
      <c r="E2762" s="1" t="s">
        <v>37</v>
      </c>
      <c r="F2762" s="1" t="s">
        <v>18</v>
      </c>
      <c r="G2762" s="1">
        <v>9</v>
      </c>
      <c r="H2762" s="1">
        <v>350</v>
      </c>
      <c r="I2762" s="1">
        <v>10</v>
      </c>
      <c r="J2762" s="4">
        <v>2835</v>
      </c>
      <c r="K2762" s="4">
        <v>2067.5500000000002</v>
      </c>
      <c r="L2762" s="4">
        <v>767.45</v>
      </c>
      <c r="M2762" s="1" t="str">
        <f>TEXT(Table1[[#This Row],[Order_Date]], "MMM")</f>
        <v>Jul</v>
      </c>
      <c r="N2762" s="1">
        <f>YEAR(Table1[[#This Row],[Order_Date]])</f>
        <v>2024</v>
      </c>
      <c r="O2762" s="7">
        <f>Table1[[#This Row],[Profit]]/Table1[[#This Row],[Total_Sales]]</f>
        <v>0.27070546737213408</v>
      </c>
    </row>
    <row r="2763" spans="1:15" x14ac:dyDescent="0.25">
      <c r="A2763" s="1">
        <v>2762</v>
      </c>
      <c r="B2763" s="2">
        <v>45374</v>
      </c>
      <c r="C2763" s="1" t="s">
        <v>25</v>
      </c>
      <c r="D2763" s="1" t="s">
        <v>22</v>
      </c>
      <c r="E2763" s="1" t="s">
        <v>23</v>
      </c>
      <c r="F2763" s="1" t="s">
        <v>31</v>
      </c>
      <c r="G2763" s="1">
        <v>6</v>
      </c>
      <c r="H2763" s="1">
        <v>610</v>
      </c>
      <c r="I2763" s="1">
        <v>20</v>
      </c>
      <c r="J2763" s="4">
        <v>2928</v>
      </c>
      <c r="K2763" s="4">
        <v>1996.22</v>
      </c>
      <c r="L2763" s="4">
        <v>931.78</v>
      </c>
      <c r="M2763" s="1" t="str">
        <f>TEXT(Table1[[#This Row],[Order_Date]], "MMM")</f>
        <v>Mar</v>
      </c>
      <c r="N2763" s="1">
        <f>YEAR(Table1[[#This Row],[Order_Date]])</f>
        <v>2024</v>
      </c>
      <c r="O2763" s="7">
        <f>Table1[[#This Row],[Profit]]/Table1[[#This Row],[Total_Sales]]</f>
        <v>0.31823087431693986</v>
      </c>
    </row>
    <row r="2764" spans="1:15" x14ac:dyDescent="0.25">
      <c r="A2764" s="1">
        <v>2763</v>
      </c>
      <c r="B2764" s="2">
        <v>45140</v>
      </c>
      <c r="C2764" s="1" t="s">
        <v>19</v>
      </c>
      <c r="D2764" s="1" t="s">
        <v>20</v>
      </c>
      <c r="E2764" s="1" t="s">
        <v>28</v>
      </c>
      <c r="F2764" s="1" t="s">
        <v>15</v>
      </c>
      <c r="G2764" s="1">
        <v>8</v>
      </c>
      <c r="H2764" s="1">
        <v>817</v>
      </c>
      <c r="I2764" s="1">
        <v>15</v>
      </c>
      <c r="J2764" s="4">
        <v>5555.6</v>
      </c>
      <c r="K2764" s="4">
        <v>3607.26</v>
      </c>
      <c r="L2764" s="4">
        <v>1948.34</v>
      </c>
      <c r="M2764" s="1" t="str">
        <f>TEXT(Table1[[#This Row],[Order_Date]], "MMM")</f>
        <v>Aug</v>
      </c>
      <c r="N2764" s="1">
        <f>YEAR(Table1[[#This Row],[Order_Date]])</f>
        <v>2023</v>
      </c>
      <c r="O2764" s="7">
        <f>Table1[[#This Row],[Profit]]/Table1[[#This Row],[Total_Sales]]</f>
        <v>0.35069839441284467</v>
      </c>
    </row>
    <row r="2765" spans="1:15" x14ac:dyDescent="0.25">
      <c r="A2765" s="1">
        <v>2764</v>
      </c>
      <c r="B2765" s="2">
        <v>45415</v>
      </c>
      <c r="C2765" s="1" t="s">
        <v>25</v>
      </c>
      <c r="D2765" s="1" t="s">
        <v>32</v>
      </c>
      <c r="E2765" s="1" t="s">
        <v>33</v>
      </c>
      <c r="F2765" s="1" t="s">
        <v>24</v>
      </c>
      <c r="G2765" s="1">
        <v>8</v>
      </c>
      <c r="H2765" s="1">
        <v>550</v>
      </c>
      <c r="I2765" s="1">
        <v>5</v>
      </c>
      <c r="J2765" s="4">
        <v>4180</v>
      </c>
      <c r="K2765" s="4">
        <v>2656.11</v>
      </c>
      <c r="L2765" s="4">
        <v>1523.89</v>
      </c>
      <c r="M2765" s="1" t="str">
        <f>TEXT(Table1[[#This Row],[Order_Date]], "MMM")</f>
        <v>May</v>
      </c>
      <c r="N2765" s="1">
        <f>YEAR(Table1[[#This Row],[Order_Date]])</f>
        <v>2024</v>
      </c>
      <c r="O2765" s="7">
        <f>Table1[[#This Row],[Profit]]/Table1[[#This Row],[Total_Sales]]</f>
        <v>0.36456698564593304</v>
      </c>
    </row>
    <row r="2766" spans="1:15" x14ac:dyDescent="0.25">
      <c r="A2766" s="1">
        <v>2765</v>
      </c>
      <c r="B2766" s="2">
        <v>45648</v>
      </c>
      <c r="C2766" s="1" t="s">
        <v>25</v>
      </c>
      <c r="D2766" s="1" t="s">
        <v>20</v>
      </c>
      <c r="E2766" s="1" t="s">
        <v>21</v>
      </c>
      <c r="F2766" s="1" t="s">
        <v>24</v>
      </c>
      <c r="G2766" s="1">
        <v>1</v>
      </c>
      <c r="H2766" s="1">
        <v>584</v>
      </c>
      <c r="I2766" s="1">
        <v>10</v>
      </c>
      <c r="J2766" s="4">
        <v>525.6</v>
      </c>
      <c r="K2766" s="4">
        <v>299.64</v>
      </c>
      <c r="L2766" s="4">
        <v>225.96</v>
      </c>
      <c r="M2766" s="1" t="str">
        <f>TEXT(Table1[[#This Row],[Order_Date]], "MMM")</f>
        <v>Dec</v>
      </c>
      <c r="N2766" s="1">
        <f>YEAR(Table1[[#This Row],[Order_Date]])</f>
        <v>2024</v>
      </c>
      <c r="O2766" s="7">
        <f>Table1[[#This Row],[Profit]]/Table1[[#This Row],[Total_Sales]]</f>
        <v>0.42990867579908676</v>
      </c>
    </row>
    <row r="2767" spans="1:15" x14ac:dyDescent="0.25">
      <c r="A2767" s="1">
        <v>2766</v>
      </c>
      <c r="B2767" s="2">
        <v>45306</v>
      </c>
      <c r="C2767" s="1" t="s">
        <v>25</v>
      </c>
      <c r="D2767" s="1" t="s">
        <v>20</v>
      </c>
      <c r="E2767" s="1" t="s">
        <v>43</v>
      </c>
      <c r="F2767" s="1" t="s">
        <v>15</v>
      </c>
      <c r="G2767" s="1">
        <v>1</v>
      </c>
      <c r="H2767" s="1">
        <v>420</v>
      </c>
      <c r="I2767" s="1">
        <v>0</v>
      </c>
      <c r="J2767" s="4">
        <v>420</v>
      </c>
      <c r="K2767" s="4">
        <v>267.27999999999997</v>
      </c>
      <c r="L2767" s="4">
        <v>152.72</v>
      </c>
      <c r="M2767" s="1" t="str">
        <f>TEXT(Table1[[#This Row],[Order_Date]], "MMM")</f>
        <v>Jan</v>
      </c>
      <c r="N2767" s="1">
        <f>YEAR(Table1[[#This Row],[Order_Date]])</f>
        <v>2024</v>
      </c>
      <c r="O2767" s="7">
        <f>Table1[[#This Row],[Profit]]/Table1[[#This Row],[Total_Sales]]</f>
        <v>0.36361904761904762</v>
      </c>
    </row>
    <row r="2768" spans="1:15" x14ac:dyDescent="0.25">
      <c r="A2768" s="1">
        <v>2767</v>
      </c>
      <c r="B2768" s="2">
        <v>45114</v>
      </c>
      <c r="C2768" s="1" t="s">
        <v>19</v>
      </c>
      <c r="D2768" s="1" t="s">
        <v>32</v>
      </c>
      <c r="E2768" s="1" t="s">
        <v>45</v>
      </c>
      <c r="F2768" s="1" t="s">
        <v>31</v>
      </c>
      <c r="G2768" s="1">
        <v>8</v>
      </c>
      <c r="H2768" s="1">
        <v>897</v>
      </c>
      <c r="I2768" s="1">
        <v>15</v>
      </c>
      <c r="J2768" s="4">
        <v>6099.6</v>
      </c>
      <c r="K2768" s="4">
        <v>3934.2</v>
      </c>
      <c r="L2768" s="4">
        <v>2165.4</v>
      </c>
      <c r="M2768" s="1" t="str">
        <f>TEXT(Table1[[#This Row],[Order_Date]], "MMM")</f>
        <v>Jul</v>
      </c>
      <c r="N2768" s="1">
        <f>YEAR(Table1[[#This Row],[Order_Date]])</f>
        <v>2023</v>
      </c>
      <c r="O2768" s="7">
        <f>Table1[[#This Row],[Profit]]/Table1[[#This Row],[Total_Sales]]</f>
        <v>0.35500688569742278</v>
      </c>
    </row>
    <row r="2769" spans="1:15" x14ac:dyDescent="0.25">
      <c r="A2769" s="1">
        <v>2768</v>
      </c>
      <c r="B2769" s="2">
        <v>45525</v>
      </c>
      <c r="C2769" s="1" t="s">
        <v>16</v>
      </c>
      <c r="D2769" s="1" t="s">
        <v>32</v>
      </c>
      <c r="E2769" s="1" t="s">
        <v>34</v>
      </c>
      <c r="F2769" s="1" t="s">
        <v>15</v>
      </c>
      <c r="G2769" s="1">
        <v>5</v>
      </c>
      <c r="H2769" s="1">
        <v>352</v>
      </c>
      <c r="I2769" s="1">
        <v>20</v>
      </c>
      <c r="J2769" s="4">
        <v>1408</v>
      </c>
      <c r="K2769" s="4">
        <v>714.5</v>
      </c>
      <c r="L2769" s="4">
        <v>693.5</v>
      </c>
      <c r="M2769" s="1" t="str">
        <f>TEXT(Table1[[#This Row],[Order_Date]], "MMM")</f>
        <v>Aug</v>
      </c>
      <c r="N2769" s="1">
        <f>YEAR(Table1[[#This Row],[Order_Date]])</f>
        <v>2024</v>
      </c>
      <c r="O2769" s="7">
        <f>Table1[[#This Row],[Profit]]/Table1[[#This Row],[Total_Sales]]</f>
        <v>0.49254261363636365</v>
      </c>
    </row>
    <row r="2770" spans="1:15" x14ac:dyDescent="0.25">
      <c r="A2770" s="1">
        <v>2769</v>
      </c>
      <c r="B2770" s="2">
        <v>45104</v>
      </c>
      <c r="C2770" s="1" t="s">
        <v>25</v>
      </c>
      <c r="D2770" s="1" t="s">
        <v>22</v>
      </c>
      <c r="E2770" s="1" t="s">
        <v>29</v>
      </c>
      <c r="F2770" s="1" t="s">
        <v>31</v>
      </c>
      <c r="G2770" s="1">
        <v>2</v>
      </c>
      <c r="H2770" s="1">
        <v>901</v>
      </c>
      <c r="I2770" s="1">
        <v>20</v>
      </c>
      <c r="J2770" s="4">
        <v>1441.6</v>
      </c>
      <c r="K2770" s="4">
        <v>756.65</v>
      </c>
      <c r="L2770" s="4">
        <v>684.95</v>
      </c>
      <c r="M2770" s="1" t="str">
        <f>TEXT(Table1[[#This Row],[Order_Date]], "MMM")</f>
        <v>Jun</v>
      </c>
      <c r="N2770" s="1">
        <f>YEAR(Table1[[#This Row],[Order_Date]])</f>
        <v>2023</v>
      </c>
      <c r="O2770" s="7">
        <f>Table1[[#This Row],[Profit]]/Table1[[#This Row],[Total_Sales]]</f>
        <v>0.47513179800221983</v>
      </c>
    </row>
    <row r="2771" spans="1:15" x14ac:dyDescent="0.25">
      <c r="A2771" s="1">
        <v>2770</v>
      </c>
      <c r="B2771" s="2">
        <v>45081</v>
      </c>
      <c r="C2771" s="1" t="s">
        <v>16</v>
      </c>
      <c r="D2771" s="1" t="s">
        <v>22</v>
      </c>
      <c r="E2771" s="1" t="s">
        <v>29</v>
      </c>
      <c r="F2771" s="1" t="s">
        <v>18</v>
      </c>
      <c r="G2771" s="1">
        <v>2</v>
      </c>
      <c r="H2771" s="1">
        <v>202</v>
      </c>
      <c r="I2771" s="1">
        <v>0</v>
      </c>
      <c r="J2771" s="4">
        <v>404</v>
      </c>
      <c r="K2771" s="4">
        <v>242.83</v>
      </c>
      <c r="L2771" s="4">
        <v>161.16999999999999</v>
      </c>
      <c r="M2771" s="1" t="str">
        <f>TEXT(Table1[[#This Row],[Order_Date]], "MMM")</f>
        <v>Jun</v>
      </c>
      <c r="N2771" s="1">
        <f>YEAR(Table1[[#This Row],[Order_Date]])</f>
        <v>2023</v>
      </c>
      <c r="O2771" s="7">
        <f>Table1[[#This Row],[Profit]]/Table1[[#This Row],[Total_Sales]]</f>
        <v>0.3989356435643564</v>
      </c>
    </row>
    <row r="2772" spans="1:15" x14ac:dyDescent="0.25">
      <c r="A2772" s="1">
        <v>2771</v>
      </c>
      <c r="B2772" s="2">
        <v>45622</v>
      </c>
      <c r="C2772" s="1" t="s">
        <v>25</v>
      </c>
      <c r="D2772" s="1" t="s">
        <v>26</v>
      </c>
      <c r="E2772" s="1" t="s">
        <v>27</v>
      </c>
      <c r="F2772" s="1" t="s">
        <v>18</v>
      </c>
      <c r="G2772" s="1">
        <v>8</v>
      </c>
      <c r="H2772" s="1">
        <v>837</v>
      </c>
      <c r="I2772" s="1">
        <v>15</v>
      </c>
      <c r="J2772" s="4">
        <v>5691.6</v>
      </c>
      <c r="K2772" s="4">
        <v>3628.02</v>
      </c>
      <c r="L2772" s="4">
        <v>2063.58</v>
      </c>
      <c r="M2772" s="1" t="str">
        <f>TEXT(Table1[[#This Row],[Order_Date]], "MMM")</f>
        <v>Nov</v>
      </c>
      <c r="N2772" s="1">
        <f>YEAR(Table1[[#This Row],[Order_Date]])</f>
        <v>2024</v>
      </c>
      <c r="O2772" s="7">
        <f>Table1[[#This Row],[Profit]]/Table1[[#This Row],[Total_Sales]]</f>
        <v>0.36256588656968158</v>
      </c>
    </row>
    <row r="2773" spans="1:15" x14ac:dyDescent="0.25">
      <c r="A2773" s="1">
        <v>2772</v>
      </c>
      <c r="B2773" s="2">
        <v>45370</v>
      </c>
      <c r="C2773" s="1" t="s">
        <v>19</v>
      </c>
      <c r="D2773" s="1" t="s">
        <v>13</v>
      </c>
      <c r="E2773" s="1" t="s">
        <v>14</v>
      </c>
      <c r="F2773" s="1" t="s">
        <v>18</v>
      </c>
      <c r="G2773" s="1">
        <v>6</v>
      </c>
      <c r="H2773" s="1">
        <v>438</v>
      </c>
      <c r="I2773" s="1">
        <v>5</v>
      </c>
      <c r="J2773" s="4">
        <v>2496.6</v>
      </c>
      <c r="K2773" s="4">
        <v>1763.09</v>
      </c>
      <c r="L2773" s="4">
        <v>733.51</v>
      </c>
      <c r="M2773" s="1" t="str">
        <f>TEXT(Table1[[#This Row],[Order_Date]], "MMM")</f>
        <v>Mar</v>
      </c>
      <c r="N2773" s="1">
        <f>YEAR(Table1[[#This Row],[Order_Date]])</f>
        <v>2024</v>
      </c>
      <c r="O2773" s="7">
        <f>Table1[[#This Row],[Profit]]/Table1[[#This Row],[Total_Sales]]</f>
        <v>0.29380357285908837</v>
      </c>
    </row>
    <row r="2774" spans="1:15" x14ac:dyDescent="0.25">
      <c r="A2774" s="1">
        <v>2773</v>
      </c>
      <c r="B2774" s="2">
        <v>45520</v>
      </c>
      <c r="C2774" s="1" t="s">
        <v>19</v>
      </c>
      <c r="D2774" s="1" t="s">
        <v>22</v>
      </c>
      <c r="E2774" s="1" t="s">
        <v>23</v>
      </c>
      <c r="F2774" s="1" t="s">
        <v>35</v>
      </c>
      <c r="G2774" s="1">
        <v>5</v>
      </c>
      <c r="H2774" s="1">
        <v>401</v>
      </c>
      <c r="I2774" s="1">
        <v>10</v>
      </c>
      <c r="J2774" s="4">
        <v>1804.5</v>
      </c>
      <c r="K2774" s="4">
        <v>1362.26</v>
      </c>
      <c r="L2774" s="4">
        <v>442.24</v>
      </c>
      <c r="M2774" s="1" t="str">
        <f>TEXT(Table1[[#This Row],[Order_Date]], "MMM")</f>
        <v>Aug</v>
      </c>
      <c r="N2774" s="1">
        <f>YEAR(Table1[[#This Row],[Order_Date]])</f>
        <v>2024</v>
      </c>
      <c r="O2774" s="7">
        <f>Table1[[#This Row],[Profit]]/Table1[[#This Row],[Total_Sales]]</f>
        <v>0.24507619839290662</v>
      </c>
    </row>
    <row r="2775" spans="1:15" x14ac:dyDescent="0.25">
      <c r="A2775" s="1">
        <v>2774</v>
      </c>
      <c r="B2775" s="2">
        <v>45415</v>
      </c>
      <c r="C2775" s="1" t="s">
        <v>16</v>
      </c>
      <c r="D2775" s="1" t="s">
        <v>32</v>
      </c>
      <c r="E2775" s="1" t="s">
        <v>45</v>
      </c>
      <c r="F2775" s="1" t="s">
        <v>31</v>
      </c>
      <c r="G2775" s="1">
        <v>3</v>
      </c>
      <c r="H2775" s="1">
        <v>65</v>
      </c>
      <c r="I2775" s="1">
        <v>10</v>
      </c>
      <c r="J2775" s="4">
        <v>175.5</v>
      </c>
      <c r="K2775" s="4">
        <v>114.69</v>
      </c>
      <c r="L2775" s="4">
        <v>60.81</v>
      </c>
      <c r="M2775" s="1" t="str">
        <f>TEXT(Table1[[#This Row],[Order_Date]], "MMM")</f>
        <v>May</v>
      </c>
      <c r="N2775" s="1">
        <f>YEAR(Table1[[#This Row],[Order_Date]])</f>
        <v>2024</v>
      </c>
      <c r="O2775" s="7">
        <f>Table1[[#This Row],[Profit]]/Table1[[#This Row],[Total_Sales]]</f>
        <v>0.34649572649572652</v>
      </c>
    </row>
    <row r="2776" spans="1:15" x14ac:dyDescent="0.25">
      <c r="A2776" s="1">
        <v>2775</v>
      </c>
      <c r="B2776" s="2">
        <v>45355</v>
      </c>
      <c r="C2776" s="1" t="s">
        <v>12</v>
      </c>
      <c r="D2776" s="1" t="s">
        <v>20</v>
      </c>
      <c r="E2776" s="1" t="s">
        <v>30</v>
      </c>
      <c r="F2776" s="1" t="s">
        <v>35</v>
      </c>
      <c r="G2776" s="1">
        <v>10</v>
      </c>
      <c r="H2776" s="1">
        <v>498</v>
      </c>
      <c r="I2776" s="1">
        <v>10</v>
      </c>
      <c r="J2776" s="4">
        <v>4482</v>
      </c>
      <c r="K2776" s="4">
        <v>3133.67</v>
      </c>
      <c r="L2776" s="4">
        <v>1348.33</v>
      </c>
      <c r="M2776" s="1" t="str">
        <f>TEXT(Table1[[#This Row],[Order_Date]], "MMM")</f>
        <v>Mar</v>
      </c>
      <c r="N2776" s="1">
        <f>YEAR(Table1[[#This Row],[Order_Date]])</f>
        <v>2024</v>
      </c>
      <c r="O2776" s="7">
        <f>Table1[[#This Row],[Profit]]/Table1[[#This Row],[Total_Sales]]</f>
        <v>0.30083221775992858</v>
      </c>
    </row>
    <row r="2777" spans="1:15" x14ac:dyDescent="0.25">
      <c r="A2777" s="1">
        <v>2776</v>
      </c>
      <c r="B2777" s="2">
        <v>45136</v>
      </c>
      <c r="C2777" s="1" t="s">
        <v>25</v>
      </c>
      <c r="D2777" s="1" t="s">
        <v>32</v>
      </c>
      <c r="E2777" s="1" t="s">
        <v>33</v>
      </c>
      <c r="F2777" s="1" t="s">
        <v>15</v>
      </c>
      <c r="G2777" s="1">
        <v>3</v>
      </c>
      <c r="H2777" s="1">
        <v>274</v>
      </c>
      <c r="I2777" s="1">
        <v>20</v>
      </c>
      <c r="J2777" s="4">
        <v>657.6</v>
      </c>
      <c r="K2777" s="4">
        <v>332.02</v>
      </c>
      <c r="L2777" s="4">
        <v>325.58</v>
      </c>
      <c r="M2777" s="1" t="str">
        <f>TEXT(Table1[[#This Row],[Order_Date]], "MMM")</f>
        <v>Jul</v>
      </c>
      <c r="N2777" s="1">
        <f>YEAR(Table1[[#This Row],[Order_Date]])</f>
        <v>2023</v>
      </c>
      <c r="O2777" s="7">
        <f>Table1[[#This Row],[Profit]]/Table1[[#This Row],[Total_Sales]]</f>
        <v>0.495103406326034</v>
      </c>
    </row>
    <row r="2778" spans="1:15" x14ac:dyDescent="0.25">
      <c r="A2778" s="1">
        <v>2777</v>
      </c>
      <c r="B2778" s="2">
        <v>45249</v>
      </c>
      <c r="C2778" s="1" t="s">
        <v>16</v>
      </c>
      <c r="D2778" s="1" t="s">
        <v>32</v>
      </c>
      <c r="E2778" s="1" t="s">
        <v>41</v>
      </c>
      <c r="F2778" s="1" t="s">
        <v>24</v>
      </c>
      <c r="G2778" s="1">
        <v>3</v>
      </c>
      <c r="H2778" s="1">
        <v>450</v>
      </c>
      <c r="I2778" s="1">
        <v>15</v>
      </c>
      <c r="J2778" s="4">
        <v>1147.5</v>
      </c>
      <c r="K2778" s="4">
        <v>861.01</v>
      </c>
      <c r="L2778" s="4">
        <v>286.49</v>
      </c>
      <c r="M2778" s="1" t="str">
        <f>TEXT(Table1[[#This Row],[Order_Date]], "MMM")</f>
        <v>Nov</v>
      </c>
      <c r="N2778" s="1">
        <f>YEAR(Table1[[#This Row],[Order_Date]])</f>
        <v>2023</v>
      </c>
      <c r="O2778" s="7">
        <f>Table1[[#This Row],[Profit]]/Table1[[#This Row],[Total_Sales]]</f>
        <v>0.24966448801742921</v>
      </c>
    </row>
    <row r="2779" spans="1:15" x14ac:dyDescent="0.25">
      <c r="A2779" s="1">
        <v>2778</v>
      </c>
      <c r="B2779" s="2">
        <v>45432</v>
      </c>
      <c r="C2779" s="1" t="s">
        <v>19</v>
      </c>
      <c r="D2779" s="1" t="s">
        <v>13</v>
      </c>
      <c r="E2779" s="1" t="s">
        <v>39</v>
      </c>
      <c r="F2779" s="1" t="s">
        <v>40</v>
      </c>
      <c r="G2779" s="1">
        <v>3</v>
      </c>
      <c r="H2779" s="1">
        <v>318</v>
      </c>
      <c r="I2779" s="1">
        <v>0</v>
      </c>
      <c r="J2779" s="4">
        <v>954</v>
      </c>
      <c r="K2779" s="4">
        <v>690.16</v>
      </c>
      <c r="L2779" s="4">
        <v>263.83999999999997</v>
      </c>
      <c r="M2779" s="1" t="str">
        <f>TEXT(Table1[[#This Row],[Order_Date]], "MMM")</f>
        <v>May</v>
      </c>
      <c r="N2779" s="1">
        <f>YEAR(Table1[[#This Row],[Order_Date]])</f>
        <v>2024</v>
      </c>
      <c r="O2779" s="7">
        <f>Table1[[#This Row],[Profit]]/Table1[[#This Row],[Total_Sales]]</f>
        <v>0.27656184486373164</v>
      </c>
    </row>
    <row r="2780" spans="1:15" x14ac:dyDescent="0.25">
      <c r="A2780" s="1">
        <v>2779</v>
      </c>
      <c r="B2780" s="2">
        <v>45582</v>
      </c>
      <c r="C2780" s="1" t="s">
        <v>25</v>
      </c>
      <c r="D2780" s="1" t="s">
        <v>13</v>
      </c>
      <c r="E2780" s="1" t="s">
        <v>14</v>
      </c>
      <c r="F2780" s="1" t="s">
        <v>40</v>
      </c>
      <c r="G2780" s="1">
        <v>9</v>
      </c>
      <c r="H2780" s="1">
        <v>372</v>
      </c>
      <c r="I2780" s="1">
        <v>0</v>
      </c>
      <c r="J2780" s="4">
        <v>3348</v>
      </c>
      <c r="K2780" s="4">
        <v>1786.33</v>
      </c>
      <c r="L2780" s="4">
        <v>1561.67</v>
      </c>
      <c r="M2780" s="1" t="str">
        <f>TEXT(Table1[[#This Row],[Order_Date]], "MMM")</f>
        <v>Oct</v>
      </c>
      <c r="N2780" s="1">
        <f>YEAR(Table1[[#This Row],[Order_Date]])</f>
        <v>2024</v>
      </c>
      <c r="O2780" s="7">
        <f>Table1[[#This Row],[Profit]]/Table1[[#This Row],[Total_Sales]]</f>
        <v>0.46644862604540027</v>
      </c>
    </row>
    <row r="2781" spans="1:15" x14ac:dyDescent="0.25">
      <c r="A2781" s="1">
        <v>2780</v>
      </c>
      <c r="B2781" s="2">
        <v>45420</v>
      </c>
      <c r="C2781" s="1" t="s">
        <v>12</v>
      </c>
      <c r="D2781" s="1" t="s">
        <v>22</v>
      </c>
      <c r="E2781" s="1" t="s">
        <v>29</v>
      </c>
      <c r="F2781" s="1" t="s">
        <v>31</v>
      </c>
      <c r="G2781" s="1">
        <v>3</v>
      </c>
      <c r="H2781" s="1">
        <v>195</v>
      </c>
      <c r="I2781" s="1">
        <v>15</v>
      </c>
      <c r="J2781" s="4">
        <v>497.25</v>
      </c>
      <c r="K2781" s="4">
        <v>388.44</v>
      </c>
      <c r="L2781" s="4">
        <v>108.81</v>
      </c>
      <c r="M2781" s="1" t="str">
        <f>TEXT(Table1[[#This Row],[Order_Date]], "MMM")</f>
        <v>May</v>
      </c>
      <c r="N2781" s="1">
        <f>YEAR(Table1[[#This Row],[Order_Date]])</f>
        <v>2024</v>
      </c>
      <c r="O2781" s="7">
        <f>Table1[[#This Row],[Profit]]/Table1[[#This Row],[Total_Sales]]</f>
        <v>0.21882352941176472</v>
      </c>
    </row>
    <row r="2782" spans="1:15" x14ac:dyDescent="0.25">
      <c r="A2782" s="1">
        <v>2781</v>
      </c>
      <c r="B2782" s="2">
        <v>45544</v>
      </c>
      <c r="C2782" s="1" t="s">
        <v>12</v>
      </c>
      <c r="D2782" s="1" t="s">
        <v>22</v>
      </c>
      <c r="E2782" s="1" t="s">
        <v>23</v>
      </c>
      <c r="F2782" s="1" t="s">
        <v>18</v>
      </c>
      <c r="G2782" s="1">
        <v>7</v>
      </c>
      <c r="H2782" s="1">
        <v>241</v>
      </c>
      <c r="I2782" s="1">
        <v>5</v>
      </c>
      <c r="J2782" s="4">
        <v>1602.65</v>
      </c>
      <c r="K2782" s="4">
        <v>1272.72</v>
      </c>
      <c r="L2782" s="4">
        <v>329.93</v>
      </c>
      <c r="M2782" s="1" t="str">
        <f>TEXT(Table1[[#This Row],[Order_Date]], "MMM")</f>
        <v>Sep</v>
      </c>
      <c r="N2782" s="1">
        <f>YEAR(Table1[[#This Row],[Order_Date]])</f>
        <v>2024</v>
      </c>
      <c r="O2782" s="7">
        <f>Table1[[#This Row],[Profit]]/Table1[[#This Row],[Total_Sales]]</f>
        <v>0.20586528562069073</v>
      </c>
    </row>
    <row r="2783" spans="1:15" x14ac:dyDescent="0.25">
      <c r="A2783" s="1">
        <v>2782</v>
      </c>
      <c r="B2783" s="2">
        <v>45044</v>
      </c>
      <c r="C2783" s="1" t="s">
        <v>25</v>
      </c>
      <c r="D2783" s="1" t="s">
        <v>22</v>
      </c>
      <c r="E2783" s="1" t="s">
        <v>29</v>
      </c>
      <c r="F2783" s="1" t="s">
        <v>18</v>
      </c>
      <c r="G2783" s="1">
        <v>3</v>
      </c>
      <c r="H2783" s="1">
        <v>124</v>
      </c>
      <c r="I2783" s="1">
        <v>0</v>
      </c>
      <c r="J2783" s="4">
        <v>372</v>
      </c>
      <c r="K2783" s="4">
        <v>274.22000000000003</v>
      </c>
      <c r="L2783" s="4">
        <v>97.78</v>
      </c>
      <c r="M2783" s="1" t="str">
        <f>TEXT(Table1[[#This Row],[Order_Date]], "MMM")</f>
        <v>Apr</v>
      </c>
      <c r="N2783" s="1">
        <f>YEAR(Table1[[#This Row],[Order_Date]])</f>
        <v>2023</v>
      </c>
      <c r="O2783" s="7">
        <f>Table1[[#This Row],[Profit]]/Table1[[#This Row],[Total_Sales]]</f>
        <v>0.26284946236559142</v>
      </c>
    </row>
    <row r="2784" spans="1:15" x14ac:dyDescent="0.25">
      <c r="A2784" s="1">
        <v>2783</v>
      </c>
      <c r="B2784" s="2">
        <v>45295</v>
      </c>
      <c r="C2784" s="1" t="s">
        <v>16</v>
      </c>
      <c r="D2784" s="1" t="s">
        <v>13</v>
      </c>
      <c r="E2784" s="1" t="s">
        <v>14</v>
      </c>
      <c r="F2784" s="1" t="s">
        <v>18</v>
      </c>
      <c r="G2784" s="1">
        <v>3</v>
      </c>
      <c r="H2784" s="1">
        <v>532</v>
      </c>
      <c r="I2784" s="1">
        <v>5</v>
      </c>
      <c r="J2784" s="4">
        <v>1516.2</v>
      </c>
      <c r="K2784" s="4">
        <v>1100.8800000000001</v>
      </c>
      <c r="L2784" s="4">
        <v>415.32</v>
      </c>
      <c r="M2784" s="1" t="str">
        <f>TEXT(Table1[[#This Row],[Order_Date]], "MMM")</f>
        <v>Jan</v>
      </c>
      <c r="N2784" s="1">
        <f>YEAR(Table1[[#This Row],[Order_Date]])</f>
        <v>2024</v>
      </c>
      <c r="O2784" s="7">
        <f>Table1[[#This Row],[Profit]]/Table1[[#This Row],[Total_Sales]]</f>
        <v>0.27392164622081516</v>
      </c>
    </row>
    <row r="2785" spans="1:15" x14ac:dyDescent="0.25">
      <c r="A2785" s="1">
        <v>2784</v>
      </c>
      <c r="B2785" s="2">
        <v>45514</v>
      </c>
      <c r="C2785" s="1" t="s">
        <v>16</v>
      </c>
      <c r="D2785" s="1" t="s">
        <v>20</v>
      </c>
      <c r="E2785" s="1" t="s">
        <v>43</v>
      </c>
      <c r="F2785" s="1" t="s">
        <v>35</v>
      </c>
      <c r="G2785" s="1">
        <v>5</v>
      </c>
      <c r="H2785" s="1">
        <v>312</v>
      </c>
      <c r="I2785" s="1">
        <v>5</v>
      </c>
      <c r="J2785" s="4">
        <v>1482</v>
      </c>
      <c r="K2785" s="4">
        <v>751.84</v>
      </c>
      <c r="L2785" s="4">
        <v>730.16</v>
      </c>
      <c r="M2785" s="1" t="str">
        <f>TEXT(Table1[[#This Row],[Order_Date]], "MMM")</f>
        <v>Aug</v>
      </c>
      <c r="N2785" s="1">
        <f>YEAR(Table1[[#This Row],[Order_Date]])</f>
        <v>2024</v>
      </c>
      <c r="O2785" s="7">
        <f>Table1[[#This Row],[Profit]]/Table1[[#This Row],[Total_Sales]]</f>
        <v>0.49268556005398106</v>
      </c>
    </row>
    <row r="2786" spans="1:15" x14ac:dyDescent="0.25">
      <c r="A2786" s="1">
        <v>2785</v>
      </c>
      <c r="B2786" s="2">
        <v>45540</v>
      </c>
      <c r="C2786" s="1" t="s">
        <v>16</v>
      </c>
      <c r="D2786" s="1" t="s">
        <v>20</v>
      </c>
      <c r="E2786" s="1" t="s">
        <v>28</v>
      </c>
      <c r="F2786" s="1" t="s">
        <v>24</v>
      </c>
      <c r="G2786" s="1">
        <v>2</v>
      </c>
      <c r="H2786" s="1">
        <v>924</v>
      </c>
      <c r="I2786" s="1">
        <v>10</v>
      </c>
      <c r="J2786" s="4">
        <v>1663.2</v>
      </c>
      <c r="K2786" s="4">
        <v>1218.57</v>
      </c>
      <c r="L2786" s="4">
        <v>444.63</v>
      </c>
      <c r="M2786" s="1" t="str">
        <f>TEXT(Table1[[#This Row],[Order_Date]], "MMM")</f>
        <v>Sep</v>
      </c>
      <c r="N2786" s="1">
        <f>YEAR(Table1[[#This Row],[Order_Date]])</f>
        <v>2024</v>
      </c>
      <c r="O2786" s="7">
        <f>Table1[[#This Row],[Profit]]/Table1[[#This Row],[Total_Sales]]</f>
        <v>0.26733405483405481</v>
      </c>
    </row>
    <row r="2787" spans="1:15" x14ac:dyDescent="0.25">
      <c r="A2787" s="1">
        <v>2786</v>
      </c>
      <c r="B2787" s="2">
        <v>45271</v>
      </c>
      <c r="C2787" s="1" t="s">
        <v>19</v>
      </c>
      <c r="D2787" s="1" t="s">
        <v>32</v>
      </c>
      <c r="E2787" s="1" t="s">
        <v>41</v>
      </c>
      <c r="F2787" s="1" t="s">
        <v>40</v>
      </c>
      <c r="G2787" s="1">
        <v>10</v>
      </c>
      <c r="H2787" s="1">
        <v>141</v>
      </c>
      <c r="I2787" s="1">
        <v>20</v>
      </c>
      <c r="J2787" s="4">
        <v>1128</v>
      </c>
      <c r="K2787" s="4">
        <v>644.73</v>
      </c>
      <c r="L2787" s="4">
        <v>483.27</v>
      </c>
      <c r="M2787" s="1" t="str">
        <f>TEXT(Table1[[#This Row],[Order_Date]], "MMM")</f>
        <v>Dec</v>
      </c>
      <c r="N2787" s="1">
        <f>YEAR(Table1[[#This Row],[Order_Date]])</f>
        <v>2023</v>
      </c>
      <c r="O2787" s="7">
        <f>Table1[[#This Row],[Profit]]/Table1[[#This Row],[Total_Sales]]</f>
        <v>0.42843085106382978</v>
      </c>
    </row>
    <row r="2788" spans="1:15" x14ac:dyDescent="0.25">
      <c r="A2788" s="1">
        <v>2787</v>
      </c>
      <c r="B2788" s="2">
        <v>45450</v>
      </c>
      <c r="C2788" s="1" t="s">
        <v>19</v>
      </c>
      <c r="D2788" s="1" t="s">
        <v>26</v>
      </c>
      <c r="E2788" s="1" t="s">
        <v>42</v>
      </c>
      <c r="F2788" s="1" t="s">
        <v>40</v>
      </c>
      <c r="G2788" s="1">
        <v>10</v>
      </c>
      <c r="H2788" s="1">
        <v>287</v>
      </c>
      <c r="I2788" s="1">
        <v>10</v>
      </c>
      <c r="J2788" s="4">
        <v>2583</v>
      </c>
      <c r="K2788" s="4">
        <v>1922.94</v>
      </c>
      <c r="L2788" s="4">
        <v>660.06</v>
      </c>
      <c r="M2788" s="1" t="str">
        <f>TEXT(Table1[[#This Row],[Order_Date]], "MMM")</f>
        <v>Jun</v>
      </c>
      <c r="N2788" s="1">
        <f>YEAR(Table1[[#This Row],[Order_Date]])</f>
        <v>2024</v>
      </c>
      <c r="O2788" s="7">
        <f>Table1[[#This Row],[Profit]]/Table1[[#This Row],[Total_Sales]]</f>
        <v>0.25554006968641113</v>
      </c>
    </row>
    <row r="2789" spans="1:15" x14ac:dyDescent="0.25">
      <c r="A2789" s="1">
        <v>2788</v>
      </c>
      <c r="B2789" s="2">
        <v>45469</v>
      </c>
      <c r="C2789" s="1" t="s">
        <v>25</v>
      </c>
      <c r="D2789" s="1" t="s">
        <v>32</v>
      </c>
      <c r="E2789" s="1" t="s">
        <v>34</v>
      </c>
      <c r="F2789" s="1" t="s">
        <v>31</v>
      </c>
      <c r="G2789" s="1">
        <v>1</v>
      </c>
      <c r="H2789" s="1">
        <v>98</v>
      </c>
      <c r="I2789" s="1">
        <v>20</v>
      </c>
      <c r="J2789" s="4">
        <v>78.400000000000006</v>
      </c>
      <c r="K2789" s="4">
        <v>48.21</v>
      </c>
      <c r="L2789" s="4">
        <v>30.19</v>
      </c>
      <c r="M2789" s="1" t="str">
        <f>TEXT(Table1[[#This Row],[Order_Date]], "MMM")</f>
        <v>Jun</v>
      </c>
      <c r="N2789" s="1">
        <f>YEAR(Table1[[#This Row],[Order_Date]])</f>
        <v>2024</v>
      </c>
      <c r="O2789" s="7">
        <f>Table1[[#This Row],[Profit]]/Table1[[#This Row],[Total_Sales]]</f>
        <v>0.38507653061224489</v>
      </c>
    </row>
    <row r="2790" spans="1:15" x14ac:dyDescent="0.25">
      <c r="A2790" s="1">
        <v>2789</v>
      </c>
      <c r="B2790" s="2">
        <v>45084</v>
      </c>
      <c r="C2790" s="1" t="s">
        <v>19</v>
      </c>
      <c r="D2790" s="1" t="s">
        <v>26</v>
      </c>
      <c r="E2790" s="1" t="s">
        <v>27</v>
      </c>
      <c r="F2790" s="1" t="s">
        <v>35</v>
      </c>
      <c r="G2790" s="1">
        <v>6</v>
      </c>
      <c r="H2790" s="1">
        <v>467</v>
      </c>
      <c r="I2790" s="1">
        <v>15</v>
      </c>
      <c r="J2790" s="4">
        <v>2381.6999999999998</v>
      </c>
      <c r="K2790" s="4">
        <v>1210.71</v>
      </c>
      <c r="L2790" s="4">
        <v>1170.99</v>
      </c>
      <c r="M2790" s="1" t="str">
        <f>TEXT(Table1[[#This Row],[Order_Date]], "MMM")</f>
        <v>Jun</v>
      </c>
      <c r="N2790" s="1">
        <f>YEAR(Table1[[#This Row],[Order_Date]])</f>
        <v>2023</v>
      </c>
      <c r="O2790" s="7">
        <f>Table1[[#This Row],[Profit]]/Table1[[#This Row],[Total_Sales]]</f>
        <v>0.49166141831464927</v>
      </c>
    </row>
    <row r="2791" spans="1:15" x14ac:dyDescent="0.25">
      <c r="A2791" s="1">
        <v>2790</v>
      </c>
      <c r="B2791" s="2">
        <v>44955</v>
      </c>
      <c r="C2791" s="1" t="s">
        <v>12</v>
      </c>
      <c r="D2791" s="1" t="s">
        <v>13</v>
      </c>
      <c r="E2791" s="1" t="s">
        <v>39</v>
      </c>
      <c r="F2791" s="1" t="s">
        <v>15</v>
      </c>
      <c r="G2791" s="1">
        <v>10</v>
      </c>
      <c r="H2791" s="1">
        <v>510</v>
      </c>
      <c r="I2791" s="1">
        <v>15</v>
      </c>
      <c r="J2791" s="4">
        <v>4335</v>
      </c>
      <c r="K2791" s="4">
        <v>3254.61</v>
      </c>
      <c r="L2791" s="4">
        <v>1080.3900000000001</v>
      </c>
      <c r="M2791" s="1" t="str">
        <f>TEXT(Table1[[#This Row],[Order_Date]], "MMM")</f>
        <v>Jan</v>
      </c>
      <c r="N2791" s="1">
        <f>YEAR(Table1[[#This Row],[Order_Date]])</f>
        <v>2023</v>
      </c>
      <c r="O2791" s="7">
        <f>Table1[[#This Row],[Profit]]/Table1[[#This Row],[Total_Sales]]</f>
        <v>0.24922491349480971</v>
      </c>
    </row>
    <row r="2792" spans="1:15" x14ac:dyDescent="0.25">
      <c r="A2792" s="1">
        <v>2791</v>
      </c>
      <c r="B2792" s="2">
        <v>45340</v>
      </c>
      <c r="C2792" s="1" t="s">
        <v>12</v>
      </c>
      <c r="D2792" s="1" t="s">
        <v>26</v>
      </c>
      <c r="E2792" s="1" t="s">
        <v>27</v>
      </c>
      <c r="F2792" s="1" t="s">
        <v>31</v>
      </c>
      <c r="G2792" s="1">
        <v>7</v>
      </c>
      <c r="H2792" s="1">
        <v>710</v>
      </c>
      <c r="I2792" s="1">
        <v>10</v>
      </c>
      <c r="J2792" s="4">
        <v>4473</v>
      </c>
      <c r="K2792" s="4">
        <v>3016.45</v>
      </c>
      <c r="L2792" s="4">
        <v>1456.55</v>
      </c>
      <c r="M2792" s="1" t="str">
        <f>TEXT(Table1[[#This Row],[Order_Date]], "MMM")</f>
        <v>Feb</v>
      </c>
      <c r="N2792" s="1">
        <f>YEAR(Table1[[#This Row],[Order_Date]])</f>
        <v>2024</v>
      </c>
      <c r="O2792" s="7">
        <f>Table1[[#This Row],[Profit]]/Table1[[#This Row],[Total_Sales]]</f>
        <v>0.32563156718086295</v>
      </c>
    </row>
    <row r="2793" spans="1:15" x14ac:dyDescent="0.25">
      <c r="A2793" s="1">
        <v>2792</v>
      </c>
      <c r="B2793" s="2">
        <v>45370</v>
      </c>
      <c r="C2793" s="1" t="s">
        <v>19</v>
      </c>
      <c r="D2793" s="1" t="s">
        <v>26</v>
      </c>
      <c r="E2793" s="1" t="s">
        <v>46</v>
      </c>
      <c r="F2793" s="1" t="s">
        <v>40</v>
      </c>
      <c r="G2793" s="1">
        <v>3</v>
      </c>
      <c r="H2793" s="1">
        <v>116</v>
      </c>
      <c r="I2793" s="1">
        <v>0</v>
      </c>
      <c r="J2793" s="4">
        <v>348</v>
      </c>
      <c r="K2793" s="4">
        <v>251.63</v>
      </c>
      <c r="L2793" s="4">
        <v>96.37</v>
      </c>
      <c r="M2793" s="1" t="str">
        <f>TEXT(Table1[[#This Row],[Order_Date]], "MMM")</f>
        <v>Mar</v>
      </c>
      <c r="N2793" s="1">
        <f>YEAR(Table1[[#This Row],[Order_Date]])</f>
        <v>2024</v>
      </c>
      <c r="O2793" s="7">
        <f>Table1[[#This Row],[Profit]]/Table1[[#This Row],[Total_Sales]]</f>
        <v>0.27692528735632183</v>
      </c>
    </row>
    <row r="2794" spans="1:15" x14ac:dyDescent="0.25">
      <c r="A2794" s="1">
        <v>2793</v>
      </c>
      <c r="B2794" s="2">
        <v>44957</v>
      </c>
      <c r="C2794" s="1" t="s">
        <v>16</v>
      </c>
      <c r="D2794" s="1" t="s">
        <v>26</v>
      </c>
      <c r="E2794" s="1" t="s">
        <v>46</v>
      </c>
      <c r="F2794" s="1" t="s">
        <v>15</v>
      </c>
      <c r="G2794" s="1">
        <v>4</v>
      </c>
      <c r="H2794" s="1">
        <v>487</v>
      </c>
      <c r="I2794" s="1">
        <v>0</v>
      </c>
      <c r="J2794" s="4">
        <v>1948</v>
      </c>
      <c r="K2794" s="4">
        <v>1486.58</v>
      </c>
      <c r="L2794" s="4">
        <v>461.42</v>
      </c>
      <c r="M2794" s="1" t="str">
        <f>TEXT(Table1[[#This Row],[Order_Date]], "MMM")</f>
        <v>Jan</v>
      </c>
      <c r="N2794" s="1">
        <f>YEAR(Table1[[#This Row],[Order_Date]])</f>
        <v>2023</v>
      </c>
      <c r="O2794" s="7">
        <f>Table1[[#This Row],[Profit]]/Table1[[#This Row],[Total_Sales]]</f>
        <v>0.23686858316221768</v>
      </c>
    </row>
    <row r="2795" spans="1:15" x14ac:dyDescent="0.25">
      <c r="A2795" s="1">
        <v>2794</v>
      </c>
      <c r="B2795" s="2">
        <v>45251</v>
      </c>
      <c r="C2795" s="1" t="s">
        <v>12</v>
      </c>
      <c r="D2795" s="1" t="s">
        <v>26</v>
      </c>
      <c r="E2795" s="1" t="s">
        <v>46</v>
      </c>
      <c r="F2795" s="1" t="s">
        <v>15</v>
      </c>
      <c r="G2795" s="1">
        <v>5</v>
      </c>
      <c r="H2795" s="1">
        <v>781</v>
      </c>
      <c r="I2795" s="1">
        <v>0</v>
      </c>
      <c r="J2795" s="4">
        <v>3905</v>
      </c>
      <c r="K2795" s="4">
        <v>2534.04</v>
      </c>
      <c r="L2795" s="4">
        <v>1370.96</v>
      </c>
      <c r="M2795" s="1" t="str">
        <f>TEXT(Table1[[#This Row],[Order_Date]], "MMM")</f>
        <v>Nov</v>
      </c>
      <c r="N2795" s="1">
        <f>YEAR(Table1[[#This Row],[Order_Date]])</f>
        <v>2023</v>
      </c>
      <c r="O2795" s="7">
        <f>Table1[[#This Row],[Profit]]/Table1[[#This Row],[Total_Sales]]</f>
        <v>0.35107810499359798</v>
      </c>
    </row>
    <row r="2796" spans="1:15" x14ac:dyDescent="0.25">
      <c r="A2796" s="1">
        <v>2795</v>
      </c>
      <c r="B2796" s="2">
        <v>45367</v>
      </c>
      <c r="C2796" s="1" t="s">
        <v>16</v>
      </c>
      <c r="D2796" s="1" t="s">
        <v>22</v>
      </c>
      <c r="E2796" s="1" t="s">
        <v>44</v>
      </c>
      <c r="F2796" s="1" t="s">
        <v>40</v>
      </c>
      <c r="G2796" s="1">
        <v>4</v>
      </c>
      <c r="H2796" s="1">
        <v>542</v>
      </c>
      <c r="I2796" s="1">
        <v>0</v>
      </c>
      <c r="J2796" s="4">
        <v>2168</v>
      </c>
      <c r="K2796" s="4">
        <v>1395.69</v>
      </c>
      <c r="L2796" s="4">
        <v>772.31</v>
      </c>
      <c r="M2796" s="1" t="str">
        <f>TEXT(Table1[[#This Row],[Order_Date]], "MMM")</f>
        <v>Mar</v>
      </c>
      <c r="N2796" s="1">
        <f>YEAR(Table1[[#This Row],[Order_Date]])</f>
        <v>2024</v>
      </c>
      <c r="O2796" s="7">
        <f>Table1[[#This Row],[Profit]]/Table1[[#This Row],[Total_Sales]]</f>
        <v>0.35623154981549815</v>
      </c>
    </row>
    <row r="2797" spans="1:15" x14ac:dyDescent="0.25">
      <c r="A2797" s="1">
        <v>2796</v>
      </c>
      <c r="B2797" s="2">
        <v>45101</v>
      </c>
      <c r="C2797" s="1" t="s">
        <v>16</v>
      </c>
      <c r="D2797" s="1" t="s">
        <v>32</v>
      </c>
      <c r="E2797" s="1" t="s">
        <v>45</v>
      </c>
      <c r="F2797" s="1" t="s">
        <v>31</v>
      </c>
      <c r="G2797" s="1">
        <v>1</v>
      </c>
      <c r="H2797" s="1">
        <v>894</v>
      </c>
      <c r="I2797" s="1">
        <v>5</v>
      </c>
      <c r="J2797" s="4">
        <v>849.3</v>
      </c>
      <c r="K2797" s="4">
        <v>576.61</v>
      </c>
      <c r="L2797" s="4">
        <v>272.69</v>
      </c>
      <c r="M2797" s="1" t="str">
        <f>TEXT(Table1[[#This Row],[Order_Date]], "MMM")</f>
        <v>Jun</v>
      </c>
      <c r="N2797" s="1">
        <f>YEAR(Table1[[#This Row],[Order_Date]])</f>
        <v>2023</v>
      </c>
      <c r="O2797" s="7">
        <f>Table1[[#This Row],[Profit]]/Table1[[#This Row],[Total_Sales]]</f>
        <v>0.32107618038384556</v>
      </c>
    </row>
    <row r="2798" spans="1:15" x14ac:dyDescent="0.25">
      <c r="A2798" s="1">
        <v>2797</v>
      </c>
      <c r="B2798" s="2">
        <v>45296</v>
      </c>
      <c r="C2798" s="1" t="s">
        <v>16</v>
      </c>
      <c r="D2798" s="1" t="s">
        <v>22</v>
      </c>
      <c r="E2798" s="1" t="s">
        <v>44</v>
      </c>
      <c r="F2798" s="1" t="s">
        <v>31</v>
      </c>
      <c r="G2798" s="1">
        <v>4</v>
      </c>
      <c r="H2798" s="1">
        <v>376</v>
      </c>
      <c r="I2798" s="1">
        <v>15</v>
      </c>
      <c r="J2798" s="4">
        <v>1278.4000000000001</v>
      </c>
      <c r="K2798" s="4">
        <v>642.74</v>
      </c>
      <c r="L2798" s="4">
        <v>635.66</v>
      </c>
      <c r="M2798" s="1" t="str">
        <f>TEXT(Table1[[#This Row],[Order_Date]], "MMM")</f>
        <v>Jan</v>
      </c>
      <c r="N2798" s="1">
        <f>YEAR(Table1[[#This Row],[Order_Date]])</f>
        <v>2024</v>
      </c>
      <c r="O2798" s="7">
        <f>Table1[[#This Row],[Profit]]/Table1[[#This Row],[Total_Sales]]</f>
        <v>0.49723091364205252</v>
      </c>
    </row>
    <row r="2799" spans="1:15" x14ac:dyDescent="0.25">
      <c r="A2799" s="1">
        <v>2798</v>
      </c>
      <c r="B2799" s="2">
        <v>45366</v>
      </c>
      <c r="C2799" s="1" t="s">
        <v>19</v>
      </c>
      <c r="D2799" s="1" t="s">
        <v>13</v>
      </c>
      <c r="E2799" s="1" t="s">
        <v>17</v>
      </c>
      <c r="F2799" s="1" t="s">
        <v>31</v>
      </c>
      <c r="G2799" s="1">
        <v>8</v>
      </c>
      <c r="H2799" s="1">
        <v>165</v>
      </c>
      <c r="I2799" s="1">
        <v>15</v>
      </c>
      <c r="J2799" s="4">
        <v>1122</v>
      </c>
      <c r="K2799" s="4">
        <v>725</v>
      </c>
      <c r="L2799" s="4">
        <v>397</v>
      </c>
      <c r="M2799" s="1" t="str">
        <f>TEXT(Table1[[#This Row],[Order_Date]], "MMM")</f>
        <v>Mar</v>
      </c>
      <c r="N2799" s="1">
        <f>YEAR(Table1[[#This Row],[Order_Date]])</f>
        <v>2024</v>
      </c>
      <c r="O2799" s="7">
        <f>Table1[[#This Row],[Profit]]/Table1[[#This Row],[Total_Sales]]</f>
        <v>0.35383244206773617</v>
      </c>
    </row>
    <row r="2800" spans="1:15" x14ac:dyDescent="0.25">
      <c r="A2800" s="1">
        <v>2799</v>
      </c>
      <c r="B2800" s="2">
        <v>45597</v>
      </c>
      <c r="C2800" s="1" t="s">
        <v>25</v>
      </c>
      <c r="D2800" s="1" t="s">
        <v>32</v>
      </c>
      <c r="E2800" s="1" t="s">
        <v>41</v>
      </c>
      <c r="F2800" s="1" t="s">
        <v>15</v>
      </c>
      <c r="G2800" s="1">
        <v>5</v>
      </c>
      <c r="H2800" s="1">
        <v>114</v>
      </c>
      <c r="I2800" s="1">
        <v>10</v>
      </c>
      <c r="J2800" s="4">
        <v>513</v>
      </c>
      <c r="K2800" s="4">
        <v>273.72000000000003</v>
      </c>
      <c r="L2800" s="4">
        <v>239.28</v>
      </c>
      <c r="M2800" s="1" t="str">
        <f>TEXT(Table1[[#This Row],[Order_Date]], "MMM")</f>
        <v>Nov</v>
      </c>
      <c r="N2800" s="1">
        <f>YEAR(Table1[[#This Row],[Order_Date]])</f>
        <v>2024</v>
      </c>
      <c r="O2800" s="7">
        <f>Table1[[#This Row],[Profit]]/Table1[[#This Row],[Total_Sales]]</f>
        <v>0.4664327485380117</v>
      </c>
    </row>
    <row r="2801" spans="1:15" x14ac:dyDescent="0.25">
      <c r="A2801" s="1">
        <v>2800</v>
      </c>
      <c r="B2801" s="2">
        <v>44986</v>
      </c>
      <c r="C2801" s="1" t="s">
        <v>25</v>
      </c>
      <c r="D2801" s="1" t="s">
        <v>22</v>
      </c>
      <c r="E2801" s="1" t="s">
        <v>29</v>
      </c>
      <c r="F2801" s="1" t="s">
        <v>24</v>
      </c>
      <c r="G2801" s="1">
        <v>4</v>
      </c>
      <c r="H2801" s="1">
        <v>606</v>
      </c>
      <c r="I2801" s="1">
        <v>15</v>
      </c>
      <c r="J2801" s="4">
        <v>2060.4</v>
      </c>
      <c r="K2801" s="4">
        <v>1424.54</v>
      </c>
      <c r="L2801" s="4">
        <v>635.86</v>
      </c>
      <c r="M2801" s="1" t="str">
        <f>TEXT(Table1[[#This Row],[Order_Date]], "MMM")</f>
        <v>Mar</v>
      </c>
      <c r="N2801" s="1">
        <f>YEAR(Table1[[#This Row],[Order_Date]])</f>
        <v>2023</v>
      </c>
      <c r="O2801" s="7">
        <f>Table1[[#This Row],[Profit]]/Table1[[#This Row],[Total_Sales]]</f>
        <v>0.30860997864492329</v>
      </c>
    </row>
    <row r="2802" spans="1:15" x14ac:dyDescent="0.25">
      <c r="A2802" s="1">
        <v>2801</v>
      </c>
      <c r="B2802" s="2">
        <v>45655</v>
      </c>
      <c r="C2802" s="1" t="s">
        <v>19</v>
      </c>
      <c r="D2802" s="1" t="s">
        <v>32</v>
      </c>
      <c r="E2802" s="1" t="s">
        <v>41</v>
      </c>
      <c r="F2802" s="1" t="s">
        <v>15</v>
      </c>
      <c r="G2802" s="1">
        <v>2</v>
      </c>
      <c r="H2802" s="1">
        <v>452</v>
      </c>
      <c r="I2802" s="1">
        <v>20</v>
      </c>
      <c r="J2802" s="4">
        <v>723.2</v>
      </c>
      <c r="K2802" s="4">
        <v>421.54</v>
      </c>
      <c r="L2802" s="4">
        <v>301.66000000000003</v>
      </c>
      <c r="M2802" s="1" t="str">
        <f>TEXT(Table1[[#This Row],[Order_Date]], "MMM")</f>
        <v>Dec</v>
      </c>
      <c r="N2802" s="1">
        <f>YEAR(Table1[[#This Row],[Order_Date]])</f>
        <v>2024</v>
      </c>
      <c r="O2802" s="7">
        <f>Table1[[#This Row],[Profit]]/Table1[[#This Row],[Total_Sales]]</f>
        <v>0.41711836283185844</v>
      </c>
    </row>
    <row r="2803" spans="1:15" x14ac:dyDescent="0.25">
      <c r="A2803" s="1">
        <v>2802</v>
      </c>
      <c r="B2803" s="2">
        <v>45225</v>
      </c>
      <c r="C2803" s="1" t="s">
        <v>12</v>
      </c>
      <c r="D2803" s="1" t="s">
        <v>22</v>
      </c>
      <c r="E2803" s="1" t="s">
        <v>23</v>
      </c>
      <c r="F2803" s="1" t="s">
        <v>35</v>
      </c>
      <c r="G2803" s="1">
        <v>2</v>
      </c>
      <c r="H2803" s="1">
        <v>600</v>
      </c>
      <c r="I2803" s="1">
        <v>5</v>
      </c>
      <c r="J2803" s="4">
        <v>1140</v>
      </c>
      <c r="K2803" s="4">
        <v>750.62</v>
      </c>
      <c r="L2803" s="4">
        <v>389.38</v>
      </c>
      <c r="M2803" s="1" t="str">
        <f>TEXT(Table1[[#This Row],[Order_Date]], "MMM")</f>
        <v>Oct</v>
      </c>
      <c r="N2803" s="1">
        <f>YEAR(Table1[[#This Row],[Order_Date]])</f>
        <v>2023</v>
      </c>
      <c r="O2803" s="7">
        <f>Table1[[#This Row],[Profit]]/Table1[[#This Row],[Total_Sales]]</f>
        <v>0.3415614035087719</v>
      </c>
    </row>
    <row r="2804" spans="1:15" x14ac:dyDescent="0.25">
      <c r="A2804" s="1">
        <v>2803</v>
      </c>
      <c r="B2804" s="2">
        <v>45336</v>
      </c>
      <c r="C2804" s="1" t="s">
        <v>12</v>
      </c>
      <c r="D2804" s="1" t="s">
        <v>32</v>
      </c>
      <c r="E2804" s="1" t="s">
        <v>34</v>
      </c>
      <c r="F2804" s="1" t="s">
        <v>35</v>
      </c>
      <c r="G2804" s="1">
        <v>2</v>
      </c>
      <c r="H2804" s="1">
        <v>891</v>
      </c>
      <c r="I2804" s="1">
        <v>20</v>
      </c>
      <c r="J2804" s="4">
        <v>1425.6</v>
      </c>
      <c r="K2804" s="4">
        <v>916.7</v>
      </c>
      <c r="L2804" s="4">
        <v>508.9</v>
      </c>
      <c r="M2804" s="1" t="str">
        <f>TEXT(Table1[[#This Row],[Order_Date]], "MMM")</f>
        <v>Feb</v>
      </c>
      <c r="N2804" s="1">
        <f>YEAR(Table1[[#This Row],[Order_Date]])</f>
        <v>2024</v>
      </c>
      <c r="O2804" s="7">
        <f>Table1[[#This Row],[Profit]]/Table1[[#This Row],[Total_Sales]]</f>
        <v>0.35697250280583614</v>
      </c>
    </row>
    <row r="2805" spans="1:15" x14ac:dyDescent="0.25">
      <c r="A2805" s="1">
        <v>2804</v>
      </c>
      <c r="B2805" s="2">
        <v>45491</v>
      </c>
      <c r="C2805" s="1" t="s">
        <v>19</v>
      </c>
      <c r="D2805" s="1" t="s">
        <v>26</v>
      </c>
      <c r="E2805" s="1" t="s">
        <v>37</v>
      </c>
      <c r="F2805" s="1" t="s">
        <v>40</v>
      </c>
      <c r="G2805" s="1">
        <v>8</v>
      </c>
      <c r="H2805" s="1">
        <v>259</v>
      </c>
      <c r="I2805" s="1">
        <v>20</v>
      </c>
      <c r="J2805" s="4">
        <v>1657.6</v>
      </c>
      <c r="K2805" s="4">
        <v>1000.47</v>
      </c>
      <c r="L2805" s="4">
        <v>657.13</v>
      </c>
      <c r="M2805" s="1" t="str">
        <f>TEXT(Table1[[#This Row],[Order_Date]], "MMM")</f>
        <v>Jul</v>
      </c>
      <c r="N2805" s="1">
        <f>YEAR(Table1[[#This Row],[Order_Date]])</f>
        <v>2024</v>
      </c>
      <c r="O2805" s="7">
        <f>Table1[[#This Row],[Profit]]/Table1[[#This Row],[Total_Sales]]</f>
        <v>0.39643460424710425</v>
      </c>
    </row>
    <row r="2806" spans="1:15" x14ac:dyDescent="0.25">
      <c r="A2806" s="1">
        <v>2805</v>
      </c>
      <c r="B2806" s="2">
        <v>45515</v>
      </c>
      <c r="C2806" s="1" t="s">
        <v>19</v>
      </c>
      <c r="D2806" s="1" t="s">
        <v>20</v>
      </c>
      <c r="E2806" s="1" t="s">
        <v>43</v>
      </c>
      <c r="F2806" s="1" t="s">
        <v>35</v>
      </c>
      <c r="G2806" s="1">
        <v>7</v>
      </c>
      <c r="H2806" s="1">
        <v>393</v>
      </c>
      <c r="I2806" s="1">
        <v>5</v>
      </c>
      <c r="J2806" s="4">
        <v>2613.4499999999998</v>
      </c>
      <c r="K2806" s="4">
        <v>1545.77</v>
      </c>
      <c r="L2806" s="4">
        <v>1067.68</v>
      </c>
      <c r="M2806" s="1" t="str">
        <f>TEXT(Table1[[#This Row],[Order_Date]], "MMM")</f>
        <v>Aug</v>
      </c>
      <c r="N2806" s="1">
        <f>YEAR(Table1[[#This Row],[Order_Date]])</f>
        <v>2024</v>
      </c>
      <c r="O2806" s="7">
        <f>Table1[[#This Row],[Profit]]/Table1[[#This Row],[Total_Sales]]</f>
        <v>0.40853278233752327</v>
      </c>
    </row>
    <row r="2807" spans="1:15" x14ac:dyDescent="0.25">
      <c r="A2807" s="1">
        <v>2806</v>
      </c>
      <c r="B2807" s="2">
        <v>45208</v>
      </c>
      <c r="C2807" s="1" t="s">
        <v>19</v>
      </c>
      <c r="D2807" s="1" t="s">
        <v>13</v>
      </c>
      <c r="E2807" s="1" t="s">
        <v>39</v>
      </c>
      <c r="F2807" s="1" t="s">
        <v>31</v>
      </c>
      <c r="G2807" s="1">
        <v>9</v>
      </c>
      <c r="H2807" s="1">
        <v>678</v>
      </c>
      <c r="I2807" s="1">
        <v>15</v>
      </c>
      <c r="J2807" s="4">
        <v>5186.7</v>
      </c>
      <c r="K2807" s="4">
        <v>3003.7</v>
      </c>
      <c r="L2807" s="4">
        <v>2183</v>
      </c>
      <c r="M2807" s="1" t="str">
        <f>TEXT(Table1[[#This Row],[Order_Date]], "MMM")</f>
        <v>Oct</v>
      </c>
      <c r="N2807" s="1">
        <f>YEAR(Table1[[#This Row],[Order_Date]])</f>
        <v>2023</v>
      </c>
      <c r="O2807" s="7">
        <f>Table1[[#This Row],[Profit]]/Table1[[#This Row],[Total_Sales]]</f>
        <v>0.4208841845489425</v>
      </c>
    </row>
    <row r="2808" spans="1:15" x14ac:dyDescent="0.25">
      <c r="A2808" s="1">
        <v>2807</v>
      </c>
      <c r="B2808" s="2">
        <v>45133</v>
      </c>
      <c r="C2808" s="1" t="s">
        <v>19</v>
      </c>
      <c r="D2808" s="1" t="s">
        <v>13</v>
      </c>
      <c r="E2808" s="1" t="s">
        <v>17</v>
      </c>
      <c r="F2808" s="1" t="s">
        <v>31</v>
      </c>
      <c r="G2808" s="1">
        <v>7</v>
      </c>
      <c r="H2808" s="1">
        <v>901</v>
      </c>
      <c r="I2808" s="1">
        <v>15</v>
      </c>
      <c r="J2808" s="4">
        <v>5360.95</v>
      </c>
      <c r="K2808" s="4">
        <v>3295.81</v>
      </c>
      <c r="L2808" s="4">
        <v>2065.14</v>
      </c>
      <c r="M2808" s="1" t="str">
        <f>TEXT(Table1[[#This Row],[Order_Date]], "MMM")</f>
        <v>Jul</v>
      </c>
      <c r="N2808" s="1">
        <f>YEAR(Table1[[#This Row],[Order_Date]])</f>
        <v>2023</v>
      </c>
      <c r="O2808" s="7">
        <f>Table1[[#This Row],[Profit]]/Table1[[#This Row],[Total_Sales]]</f>
        <v>0.38521903767056209</v>
      </c>
    </row>
    <row r="2809" spans="1:15" x14ac:dyDescent="0.25">
      <c r="A2809" s="1">
        <v>2808</v>
      </c>
      <c r="B2809" s="2">
        <v>45131</v>
      </c>
      <c r="C2809" s="1" t="s">
        <v>19</v>
      </c>
      <c r="D2809" s="1" t="s">
        <v>20</v>
      </c>
      <c r="E2809" s="1" t="s">
        <v>30</v>
      </c>
      <c r="F2809" s="1" t="s">
        <v>24</v>
      </c>
      <c r="G2809" s="1">
        <v>7</v>
      </c>
      <c r="H2809" s="1">
        <v>263</v>
      </c>
      <c r="I2809" s="1">
        <v>5</v>
      </c>
      <c r="J2809" s="4">
        <v>1748.95</v>
      </c>
      <c r="K2809" s="4">
        <v>1313.53</v>
      </c>
      <c r="L2809" s="4">
        <v>435.42</v>
      </c>
      <c r="M2809" s="1" t="str">
        <f>TEXT(Table1[[#This Row],[Order_Date]], "MMM")</f>
        <v>Jul</v>
      </c>
      <c r="N2809" s="1">
        <f>YEAR(Table1[[#This Row],[Order_Date]])</f>
        <v>2023</v>
      </c>
      <c r="O2809" s="7">
        <f>Table1[[#This Row],[Profit]]/Table1[[#This Row],[Total_Sales]]</f>
        <v>0.24896080505446125</v>
      </c>
    </row>
    <row r="2810" spans="1:15" x14ac:dyDescent="0.25">
      <c r="A2810" s="1">
        <v>2809</v>
      </c>
      <c r="B2810" s="2">
        <v>45483</v>
      </c>
      <c r="C2810" s="1" t="s">
        <v>19</v>
      </c>
      <c r="D2810" s="1" t="s">
        <v>26</v>
      </c>
      <c r="E2810" s="1" t="s">
        <v>42</v>
      </c>
      <c r="F2810" s="1" t="s">
        <v>40</v>
      </c>
      <c r="G2810" s="1">
        <v>7</v>
      </c>
      <c r="H2810" s="1">
        <v>551</v>
      </c>
      <c r="I2810" s="1">
        <v>10</v>
      </c>
      <c r="J2810" s="4">
        <v>3471.3</v>
      </c>
      <c r="K2810" s="4">
        <v>1921.94</v>
      </c>
      <c r="L2810" s="4">
        <v>1549.36</v>
      </c>
      <c r="M2810" s="1" t="str">
        <f>TEXT(Table1[[#This Row],[Order_Date]], "MMM")</f>
        <v>Jul</v>
      </c>
      <c r="N2810" s="1">
        <f>YEAR(Table1[[#This Row],[Order_Date]])</f>
        <v>2024</v>
      </c>
      <c r="O2810" s="7">
        <f>Table1[[#This Row],[Profit]]/Table1[[#This Row],[Total_Sales]]</f>
        <v>0.44633422637052395</v>
      </c>
    </row>
    <row r="2811" spans="1:15" x14ac:dyDescent="0.25">
      <c r="A2811" s="1">
        <v>2810</v>
      </c>
      <c r="B2811" s="2">
        <v>45568</v>
      </c>
      <c r="C2811" s="1" t="s">
        <v>12</v>
      </c>
      <c r="D2811" s="1" t="s">
        <v>20</v>
      </c>
      <c r="E2811" s="1" t="s">
        <v>28</v>
      </c>
      <c r="F2811" s="1" t="s">
        <v>18</v>
      </c>
      <c r="G2811" s="1">
        <v>6</v>
      </c>
      <c r="H2811" s="1">
        <v>732</v>
      </c>
      <c r="I2811" s="1">
        <v>5</v>
      </c>
      <c r="J2811" s="4">
        <v>4172.3999999999996</v>
      </c>
      <c r="K2811" s="4">
        <v>2315.0100000000002</v>
      </c>
      <c r="L2811" s="4">
        <v>1857.39</v>
      </c>
      <c r="M2811" s="1" t="str">
        <f>TEXT(Table1[[#This Row],[Order_Date]], "MMM")</f>
        <v>Oct</v>
      </c>
      <c r="N2811" s="1">
        <f>YEAR(Table1[[#This Row],[Order_Date]])</f>
        <v>2024</v>
      </c>
      <c r="O2811" s="7">
        <f>Table1[[#This Row],[Profit]]/Table1[[#This Row],[Total_Sales]]</f>
        <v>0.44516105838366415</v>
      </c>
    </row>
    <row r="2812" spans="1:15" x14ac:dyDescent="0.25">
      <c r="A2812" s="1">
        <v>2811</v>
      </c>
      <c r="B2812" s="2">
        <v>45333</v>
      </c>
      <c r="C2812" s="1" t="s">
        <v>25</v>
      </c>
      <c r="D2812" s="1" t="s">
        <v>22</v>
      </c>
      <c r="E2812" s="1" t="s">
        <v>29</v>
      </c>
      <c r="F2812" s="1" t="s">
        <v>40</v>
      </c>
      <c r="G2812" s="1">
        <v>3</v>
      </c>
      <c r="H2812" s="1">
        <v>411</v>
      </c>
      <c r="I2812" s="1">
        <v>15</v>
      </c>
      <c r="J2812" s="4">
        <v>1048.05</v>
      </c>
      <c r="K2812" s="4">
        <v>533.17999999999995</v>
      </c>
      <c r="L2812" s="4">
        <v>514.87</v>
      </c>
      <c r="M2812" s="1" t="str">
        <f>TEXT(Table1[[#This Row],[Order_Date]], "MMM")</f>
        <v>Feb</v>
      </c>
      <c r="N2812" s="1">
        <f>YEAR(Table1[[#This Row],[Order_Date]])</f>
        <v>2024</v>
      </c>
      <c r="O2812" s="7">
        <f>Table1[[#This Row],[Profit]]/Table1[[#This Row],[Total_Sales]]</f>
        <v>0.49126472973617674</v>
      </c>
    </row>
    <row r="2813" spans="1:15" x14ac:dyDescent="0.25">
      <c r="A2813" s="1">
        <v>2812</v>
      </c>
      <c r="B2813" s="2">
        <v>45036</v>
      </c>
      <c r="C2813" s="1" t="s">
        <v>19</v>
      </c>
      <c r="D2813" s="1" t="s">
        <v>26</v>
      </c>
      <c r="E2813" s="1" t="s">
        <v>42</v>
      </c>
      <c r="F2813" s="1" t="s">
        <v>40</v>
      </c>
      <c r="G2813" s="1">
        <v>1</v>
      </c>
      <c r="H2813" s="1">
        <v>831</v>
      </c>
      <c r="I2813" s="1">
        <v>0</v>
      </c>
      <c r="J2813" s="4">
        <v>831</v>
      </c>
      <c r="K2813" s="4">
        <v>483.42</v>
      </c>
      <c r="L2813" s="4">
        <v>347.58</v>
      </c>
      <c r="M2813" s="1" t="str">
        <f>TEXT(Table1[[#This Row],[Order_Date]], "MMM")</f>
        <v>Apr</v>
      </c>
      <c r="N2813" s="1">
        <f>YEAR(Table1[[#This Row],[Order_Date]])</f>
        <v>2023</v>
      </c>
      <c r="O2813" s="7">
        <f>Table1[[#This Row],[Profit]]/Table1[[#This Row],[Total_Sales]]</f>
        <v>0.41826714801444043</v>
      </c>
    </row>
    <row r="2814" spans="1:15" x14ac:dyDescent="0.25">
      <c r="A2814" s="1">
        <v>2813</v>
      </c>
      <c r="B2814" s="2">
        <v>45267</v>
      </c>
      <c r="C2814" s="1" t="s">
        <v>19</v>
      </c>
      <c r="D2814" s="1" t="s">
        <v>20</v>
      </c>
      <c r="E2814" s="1" t="s">
        <v>21</v>
      </c>
      <c r="F2814" s="1" t="s">
        <v>40</v>
      </c>
      <c r="G2814" s="1">
        <v>5</v>
      </c>
      <c r="H2814" s="1">
        <v>490</v>
      </c>
      <c r="I2814" s="1">
        <v>5</v>
      </c>
      <c r="J2814" s="4">
        <v>2327.5</v>
      </c>
      <c r="K2814" s="4">
        <v>1497.95</v>
      </c>
      <c r="L2814" s="4">
        <v>829.55</v>
      </c>
      <c r="M2814" s="1" t="str">
        <f>TEXT(Table1[[#This Row],[Order_Date]], "MMM")</f>
        <v>Dec</v>
      </c>
      <c r="N2814" s="1">
        <f>YEAR(Table1[[#This Row],[Order_Date]])</f>
        <v>2023</v>
      </c>
      <c r="O2814" s="7">
        <f>Table1[[#This Row],[Profit]]/Table1[[#This Row],[Total_Sales]]</f>
        <v>0.35641245972073038</v>
      </c>
    </row>
    <row r="2815" spans="1:15" x14ac:dyDescent="0.25">
      <c r="A2815" s="1">
        <v>2814</v>
      </c>
      <c r="B2815" s="2">
        <v>45197</v>
      </c>
      <c r="C2815" s="1" t="s">
        <v>12</v>
      </c>
      <c r="D2815" s="1" t="s">
        <v>32</v>
      </c>
      <c r="E2815" s="1" t="s">
        <v>33</v>
      </c>
      <c r="F2815" s="1" t="s">
        <v>40</v>
      </c>
      <c r="G2815" s="1">
        <v>10</v>
      </c>
      <c r="H2815" s="1">
        <v>959</v>
      </c>
      <c r="I2815" s="1">
        <v>5</v>
      </c>
      <c r="J2815" s="4">
        <v>9110.5</v>
      </c>
      <c r="K2815" s="4">
        <v>6920.79</v>
      </c>
      <c r="L2815" s="4">
        <v>2189.71</v>
      </c>
      <c r="M2815" s="1" t="str">
        <f>TEXT(Table1[[#This Row],[Order_Date]], "MMM")</f>
        <v>Sep</v>
      </c>
      <c r="N2815" s="1">
        <f>YEAR(Table1[[#This Row],[Order_Date]])</f>
        <v>2023</v>
      </c>
      <c r="O2815" s="7">
        <f>Table1[[#This Row],[Profit]]/Table1[[#This Row],[Total_Sales]]</f>
        <v>0.24035014543658417</v>
      </c>
    </row>
    <row r="2816" spans="1:15" x14ac:dyDescent="0.25">
      <c r="A2816" s="1">
        <v>2815</v>
      </c>
      <c r="B2816" s="2">
        <v>45023</v>
      </c>
      <c r="C2816" s="1" t="s">
        <v>19</v>
      </c>
      <c r="D2816" s="1" t="s">
        <v>13</v>
      </c>
      <c r="E2816" s="1" t="s">
        <v>39</v>
      </c>
      <c r="F2816" s="1" t="s">
        <v>24</v>
      </c>
      <c r="G2816" s="1">
        <v>8</v>
      </c>
      <c r="H2816" s="1">
        <v>608</v>
      </c>
      <c r="I2816" s="1">
        <v>5</v>
      </c>
      <c r="J2816" s="4">
        <v>4620.8</v>
      </c>
      <c r="K2816" s="4">
        <v>3693.4</v>
      </c>
      <c r="L2816" s="4">
        <v>927.4</v>
      </c>
      <c r="M2816" s="1" t="str">
        <f>TEXT(Table1[[#This Row],[Order_Date]], "MMM")</f>
        <v>Apr</v>
      </c>
      <c r="N2816" s="1">
        <f>YEAR(Table1[[#This Row],[Order_Date]])</f>
        <v>2023</v>
      </c>
      <c r="O2816" s="7">
        <f>Table1[[#This Row],[Profit]]/Table1[[#This Row],[Total_Sales]]</f>
        <v>0.20070117728531855</v>
      </c>
    </row>
    <row r="2817" spans="1:15" x14ac:dyDescent="0.25">
      <c r="A2817" s="1">
        <v>2816</v>
      </c>
      <c r="B2817" s="2">
        <v>45509</v>
      </c>
      <c r="C2817" s="1" t="s">
        <v>16</v>
      </c>
      <c r="D2817" s="1" t="s">
        <v>32</v>
      </c>
      <c r="E2817" s="1" t="s">
        <v>41</v>
      </c>
      <c r="F2817" s="1" t="s">
        <v>15</v>
      </c>
      <c r="G2817" s="1">
        <v>2</v>
      </c>
      <c r="H2817" s="1">
        <v>640</v>
      </c>
      <c r="I2817" s="1">
        <v>20</v>
      </c>
      <c r="J2817" s="4">
        <v>1024</v>
      </c>
      <c r="K2817" s="4">
        <v>542.19000000000005</v>
      </c>
      <c r="L2817" s="4">
        <v>481.81</v>
      </c>
      <c r="M2817" s="1" t="str">
        <f>TEXT(Table1[[#This Row],[Order_Date]], "MMM")</f>
        <v>Aug</v>
      </c>
      <c r="N2817" s="1">
        <f>YEAR(Table1[[#This Row],[Order_Date]])</f>
        <v>2024</v>
      </c>
      <c r="O2817" s="7">
        <f>Table1[[#This Row],[Profit]]/Table1[[#This Row],[Total_Sales]]</f>
        <v>0.470517578125</v>
      </c>
    </row>
    <row r="2818" spans="1:15" x14ac:dyDescent="0.25">
      <c r="A2818" s="1">
        <v>2817</v>
      </c>
      <c r="B2818" s="2">
        <v>45496</v>
      </c>
      <c r="C2818" s="1" t="s">
        <v>12</v>
      </c>
      <c r="D2818" s="1" t="s">
        <v>13</v>
      </c>
      <c r="E2818" s="1" t="s">
        <v>17</v>
      </c>
      <c r="F2818" s="1" t="s">
        <v>35</v>
      </c>
      <c r="G2818" s="1">
        <v>1</v>
      </c>
      <c r="H2818" s="1">
        <v>59</v>
      </c>
      <c r="I2818" s="1">
        <v>20</v>
      </c>
      <c r="J2818" s="4">
        <v>47.2</v>
      </c>
      <c r="K2818" s="4">
        <v>24.95</v>
      </c>
      <c r="L2818" s="4">
        <v>22.25</v>
      </c>
      <c r="M2818" s="1" t="str">
        <f>TEXT(Table1[[#This Row],[Order_Date]], "MMM")</f>
        <v>Jul</v>
      </c>
      <c r="N2818" s="1">
        <f>YEAR(Table1[[#This Row],[Order_Date]])</f>
        <v>2024</v>
      </c>
      <c r="O2818" s="7">
        <f>Table1[[#This Row],[Profit]]/Table1[[#This Row],[Total_Sales]]</f>
        <v>0.47139830508474573</v>
      </c>
    </row>
    <row r="2819" spans="1:15" x14ac:dyDescent="0.25">
      <c r="A2819" s="1">
        <v>2818</v>
      </c>
      <c r="B2819" s="2">
        <v>44957</v>
      </c>
      <c r="C2819" s="1" t="s">
        <v>25</v>
      </c>
      <c r="D2819" s="1" t="s">
        <v>26</v>
      </c>
      <c r="E2819" s="1" t="s">
        <v>42</v>
      </c>
      <c r="F2819" s="1" t="s">
        <v>40</v>
      </c>
      <c r="G2819" s="1">
        <v>5</v>
      </c>
      <c r="H2819" s="1">
        <v>472</v>
      </c>
      <c r="I2819" s="1">
        <v>0</v>
      </c>
      <c r="J2819" s="4">
        <v>2360</v>
      </c>
      <c r="K2819" s="4">
        <v>1640.65</v>
      </c>
      <c r="L2819" s="4">
        <v>719.35</v>
      </c>
      <c r="M2819" s="1" t="str">
        <f>TEXT(Table1[[#This Row],[Order_Date]], "MMM")</f>
        <v>Jan</v>
      </c>
      <c r="N2819" s="1">
        <f>YEAR(Table1[[#This Row],[Order_Date]])</f>
        <v>2023</v>
      </c>
      <c r="O2819" s="7">
        <f>Table1[[#This Row],[Profit]]/Table1[[#This Row],[Total_Sales]]</f>
        <v>0.30480932203389832</v>
      </c>
    </row>
    <row r="2820" spans="1:15" x14ac:dyDescent="0.25">
      <c r="A2820" s="1">
        <v>2819</v>
      </c>
      <c r="B2820" s="2">
        <v>45642</v>
      </c>
      <c r="C2820" s="1" t="s">
        <v>12</v>
      </c>
      <c r="D2820" s="1" t="s">
        <v>20</v>
      </c>
      <c r="E2820" s="1" t="s">
        <v>43</v>
      </c>
      <c r="F2820" s="1" t="s">
        <v>40</v>
      </c>
      <c r="G2820" s="1">
        <v>1</v>
      </c>
      <c r="H2820" s="1">
        <v>935</v>
      </c>
      <c r="I2820" s="1">
        <v>20</v>
      </c>
      <c r="J2820" s="4">
        <v>748</v>
      </c>
      <c r="K2820" s="4">
        <v>433.74</v>
      </c>
      <c r="L2820" s="4">
        <v>314.26</v>
      </c>
      <c r="M2820" s="1" t="str">
        <f>TEXT(Table1[[#This Row],[Order_Date]], "MMM")</f>
        <v>Dec</v>
      </c>
      <c r="N2820" s="1">
        <f>YEAR(Table1[[#This Row],[Order_Date]])</f>
        <v>2024</v>
      </c>
      <c r="O2820" s="7">
        <f>Table1[[#This Row],[Profit]]/Table1[[#This Row],[Total_Sales]]</f>
        <v>0.42013368983957217</v>
      </c>
    </row>
    <row r="2821" spans="1:15" x14ac:dyDescent="0.25">
      <c r="A2821" s="1">
        <v>2820</v>
      </c>
      <c r="B2821" s="2">
        <v>44949</v>
      </c>
      <c r="C2821" s="1" t="s">
        <v>19</v>
      </c>
      <c r="D2821" s="1" t="s">
        <v>13</v>
      </c>
      <c r="E2821" s="1" t="s">
        <v>39</v>
      </c>
      <c r="F2821" s="1" t="s">
        <v>31</v>
      </c>
      <c r="G2821" s="1">
        <v>6</v>
      </c>
      <c r="H2821" s="1">
        <v>235</v>
      </c>
      <c r="I2821" s="1">
        <v>5</v>
      </c>
      <c r="J2821" s="4">
        <v>1339.5</v>
      </c>
      <c r="K2821" s="4">
        <v>984.32</v>
      </c>
      <c r="L2821" s="4">
        <v>355.18</v>
      </c>
      <c r="M2821" s="1" t="str">
        <f>TEXT(Table1[[#This Row],[Order_Date]], "MMM")</f>
        <v>Jan</v>
      </c>
      <c r="N2821" s="1">
        <f>YEAR(Table1[[#This Row],[Order_Date]])</f>
        <v>2023</v>
      </c>
      <c r="O2821" s="7">
        <f>Table1[[#This Row],[Profit]]/Table1[[#This Row],[Total_Sales]]</f>
        <v>0.26515864128406125</v>
      </c>
    </row>
    <row r="2822" spans="1:15" x14ac:dyDescent="0.25">
      <c r="A2822" s="1">
        <v>2821</v>
      </c>
      <c r="B2822" s="2">
        <v>45121</v>
      </c>
      <c r="C2822" s="1" t="s">
        <v>16</v>
      </c>
      <c r="D2822" s="1" t="s">
        <v>26</v>
      </c>
      <c r="E2822" s="1" t="s">
        <v>37</v>
      </c>
      <c r="F2822" s="1" t="s">
        <v>24</v>
      </c>
      <c r="G2822" s="1">
        <v>7</v>
      </c>
      <c r="H2822" s="1">
        <v>960</v>
      </c>
      <c r="I2822" s="1">
        <v>15</v>
      </c>
      <c r="J2822" s="4">
        <v>5712</v>
      </c>
      <c r="K2822" s="4">
        <v>3469.52</v>
      </c>
      <c r="L2822" s="4">
        <v>2242.48</v>
      </c>
      <c r="M2822" s="1" t="str">
        <f>TEXT(Table1[[#This Row],[Order_Date]], "MMM")</f>
        <v>Jul</v>
      </c>
      <c r="N2822" s="1">
        <f>YEAR(Table1[[#This Row],[Order_Date]])</f>
        <v>2023</v>
      </c>
      <c r="O2822" s="7">
        <f>Table1[[#This Row],[Profit]]/Table1[[#This Row],[Total_Sales]]</f>
        <v>0.39259103641456583</v>
      </c>
    </row>
    <row r="2823" spans="1:15" x14ac:dyDescent="0.25">
      <c r="A2823" s="1">
        <v>2822</v>
      </c>
      <c r="B2823" s="2">
        <v>45461</v>
      </c>
      <c r="C2823" s="1" t="s">
        <v>16</v>
      </c>
      <c r="D2823" s="1" t="s">
        <v>22</v>
      </c>
      <c r="E2823" s="1" t="s">
        <v>23</v>
      </c>
      <c r="F2823" s="1" t="s">
        <v>31</v>
      </c>
      <c r="G2823" s="1">
        <v>4</v>
      </c>
      <c r="H2823" s="1">
        <v>950</v>
      </c>
      <c r="I2823" s="1">
        <v>5</v>
      </c>
      <c r="J2823" s="4">
        <v>3610</v>
      </c>
      <c r="K2823" s="4">
        <v>2086.2800000000002</v>
      </c>
      <c r="L2823" s="4">
        <v>1523.72</v>
      </c>
      <c r="M2823" s="1" t="str">
        <f>TEXT(Table1[[#This Row],[Order_Date]], "MMM")</f>
        <v>Jun</v>
      </c>
      <c r="N2823" s="1">
        <f>YEAR(Table1[[#This Row],[Order_Date]])</f>
        <v>2024</v>
      </c>
      <c r="O2823" s="7">
        <f>Table1[[#This Row],[Profit]]/Table1[[#This Row],[Total_Sales]]</f>
        <v>0.42208310249307479</v>
      </c>
    </row>
    <row r="2824" spans="1:15" x14ac:dyDescent="0.25">
      <c r="A2824" s="1">
        <v>2823</v>
      </c>
      <c r="B2824" s="2">
        <v>45117</v>
      </c>
      <c r="C2824" s="1" t="s">
        <v>25</v>
      </c>
      <c r="D2824" s="1" t="s">
        <v>20</v>
      </c>
      <c r="E2824" s="1" t="s">
        <v>43</v>
      </c>
      <c r="F2824" s="1" t="s">
        <v>18</v>
      </c>
      <c r="G2824" s="1">
        <v>10</v>
      </c>
      <c r="H2824" s="1">
        <v>11</v>
      </c>
      <c r="I2824" s="1">
        <v>5</v>
      </c>
      <c r="J2824" s="4">
        <v>104.5</v>
      </c>
      <c r="K2824" s="4">
        <v>83.53</v>
      </c>
      <c r="L2824" s="4">
        <v>20.97</v>
      </c>
      <c r="M2824" s="1" t="str">
        <f>TEXT(Table1[[#This Row],[Order_Date]], "MMM")</f>
        <v>Jul</v>
      </c>
      <c r="N2824" s="1">
        <f>YEAR(Table1[[#This Row],[Order_Date]])</f>
        <v>2023</v>
      </c>
      <c r="O2824" s="7">
        <f>Table1[[#This Row],[Profit]]/Table1[[#This Row],[Total_Sales]]</f>
        <v>0.20066985645933014</v>
      </c>
    </row>
    <row r="2825" spans="1:15" x14ac:dyDescent="0.25">
      <c r="A2825" s="1">
        <v>2824</v>
      </c>
      <c r="B2825" s="2">
        <v>45391</v>
      </c>
      <c r="C2825" s="1" t="s">
        <v>16</v>
      </c>
      <c r="D2825" s="1" t="s">
        <v>20</v>
      </c>
      <c r="E2825" s="1" t="s">
        <v>30</v>
      </c>
      <c r="F2825" s="1" t="s">
        <v>24</v>
      </c>
      <c r="G2825" s="1">
        <v>2</v>
      </c>
      <c r="H2825" s="1">
        <v>455</v>
      </c>
      <c r="I2825" s="1">
        <v>15</v>
      </c>
      <c r="J2825" s="4">
        <v>773.5</v>
      </c>
      <c r="K2825" s="4">
        <v>479.41</v>
      </c>
      <c r="L2825" s="4">
        <v>294.08999999999997</v>
      </c>
      <c r="M2825" s="1" t="str">
        <f>TEXT(Table1[[#This Row],[Order_Date]], "MMM")</f>
        <v>Apr</v>
      </c>
      <c r="N2825" s="1">
        <f>YEAR(Table1[[#This Row],[Order_Date]])</f>
        <v>2024</v>
      </c>
      <c r="O2825" s="7">
        <f>Table1[[#This Row],[Profit]]/Table1[[#This Row],[Total_Sales]]</f>
        <v>0.38020685197155785</v>
      </c>
    </row>
    <row r="2826" spans="1:15" x14ac:dyDescent="0.25">
      <c r="A2826" s="1">
        <v>2825</v>
      </c>
      <c r="B2826" s="2">
        <v>45019</v>
      </c>
      <c r="C2826" s="1" t="s">
        <v>12</v>
      </c>
      <c r="D2826" s="1" t="s">
        <v>22</v>
      </c>
      <c r="E2826" s="1" t="s">
        <v>29</v>
      </c>
      <c r="F2826" s="1" t="s">
        <v>35</v>
      </c>
      <c r="G2826" s="1">
        <v>9</v>
      </c>
      <c r="H2826" s="1">
        <v>21</v>
      </c>
      <c r="I2826" s="1">
        <v>0</v>
      </c>
      <c r="J2826" s="4">
        <v>189</v>
      </c>
      <c r="K2826" s="4">
        <v>107.35</v>
      </c>
      <c r="L2826" s="4">
        <v>81.650000000000006</v>
      </c>
      <c r="M2826" s="1" t="str">
        <f>TEXT(Table1[[#This Row],[Order_Date]], "MMM")</f>
        <v>Apr</v>
      </c>
      <c r="N2826" s="1">
        <f>YEAR(Table1[[#This Row],[Order_Date]])</f>
        <v>2023</v>
      </c>
      <c r="O2826" s="7">
        <f>Table1[[#This Row],[Profit]]/Table1[[#This Row],[Total_Sales]]</f>
        <v>0.43201058201058207</v>
      </c>
    </row>
    <row r="2827" spans="1:15" x14ac:dyDescent="0.25">
      <c r="A2827" s="1">
        <v>2826</v>
      </c>
      <c r="B2827" s="2">
        <v>45423</v>
      </c>
      <c r="C2827" s="1" t="s">
        <v>12</v>
      </c>
      <c r="D2827" s="1" t="s">
        <v>26</v>
      </c>
      <c r="E2827" s="1" t="s">
        <v>27</v>
      </c>
      <c r="F2827" s="1" t="s">
        <v>35</v>
      </c>
      <c r="G2827" s="1">
        <v>6</v>
      </c>
      <c r="H2827" s="1">
        <v>152</v>
      </c>
      <c r="I2827" s="1">
        <v>10</v>
      </c>
      <c r="J2827" s="4">
        <v>820.8</v>
      </c>
      <c r="K2827" s="4">
        <v>550.07000000000005</v>
      </c>
      <c r="L2827" s="4">
        <v>270.73</v>
      </c>
      <c r="M2827" s="1" t="str">
        <f>TEXT(Table1[[#This Row],[Order_Date]], "MMM")</f>
        <v>May</v>
      </c>
      <c r="N2827" s="1">
        <f>YEAR(Table1[[#This Row],[Order_Date]])</f>
        <v>2024</v>
      </c>
      <c r="O2827" s="7">
        <f>Table1[[#This Row],[Profit]]/Table1[[#This Row],[Total_Sales]]</f>
        <v>0.32983674463937623</v>
      </c>
    </row>
    <row r="2828" spans="1:15" x14ac:dyDescent="0.25">
      <c r="A2828" s="1">
        <v>2827</v>
      </c>
      <c r="B2828" s="2">
        <v>45340</v>
      </c>
      <c r="C2828" s="1" t="s">
        <v>12</v>
      </c>
      <c r="D2828" s="1" t="s">
        <v>32</v>
      </c>
      <c r="E2828" s="1" t="s">
        <v>45</v>
      </c>
      <c r="F2828" s="1" t="s">
        <v>40</v>
      </c>
      <c r="G2828" s="1">
        <v>3</v>
      </c>
      <c r="H2828" s="1">
        <v>75</v>
      </c>
      <c r="I2828" s="1">
        <v>15</v>
      </c>
      <c r="J2828" s="4">
        <v>191.25</v>
      </c>
      <c r="K2828" s="4">
        <v>150.79</v>
      </c>
      <c r="L2828" s="4">
        <v>40.46</v>
      </c>
      <c r="M2828" s="1" t="str">
        <f>TEXT(Table1[[#This Row],[Order_Date]], "MMM")</f>
        <v>Feb</v>
      </c>
      <c r="N2828" s="1">
        <f>YEAR(Table1[[#This Row],[Order_Date]])</f>
        <v>2024</v>
      </c>
      <c r="O2828" s="7">
        <f>Table1[[#This Row],[Profit]]/Table1[[#This Row],[Total_Sales]]</f>
        <v>0.21155555555555555</v>
      </c>
    </row>
    <row r="2829" spans="1:15" x14ac:dyDescent="0.25">
      <c r="A2829" s="1">
        <v>2828</v>
      </c>
      <c r="B2829" s="2">
        <v>45617</v>
      </c>
      <c r="C2829" s="1" t="s">
        <v>12</v>
      </c>
      <c r="D2829" s="1" t="s">
        <v>26</v>
      </c>
      <c r="E2829" s="1" t="s">
        <v>46</v>
      </c>
      <c r="F2829" s="1" t="s">
        <v>18</v>
      </c>
      <c r="G2829" s="1">
        <v>1</v>
      </c>
      <c r="H2829" s="1">
        <v>174</v>
      </c>
      <c r="I2829" s="1">
        <v>10</v>
      </c>
      <c r="J2829" s="4">
        <v>156.6</v>
      </c>
      <c r="K2829" s="4">
        <v>86.34</v>
      </c>
      <c r="L2829" s="4">
        <v>70.260000000000005</v>
      </c>
      <c r="M2829" s="1" t="str">
        <f>TEXT(Table1[[#This Row],[Order_Date]], "MMM")</f>
        <v>Nov</v>
      </c>
      <c r="N2829" s="1">
        <f>YEAR(Table1[[#This Row],[Order_Date]])</f>
        <v>2024</v>
      </c>
      <c r="O2829" s="7">
        <f>Table1[[#This Row],[Profit]]/Table1[[#This Row],[Total_Sales]]</f>
        <v>0.44865900383141766</v>
      </c>
    </row>
    <row r="2830" spans="1:15" x14ac:dyDescent="0.25">
      <c r="A2830" s="1">
        <v>2829</v>
      </c>
      <c r="B2830" s="2">
        <v>45258</v>
      </c>
      <c r="C2830" s="1" t="s">
        <v>16</v>
      </c>
      <c r="D2830" s="1" t="s">
        <v>22</v>
      </c>
      <c r="E2830" s="1" t="s">
        <v>23</v>
      </c>
      <c r="F2830" s="1" t="s">
        <v>40</v>
      </c>
      <c r="G2830" s="1">
        <v>8</v>
      </c>
      <c r="H2830" s="1">
        <v>584</v>
      </c>
      <c r="I2830" s="1">
        <v>0</v>
      </c>
      <c r="J2830" s="4">
        <v>4672</v>
      </c>
      <c r="K2830" s="4">
        <v>2779.71</v>
      </c>
      <c r="L2830" s="4">
        <v>1892.29</v>
      </c>
      <c r="M2830" s="1" t="str">
        <f>TEXT(Table1[[#This Row],[Order_Date]], "MMM")</f>
        <v>Nov</v>
      </c>
      <c r="N2830" s="1">
        <f>YEAR(Table1[[#This Row],[Order_Date]])</f>
        <v>2023</v>
      </c>
      <c r="O2830" s="7">
        <f>Table1[[#This Row],[Profit]]/Table1[[#This Row],[Total_Sales]]</f>
        <v>0.40502782534246573</v>
      </c>
    </row>
    <row r="2831" spans="1:15" x14ac:dyDescent="0.25">
      <c r="A2831" s="1">
        <v>2830</v>
      </c>
      <c r="B2831" s="2">
        <v>45357</v>
      </c>
      <c r="C2831" s="1" t="s">
        <v>12</v>
      </c>
      <c r="D2831" s="1" t="s">
        <v>20</v>
      </c>
      <c r="E2831" s="1" t="s">
        <v>43</v>
      </c>
      <c r="F2831" s="1" t="s">
        <v>15</v>
      </c>
      <c r="G2831" s="1">
        <v>9</v>
      </c>
      <c r="H2831" s="1">
        <v>739</v>
      </c>
      <c r="I2831" s="1">
        <v>15</v>
      </c>
      <c r="J2831" s="4">
        <v>5653.35</v>
      </c>
      <c r="K2831" s="4">
        <v>2922.02</v>
      </c>
      <c r="L2831" s="4">
        <v>2731.33</v>
      </c>
      <c r="M2831" s="1" t="str">
        <f>TEXT(Table1[[#This Row],[Order_Date]], "MMM")</f>
        <v>Mar</v>
      </c>
      <c r="N2831" s="1">
        <f>YEAR(Table1[[#This Row],[Order_Date]])</f>
        <v>2024</v>
      </c>
      <c r="O2831" s="7">
        <f>Table1[[#This Row],[Profit]]/Table1[[#This Row],[Total_Sales]]</f>
        <v>0.48313477849416714</v>
      </c>
    </row>
    <row r="2832" spans="1:15" x14ac:dyDescent="0.25">
      <c r="A2832" s="1">
        <v>2831</v>
      </c>
      <c r="B2832" s="2">
        <v>45467</v>
      </c>
      <c r="C2832" s="1" t="s">
        <v>25</v>
      </c>
      <c r="D2832" s="1" t="s">
        <v>22</v>
      </c>
      <c r="E2832" s="1" t="s">
        <v>44</v>
      </c>
      <c r="F2832" s="1" t="s">
        <v>24</v>
      </c>
      <c r="G2832" s="1">
        <v>8</v>
      </c>
      <c r="H2832" s="1">
        <v>808</v>
      </c>
      <c r="I2832" s="1">
        <v>10</v>
      </c>
      <c r="J2832" s="4">
        <v>5817.6</v>
      </c>
      <c r="K2832" s="4">
        <v>4251.74</v>
      </c>
      <c r="L2832" s="4">
        <v>1565.86</v>
      </c>
      <c r="M2832" s="1" t="str">
        <f>TEXT(Table1[[#This Row],[Order_Date]], "MMM")</f>
        <v>Jun</v>
      </c>
      <c r="N2832" s="1">
        <f>YEAR(Table1[[#This Row],[Order_Date]])</f>
        <v>2024</v>
      </c>
      <c r="O2832" s="7">
        <f>Table1[[#This Row],[Profit]]/Table1[[#This Row],[Total_Sales]]</f>
        <v>0.26915910341034099</v>
      </c>
    </row>
    <row r="2833" spans="1:15" x14ac:dyDescent="0.25">
      <c r="A2833" s="1">
        <v>2832</v>
      </c>
      <c r="B2833" s="2">
        <v>45162</v>
      </c>
      <c r="C2833" s="1" t="s">
        <v>12</v>
      </c>
      <c r="D2833" s="1" t="s">
        <v>26</v>
      </c>
      <c r="E2833" s="1" t="s">
        <v>27</v>
      </c>
      <c r="F2833" s="1" t="s">
        <v>18</v>
      </c>
      <c r="G2833" s="1">
        <v>3</v>
      </c>
      <c r="H2833" s="1">
        <v>864</v>
      </c>
      <c r="I2833" s="1">
        <v>10</v>
      </c>
      <c r="J2833" s="4">
        <v>2332.8000000000002</v>
      </c>
      <c r="K2833" s="4">
        <v>1683.67</v>
      </c>
      <c r="L2833" s="4">
        <v>649.13</v>
      </c>
      <c r="M2833" s="1" t="str">
        <f>TEXT(Table1[[#This Row],[Order_Date]], "MMM")</f>
        <v>Aug</v>
      </c>
      <c r="N2833" s="1">
        <f>YEAR(Table1[[#This Row],[Order_Date]])</f>
        <v>2023</v>
      </c>
      <c r="O2833" s="7">
        <f>Table1[[#This Row],[Profit]]/Table1[[#This Row],[Total_Sales]]</f>
        <v>0.27826217421124827</v>
      </c>
    </row>
    <row r="2834" spans="1:15" x14ac:dyDescent="0.25">
      <c r="A2834" s="1">
        <v>2833</v>
      </c>
      <c r="B2834" s="2">
        <v>45474</v>
      </c>
      <c r="C2834" s="1" t="s">
        <v>16</v>
      </c>
      <c r="D2834" s="1" t="s">
        <v>26</v>
      </c>
      <c r="E2834" s="1" t="s">
        <v>37</v>
      </c>
      <c r="F2834" s="1" t="s">
        <v>15</v>
      </c>
      <c r="G2834" s="1">
        <v>7</v>
      </c>
      <c r="H2834" s="1">
        <v>338</v>
      </c>
      <c r="I2834" s="1">
        <v>15</v>
      </c>
      <c r="J2834" s="4">
        <v>2011.1</v>
      </c>
      <c r="K2834" s="4">
        <v>1514.95</v>
      </c>
      <c r="L2834" s="4">
        <v>496.15</v>
      </c>
      <c r="M2834" s="1" t="str">
        <f>TEXT(Table1[[#This Row],[Order_Date]], "MMM")</f>
        <v>Jul</v>
      </c>
      <c r="N2834" s="1">
        <f>YEAR(Table1[[#This Row],[Order_Date]])</f>
        <v>2024</v>
      </c>
      <c r="O2834" s="7">
        <f>Table1[[#This Row],[Profit]]/Table1[[#This Row],[Total_Sales]]</f>
        <v>0.24670578290487793</v>
      </c>
    </row>
    <row r="2835" spans="1:15" x14ac:dyDescent="0.25">
      <c r="A2835" s="1">
        <v>2834</v>
      </c>
      <c r="B2835" s="2">
        <v>45469</v>
      </c>
      <c r="C2835" s="1" t="s">
        <v>25</v>
      </c>
      <c r="D2835" s="1" t="s">
        <v>26</v>
      </c>
      <c r="E2835" s="1" t="s">
        <v>27</v>
      </c>
      <c r="F2835" s="1" t="s">
        <v>18</v>
      </c>
      <c r="G2835" s="1">
        <v>7</v>
      </c>
      <c r="H2835" s="1">
        <v>161</v>
      </c>
      <c r="I2835" s="1">
        <v>20</v>
      </c>
      <c r="J2835" s="4">
        <v>901.6</v>
      </c>
      <c r="K2835" s="4">
        <v>675.94</v>
      </c>
      <c r="L2835" s="4">
        <v>225.66</v>
      </c>
      <c r="M2835" s="1" t="str">
        <f>TEXT(Table1[[#This Row],[Order_Date]], "MMM")</f>
        <v>Jun</v>
      </c>
      <c r="N2835" s="1">
        <f>YEAR(Table1[[#This Row],[Order_Date]])</f>
        <v>2024</v>
      </c>
      <c r="O2835" s="7">
        <f>Table1[[#This Row],[Profit]]/Table1[[#This Row],[Total_Sales]]</f>
        <v>0.25028837622005323</v>
      </c>
    </row>
    <row r="2836" spans="1:15" x14ac:dyDescent="0.25">
      <c r="A2836" s="1">
        <v>2835</v>
      </c>
      <c r="B2836" s="2">
        <v>45204</v>
      </c>
      <c r="C2836" s="1" t="s">
        <v>12</v>
      </c>
      <c r="D2836" s="1" t="s">
        <v>20</v>
      </c>
      <c r="E2836" s="1" t="s">
        <v>21</v>
      </c>
      <c r="F2836" s="1" t="s">
        <v>15</v>
      </c>
      <c r="G2836" s="1">
        <v>3</v>
      </c>
      <c r="H2836" s="1">
        <v>283</v>
      </c>
      <c r="I2836" s="1">
        <v>20</v>
      </c>
      <c r="J2836" s="4">
        <v>679.2</v>
      </c>
      <c r="K2836" s="4">
        <v>346.72</v>
      </c>
      <c r="L2836" s="4">
        <v>332.48</v>
      </c>
      <c r="M2836" s="1" t="str">
        <f>TEXT(Table1[[#This Row],[Order_Date]], "MMM")</f>
        <v>Oct</v>
      </c>
      <c r="N2836" s="1">
        <f>YEAR(Table1[[#This Row],[Order_Date]])</f>
        <v>2023</v>
      </c>
      <c r="O2836" s="7">
        <f>Table1[[#This Row],[Profit]]/Table1[[#This Row],[Total_Sales]]</f>
        <v>0.48951707891637219</v>
      </c>
    </row>
    <row r="2837" spans="1:15" x14ac:dyDescent="0.25">
      <c r="A2837" s="1">
        <v>2836</v>
      </c>
      <c r="B2837" s="2">
        <v>45353</v>
      </c>
      <c r="C2837" s="1" t="s">
        <v>16</v>
      </c>
      <c r="D2837" s="1" t="s">
        <v>22</v>
      </c>
      <c r="E2837" s="1" t="s">
        <v>23</v>
      </c>
      <c r="F2837" s="1" t="s">
        <v>40</v>
      </c>
      <c r="G2837" s="1">
        <v>5</v>
      </c>
      <c r="H2837" s="1">
        <v>285</v>
      </c>
      <c r="I2837" s="1">
        <v>0</v>
      </c>
      <c r="J2837" s="4">
        <v>1425</v>
      </c>
      <c r="K2837" s="4">
        <v>1076.25</v>
      </c>
      <c r="L2837" s="4">
        <v>348.75</v>
      </c>
      <c r="M2837" s="1" t="str">
        <f>TEXT(Table1[[#This Row],[Order_Date]], "MMM")</f>
        <v>Mar</v>
      </c>
      <c r="N2837" s="1">
        <f>YEAR(Table1[[#This Row],[Order_Date]])</f>
        <v>2024</v>
      </c>
      <c r="O2837" s="7">
        <f>Table1[[#This Row],[Profit]]/Table1[[#This Row],[Total_Sales]]</f>
        <v>0.24473684210526317</v>
      </c>
    </row>
    <row r="2838" spans="1:15" x14ac:dyDescent="0.25">
      <c r="A2838" s="1">
        <v>2837</v>
      </c>
      <c r="B2838" s="2">
        <v>45203</v>
      </c>
      <c r="C2838" s="1" t="s">
        <v>19</v>
      </c>
      <c r="D2838" s="1" t="s">
        <v>22</v>
      </c>
      <c r="E2838" s="1" t="s">
        <v>23</v>
      </c>
      <c r="F2838" s="1" t="s">
        <v>24</v>
      </c>
      <c r="G2838" s="1">
        <v>6</v>
      </c>
      <c r="H2838" s="1">
        <v>679</v>
      </c>
      <c r="I2838" s="1">
        <v>20</v>
      </c>
      <c r="J2838" s="4">
        <v>3259.2</v>
      </c>
      <c r="K2838" s="4">
        <v>1946.39</v>
      </c>
      <c r="L2838" s="4">
        <v>1312.81</v>
      </c>
      <c r="M2838" s="1" t="str">
        <f>TEXT(Table1[[#This Row],[Order_Date]], "MMM")</f>
        <v>Oct</v>
      </c>
      <c r="N2838" s="1">
        <f>YEAR(Table1[[#This Row],[Order_Date]])</f>
        <v>2023</v>
      </c>
      <c r="O2838" s="7">
        <f>Table1[[#This Row],[Profit]]/Table1[[#This Row],[Total_Sales]]</f>
        <v>0.40280130093274424</v>
      </c>
    </row>
    <row r="2839" spans="1:15" x14ac:dyDescent="0.25">
      <c r="A2839" s="1">
        <v>2838</v>
      </c>
      <c r="B2839" s="2">
        <v>45274</v>
      </c>
      <c r="C2839" s="1" t="s">
        <v>12</v>
      </c>
      <c r="D2839" s="1" t="s">
        <v>22</v>
      </c>
      <c r="E2839" s="1" t="s">
        <v>29</v>
      </c>
      <c r="F2839" s="1" t="s">
        <v>15</v>
      </c>
      <c r="G2839" s="1">
        <v>6</v>
      </c>
      <c r="H2839" s="1">
        <v>332</v>
      </c>
      <c r="I2839" s="1">
        <v>0</v>
      </c>
      <c r="J2839" s="4">
        <v>1992</v>
      </c>
      <c r="K2839" s="4">
        <v>1120.8399999999999</v>
      </c>
      <c r="L2839" s="4">
        <v>871.16</v>
      </c>
      <c r="M2839" s="1" t="str">
        <f>TEXT(Table1[[#This Row],[Order_Date]], "MMM")</f>
        <v>Dec</v>
      </c>
      <c r="N2839" s="1">
        <f>YEAR(Table1[[#This Row],[Order_Date]])</f>
        <v>2023</v>
      </c>
      <c r="O2839" s="7">
        <f>Table1[[#This Row],[Profit]]/Table1[[#This Row],[Total_Sales]]</f>
        <v>0.43732931726907631</v>
      </c>
    </row>
    <row r="2840" spans="1:15" x14ac:dyDescent="0.25">
      <c r="A2840" s="1">
        <v>2839</v>
      </c>
      <c r="B2840" s="2">
        <v>45587</v>
      </c>
      <c r="C2840" s="1" t="s">
        <v>12</v>
      </c>
      <c r="D2840" s="1" t="s">
        <v>26</v>
      </c>
      <c r="E2840" s="1" t="s">
        <v>37</v>
      </c>
      <c r="F2840" s="1" t="s">
        <v>15</v>
      </c>
      <c r="G2840" s="1">
        <v>8</v>
      </c>
      <c r="H2840" s="1">
        <v>121</v>
      </c>
      <c r="I2840" s="1">
        <v>0</v>
      </c>
      <c r="J2840" s="4">
        <v>968</v>
      </c>
      <c r="K2840" s="4">
        <v>544.63</v>
      </c>
      <c r="L2840" s="4">
        <v>423.37</v>
      </c>
      <c r="M2840" s="1" t="str">
        <f>TEXT(Table1[[#This Row],[Order_Date]], "MMM")</f>
        <v>Oct</v>
      </c>
      <c r="N2840" s="1">
        <f>YEAR(Table1[[#This Row],[Order_Date]])</f>
        <v>2024</v>
      </c>
      <c r="O2840" s="7">
        <f>Table1[[#This Row],[Profit]]/Table1[[#This Row],[Total_Sales]]</f>
        <v>0.43736570247933887</v>
      </c>
    </row>
    <row r="2841" spans="1:15" x14ac:dyDescent="0.25">
      <c r="A2841" s="1">
        <v>2840</v>
      </c>
      <c r="B2841" s="2">
        <v>44968</v>
      </c>
      <c r="C2841" s="1" t="s">
        <v>19</v>
      </c>
      <c r="D2841" s="1" t="s">
        <v>20</v>
      </c>
      <c r="E2841" s="1" t="s">
        <v>21</v>
      </c>
      <c r="F2841" s="1" t="s">
        <v>35</v>
      </c>
      <c r="G2841" s="1">
        <v>8</v>
      </c>
      <c r="H2841" s="1">
        <v>991</v>
      </c>
      <c r="I2841" s="1">
        <v>10</v>
      </c>
      <c r="J2841" s="4">
        <v>7135.2</v>
      </c>
      <c r="K2841" s="4">
        <v>4668.51</v>
      </c>
      <c r="L2841" s="4">
        <v>2466.69</v>
      </c>
      <c r="M2841" s="1" t="str">
        <f>TEXT(Table1[[#This Row],[Order_Date]], "MMM")</f>
        <v>Feb</v>
      </c>
      <c r="N2841" s="1">
        <f>YEAR(Table1[[#This Row],[Order_Date]])</f>
        <v>2023</v>
      </c>
      <c r="O2841" s="7">
        <f>Table1[[#This Row],[Profit]]/Table1[[#This Row],[Total_Sales]]</f>
        <v>0.34570719811638079</v>
      </c>
    </row>
    <row r="2842" spans="1:15" x14ac:dyDescent="0.25">
      <c r="A2842" s="1">
        <v>2841</v>
      </c>
      <c r="B2842" s="2">
        <v>45588</v>
      </c>
      <c r="C2842" s="1" t="s">
        <v>12</v>
      </c>
      <c r="D2842" s="1" t="s">
        <v>13</v>
      </c>
      <c r="E2842" s="1" t="s">
        <v>17</v>
      </c>
      <c r="F2842" s="1" t="s">
        <v>35</v>
      </c>
      <c r="G2842" s="1">
        <v>5</v>
      </c>
      <c r="H2842" s="1">
        <v>743</v>
      </c>
      <c r="I2842" s="1">
        <v>20</v>
      </c>
      <c r="J2842" s="4">
        <v>2972</v>
      </c>
      <c r="K2842" s="4">
        <v>1912.06</v>
      </c>
      <c r="L2842" s="4">
        <v>1059.94</v>
      </c>
      <c r="M2842" s="1" t="str">
        <f>TEXT(Table1[[#This Row],[Order_Date]], "MMM")</f>
        <v>Oct</v>
      </c>
      <c r="N2842" s="1">
        <f>YEAR(Table1[[#This Row],[Order_Date]])</f>
        <v>2024</v>
      </c>
      <c r="O2842" s="7">
        <f>Table1[[#This Row],[Profit]]/Table1[[#This Row],[Total_Sales]]</f>
        <v>0.35664199192462992</v>
      </c>
    </row>
    <row r="2843" spans="1:15" x14ac:dyDescent="0.25">
      <c r="A2843" s="1">
        <v>2842</v>
      </c>
      <c r="B2843" s="2">
        <v>45125</v>
      </c>
      <c r="C2843" s="1" t="s">
        <v>12</v>
      </c>
      <c r="D2843" s="1" t="s">
        <v>32</v>
      </c>
      <c r="E2843" s="1" t="s">
        <v>33</v>
      </c>
      <c r="F2843" s="1" t="s">
        <v>18</v>
      </c>
      <c r="G2843" s="1">
        <v>9</v>
      </c>
      <c r="H2843" s="1">
        <v>953</v>
      </c>
      <c r="I2843" s="1">
        <v>0</v>
      </c>
      <c r="J2843" s="4">
        <v>8577</v>
      </c>
      <c r="K2843" s="4">
        <v>4770.55</v>
      </c>
      <c r="L2843" s="4">
        <v>3806.45</v>
      </c>
      <c r="M2843" s="1" t="str">
        <f>TEXT(Table1[[#This Row],[Order_Date]], "MMM")</f>
        <v>Jul</v>
      </c>
      <c r="N2843" s="1">
        <f>YEAR(Table1[[#This Row],[Order_Date]])</f>
        <v>2023</v>
      </c>
      <c r="O2843" s="7">
        <f>Table1[[#This Row],[Profit]]/Table1[[#This Row],[Total_Sales]]</f>
        <v>0.44379736504605338</v>
      </c>
    </row>
    <row r="2844" spans="1:15" x14ac:dyDescent="0.25">
      <c r="A2844" s="1">
        <v>2843</v>
      </c>
      <c r="B2844" s="2">
        <v>44970</v>
      </c>
      <c r="C2844" s="1" t="s">
        <v>25</v>
      </c>
      <c r="D2844" s="1" t="s">
        <v>13</v>
      </c>
      <c r="E2844" s="1" t="s">
        <v>14</v>
      </c>
      <c r="F2844" s="1" t="s">
        <v>40</v>
      </c>
      <c r="G2844" s="1">
        <v>7</v>
      </c>
      <c r="H2844" s="1">
        <v>81</v>
      </c>
      <c r="I2844" s="1">
        <v>0</v>
      </c>
      <c r="J2844" s="4">
        <v>567</v>
      </c>
      <c r="K2844" s="4">
        <v>314.95999999999998</v>
      </c>
      <c r="L2844" s="4">
        <v>252.04</v>
      </c>
      <c r="M2844" s="1" t="str">
        <f>TEXT(Table1[[#This Row],[Order_Date]], "MMM")</f>
        <v>Feb</v>
      </c>
      <c r="N2844" s="1">
        <f>YEAR(Table1[[#This Row],[Order_Date]])</f>
        <v>2023</v>
      </c>
      <c r="O2844" s="7">
        <f>Table1[[#This Row],[Profit]]/Table1[[#This Row],[Total_Sales]]</f>
        <v>0.44451499118165783</v>
      </c>
    </row>
    <row r="2845" spans="1:15" x14ac:dyDescent="0.25">
      <c r="A2845" s="1">
        <v>2844</v>
      </c>
      <c r="B2845" s="2">
        <v>44932</v>
      </c>
      <c r="C2845" s="1" t="s">
        <v>12</v>
      </c>
      <c r="D2845" s="1" t="s">
        <v>32</v>
      </c>
      <c r="E2845" s="1" t="s">
        <v>34</v>
      </c>
      <c r="F2845" s="1" t="s">
        <v>35</v>
      </c>
      <c r="G2845" s="1">
        <v>2</v>
      </c>
      <c r="H2845" s="1">
        <v>258</v>
      </c>
      <c r="I2845" s="1">
        <v>15</v>
      </c>
      <c r="J2845" s="4">
        <v>438.6</v>
      </c>
      <c r="K2845" s="4">
        <v>292.3</v>
      </c>
      <c r="L2845" s="4">
        <v>146.30000000000001</v>
      </c>
      <c r="M2845" s="1" t="str">
        <f>TEXT(Table1[[#This Row],[Order_Date]], "MMM")</f>
        <v>Jan</v>
      </c>
      <c r="N2845" s="1">
        <f>YEAR(Table1[[#This Row],[Order_Date]])</f>
        <v>2023</v>
      </c>
      <c r="O2845" s="7">
        <f>Table1[[#This Row],[Profit]]/Table1[[#This Row],[Total_Sales]]</f>
        <v>0.33356133150934791</v>
      </c>
    </row>
    <row r="2846" spans="1:15" x14ac:dyDescent="0.25">
      <c r="A2846" s="1">
        <v>2845</v>
      </c>
      <c r="B2846" s="2">
        <v>44982</v>
      </c>
      <c r="C2846" s="1" t="s">
        <v>16</v>
      </c>
      <c r="D2846" s="1" t="s">
        <v>22</v>
      </c>
      <c r="E2846" s="1" t="s">
        <v>29</v>
      </c>
      <c r="F2846" s="1" t="s">
        <v>18</v>
      </c>
      <c r="G2846" s="1">
        <v>2</v>
      </c>
      <c r="H2846" s="1">
        <v>408</v>
      </c>
      <c r="I2846" s="1">
        <v>15</v>
      </c>
      <c r="J2846" s="4">
        <v>693.6</v>
      </c>
      <c r="K2846" s="4">
        <v>492.59</v>
      </c>
      <c r="L2846" s="4">
        <v>201.01</v>
      </c>
      <c r="M2846" s="1" t="str">
        <f>TEXT(Table1[[#This Row],[Order_Date]], "MMM")</f>
        <v>Feb</v>
      </c>
      <c r="N2846" s="1">
        <f>YEAR(Table1[[#This Row],[Order_Date]])</f>
        <v>2023</v>
      </c>
      <c r="O2846" s="7">
        <f>Table1[[#This Row],[Profit]]/Table1[[#This Row],[Total_Sales]]</f>
        <v>0.28980680507497114</v>
      </c>
    </row>
    <row r="2847" spans="1:15" x14ac:dyDescent="0.25">
      <c r="A2847" s="1">
        <v>2846</v>
      </c>
      <c r="B2847" s="2">
        <v>45332</v>
      </c>
      <c r="C2847" s="1" t="s">
        <v>12</v>
      </c>
      <c r="D2847" s="1" t="s">
        <v>32</v>
      </c>
      <c r="E2847" s="1" t="s">
        <v>33</v>
      </c>
      <c r="F2847" s="1" t="s">
        <v>40</v>
      </c>
      <c r="G2847" s="1">
        <v>10</v>
      </c>
      <c r="H2847" s="1">
        <v>525</v>
      </c>
      <c r="I2847" s="1">
        <v>0</v>
      </c>
      <c r="J2847" s="4">
        <v>5250</v>
      </c>
      <c r="K2847" s="4">
        <v>3551.83</v>
      </c>
      <c r="L2847" s="4">
        <v>1698.17</v>
      </c>
      <c r="M2847" s="1" t="str">
        <f>TEXT(Table1[[#This Row],[Order_Date]], "MMM")</f>
        <v>Feb</v>
      </c>
      <c r="N2847" s="1">
        <f>YEAR(Table1[[#This Row],[Order_Date]])</f>
        <v>2024</v>
      </c>
      <c r="O2847" s="7">
        <f>Table1[[#This Row],[Profit]]/Table1[[#This Row],[Total_Sales]]</f>
        <v>0.3234609523809524</v>
      </c>
    </row>
    <row r="2848" spans="1:15" x14ac:dyDescent="0.25">
      <c r="A2848" s="1">
        <v>2847</v>
      </c>
      <c r="B2848" s="2">
        <v>45343</v>
      </c>
      <c r="C2848" s="1" t="s">
        <v>12</v>
      </c>
      <c r="D2848" s="1" t="s">
        <v>22</v>
      </c>
      <c r="E2848" s="1" t="s">
        <v>23</v>
      </c>
      <c r="F2848" s="1" t="s">
        <v>31</v>
      </c>
      <c r="G2848" s="1">
        <v>9</v>
      </c>
      <c r="H2848" s="1">
        <v>541</v>
      </c>
      <c r="I2848" s="1">
        <v>0</v>
      </c>
      <c r="J2848" s="4">
        <v>4869</v>
      </c>
      <c r="K2848" s="4">
        <v>3358.58</v>
      </c>
      <c r="L2848" s="4">
        <v>1510.42</v>
      </c>
      <c r="M2848" s="1" t="str">
        <f>TEXT(Table1[[#This Row],[Order_Date]], "MMM")</f>
        <v>Feb</v>
      </c>
      <c r="N2848" s="1">
        <f>YEAR(Table1[[#This Row],[Order_Date]])</f>
        <v>2024</v>
      </c>
      <c r="O2848" s="7">
        <f>Table1[[#This Row],[Profit]]/Table1[[#This Row],[Total_Sales]]</f>
        <v>0.31021154241117271</v>
      </c>
    </row>
    <row r="2849" spans="1:15" x14ac:dyDescent="0.25">
      <c r="A2849" s="1">
        <v>2848</v>
      </c>
      <c r="B2849" s="2">
        <v>45381</v>
      </c>
      <c r="C2849" s="1" t="s">
        <v>25</v>
      </c>
      <c r="D2849" s="1" t="s">
        <v>13</v>
      </c>
      <c r="E2849" s="1" t="s">
        <v>17</v>
      </c>
      <c r="F2849" s="1" t="s">
        <v>40</v>
      </c>
      <c r="G2849" s="1">
        <v>1</v>
      </c>
      <c r="H2849" s="1">
        <v>202</v>
      </c>
      <c r="I2849" s="1">
        <v>15</v>
      </c>
      <c r="J2849" s="4">
        <v>171.7</v>
      </c>
      <c r="K2849" s="4">
        <v>102.17</v>
      </c>
      <c r="L2849" s="4">
        <v>69.53</v>
      </c>
      <c r="M2849" s="1" t="str">
        <f>TEXT(Table1[[#This Row],[Order_Date]], "MMM")</f>
        <v>Mar</v>
      </c>
      <c r="N2849" s="1">
        <f>YEAR(Table1[[#This Row],[Order_Date]])</f>
        <v>2024</v>
      </c>
      <c r="O2849" s="7">
        <f>Table1[[#This Row],[Profit]]/Table1[[#This Row],[Total_Sales]]</f>
        <v>0.40495049504950498</v>
      </c>
    </row>
    <row r="2850" spans="1:15" x14ac:dyDescent="0.25">
      <c r="A2850" s="1">
        <v>2849</v>
      </c>
      <c r="B2850" s="2">
        <v>45580</v>
      </c>
      <c r="C2850" s="1" t="s">
        <v>19</v>
      </c>
      <c r="D2850" s="1" t="s">
        <v>26</v>
      </c>
      <c r="E2850" s="1" t="s">
        <v>46</v>
      </c>
      <c r="F2850" s="1" t="s">
        <v>35</v>
      </c>
      <c r="G2850" s="1">
        <v>6</v>
      </c>
      <c r="H2850" s="1">
        <v>679</v>
      </c>
      <c r="I2850" s="1">
        <v>0</v>
      </c>
      <c r="J2850" s="4">
        <v>4074</v>
      </c>
      <c r="K2850" s="4">
        <v>3006.95</v>
      </c>
      <c r="L2850" s="4">
        <v>1067.05</v>
      </c>
      <c r="M2850" s="1" t="str">
        <f>TEXT(Table1[[#This Row],[Order_Date]], "MMM")</f>
        <v>Oct</v>
      </c>
      <c r="N2850" s="1">
        <f>YEAR(Table1[[#This Row],[Order_Date]])</f>
        <v>2024</v>
      </c>
      <c r="O2850" s="7">
        <f>Table1[[#This Row],[Profit]]/Table1[[#This Row],[Total_Sales]]</f>
        <v>0.2619170348551792</v>
      </c>
    </row>
    <row r="2851" spans="1:15" x14ac:dyDescent="0.25">
      <c r="A2851" s="1">
        <v>2850</v>
      </c>
      <c r="B2851" s="2">
        <v>45278</v>
      </c>
      <c r="C2851" s="1" t="s">
        <v>25</v>
      </c>
      <c r="D2851" s="1" t="s">
        <v>26</v>
      </c>
      <c r="E2851" s="1" t="s">
        <v>42</v>
      </c>
      <c r="F2851" s="1" t="s">
        <v>35</v>
      </c>
      <c r="G2851" s="1">
        <v>3</v>
      </c>
      <c r="H2851" s="1">
        <v>753</v>
      </c>
      <c r="I2851" s="1">
        <v>20</v>
      </c>
      <c r="J2851" s="4">
        <v>1807.2</v>
      </c>
      <c r="K2851" s="4">
        <v>1420.7</v>
      </c>
      <c r="L2851" s="4">
        <v>386.5</v>
      </c>
      <c r="M2851" s="1" t="str">
        <f>TEXT(Table1[[#This Row],[Order_Date]], "MMM")</f>
        <v>Dec</v>
      </c>
      <c r="N2851" s="1">
        <f>YEAR(Table1[[#This Row],[Order_Date]])</f>
        <v>2023</v>
      </c>
      <c r="O2851" s="7">
        <f>Table1[[#This Row],[Profit]]/Table1[[#This Row],[Total_Sales]]</f>
        <v>0.21386675520141654</v>
      </c>
    </row>
    <row r="2852" spans="1:15" x14ac:dyDescent="0.25">
      <c r="A2852" s="1">
        <v>2851</v>
      </c>
      <c r="B2852" s="2">
        <v>45394</v>
      </c>
      <c r="C2852" s="1" t="s">
        <v>16</v>
      </c>
      <c r="D2852" s="1" t="s">
        <v>22</v>
      </c>
      <c r="E2852" s="1" t="s">
        <v>29</v>
      </c>
      <c r="F2852" s="1" t="s">
        <v>31</v>
      </c>
      <c r="G2852" s="1">
        <v>4</v>
      </c>
      <c r="H2852" s="1">
        <v>847</v>
      </c>
      <c r="I2852" s="1">
        <v>0</v>
      </c>
      <c r="J2852" s="4">
        <v>3388</v>
      </c>
      <c r="K2852" s="4">
        <v>1811.84</v>
      </c>
      <c r="L2852" s="4">
        <v>1576.16</v>
      </c>
      <c r="M2852" s="1" t="str">
        <f>TEXT(Table1[[#This Row],[Order_Date]], "MMM")</f>
        <v>Apr</v>
      </c>
      <c r="N2852" s="1">
        <f>YEAR(Table1[[#This Row],[Order_Date]])</f>
        <v>2024</v>
      </c>
      <c r="O2852" s="7">
        <f>Table1[[#This Row],[Profit]]/Table1[[#This Row],[Total_Sales]]</f>
        <v>0.46521841794569069</v>
      </c>
    </row>
    <row r="2853" spans="1:15" x14ac:dyDescent="0.25">
      <c r="A2853" s="1">
        <v>2852</v>
      </c>
      <c r="B2853" s="2">
        <v>45168</v>
      </c>
      <c r="C2853" s="1" t="s">
        <v>16</v>
      </c>
      <c r="D2853" s="1" t="s">
        <v>26</v>
      </c>
      <c r="E2853" s="1" t="s">
        <v>46</v>
      </c>
      <c r="F2853" s="1" t="s">
        <v>31</v>
      </c>
      <c r="G2853" s="1">
        <v>2</v>
      </c>
      <c r="H2853" s="1">
        <v>548</v>
      </c>
      <c r="I2853" s="1">
        <v>0</v>
      </c>
      <c r="J2853" s="4">
        <v>1096</v>
      </c>
      <c r="K2853" s="4">
        <v>716.74</v>
      </c>
      <c r="L2853" s="4">
        <v>379.26</v>
      </c>
      <c r="M2853" s="1" t="str">
        <f>TEXT(Table1[[#This Row],[Order_Date]], "MMM")</f>
        <v>Aug</v>
      </c>
      <c r="N2853" s="1">
        <f>YEAR(Table1[[#This Row],[Order_Date]])</f>
        <v>2023</v>
      </c>
      <c r="O2853" s="7">
        <f>Table1[[#This Row],[Profit]]/Table1[[#This Row],[Total_Sales]]</f>
        <v>0.34604014598540145</v>
      </c>
    </row>
    <row r="2854" spans="1:15" x14ac:dyDescent="0.25">
      <c r="A2854" s="1">
        <v>2853</v>
      </c>
      <c r="B2854" s="2">
        <v>45214</v>
      </c>
      <c r="C2854" s="1" t="s">
        <v>12</v>
      </c>
      <c r="D2854" s="1" t="s">
        <v>20</v>
      </c>
      <c r="E2854" s="1" t="s">
        <v>21</v>
      </c>
      <c r="F2854" s="1" t="s">
        <v>31</v>
      </c>
      <c r="G2854" s="1">
        <v>2</v>
      </c>
      <c r="H2854" s="1">
        <v>442</v>
      </c>
      <c r="I2854" s="1">
        <v>20</v>
      </c>
      <c r="J2854" s="4">
        <v>707.2</v>
      </c>
      <c r="K2854" s="4">
        <v>361.12</v>
      </c>
      <c r="L2854" s="4">
        <v>346.08</v>
      </c>
      <c r="M2854" s="1" t="str">
        <f>TEXT(Table1[[#This Row],[Order_Date]], "MMM")</f>
        <v>Oct</v>
      </c>
      <c r="N2854" s="1">
        <f>YEAR(Table1[[#This Row],[Order_Date]])</f>
        <v>2023</v>
      </c>
      <c r="O2854" s="7">
        <f>Table1[[#This Row],[Profit]]/Table1[[#This Row],[Total_Sales]]</f>
        <v>0.489366515837104</v>
      </c>
    </row>
    <row r="2855" spans="1:15" x14ac:dyDescent="0.25">
      <c r="A2855" s="1">
        <v>2854</v>
      </c>
      <c r="B2855" s="2">
        <v>45262</v>
      </c>
      <c r="C2855" s="1" t="s">
        <v>16</v>
      </c>
      <c r="D2855" s="1" t="s">
        <v>13</v>
      </c>
      <c r="E2855" s="1" t="s">
        <v>38</v>
      </c>
      <c r="F2855" s="1" t="s">
        <v>15</v>
      </c>
      <c r="G2855" s="1">
        <v>9</v>
      </c>
      <c r="H2855" s="1">
        <v>503</v>
      </c>
      <c r="I2855" s="1">
        <v>5</v>
      </c>
      <c r="J2855" s="4">
        <v>4300.6499999999996</v>
      </c>
      <c r="K2855" s="4">
        <v>2698.84</v>
      </c>
      <c r="L2855" s="4">
        <v>1601.81</v>
      </c>
      <c r="M2855" s="1" t="str">
        <f>TEXT(Table1[[#This Row],[Order_Date]], "MMM")</f>
        <v>Dec</v>
      </c>
      <c r="N2855" s="1">
        <f>YEAR(Table1[[#This Row],[Order_Date]])</f>
        <v>2023</v>
      </c>
      <c r="O2855" s="7">
        <f>Table1[[#This Row],[Profit]]/Table1[[#This Row],[Total_Sales]]</f>
        <v>0.37245765175031681</v>
      </c>
    </row>
    <row r="2856" spans="1:15" x14ac:dyDescent="0.25">
      <c r="A2856" s="1">
        <v>2855</v>
      </c>
      <c r="B2856" s="2">
        <v>45078</v>
      </c>
      <c r="C2856" s="1" t="s">
        <v>12</v>
      </c>
      <c r="D2856" s="1" t="s">
        <v>22</v>
      </c>
      <c r="E2856" s="1" t="s">
        <v>44</v>
      </c>
      <c r="F2856" s="1" t="s">
        <v>18</v>
      </c>
      <c r="G2856" s="1">
        <v>3</v>
      </c>
      <c r="H2856" s="1">
        <v>647</v>
      </c>
      <c r="I2856" s="1">
        <v>15</v>
      </c>
      <c r="J2856" s="4">
        <v>1649.85</v>
      </c>
      <c r="K2856" s="4">
        <v>921.89</v>
      </c>
      <c r="L2856" s="4">
        <v>727.96</v>
      </c>
      <c r="M2856" s="1" t="str">
        <f>TEXT(Table1[[#This Row],[Order_Date]], "MMM")</f>
        <v>Jun</v>
      </c>
      <c r="N2856" s="1">
        <f>YEAR(Table1[[#This Row],[Order_Date]])</f>
        <v>2023</v>
      </c>
      <c r="O2856" s="7">
        <f>Table1[[#This Row],[Profit]]/Table1[[#This Row],[Total_Sales]]</f>
        <v>0.44122799042337185</v>
      </c>
    </row>
    <row r="2857" spans="1:15" x14ac:dyDescent="0.25">
      <c r="A2857" s="1">
        <v>2856</v>
      </c>
      <c r="B2857" s="2">
        <v>45219</v>
      </c>
      <c r="C2857" s="1" t="s">
        <v>19</v>
      </c>
      <c r="D2857" s="1" t="s">
        <v>22</v>
      </c>
      <c r="E2857" s="1" t="s">
        <v>23</v>
      </c>
      <c r="F2857" s="1" t="s">
        <v>18</v>
      </c>
      <c r="G2857" s="1">
        <v>4</v>
      </c>
      <c r="H2857" s="1">
        <v>624</v>
      </c>
      <c r="I2857" s="1">
        <v>20</v>
      </c>
      <c r="J2857" s="4">
        <v>1996.8</v>
      </c>
      <c r="K2857" s="4">
        <v>1457.03</v>
      </c>
      <c r="L2857" s="4">
        <v>539.77</v>
      </c>
      <c r="M2857" s="1" t="str">
        <f>TEXT(Table1[[#This Row],[Order_Date]], "MMM")</f>
        <v>Oct</v>
      </c>
      <c r="N2857" s="1">
        <f>YEAR(Table1[[#This Row],[Order_Date]])</f>
        <v>2023</v>
      </c>
      <c r="O2857" s="7">
        <f>Table1[[#This Row],[Profit]]/Table1[[#This Row],[Total_Sales]]</f>
        <v>0.27031750801282051</v>
      </c>
    </row>
    <row r="2858" spans="1:15" x14ac:dyDescent="0.25">
      <c r="A2858" s="1">
        <v>2857</v>
      </c>
      <c r="B2858" s="2">
        <v>45315</v>
      </c>
      <c r="C2858" s="1" t="s">
        <v>16</v>
      </c>
      <c r="D2858" s="1" t="s">
        <v>32</v>
      </c>
      <c r="E2858" s="1" t="s">
        <v>45</v>
      </c>
      <c r="F2858" s="1" t="s">
        <v>40</v>
      </c>
      <c r="G2858" s="1">
        <v>10</v>
      </c>
      <c r="H2858" s="1">
        <v>668</v>
      </c>
      <c r="I2858" s="1">
        <v>20</v>
      </c>
      <c r="J2858" s="4">
        <v>5344</v>
      </c>
      <c r="K2858" s="4">
        <v>3682.01</v>
      </c>
      <c r="L2858" s="4">
        <v>1661.99</v>
      </c>
      <c r="M2858" s="1" t="str">
        <f>TEXT(Table1[[#This Row],[Order_Date]], "MMM")</f>
        <v>Jan</v>
      </c>
      <c r="N2858" s="1">
        <f>YEAR(Table1[[#This Row],[Order_Date]])</f>
        <v>2024</v>
      </c>
      <c r="O2858" s="7">
        <f>Table1[[#This Row],[Profit]]/Table1[[#This Row],[Total_Sales]]</f>
        <v>0.31100112275449104</v>
      </c>
    </row>
    <row r="2859" spans="1:15" x14ac:dyDescent="0.25">
      <c r="A2859" s="1">
        <v>2858</v>
      </c>
      <c r="B2859" s="2">
        <v>45364</v>
      </c>
      <c r="C2859" s="1" t="s">
        <v>12</v>
      </c>
      <c r="D2859" s="1" t="s">
        <v>26</v>
      </c>
      <c r="E2859" s="1" t="s">
        <v>46</v>
      </c>
      <c r="F2859" s="1" t="s">
        <v>40</v>
      </c>
      <c r="G2859" s="1">
        <v>9</v>
      </c>
      <c r="H2859" s="1">
        <v>324</v>
      </c>
      <c r="I2859" s="1">
        <v>10</v>
      </c>
      <c r="J2859" s="4">
        <v>2624.4</v>
      </c>
      <c r="K2859" s="4">
        <v>1427.09</v>
      </c>
      <c r="L2859" s="4">
        <v>1197.31</v>
      </c>
      <c r="M2859" s="1" t="str">
        <f>TEXT(Table1[[#This Row],[Order_Date]], "MMM")</f>
        <v>Mar</v>
      </c>
      <c r="N2859" s="1">
        <f>YEAR(Table1[[#This Row],[Order_Date]])</f>
        <v>2024</v>
      </c>
      <c r="O2859" s="7">
        <f>Table1[[#This Row],[Profit]]/Table1[[#This Row],[Total_Sales]]</f>
        <v>0.45622237463801246</v>
      </c>
    </row>
    <row r="2860" spans="1:15" x14ac:dyDescent="0.25">
      <c r="A2860" s="1">
        <v>2859</v>
      </c>
      <c r="B2860" s="2">
        <v>45283</v>
      </c>
      <c r="C2860" s="1" t="s">
        <v>12</v>
      </c>
      <c r="D2860" s="1" t="s">
        <v>22</v>
      </c>
      <c r="E2860" s="1" t="s">
        <v>44</v>
      </c>
      <c r="F2860" s="1" t="s">
        <v>15</v>
      </c>
      <c r="G2860" s="1">
        <v>2</v>
      </c>
      <c r="H2860" s="1">
        <v>121</v>
      </c>
      <c r="I2860" s="1">
        <v>15</v>
      </c>
      <c r="J2860" s="4">
        <v>205.7</v>
      </c>
      <c r="K2860" s="4">
        <v>134.31</v>
      </c>
      <c r="L2860" s="4">
        <v>71.39</v>
      </c>
      <c r="M2860" s="1" t="str">
        <f>TEXT(Table1[[#This Row],[Order_Date]], "MMM")</f>
        <v>Dec</v>
      </c>
      <c r="N2860" s="1">
        <f>YEAR(Table1[[#This Row],[Order_Date]])</f>
        <v>2023</v>
      </c>
      <c r="O2860" s="7">
        <f>Table1[[#This Row],[Profit]]/Table1[[#This Row],[Total_Sales]]</f>
        <v>0.34705882352941181</v>
      </c>
    </row>
    <row r="2861" spans="1:15" x14ac:dyDescent="0.25">
      <c r="A2861" s="1">
        <v>2860</v>
      </c>
      <c r="B2861" s="2">
        <v>45639</v>
      </c>
      <c r="C2861" s="1" t="s">
        <v>19</v>
      </c>
      <c r="D2861" s="1" t="s">
        <v>20</v>
      </c>
      <c r="E2861" s="1" t="s">
        <v>30</v>
      </c>
      <c r="F2861" s="1" t="s">
        <v>18</v>
      </c>
      <c r="G2861" s="1">
        <v>10</v>
      </c>
      <c r="H2861" s="1">
        <v>947</v>
      </c>
      <c r="I2861" s="1">
        <v>0</v>
      </c>
      <c r="J2861" s="4">
        <v>9470</v>
      </c>
      <c r="K2861" s="4">
        <v>5608.13</v>
      </c>
      <c r="L2861" s="4">
        <v>3861.87</v>
      </c>
      <c r="M2861" s="1" t="str">
        <f>TEXT(Table1[[#This Row],[Order_Date]], "MMM")</f>
        <v>Dec</v>
      </c>
      <c r="N2861" s="1">
        <f>YEAR(Table1[[#This Row],[Order_Date]])</f>
        <v>2024</v>
      </c>
      <c r="O2861" s="7">
        <f>Table1[[#This Row],[Profit]]/Table1[[#This Row],[Total_Sales]]</f>
        <v>0.40780042238648362</v>
      </c>
    </row>
    <row r="2862" spans="1:15" x14ac:dyDescent="0.25">
      <c r="A2862" s="1">
        <v>2861</v>
      </c>
      <c r="B2862" s="2">
        <v>45432</v>
      </c>
      <c r="C2862" s="1" t="s">
        <v>12</v>
      </c>
      <c r="D2862" s="1" t="s">
        <v>22</v>
      </c>
      <c r="E2862" s="1" t="s">
        <v>29</v>
      </c>
      <c r="F2862" s="1" t="s">
        <v>15</v>
      </c>
      <c r="G2862" s="1">
        <v>6</v>
      </c>
      <c r="H2862" s="1">
        <v>800</v>
      </c>
      <c r="I2862" s="1">
        <v>15</v>
      </c>
      <c r="J2862" s="4">
        <v>4080</v>
      </c>
      <c r="K2862" s="4">
        <v>2682.66</v>
      </c>
      <c r="L2862" s="4">
        <v>1397.34</v>
      </c>
      <c r="M2862" s="1" t="str">
        <f>TEXT(Table1[[#This Row],[Order_Date]], "MMM")</f>
        <v>May</v>
      </c>
      <c r="N2862" s="1">
        <f>YEAR(Table1[[#This Row],[Order_Date]])</f>
        <v>2024</v>
      </c>
      <c r="O2862" s="7">
        <f>Table1[[#This Row],[Profit]]/Table1[[#This Row],[Total_Sales]]</f>
        <v>0.34248529411764705</v>
      </c>
    </row>
    <row r="2863" spans="1:15" x14ac:dyDescent="0.25">
      <c r="A2863" s="1">
        <v>2862</v>
      </c>
      <c r="B2863" s="2">
        <v>45589</v>
      </c>
      <c r="C2863" s="1" t="s">
        <v>19</v>
      </c>
      <c r="D2863" s="1" t="s">
        <v>26</v>
      </c>
      <c r="E2863" s="1" t="s">
        <v>37</v>
      </c>
      <c r="F2863" s="1" t="s">
        <v>18</v>
      </c>
      <c r="G2863" s="1">
        <v>7</v>
      </c>
      <c r="H2863" s="1">
        <v>741</v>
      </c>
      <c r="I2863" s="1">
        <v>10</v>
      </c>
      <c r="J2863" s="4">
        <v>4668.3</v>
      </c>
      <c r="K2863" s="4">
        <v>2665.97</v>
      </c>
      <c r="L2863" s="4">
        <v>2002.33</v>
      </c>
      <c r="M2863" s="1" t="str">
        <f>TEXT(Table1[[#This Row],[Order_Date]], "MMM")</f>
        <v>Oct</v>
      </c>
      <c r="N2863" s="1">
        <f>YEAR(Table1[[#This Row],[Order_Date]])</f>
        <v>2024</v>
      </c>
      <c r="O2863" s="7">
        <f>Table1[[#This Row],[Profit]]/Table1[[#This Row],[Total_Sales]]</f>
        <v>0.42892059207848676</v>
      </c>
    </row>
    <row r="2864" spans="1:15" x14ac:dyDescent="0.25">
      <c r="A2864" s="1">
        <v>2863</v>
      </c>
      <c r="B2864" s="2">
        <v>45246</v>
      </c>
      <c r="C2864" s="1" t="s">
        <v>25</v>
      </c>
      <c r="D2864" s="1" t="s">
        <v>20</v>
      </c>
      <c r="E2864" s="1" t="s">
        <v>43</v>
      </c>
      <c r="F2864" s="1" t="s">
        <v>40</v>
      </c>
      <c r="G2864" s="1">
        <v>6</v>
      </c>
      <c r="H2864" s="1">
        <v>478</v>
      </c>
      <c r="I2864" s="1">
        <v>5</v>
      </c>
      <c r="J2864" s="4">
        <v>2724.6</v>
      </c>
      <c r="K2864" s="4">
        <v>1393.3</v>
      </c>
      <c r="L2864" s="4">
        <v>1331.3</v>
      </c>
      <c r="M2864" s="1" t="str">
        <f>TEXT(Table1[[#This Row],[Order_Date]], "MMM")</f>
        <v>Nov</v>
      </c>
      <c r="N2864" s="1">
        <f>YEAR(Table1[[#This Row],[Order_Date]])</f>
        <v>2023</v>
      </c>
      <c r="O2864" s="7">
        <f>Table1[[#This Row],[Profit]]/Table1[[#This Row],[Total_Sales]]</f>
        <v>0.48862218307274463</v>
      </c>
    </row>
    <row r="2865" spans="1:15" x14ac:dyDescent="0.25">
      <c r="A2865" s="1">
        <v>2864</v>
      </c>
      <c r="B2865" s="2">
        <v>45146</v>
      </c>
      <c r="C2865" s="1" t="s">
        <v>12</v>
      </c>
      <c r="D2865" s="1" t="s">
        <v>20</v>
      </c>
      <c r="E2865" s="1" t="s">
        <v>28</v>
      </c>
      <c r="F2865" s="1" t="s">
        <v>35</v>
      </c>
      <c r="G2865" s="1">
        <v>6</v>
      </c>
      <c r="H2865" s="1">
        <v>87</v>
      </c>
      <c r="I2865" s="1">
        <v>20</v>
      </c>
      <c r="J2865" s="4">
        <v>417.6</v>
      </c>
      <c r="K2865" s="4">
        <v>328.7</v>
      </c>
      <c r="L2865" s="4">
        <v>88.9</v>
      </c>
      <c r="M2865" s="1" t="str">
        <f>TEXT(Table1[[#This Row],[Order_Date]], "MMM")</f>
        <v>Aug</v>
      </c>
      <c r="N2865" s="1">
        <f>YEAR(Table1[[#This Row],[Order_Date]])</f>
        <v>2023</v>
      </c>
      <c r="O2865" s="7">
        <f>Table1[[#This Row],[Profit]]/Table1[[#This Row],[Total_Sales]]</f>
        <v>0.2128831417624521</v>
      </c>
    </row>
    <row r="2866" spans="1:15" x14ac:dyDescent="0.25">
      <c r="A2866" s="1">
        <v>2865</v>
      </c>
      <c r="B2866" s="2">
        <v>45289</v>
      </c>
      <c r="C2866" s="1" t="s">
        <v>25</v>
      </c>
      <c r="D2866" s="1" t="s">
        <v>22</v>
      </c>
      <c r="E2866" s="1" t="s">
        <v>23</v>
      </c>
      <c r="F2866" s="1" t="s">
        <v>18</v>
      </c>
      <c r="G2866" s="1">
        <v>2</v>
      </c>
      <c r="H2866" s="1">
        <v>147</v>
      </c>
      <c r="I2866" s="1">
        <v>5</v>
      </c>
      <c r="J2866" s="4">
        <v>279.3</v>
      </c>
      <c r="K2866" s="4">
        <v>159.38999999999999</v>
      </c>
      <c r="L2866" s="4">
        <v>119.91</v>
      </c>
      <c r="M2866" s="1" t="str">
        <f>TEXT(Table1[[#This Row],[Order_Date]], "MMM")</f>
        <v>Dec</v>
      </c>
      <c r="N2866" s="1">
        <f>YEAR(Table1[[#This Row],[Order_Date]])</f>
        <v>2023</v>
      </c>
      <c r="O2866" s="7">
        <f>Table1[[#This Row],[Profit]]/Table1[[#This Row],[Total_Sales]]</f>
        <v>0.42932330827067666</v>
      </c>
    </row>
    <row r="2867" spans="1:15" x14ac:dyDescent="0.25">
      <c r="A2867" s="1">
        <v>2866</v>
      </c>
      <c r="B2867" s="2">
        <v>45516</v>
      </c>
      <c r="C2867" s="1" t="s">
        <v>16</v>
      </c>
      <c r="D2867" s="1" t="s">
        <v>20</v>
      </c>
      <c r="E2867" s="1" t="s">
        <v>21</v>
      </c>
      <c r="F2867" s="1" t="s">
        <v>35</v>
      </c>
      <c r="G2867" s="1">
        <v>3</v>
      </c>
      <c r="H2867" s="1">
        <v>979</v>
      </c>
      <c r="I2867" s="1">
        <v>10</v>
      </c>
      <c r="J2867" s="4">
        <v>2643.3</v>
      </c>
      <c r="K2867" s="4">
        <v>1872.75</v>
      </c>
      <c r="L2867" s="4">
        <v>770.55</v>
      </c>
      <c r="M2867" s="1" t="str">
        <f>TEXT(Table1[[#This Row],[Order_Date]], "MMM")</f>
        <v>Aug</v>
      </c>
      <c r="N2867" s="1">
        <f>YEAR(Table1[[#This Row],[Order_Date]])</f>
        <v>2024</v>
      </c>
      <c r="O2867" s="7">
        <f>Table1[[#This Row],[Profit]]/Table1[[#This Row],[Total_Sales]]</f>
        <v>0.29151061173533083</v>
      </c>
    </row>
    <row r="2868" spans="1:15" x14ac:dyDescent="0.25">
      <c r="A2868" s="1">
        <v>2867</v>
      </c>
      <c r="B2868" s="2">
        <v>45415</v>
      </c>
      <c r="C2868" s="1" t="s">
        <v>16</v>
      </c>
      <c r="D2868" s="1" t="s">
        <v>13</v>
      </c>
      <c r="E2868" s="1" t="s">
        <v>14</v>
      </c>
      <c r="F2868" s="1" t="s">
        <v>35</v>
      </c>
      <c r="G2868" s="1">
        <v>8</v>
      </c>
      <c r="H2868" s="1">
        <v>131</v>
      </c>
      <c r="I2868" s="1">
        <v>20</v>
      </c>
      <c r="J2868" s="4">
        <v>838.4</v>
      </c>
      <c r="K2868" s="4">
        <v>652.6</v>
      </c>
      <c r="L2868" s="4">
        <v>185.8</v>
      </c>
      <c r="M2868" s="1" t="str">
        <f>TEXT(Table1[[#This Row],[Order_Date]], "MMM")</f>
        <v>May</v>
      </c>
      <c r="N2868" s="1">
        <f>YEAR(Table1[[#This Row],[Order_Date]])</f>
        <v>2024</v>
      </c>
      <c r="O2868" s="7">
        <f>Table1[[#This Row],[Profit]]/Table1[[#This Row],[Total_Sales]]</f>
        <v>0.22161259541984735</v>
      </c>
    </row>
    <row r="2869" spans="1:15" x14ac:dyDescent="0.25">
      <c r="A2869" s="1">
        <v>2868</v>
      </c>
      <c r="B2869" s="2">
        <v>45494</v>
      </c>
      <c r="C2869" s="1" t="s">
        <v>12</v>
      </c>
      <c r="D2869" s="1" t="s">
        <v>22</v>
      </c>
      <c r="E2869" s="1" t="s">
        <v>44</v>
      </c>
      <c r="F2869" s="1" t="s">
        <v>24</v>
      </c>
      <c r="G2869" s="1">
        <v>7</v>
      </c>
      <c r="H2869" s="1">
        <v>878</v>
      </c>
      <c r="I2869" s="1">
        <v>0</v>
      </c>
      <c r="J2869" s="4">
        <v>6146</v>
      </c>
      <c r="K2869" s="4">
        <v>4446.09</v>
      </c>
      <c r="L2869" s="4">
        <v>1699.91</v>
      </c>
      <c r="M2869" s="1" t="str">
        <f>TEXT(Table1[[#This Row],[Order_Date]], "MMM")</f>
        <v>Jul</v>
      </c>
      <c r="N2869" s="1">
        <f>YEAR(Table1[[#This Row],[Order_Date]])</f>
        <v>2024</v>
      </c>
      <c r="O2869" s="7">
        <f>Table1[[#This Row],[Profit]]/Table1[[#This Row],[Total_Sales]]</f>
        <v>0.27658802473153271</v>
      </c>
    </row>
    <row r="2870" spans="1:15" x14ac:dyDescent="0.25">
      <c r="A2870" s="1">
        <v>2869</v>
      </c>
      <c r="B2870" s="2">
        <v>45295</v>
      </c>
      <c r="C2870" s="1" t="s">
        <v>12</v>
      </c>
      <c r="D2870" s="1" t="s">
        <v>20</v>
      </c>
      <c r="E2870" s="1" t="s">
        <v>30</v>
      </c>
      <c r="F2870" s="1" t="s">
        <v>18</v>
      </c>
      <c r="G2870" s="1">
        <v>10</v>
      </c>
      <c r="H2870" s="1">
        <v>778</v>
      </c>
      <c r="I2870" s="1">
        <v>15</v>
      </c>
      <c r="J2870" s="4">
        <v>6613</v>
      </c>
      <c r="K2870" s="4">
        <v>4062.37</v>
      </c>
      <c r="L2870" s="4">
        <v>2550.63</v>
      </c>
      <c r="M2870" s="1" t="str">
        <f>TEXT(Table1[[#This Row],[Order_Date]], "MMM")</f>
        <v>Jan</v>
      </c>
      <c r="N2870" s="1">
        <f>YEAR(Table1[[#This Row],[Order_Date]])</f>
        <v>2024</v>
      </c>
      <c r="O2870" s="7">
        <f>Table1[[#This Row],[Profit]]/Table1[[#This Row],[Total_Sales]]</f>
        <v>0.38569938000907306</v>
      </c>
    </row>
    <row r="2871" spans="1:15" x14ac:dyDescent="0.25">
      <c r="A2871" s="1">
        <v>2870</v>
      </c>
      <c r="B2871" s="2">
        <v>45090</v>
      </c>
      <c r="C2871" s="1" t="s">
        <v>16</v>
      </c>
      <c r="D2871" s="1" t="s">
        <v>20</v>
      </c>
      <c r="E2871" s="1" t="s">
        <v>30</v>
      </c>
      <c r="F2871" s="1" t="s">
        <v>15</v>
      </c>
      <c r="G2871" s="1">
        <v>8</v>
      </c>
      <c r="H2871" s="1">
        <v>558</v>
      </c>
      <c r="I2871" s="1">
        <v>15</v>
      </c>
      <c r="J2871" s="4">
        <v>3794.4</v>
      </c>
      <c r="K2871" s="4">
        <v>2127.79</v>
      </c>
      <c r="L2871" s="4">
        <v>1666.61</v>
      </c>
      <c r="M2871" s="1" t="str">
        <f>TEXT(Table1[[#This Row],[Order_Date]], "MMM")</f>
        <v>Jun</v>
      </c>
      <c r="N2871" s="1">
        <f>YEAR(Table1[[#This Row],[Order_Date]])</f>
        <v>2023</v>
      </c>
      <c r="O2871" s="7">
        <f>Table1[[#This Row],[Profit]]/Table1[[#This Row],[Total_Sales]]</f>
        <v>0.43922886358844609</v>
      </c>
    </row>
    <row r="2872" spans="1:15" x14ac:dyDescent="0.25">
      <c r="A2872" s="1">
        <v>2871</v>
      </c>
      <c r="B2872" s="2">
        <v>45249</v>
      </c>
      <c r="C2872" s="1" t="s">
        <v>19</v>
      </c>
      <c r="D2872" s="1" t="s">
        <v>22</v>
      </c>
      <c r="E2872" s="1" t="s">
        <v>29</v>
      </c>
      <c r="F2872" s="1" t="s">
        <v>40</v>
      </c>
      <c r="G2872" s="1">
        <v>8</v>
      </c>
      <c r="H2872" s="1">
        <v>26</v>
      </c>
      <c r="I2872" s="1">
        <v>5</v>
      </c>
      <c r="J2872" s="4">
        <v>197.6</v>
      </c>
      <c r="K2872" s="4">
        <v>152.62</v>
      </c>
      <c r="L2872" s="4">
        <v>44.98</v>
      </c>
      <c r="M2872" s="1" t="str">
        <f>TEXT(Table1[[#This Row],[Order_Date]], "MMM")</f>
        <v>Nov</v>
      </c>
      <c r="N2872" s="1">
        <f>YEAR(Table1[[#This Row],[Order_Date]])</f>
        <v>2023</v>
      </c>
      <c r="O2872" s="7">
        <f>Table1[[#This Row],[Profit]]/Table1[[#This Row],[Total_Sales]]</f>
        <v>0.22763157894736841</v>
      </c>
    </row>
    <row r="2873" spans="1:15" x14ac:dyDescent="0.25">
      <c r="A2873" s="1">
        <v>2872</v>
      </c>
      <c r="B2873" s="2">
        <v>45381</v>
      </c>
      <c r="C2873" s="1" t="s">
        <v>12</v>
      </c>
      <c r="D2873" s="1" t="s">
        <v>26</v>
      </c>
      <c r="E2873" s="1" t="s">
        <v>46</v>
      </c>
      <c r="F2873" s="1" t="s">
        <v>24</v>
      </c>
      <c r="G2873" s="1">
        <v>2</v>
      </c>
      <c r="H2873" s="1">
        <v>451</v>
      </c>
      <c r="I2873" s="1">
        <v>5</v>
      </c>
      <c r="J2873" s="4">
        <v>856.9</v>
      </c>
      <c r="K2873" s="4">
        <v>664.16</v>
      </c>
      <c r="L2873" s="4">
        <v>192.74</v>
      </c>
      <c r="M2873" s="1" t="str">
        <f>TEXT(Table1[[#This Row],[Order_Date]], "MMM")</f>
        <v>Mar</v>
      </c>
      <c r="N2873" s="1">
        <f>YEAR(Table1[[#This Row],[Order_Date]])</f>
        <v>2024</v>
      </c>
      <c r="O2873" s="7">
        <f>Table1[[#This Row],[Profit]]/Table1[[#This Row],[Total_Sales]]</f>
        <v>0.22492706266775589</v>
      </c>
    </row>
    <row r="2874" spans="1:15" x14ac:dyDescent="0.25">
      <c r="A2874" s="1">
        <v>2873</v>
      </c>
      <c r="B2874" s="2">
        <v>45126</v>
      </c>
      <c r="C2874" s="1" t="s">
        <v>25</v>
      </c>
      <c r="D2874" s="1" t="s">
        <v>26</v>
      </c>
      <c r="E2874" s="1" t="s">
        <v>27</v>
      </c>
      <c r="F2874" s="1" t="s">
        <v>31</v>
      </c>
      <c r="G2874" s="1">
        <v>8</v>
      </c>
      <c r="H2874" s="1">
        <v>157</v>
      </c>
      <c r="I2874" s="1">
        <v>20</v>
      </c>
      <c r="J2874" s="4">
        <v>1004.8</v>
      </c>
      <c r="K2874" s="4">
        <v>550.65</v>
      </c>
      <c r="L2874" s="4">
        <v>454.15</v>
      </c>
      <c r="M2874" s="1" t="str">
        <f>TEXT(Table1[[#This Row],[Order_Date]], "MMM")</f>
        <v>Jul</v>
      </c>
      <c r="N2874" s="1">
        <f>YEAR(Table1[[#This Row],[Order_Date]])</f>
        <v>2023</v>
      </c>
      <c r="O2874" s="7">
        <f>Table1[[#This Row],[Profit]]/Table1[[#This Row],[Total_Sales]]</f>
        <v>0.45198049363057324</v>
      </c>
    </row>
    <row r="2875" spans="1:15" x14ac:dyDescent="0.25">
      <c r="A2875" s="1">
        <v>2874</v>
      </c>
      <c r="B2875" s="2">
        <v>45232</v>
      </c>
      <c r="C2875" s="1" t="s">
        <v>12</v>
      </c>
      <c r="D2875" s="1" t="s">
        <v>32</v>
      </c>
      <c r="E2875" s="1" t="s">
        <v>34</v>
      </c>
      <c r="F2875" s="1" t="s">
        <v>35</v>
      </c>
      <c r="G2875" s="1">
        <v>4</v>
      </c>
      <c r="H2875" s="1">
        <v>811</v>
      </c>
      <c r="I2875" s="1">
        <v>20</v>
      </c>
      <c r="J2875" s="4">
        <v>2595.1999999999998</v>
      </c>
      <c r="K2875" s="4">
        <v>1618.89</v>
      </c>
      <c r="L2875" s="4">
        <v>976.31</v>
      </c>
      <c r="M2875" s="1" t="str">
        <f>TEXT(Table1[[#This Row],[Order_Date]], "MMM")</f>
        <v>Nov</v>
      </c>
      <c r="N2875" s="1">
        <f>YEAR(Table1[[#This Row],[Order_Date]])</f>
        <v>2023</v>
      </c>
      <c r="O2875" s="7">
        <f>Table1[[#This Row],[Profit]]/Table1[[#This Row],[Total_Sales]]</f>
        <v>0.37619836621454994</v>
      </c>
    </row>
    <row r="2876" spans="1:15" x14ac:dyDescent="0.25">
      <c r="A2876" s="1">
        <v>2875</v>
      </c>
      <c r="B2876" s="2">
        <v>45263</v>
      </c>
      <c r="C2876" s="1" t="s">
        <v>16</v>
      </c>
      <c r="D2876" s="1" t="s">
        <v>32</v>
      </c>
      <c r="E2876" s="1" t="s">
        <v>45</v>
      </c>
      <c r="F2876" s="1" t="s">
        <v>31</v>
      </c>
      <c r="G2876" s="1">
        <v>7</v>
      </c>
      <c r="H2876" s="1">
        <v>305</v>
      </c>
      <c r="I2876" s="1">
        <v>0</v>
      </c>
      <c r="J2876" s="4">
        <v>2135</v>
      </c>
      <c r="K2876" s="4">
        <v>1296.29</v>
      </c>
      <c r="L2876" s="4">
        <v>838.71</v>
      </c>
      <c r="M2876" s="1" t="str">
        <f>TEXT(Table1[[#This Row],[Order_Date]], "MMM")</f>
        <v>Dec</v>
      </c>
      <c r="N2876" s="1">
        <f>YEAR(Table1[[#This Row],[Order_Date]])</f>
        <v>2023</v>
      </c>
      <c r="O2876" s="7">
        <f>Table1[[#This Row],[Profit]]/Table1[[#This Row],[Total_Sales]]</f>
        <v>0.39283840749414523</v>
      </c>
    </row>
    <row r="2877" spans="1:15" x14ac:dyDescent="0.25">
      <c r="A2877" s="1">
        <v>2876</v>
      </c>
      <c r="B2877" s="2">
        <v>45627</v>
      </c>
      <c r="C2877" s="1" t="s">
        <v>16</v>
      </c>
      <c r="D2877" s="1" t="s">
        <v>22</v>
      </c>
      <c r="E2877" s="1" t="s">
        <v>23</v>
      </c>
      <c r="F2877" s="1" t="s">
        <v>18</v>
      </c>
      <c r="G2877" s="1">
        <v>4</v>
      </c>
      <c r="H2877" s="1">
        <v>143</v>
      </c>
      <c r="I2877" s="1">
        <v>5</v>
      </c>
      <c r="J2877" s="4">
        <v>543.4</v>
      </c>
      <c r="K2877" s="4">
        <v>335.9</v>
      </c>
      <c r="L2877" s="4">
        <v>207.5</v>
      </c>
      <c r="M2877" s="1" t="str">
        <f>TEXT(Table1[[#This Row],[Order_Date]], "MMM")</f>
        <v>Dec</v>
      </c>
      <c r="N2877" s="1">
        <f>YEAR(Table1[[#This Row],[Order_Date]])</f>
        <v>2024</v>
      </c>
      <c r="O2877" s="7">
        <f>Table1[[#This Row],[Profit]]/Table1[[#This Row],[Total_Sales]]</f>
        <v>0.38185498711814503</v>
      </c>
    </row>
    <row r="2878" spans="1:15" x14ac:dyDescent="0.25">
      <c r="A2878" s="1">
        <v>2877</v>
      </c>
      <c r="B2878" s="2">
        <v>45551</v>
      </c>
      <c r="C2878" s="1" t="s">
        <v>16</v>
      </c>
      <c r="D2878" s="1" t="s">
        <v>26</v>
      </c>
      <c r="E2878" s="1" t="s">
        <v>46</v>
      </c>
      <c r="F2878" s="1" t="s">
        <v>18</v>
      </c>
      <c r="G2878" s="1">
        <v>10</v>
      </c>
      <c r="H2878" s="1">
        <v>990</v>
      </c>
      <c r="I2878" s="1">
        <v>20</v>
      </c>
      <c r="J2878" s="4">
        <v>7920</v>
      </c>
      <c r="K2878" s="4">
        <v>4690.83</v>
      </c>
      <c r="L2878" s="4">
        <v>3229.17</v>
      </c>
      <c r="M2878" s="1" t="str">
        <f>TEXT(Table1[[#This Row],[Order_Date]], "MMM")</f>
        <v>Sep</v>
      </c>
      <c r="N2878" s="1">
        <f>YEAR(Table1[[#This Row],[Order_Date]])</f>
        <v>2024</v>
      </c>
      <c r="O2878" s="7">
        <f>Table1[[#This Row],[Profit]]/Table1[[#This Row],[Total_Sales]]</f>
        <v>0.40772348484848486</v>
      </c>
    </row>
    <row r="2879" spans="1:15" x14ac:dyDescent="0.25">
      <c r="A2879" s="1">
        <v>2878</v>
      </c>
      <c r="B2879" s="2">
        <v>45186</v>
      </c>
      <c r="C2879" s="1" t="s">
        <v>16</v>
      </c>
      <c r="D2879" s="1" t="s">
        <v>13</v>
      </c>
      <c r="E2879" s="1" t="s">
        <v>14</v>
      </c>
      <c r="F2879" s="1" t="s">
        <v>15</v>
      </c>
      <c r="G2879" s="1">
        <v>4</v>
      </c>
      <c r="H2879" s="1">
        <v>300</v>
      </c>
      <c r="I2879" s="1">
        <v>10</v>
      </c>
      <c r="J2879" s="4">
        <v>1080</v>
      </c>
      <c r="K2879" s="4">
        <v>555.88</v>
      </c>
      <c r="L2879" s="4">
        <v>524.12</v>
      </c>
      <c r="M2879" s="1" t="str">
        <f>TEXT(Table1[[#This Row],[Order_Date]], "MMM")</f>
        <v>Sep</v>
      </c>
      <c r="N2879" s="1">
        <f>YEAR(Table1[[#This Row],[Order_Date]])</f>
        <v>2023</v>
      </c>
      <c r="O2879" s="7">
        <f>Table1[[#This Row],[Profit]]/Table1[[#This Row],[Total_Sales]]</f>
        <v>0.48529629629629628</v>
      </c>
    </row>
    <row r="2880" spans="1:15" x14ac:dyDescent="0.25">
      <c r="A2880" s="1">
        <v>2879</v>
      </c>
      <c r="B2880" s="2">
        <v>45200</v>
      </c>
      <c r="C2880" s="1" t="s">
        <v>25</v>
      </c>
      <c r="D2880" s="1" t="s">
        <v>22</v>
      </c>
      <c r="E2880" s="1" t="s">
        <v>36</v>
      </c>
      <c r="F2880" s="1" t="s">
        <v>24</v>
      </c>
      <c r="G2880" s="1">
        <v>1</v>
      </c>
      <c r="H2880" s="1">
        <v>608</v>
      </c>
      <c r="I2880" s="1">
        <v>5</v>
      </c>
      <c r="J2880" s="4">
        <v>577.6</v>
      </c>
      <c r="K2880" s="4">
        <v>332.52</v>
      </c>
      <c r="L2880" s="4">
        <v>245.08</v>
      </c>
      <c r="M2880" s="1" t="str">
        <f>TEXT(Table1[[#This Row],[Order_Date]], "MMM")</f>
        <v>Oct</v>
      </c>
      <c r="N2880" s="1">
        <f>YEAR(Table1[[#This Row],[Order_Date]])</f>
        <v>2023</v>
      </c>
      <c r="O2880" s="7">
        <f>Table1[[#This Row],[Profit]]/Table1[[#This Row],[Total_Sales]]</f>
        <v>0.42430747922437673</v>
      </c>
    </row>
    <row r="2881" spans="1:15" x14ac:dyDescent="0.25">
      <c r="A2881" s="1">
        <v>2880</v>
      </c>
      <c r="B2881" s="2">
        <v>45236</v>
      </c>
      <c r="C2881" s="1" t="s">
        <v>12</v>
      </c>
      <c r="D2881" s="1" t="s">
        <v>32</v>
      </c>
      <c r="E2881" s="1" t="s">
        <v>34</v>
      </c>
      <c r="F2881" s="1" t="s">
        <v>35</v>
      </c>
      <c r="G2881" s="1">
        <v>4</v>
      </c>
      <c r="H2881" s="1">
        <v>218</v>
      </c>
      <c r="I2881" s="1">
        <v>15</v>
      </c>
      <c r="J2881" s="4">
        <v>741.2</v>
      </c>
      <c r="K2881" s="4">
        <v>421.06</v>
      </c>
      <c r="L2881" s="4">
        <v>320.14</v>
      </c>
      <c r="M2881" s="1" t="str">
        <f>TEXT(Table1[[#This Row],[Order_Date]], "MMM")</f>
        <v>Nov</v>
      </c>
      <c r="N2881" s="1">
        <f>YEAR(Table1[[#This Row],[Order_Date]])</f>
        <v>2023</v>
      </c>
      <c r="O2881" s="7">
        <f>Table1[[#This Row],[Profit]]/Table1[[#This Row],[Total_Sales]]</f>
        <v>0.43192120885051266</v>
      </c>
    </row>
    <row r="2882" spans="1:15" x14ac:dyDescent="0.25">
      <c r="A2882" s="1">
        <v>2881</v>
      </c>
      <c r="B2882" s="2">
        <v>45313</v>
      </c>
      <c r="C2882" s="1" t="s">
        <v>25</v>
      </c>
      <c r="D2882" s="1" t="s">
        <v>20</v>
      </c>
      <c r="E2882" s="1" t="s">
        <v>43</v>
      </c>
      <c r="F2882" s="1" t="s">
        <v>40</v>
      </c>
      <c r="G2882" s="1">
        <v>3</v>
      </c>
      <c r="H2882" s="1">
        <v>213</v>
      </c>
      <c r="I2882" s="1">
        <v>5</v>
      </c>
      <c r="J2882" s="4">
        <v>607.04999999999995</v>
      </c>
      <c r="K2882" s="4">
        <v>323.93</v>
      </c>
      <c r="L2882" s="4">
        <v>283.12</v>
      </c>
      <c r="M2882" s="1" t="str">
        <f>TEXT(Table1[[#This Row],[Order_Date]], "MMM")</f>
        <v>Jan</v>
      </c>
      <c r="N2882" s="1">
        <f>YEAR(Table1[[#This Row],[Order_Date]])</f>
        <v>2024</v>
      </c>
      <c r="O2882" s="7">
        <f>Table1[[#This Row],[Profit]]/Table1[[#This Row],[Total_Sales]]</f>
        <v>0.4663866238365868</v>
      </c>
    </row>
    <row r="2883" spans="1:15" x14ac:dyDescent="0.25">
      <c r="A2883" s="1">
        <v>2882</v>
      </c>
      <c r="B2883" s="2">
        <v>45384</v>
      </c>
      <c r="C2883" s="1" t="s">
        <v>12</v>
      </c>
      <c r="D2883" s="1" t="s">
        <v>20</v>
      </c>
      <c r="E2883" s="1" t="s">
        <v>43</v>
      </c>
      <c r="F2883" s="1" t="s">
        <v>18</v>
      </c>
      <c r="G2883" s="1">
        <v>7</v>
      </c>
      <c r="H2883" s="1">
        <v>590</v>
      </c>
      <c r="I2883" s="1">
        <v>5</v>
      </c>
      <c r="J2883" s="4">
        <v>3923.5</v>
      </c>
      <c r="K2883" s="4">
        <v>2362.48</v>
      </c>
      <c r="L2883" s="4">
        <v>1561.02</v>
      </c>
      <c r="M2883" s="1" t="str">
        <f>TEXT(Table1[[#This Row],[Order_Date]], "MMM")</f>
        <v>Apr</v>
      </c>
      <c r="N2883" s="1">
        <f>YEAR(Table1[[#This Row],[Order_Date]])</f>
        <v>2024</v>
      </c>
      <c r="O2883" s="7">
        <f>Table1[[#This Row],[Profit]]/Table1[[#This Row],[Total_Sales]]</f>
        <v>0.3978641519051867</v>
      </c>
    </row>
    <row r="2884" spans="1:15" x14ac:dyDescent="0.25">
      <c r="A2884" s="1">
        <v>2883</v>
      </c>
      <c r="B2884" s="2">
        <v>45165</v>
      </c>
      <c r="C2884" s="1" t="s">
        <v>19</v>
      </c>
      <c r="D2884" s="1" t="s">
        <v>32</v>
      </c>
      <c r="E2884" s="1" t="s">
        <v>33</v>
      </c>
      <c r="F2884" s="1" t="s">
        <v>40</v>
      </c>
      <c r="G2884" s="1">
        <v>9</v>
      </c>
      <c r="H2884" s="1">
        <v>884</v>
      </c>
      <c r="I2884" s="1">
        <v>5</v>
      </c>
      <c r="J2884" s="4">
        <v>7558.2</v>
      </c>
      <c r="K2884" s="4">
        <v>4229.8599999999997</v>
      </c>
      <c r="L2884" s="4">
        <v>3328.34</v>
      </c>
      <c r="M2884" s="1" t="str">
        <f>TEXT(Table1[[#This Row],[Order_Date]], "MMM")</f>
        <v>Aug</v>
      </c>
      <c r="N2884" s="1">
        <f>YEAR(Table1[[#This Row],[Order_Date]])</f>
        <v>2023</v>
      </c>
      <c r="O2884" s="7">
        <f>Table1[[#This Row],[Profit]]/Table1[[#This Row],[Total_Sales]]</f>
        <v>0.44036146172369084</v>
      </c>
    </row>
    <row r="2885" spans="1:15" x14ac:dyDescent="0.25">
      <c r="A2885" s="1">
        <v>2884</v>
      </c>
      <c r="B2885" s="2">
        <v>45228</v>
      </c>
      <c r="C2885" s="1" t="s">
        <v>12</v>
      </c>
      <c r="D2885" s="1" t="s">
        <v>32</v>
      </c>
      <c r="E2885" s="1" t="s">
        <v>33</v>
      </c>
      <c r="F2885" s="1" t="s">
        <v>31</v>
      </c>
      <c r="G2885" s="1">
        <v>7</v>
      </c>
      <c r="H2885" s="1">
        <v>873</v>
      </c>
      <c r="I2885" s="1">
        <v>5</v>
      </c>
      <c r="J2885" s="4">
        <v>5805.45</v>
      </c>
      <c r="K2885" s="4">
        <v>4642.1899999999996</v>
      </c>
      <c r="L2885" s="4">
        <v>1163.26</v>
      </c>
      <c r="M2885" s="1" t="str">
        <f>TEXT(Table1[[#This Row],[Order_Date]], "MMM")</f>
        <v>Oct</v>
      </c>
      <c r="N2885" s="1">
        <f>YEAR(Table1[[#This Row],[Order_Date]])</f>
        <v>2023</v>
      </c>
      <c r="O2885" s="7">
        <f>Table1[[#This Row],[Profit]]/Table1[[#This Row],[Total_Sales]]</f>
        <v>0.20037378670042805</v>
      </c>
    </row>
    <row r="2886" spans="1:15" x14ac:dyDescent="0.25">
      <c r="A2886" s="1">
        <v>2885</v>
      </c>
      <c r="B2886" s="2">
        <v>45364</v>
      </c>
      <c r="C2886" s="1" t="s">
        <v>25</v>
      </c>
      <c r="D2886" s="1" t="s">
        <v>13</v>
      </c>
      <c r="E2886" s="1" t="s">
        <v>39</v>
      </c>
      <c r="F2886" s="1" t="s">
        <v>24</v>
      </c>
      <c r="G2886" s="1">
        <v>1</v>
      </c>
      <c r="H2886" s="1">
        <v>669</v>
      </c>
      <c r="I2886" s="1">
        <v>10</v>
      </c>
      <c r="J2886" s="4">
        <v>602.1</v>
      </c>
      <c r="K2886" s="4">
        <v>421.75</v>
      </c>
      <c r="L2886" s="4">
        <v>180.35</v>
      </c>
      <c r="M2886" s="1" t="str">
        <f>TEXT(Table1[[#This Row],[Order_Date]], "MMM")</f>
        <v>Mar</v>
      </c>
      <c r="N2886" s="1">
        <f>YEAR(Table1[[#This Row],[Order_Date]])</f>
        <v>2024</v>
      </c>
      <c r="O2886" s="7">
        <f>Table1[[#This Row],[Profit]]/Table1[[#This Row],[Total_Sales]]</f>
        <v>0.29953496096993854</v>
      </c>
    </row>
    <row r="2887" spans="1:15" x14ac:dyDescent="0.25">
      <c r="A2887" s="1">
        <v>2886</v>
      </c>
      <c r="B2887" s="2">
        <v>45434</v>
      </c>
      <c r="C2887" s="1" t="s">
        <v>19</v>
      </c>
      <c r="D2887" s="1" t="s">
        <v>26</v>
      </c>
      <c r="E2887" s="1" t="s">
        <v>37</v>
      </c>
      <c r="F2887" s="1" t="s">
        <v>15</v>
      </c>
      <c r="G2887" s="1">
        <v>2</v>
      </c>
      <c r="H2887" s="1">
        <v>620</v>
      </c>
      <c r="I2887" s="1">
        <v>15</v>
      </c>
      <c r="J2887" s="4">
        <v>1054</v>
      </c>
      <c r="K2887" s="4">
        <v>781.22</v>
      </c>
      <c r="L2887" s="4">
        <v>272.77999999999997</v>
      </c>
      <c r="M2887" s="1" t="str">
        <f>TEXT(Table1[[#This Row],[Order_Date]], "MMM")</f>
        <v>May</v>
      </c>
      <c r="N2887" s="1">
        <f>YEAR(Table1[[#This Row],[Order_Date]])</f>
        <v>2024</v>
      </c>
      <c r="O2887" s="7">
        <f>Table1[[#This Row],[Profit]]/Table1[[#This Row],[Total_Sales]]</f>
        <v>0.25880455407969638</v>
      </c>
    </row>
    <row r="2888" spans="1:15" x14ac:dyDescent="0.25">
      <c r="A2888" s="1">
        <v>2887</v>
      </c>
      <c r="B2888" s="2">
        <v>44927</v>
      </c>
      <c r="C2888" s="1" t="s">
        <v>12</v>
      </c>
      <c r="D2888" s="1" t="s">
        <v>32</v>
      </c>
      <c r="E2888" s="1" t="s">
        <v>34</v>
      </c>
      <c r="F2888" s="1" t="s">
        <v>40</v>
      </c>
      <c r="G2888" s="1">
        <v>5</v>
      </c>
      <c r="H2888" s="1">
        <v>762</v>
      </c>
      <c r="I2888" s="1">
        <v>5</v>
      </c>
      <c r="J2888" s="4">
        <v>3619.5</v>
      </c>
      <c r="K2888" s="4">
        <v>2141.25</v>
      </c>
      <c r="L2888" s="4">
        <v>1478.25</v>
      </c>
      <c r="M2888" s="1" t="str">
        <f>TEXT(Table1[[#This Row],[Order_Date]], "MMM")</f>
        <v>Jan</v>
      </c>
      <c r="N2888" s="1">
        <f>YEAR(Table1[[#This Row],[Order_Date]])</f>
        <v>2023</v>
      </c>
      <c r="O2888" s="7">
        <f>Table1[[#This Row],[Profit]]/Table1[[#This Row],[Total_Sales]]</f>
        <v>0.40841276419394945</v>
      </c>
    </row>
    <row r="2889" spans="1:15" x14ac:dyDescent="0.25">
      <c r="A2889" s="1">
        <v>2888</v>
      </c>
      <c r="B2889" s="2">
        <v>45099</v>
      </c>
      <c r="C2889" s="1" t="s">
        <v>12</v>
      </c>
      <c r="D2889" s="1" t="s">
        <v>26</v>
      </c>
      <c r="E2889" s="1" t="s">
        <v>42</v>
      </c>
      <c r="F2889" s="1" t="s">
        <v>31</v>
      </c>
      <c r="G2889" s="1">
        <v>3</v>
      </c>
      <c r="H2889" s="1">
        <v>884</v>
      </c>
      <c r="I2889" s="1">
        <v>5</v>
      </c>
      <c r="J2889" s="4">
        <v>2519.4</v>
      </c>
      <c r="K2889" s="4">
        <v>1401.21</v>
      </c>
      <c r="L2889" s="4">
        <v>1118.19</v>
      </c>
      <c r="M2889" s="1" t="str">
        <f>TEXT(Table1[[#This Row],[Order_Date]], "MMM")</f>
        <v>Jun</v>
      </c>
      <c r="N2889" s="1">
        <f>YEAR(Table1[[#This Row],[Order_Date]])</f>
        <v>2023</v>
      </c>
      <c r="O2889" s="7">
        <f>Table1[[#This Row],[Profit]]/Table1[[#This Row],[Total_Sales]]</f>
        <v>0.44383186472969754</v>
      </c>
    </row>
    <row r="2890" spans="1:15" x14ac:dyDescent="0.25">
      <c r="A2890" s="1">
        <v>2889</v>
      </c>
      <c r="B2890" s="2">
        <v>45310</v>
      </c>
      <c r="C2890" s="1" t="s">
        <v>12</v>
      </c>
      <c r="D2890" s="1" t="s">
        <v>22</v>
      </c>
      <c r="E2890" s="1" t="s">
        <v>23</v>
      </c>
      <c r="F2890" s="1" t="s">
        <v>24</v>
      </c>
      <c r="G2890" s="1">
        <v>2</v>
      </c>
      <c r="H2890" s="1">
        <v>223</v>
      </c>
      <c r="I2890" s="1">
        <v>10</v>
      </c>
      <c r="J2890" s="4">
        <v>401.4</v>
      </c>
      <c r="K2890" s="4">
        <v>257.89</v>
      </c>
      <c r="L2890" s="4">
        <v>143.51</v>
      </c>
      <c r="M2890" s="1" t="str">
        <f>TEXT(Table1[[#This Row],[Order_Date]], "MMM")</f>
        <v>Jan</v>
      </c>
      <c r="N2890" s="1">
        <f>YEAR(Table1[[#This Row],[Order_Date]])</f>
        <v>2024</v>
      </c>
      <c r="O2890" s="7">
        <f>Table1[[#This Row],[Profit]]/Table1[[#This Row],[Total_Sales]]</f>
        <v>0.35752366716492279</v>
      </c>
    </row>
    <row r="2891" spans="1:15" x14ac:dyDescent="0.25">
      <c r="A2891" s="1">
        <v>2890</v>
      </c>
      <c r="B2891" s="2">
        <v>45281</v>
      </c>
      <c r="C2891" s="1" t="s">
        <v>25</v>
      </c>
      <c r="D2891" s="1" t="s">
        <v>32</v>
      </c>
      <c r="E2891" s="1" t="s">
        <v>33</v>
      </c>
      <c r="F2891" s="1" t="s">
        <v>40</v>
      </c>
      <c r="G2891" s="1">
        <v>8</v>
      </c>
      <c r="H2891" s="1">
        <v>380</v>
      </c>
      <c r="I2891" s="1">
        <v>0</v>
      </c>
      <c r="J2891" s="4">
        <v>3040</v>
      </c>
      <c r="K2891" s="4">
        <v>2161.11</v>
      </c>
      <c r="L2891" s="4">
        <v>878.89</v>
      </c>
      <c r="M2891" s="1" t="str">
        <f>TEXT(Table1[[#This Row],[Order_Date]], "MMM")</f>
        <v>Dec</v>
      </c>
      <c r="N2891" s="1">
        <f>YEAR(Table1[[#This Row],[Order_Date]])</f>
        <v>2023</v>
      </c>
      <c r="O2891" s="7">
        <f>Table1[[#This Row],[Profit]]/Table1[[#This Row],[Total_Sales]]</f>
        <v>0.28910855263157892</v>
      </c>
    </row>
    <row r="2892" spans="1:15" x14ac:dyDescent="0.25">
      <c r="A2892" s="1">
        <v>2891</v>
      </c>
      <c r="B2892" s="2">
        <v>45180</v>
      </c>
      <c r="C2892" s="1" t="s">
        <v>12</v>
      </c>
      <c r="D2892" s="1" t="s">
        <v>20</v>
      </c>
      <c r="E2892" s="1" t="s">
        <v>28</v>
      </c>
      <c r="F2892" s="1" t="s">
        <v>18</v>
      </c>
      <c r="G2892" s="1">
        <v>7</v>
      </c>
      <c r="H2892" s="1">
        <v>997</v>
      </c>
      <c r="I2892" s="1">
        <v>20</v>
      </c>
      <c r="J2892" s="4">
        <v>5583.2</v>
      </c>
      <c r="K2892" s="4">
        <v>3264.33</v>
      </c>
      <c r="L2892" s="4">
        <v>2318.87</v>
      </c>
      <c r="M2892" s="1" t="str">
        <f>TEXT(Table1[[#This Row],[Order_Date]], "MMM")</f>
        <v>Sep</v>
      </c>
      <c r="N2892" s="1">
        <f>YEAR(Table1[[#This Row],[Order_Date]])</f>
        <v>2023</v>
      </c>
      <c r="O2892" s="7">
        <f>Table1[[#This Row],[Profit]]/Table1[[#This Row],[Total_Sales]]</f>
        <v>0.41532991832640781</v>
      </c>
    </row>
    <row r="2893" spans="1:15" x14ac:dyDescent="0.25">
      <c r="A2893" s="1">
        <v>2892</v>
      </c>
      <c r="B2893" s="2">
        <v>45510</v>
      </c>
      <c r="C2893" s="1" t="s">
        <v>12</v>
      </c>
      <c r="D2893" s="1" t="s">
        <v>22</v>
      </c>
      <c r="E2893" s="1" t="s">
        <v>29</v>
      </c>
      <c r="F2893" s="1" t="s">
        <v>24</v>
      </c>
      <c r="G2893" s="1">
        <v>7</v>
      </c>
      <c r="H2893" s="1">
        <v>223</v>
      </c>
      <c r="I2893" s="1">
        <v>0</v>
      </c>
      <c r="J2893" s="4">
        <v>1561</v>
      </c>
      <c r="K2893" s="4">
        <v>861.28</v>
      </c>
      <c r="L2893" s="4">
        <v>699.72</v>
      </c>
      <c r="M2893" s="1" t="str">
        <f>TEXT(Table1[[#This Row],[Order_Date]], "MMM")</f>
        <v>Aug</v>
      </c>
      <c r="N2893" s="1">
        <f>YEAR(Table1[[#This Row],[Order_Date]])</f>
        <v>2024</v>
      </c>
      <c r="O2893" s="7">
        <f>Table1[[#This Row],[Profit]]/Table1[[#This Row],[Total_Sales]]</f>
        <v>0.44825112107623322</v>
      </c>
    </row>
    <row r="2894" spans="1:15" x14ac:dyDescent="0.25">
      <c r="A2894" s="1">
        <v>2893</v>
      </c>
      <c r="B2894" s="2">
        <v>45205</v>
      </c>
      <c r="C2894" s="1" t="s">
        <v>25</v>
      </c>
      <c r="D2894" s="1" t="s">
        <v>26</v>
      </c>
      <c r="E2894" s="1" t="s">
        <v>42</v>
      </c>
      <c r="F2894" s="1" t="s">
        <v>35</v>
      </c>
      <c r="G2894" s="1">
        <v>9</v>
      </c>
      <c r="H2894" s="1">
        <v>756</v>
      </c>
      <c r="I2894" s="1">
        <v>5</v>
      </c>
      <c r="J2894" s="4">
        <v>6463.8</v>
      </c>
      <c r="K2894" s="4">
        <v>4533.16</v>
      </c>
      <c r="L2894" s="4">
        <v>1930.64</v>
      </c>
      <c r="M2894" s="1" t="str">
        <f>TEXT(Table1[[#This Row],[Order_Date]], "MMM")</f>
        <v>Oct</v>
      </c>
      <c r="N2894" s="1">
        <f>YEAR(Table1[[#This Row],[Order_Date]])</f>
        <v>2023</v>
      </c>
      <c r="O2894" s="7">
        <f>Table1[[#This Row],[Profit]]/Table1[[#This Row],[Total_Sales]]</f>
        <v>0.29868498406510102</v>
      </c>
    </row>
    <row r="2895" spans="1:15" x14ac:dyDescent="0.25">
      <c r="A2895" s="1">
        <v>2894</v>
      </c>
      <c r="B2895" s="2">
        <v>45408</v>
      </c>
      <c r="C2895" s="1" t="s">
        <v>16</v>
      </c>
      <c r="D2895" s="1" t="s">
        <v>13</v>
      </c>
      <c r="E2895" s="1" t="s">
        <v>38</v>
      </c>
      <c r="F2895" s="1" t="s">
        <v>24</v>
      </c>
      <c r="G2895" s="1">
        <v>5</v>
      </c>
      <c r="H2895" s="1">
        <v>466</v>
      </c>
      <c r="I2895" s="1">
        <v>0</v>
      </c>
      <c r="J2895" s="4">
        <v>2330</v>
      </c>
      <c r="K2895" s="4">
        <v>1709.79</v>
      </c>
      <c r="L2895" s="4">
        <v>620.21</v>
      </c>
      <c r="M2895" s="1" t="str">
        <f>TEXT(Table1[[#This Row],[Order_Date]], "MMM")</f>
        <v>Apr</v>
      </c>
      <c r="N2895" s="1">
        <f>YEAR(Table1[[#This Row],[Order_Date]])</f>
        <v>2024</v>
      </c>
      <c r="O2895" s="7">
        <f>Table1[[#This Row],[Profit]]/Table1[[#This Row],[Total_Sales]]</f>
        <v>0.26618454935622321</v>
      </c>
    </row>
    <row r="2896" spans="1:15" x14ac:dyDescent="0.25">
      <c r="A2896" s="1">
        <v>2895</v>
      </c>
      <c r="B2896" s="2">
        <v>45068</v>
      </c>
      <c r="C2896" s="1" t="s">
        <v>12</v>
      </c>
      <c r="D2896" s="1" t="s">
        <v>13</v>
      </c>
      <c r="E2896" s="1" t="s">
        <v>17</v>
      </c>
      <c r="F2896" s="1" t="s">
        <v>31</v>
      </c>
      <c r="G2896" s="1">
        <v>3</v>
      </c>
      <c r="H2896" s="1">
        <v>305</v>
      </c>
      <c r="I2896" s="1">
        <v>20</v>
      </c>
      <c r="J2896" s="4">
        <v>732</v>
      </c>
      <c r="K2896" s="4">
        <v>436.78</v>
      </c>
      <c r="L2896" s="4">
        <v>295.22000000000003</v>
      </c>
      <c r="M2896" s="1" t="str">
        <f>TEXT(Table1[[#This Row],[Order_Date]], "MMM")</f>
        <v>May</v>
      </c>
      <c r="N2896" s="1">
        <f>YEAR(Table1[[#This Row],[Order_Date]])</f>
        <v>2023</v>
      </c>
      <c r="O2896" s="7">
        <f>Table1[[#This Row],[Profit]]/Table1[[#This Row],[Total_Sales]]</f>
        <v>0.40330601092896179</v>
      </c>
    </row>
    <row r="2897" spans="1:15" x14ac:dyDescent="0.25">
      <c r="A2897" s="1">
        <v>2896</v>
      </c>
      <c r="B2897" s="2">
        <v>45530</v>
      </c>
      <c r="C2897" s="1" t="s">
        <v>19</v>
      </c>
      <c r="D2897" s="1" t="s">
        <v>26</v>
      </c>
      <c r="E2897" s="1" t="s">
        <v>27</v>
      </c>
      <c r="F2897" s="1" t="s">
        <v>15</v>
      </c>
      <c r="G2897" s="1">
        <v>4</v>
      </c>
      <c r="H2897" s="1">
        <v>183</v>
      </c>
      <c r="I2897" s="1">
        <v>5</v>
      </c>
      <c r="J2897" s="4">
        <v>695.4</v>
      </c>
      <c r="K2897" s="4">
        <v>448.46</v>
      </c>
      <c r="L2897" s="4">
        <v>246.94</v>
      </c>
      <c r="M2897" s="1" t="str">
        <f>TEXT(Table1[[#This Row],[Order_Date]], "MMM")</f>
        <v>Aug</v>
      </c>
      <c r="N2897" s="1">
        <f>YEAR(Table1[[#This Row],[Order_Date]])</f>
        <v>2024</v>
      </c>
      <c r="O2897" s="7">
        <f>Table1[[#This Row],[Profit]]/Table1[[#This Row],[Total_Sales]]</f>
        <v>0.35510497555363818</v>
      </c>
    </row>
    <row r="2898" spans="1:15" x14ac:dyDescent="0.25">
      <c r="A2898" s="1">
        <v>2897</v>
      </c>
      <c r="B2898" s="2">
        <v>45569</v>
      </c>
      <c r="C2898" s="1" t="s">
        <v>12</v>
      </c>
      <c r="D2898" s="1" t="s">
        <v>22</v>
      </c>
      <c r="E2898" s="1" t="s">
        <v>36</v>
      </c>
      <c r="F2898" s="1" t="s">
        <v>24</v>
      </c>
      <c r="G2898" s="1">
        <v>1</v>
      </c>
      <c r="H2898" s="1">
        <v>824</v>
      </c>
      <c r="I2898" s="1">
        <v>5</v>
      </c>
      <c r="J2898" s="4">
        <v>782.8</v>
      </c>
      <c r="K2898" s="4">
        <v>451.06</v>
      </c>
      <c r="L2898" s="4">
        <v>331.74</v>
      </c>
      <c r="M2898" s="1" t="str">
        <f>TEXT(Table1[[#This Row],[Order_Date]], "MMM")</f>
        <v>Oct</v>
      </c>
      <c r="N2898" s="1">
        <f>YEAR(Table1[[#This Row],[Order_Date]])</f>
        <v>2024</v>
      </c>
      <c r="O2898" s="7">
        <f>Table1[[#This Row],[Profit]]/Table1[[#This Row],[Total_Sales]]</f>
        <v>0.42378640776699034</v>
      </c>
    </row>
    <row r="2899" spans="1:15" x14ac:dyDescent="0.25">
      <c r="A2899" s="1">
        <v>2898</v>
      </c>
      <c r="B2899" s="2">
        <v>45362</v>
      </c>
      <c r="C2899" s="1" t="s">
        <v>25</v>
      </c>
      <c r="D2899" s="1" t="s">
        <v>26</v>
      </c>
      <c r="E2899" s="1" t="s">
        <v>37</v>
      </c>
      <c r="F2899" s="1" t="s">
        <v>35</v>
      </c>
      <c r="G2899" s="1">
        <v>6</v>
      </c>
      <c r="H2899" s="1">
        <v>653</v>
      </c>
      <c r="I2899" s="1">
        <v>0</v>
      </c>
      <c r="J2899" s="4">
        <v>3918</v>
      </c>
      <c r="K2899" s="4">
        <v>2846.36</v>
      </c>
      <c r="L2899" s="4">
        <v>1071.6400000000001</v>
      </c>
      <c r="M2899" s="1" t="str">
        <f>TEXT(Table1[[#This Row],[Order_Date]], "MMM")</f>
        <v>Mar</v>
      </c>
      <c r="N2899" s="1">
        <f>YEAR(Table1[[#This Row],[Order_Date]])</f>
        <v>2024</v>
      </c>
      <c r="O2899" s="7">
        <f>Table1[[#This Row],[Profit]]/Table1[[#This Row],[Total_Sales]]</f>
        <v>0.27351710056151102</v>
      </c>
    </row>
    <row r="2900" spans="1:15" x14ac:dyDescent="0.25">
      <c r="A2900" s="1">
        <v>2899</v>
      </c>
      <c r="B2900" s="2">
        <v>44960</v>
      </c>
      <c r="C2900" s="1" t="s">
        <v>25</v>
      </c>
      <c r="D2900" s="1" t="s">
        <v>22</v>
      </c>
      <c r="E2900" s="1" t="s">
        <v>23</v>
      </c>
      <c r="F2900" s="1" t="s">
        <v>31</v>
      </c>
      <c r="G2900" s="1">
        <v>9</v>
      </c>
      <c r="H2900" s="1">
        <v>643</v>
      </c>
      <c r="I2900" s="1">
        <v>20</v>
      </c>
      <c r="J2900" s="4">
        <v>4629.6000000000004</v>
      </c>
      <c r="K2900" s="4">
        <v>3069.19</v>
      </c>
      <c r="L2900" s="4">
        <v>1560.41</v>
      </c>
      <c r="M2900" s="1" t="str">
        <f>TEXT(Table1[[#This Row],[Order_Date]], "MMM")</f>
        <v>Feb</v>
      </c>
      <c r="N2900" s="1">
        <f>YEAR(Table1[[#This Row],[Order_Date]])</f>
        <v>2023</v>
      </c>
      <c r="O2900" s="7">
        <f>Table1[[#This Row],[Profit]]/Table1[[#This Row],[Total_Sales]]</f>
        <v>0.33705071712458962</v>
      </c>
    </row>
    <row r="2901" spans="1:15" x14ac:dyDescent="0.25">
      <c r="A2901" s="1">
        <v>2900</v>
      </c>
      <c r="B2901" s="2">
        <v>45067</v>
      </c>
      <c r="C2901" s="1" t="s">
        <v>25</v>
      </c>
      <c r="D2901" s="1" t="s">
        <v>22</v>
      </c>
      <c r="E2901" s="1" t="s">
        <v>23</v>
      </c>
      <c r="F2901" s="1" t="s">
        <v>24</v>
      </c>
      <c r="G2901" s="1">
        <v>9</v>
      </c>
      <c r="H2901" s="1">
        <v>667</v>
      </c>
      <c r="I2901" s="1">
        <v>10</v>
      </c>
      <c r="J2901" s="4">
        <v>5402.7</v>
      </c>
      <c r="K2901" s="4">
        <v>2889.94</v>
      </c>
      <c r="L2901" s="4">
        <v>2512.7600000000002</v>
      </c>
      <c r="M2901" s="1" t="str">
        <f>TEXT(Table1[[#This Row],[Order_Date]], "MMM")</f>
        <v>May</v>
      </c>
      <c r="N2901" s="1">
        <f>YEAR(Table1[[#This Row],[Order_Date]])</f>
        <v>2023</v>
      </c>
      <c r="O2901" s="7">
        <f>Table1[[#This Row],[Profit]]/Table1[[#This Row],[Total_Sales]]</f>
        <v>0.46509337923630784</v>
      </c>
    </row>
    <row r="2902" spans="1:15" x14ac:dyDescent="0.25">
      <c r="A2902" s="1">
        <v>2901</v>
      </c>
      <c r="B2902" s="2">
        <v>45325</v>
      </c>
      <c r="C2902" s="1" t="s">
        <v>19</v>
      </c>
      <c r="D2902" s="1" t="s">
        <v>13</v>
      </c>
      <c r="E2902" s="1" t="s">
        <v>14</v>
      </c>
      <c r="F2902" s="1" t="s">
        <v>18</v>
      </c>
      <c r="G2902" s="1">
        <v>9</v>
      </c>
      <c r="H2902" s="1">
        <v>213</v>
      </c>
      <c r="I2902" s="1">
        <v>10</v>
      </c>
      <c r="J2902" s="4">
        <v>1725.3</v>
      </c>
      <c r="K2902" s="4">
        <v>1102.8800000000001</v>
      </c>
      <c r="L2902" s="4">
        <v>622.41999999999996</v>
      </c>
      <c r="M2902" s="1" t="str">
        <f>TEXT(Table1[[#This Row],[Order_Date]], "MMM")</f>
        <v>Feb</v>
      </c>
      <c r="N2902" s="1">
        <f>YEAR(Table1[[#This Row],[Order_Date]])</f>
        <v>2024</v>
      </c>
      <c r="O2902" s="7">
        <f>Table1[[#This Row],[Profit]]/Table1[[#This Row],[Total_Sales]]</f>
        <v>0.36076044745841301</v>
      </c>
    </row>
    <row r="2903" spans="1:15" x14ac:dyDescent="0.25">
      <c r="A2903" s="1">
        <v>2902</v>
      </c>
      <c r="B2903" s="2">
        <v>45495</v>
      </c>
      <c r="C2903" s="1" t="s">
        <v>19</v>
      </c>
      <c r="D2903" s="1" t="s">
        <v>20</v>
      </c>
      <c r="E2903" s="1" t="s">
        <v>43</v>
      </c>
      <c r="F2903" s="1" t="s">
        <v>24</v>
      </c>
      <c r="G2903" s="1">
        <v>5</v>
      </c>
      <c r="H2903" s="1">
        <v>683</v>
      </c>
      <c r="I2903" s="1">
        <v>20</v>
      </c>
      <c r="J2903" s="4">
        <v>2732</v>
      </c>
      <c r="K2903" s="4">
        <v>2083.64</v>
      </c>
      <c r="L2903" s="4">
        <v>648.36</v>
      </c>
      <c r="M2903" s="1" t="str">
        <f>TEXT(Table1[[#This Row],[Order_Date]], "MMM")</f>
        <v>Jul</v>
      </c>
      <c r="N2903" s="1">
        <f>YEAR(Table1[[#This Row],[Order_Date]])</f>
        <v>2024</v>
      </c>
      <c r="O2903" s="7">
        <f>Table1[[#This Row],[Profit]]/Table1[[#This Row],[Total_Sales]]</f>
        <v>0.23732064421669108</v>
      </c>
    </row>
    <row r="2904" spans="1:15" x14ac:dyDescent="0.25">
      <c r="A2904" s="1">
        <v>2903</v>
      </c>
      <c r="B2904" s="2">
        <v>45128</v>
      </c>
      <c r="C2904" s="1" t="s">
        <v>12</v>
      </c>
      <c r="D2904" s="1" t="s">
        <v>13</v>
      </c>
      <c r="E2904" s="1" t="s">
        <v>38</v>
      </c>
      <c r="F2904" s="1" t="s">
        <v>18</v>
      </c>
      <c r="G2904" s="1">
        <v>1</v>
      </c>
      <c r="H2904" s="1">
        <v>320</v>
      </c>
      <c r="I2904" s="1">
        <v>20</v>
      </c>
      <c r="J2904" s="4">
        <v>256</v>
      </c>
      <c r="K2904" s="4">
        <v>147.96</v>
      </c>
      <c r="L2904" s="4">
        <v>108.04</v>
      </c>
      <c r="M2904" s="1" t="str">
        <f>TEXT(Table1[[#This Row],[Order_Date]], "MMM")</f>
        <v>Jul</v>
      </c>
      <c r="N2904" s="1">
        <f>YEAR(Table1[[#This Row],[Order_Date]])</f>
        <v>2023</v>
      </c>
      <c r="O2904" s="7">
        <f>Table1[[#This Row],[Profit]]/Table1[[#This Row],[Total_Sales]]</f>
        <v>0.42203125000000002</v>
      </c>
    </row>
    <row r="2905" spans="1:15" x14ac:dyDescent="0.25">
      <c r="A2905" s="1">
        <v>2904</v>
      </c>
      <c r="B2905" s="2">
        <v>45468</v>
      </c>
      <c r="C2905" s="1" t="s">
        <v>16</v>
      </c>
      <c r="D2905" s="1" t="s">
        <v>22</v>
      </c>
      <c r="E2905" s="1" t="s">
        <v>29</v>
      </c>
      <c r="F2905" s="1" t="s">
        <v>40</v>
      </c>
      <c r="G2905" s="1">
        <v>2</v>
      </c>
      <c r="H2905" s="1">
        <v>812</v>
      </c>
      <c r="I2905" s="1">
        <v>20</v>
      </c>
      <c r="J2905" s="4">
        <v>1299.2</v>
      </c>
      <c r="K2905" s="4">
        <v>972.63</v>
      </c>
      <c r="L2905" s="4">
        <v>326.57</v>
      </c>
      <c r="M2905" s="1" t="str">
        <f>TEXT(Table1[[#This Row],[Order_Date]], "MMM")</f>
        <v>Jun</v>
      </c>
      <c r="N2905" s="1">
        <f>YEAR(Table1[[#This Row],[Order_Date]])</f>
        <v>2024</v>
      </c>
      <c r="O2905" s="7">
        <f>Table1[[#This Row],[Profit]]/Table1[[#This Row],[Total_Sales]]</f>
        <v>0.25136237684729063</v>
      </c>
    </row>
    <row r="2906" spans="1:15" x14ac:dyDescent="0.25">
      <c r="A2906" s="1">
        <v>2905</v>
      </c>
      <c r="B2906" s="2">
        <v>45611</v>
      </c>
      <c r="C2906" s="1" t="s">
        <v>19</v>
      </c>
      <c r="D2906" s="1" t="s">
        <v>13</v>
      </c>
      <c r="E2906" s="1" t="s">
        <v>14</v>
      </c>
      <c r="F2906" s="1" t="s">
        <v>35</v>
      </c>
      <c r="G2906" s="1">
        <v>9</v>
      </c>
      <c r="H2906" s="1">
        <v>160</v>
      </c>
      <c r="I2906" s="1">
        <v>5</v>
      </c>
      <c r="J2906" s="4">
        <v>1368</v>
      </c>
      <c r="K2906" s="4">
        <v>815.3</v>
      </c>
      <c r="L2906" s="4">
        <v>552.70000000000005</v>
      </c>
      <c r="M2906" s="1" t="str">
        <f>TEXT(Table1[[#This Row],[Order_Date]], "MMM")</f>
        <v>Nov</v>
      </c>
      <c r="N2906" s="1">
        <f>YEAR(Table1[[#This Row],[Order_Date]])</f>
        <v>2024</v>
      </c>
      <c r="O2906" s="7">
        <f>Table1[[#This Row],[Profit]]/Table1[[#This Row],[Total_Sales]]</f>
        <v>0.40402046783625734</v>
      </c>
    </row>
    <row r="2907" spans="1:15" x14ac:dyDescent="0.25">
      <c r="A2907" s="1">
        <v>2906</v>
      </c>
      <c r="B2907" s="2">
        <v>45588</v>
      </c>
      <c r="C2907" s="1" t="s">
        <v>12</v>
      </c>
      <c r="D2907" s="1" t="s">
        <v>32</v>
      </c>
      <c r="E2907" s="1" t="s">
        <v>45</v>
      </c>
      <c r="F2907" s="1" t="s">
        <v>24</v>
      </c>
      <c r="G2907" s="1">
        <v>1</v>
      </c>
      <c r="H2907" s="1">
        <v>995</v>
      </c>
      <c r="I2907" s="1">
        <v>15</v>
      </c>
      <c r="J2907" s="4">
        <v>845.75</v>
      </c>
      <c r="K2907" s="4">
        <v>548.95000000000005</v>
      </c>
      <c r="L2907" s="4">
        <v>296.8</v>
      </c>
      <c r="M2907" s="1" t="str">
        <f>TEXT(Table1[[#This Row],[Order_Date]], "MMM")</f>
        <v>Oct</v>
      </c>
      <c r="N2907" s="1">
        <f>YEAR(Table1[[#This Row],[Order_Date]])</f>
        <v>2024</v>
      </c>
      <c r="O2907" s="7">
        <f>Table1[[#This Row],[Profit]]/Table1[[#This Row],[Total_Sales]]</f>
        <v>0.35093112621933198</v>
      </c>
    </row>
    <row r="2908" spans="1:15" x14ac:dyDescent="0.25">
      <c r="A2908" s="1">
        <v>2907</v>
      </c>
      <c r="B2908" s="2">
        <v>45074</v>
      </c>
      <c r="C2908" s="1" t="s">
        <v>12</v>
      </c>
      <c r="D2908" s="1" t="s">
        <v>13</v>
      </c>
      <c r="E2908" s="1" t="s">
        <v>14</v>
      </c>
      <c r="F2908" s="1" t="s">
        <v>31</v>
      </c>
      <c r="G2908" s="1">
        <v>1</v>
      </c>
      <c r="H2908" s="1">
        <v>925</v>
      </c>
      <c r="I2908" s="1">
        <v>10</v>
      </c>
      <c r="J2908" s="4">
        <v>832.5</v>
      </c>
      <c r="K2908" s="4">
        <v>466.37</v>
      </c>
      <c r="L2908" s="4">
        <v>366.13</v>
      </c>
      <c r="M2908" s="1" t="str">
        <f>TEXT(Table1[[#This Row],[Order_Date]], "MMM")</f>
        <v>May</v>
      </c>
      <c r="N2908" s="1">
        <f>YEAR(Table1[[#This Row],[Order_Date]])</f>
        <v>2023</v>
      </c>
      <c r="O2908" s="7">
        <f>Table1[[#This Row],[Profit]]/Table1[[#This Row],[Total_Sales]]</f>
        <v>0.43979579579579581</v>
      </c>
    </row>
    <row r="2909" spans="1:15" x14ac:dyDescent="0.25">
      <c r="A2909" s="1">
        <v>2908</v>
      </c>
      <c r="B2909" s="2">
        <v>45608</v>
      </c>
      <c r="C2909" s="1" t="s">
        <v>25</v>
      </c>
      <c r="D2909" s="1" t="s">
        <v>22</v>
      </c>
      <c r="E2909" s="1" t="s">
        <v>23</v>
      </c>
      <c r="F2909" s="1" t="s">
        <v>24</v>
      </c>
      <c r="G2909" s="1">
        <v>1</v>
      </c>
      <c r="H2909" s="1">
        <v>518</v>
      </c>
      <c r="I2909" s="1">
        <v>20</v>
      </c>
      <c r="J2909" s="4">
        <v>414.4</v>
      </c>
      <c r="K2909" s="4">
        <v>247.8</v>
      </c>
      <c r="L2909" s="4">
        <v>166.6</v>
      </c>
      <c r="M2909" s="1" t="str">
        <f>TEXT(Table1[[#This Row],[Order_Date]], "MMM")</f>
        <v>Nov</v>
      </c>
      <c r="N2909" s="1">
        <f>YEAR(Table1[[#This Row],[Order_Date]])</f>
        <v>2024</v>
      </c>
      <c r="O2909" s="7">
        <f>Table1[[#This Row],[Profit]]/Table1[[#This Row],[Total_Sales]]</f>
        <v>0.40202702702702703</v>
      </c>
    </row>
    <row r="2910" spans="1:15" x14ac:dyDescent="0.25">
      <c r="A2910" s="1">
        <v>2909</v>
      </c>
      <c r="B2910" s="2">
        <v>45450</v>
      </c>
      <c r="C2910" s="1" t="s">
        <v>19</v>
      </c>
      <c r="D2910" s="1" t="s">
        <v>22</v>
      </c>
      <c r="E2910" s="1" t="s">
        <v>44</v>
      </c>
      <c r="F2910" s="1" t="s">
        <v>24</v>
      </c>
      <c r="G2910" s="1">
        <v>1</v>
      </c>
      <c r="H2910" s="1">
        <v>260</v>
      </c>
      <c r="I2910" s="1">
        <v>10</v>
      </c>
      <c r="J2910" s="4">
        <v>234</v>
      </c>
      <c r="K2910" s="4">
        <v>119.12</v>
      </c>
      <c r="L2910" s="4">
        <v>114.88</v>
      </c>
      <c r="M2910" s="1" t="str">
        <f>TEXT(Table1[[#This Row],[Order_Date]], "MMM")</f>
        <v>Jun</v>
      </c>
      <c r="N2910" s="1">
        <f>YEAR(Table1[[#This Row],[Order_Date]])</f>
        <v>2024</v>
      </c>
      <c r="O2910" s="7">
        <f>Table1[[#This Row],[Profit]]/Table1[[#This Row],[Total_Sales]]</f>
        <v>0.49094017094017089</v>
      </c>
    </row>
    <row r="2911" spans="1:15" x14ac:dyDescent="0.25">
      <c r="A2911" s="1">
        <v>2910</v>
      </c>
      <c r="B2911" s="2">
        <v>45564</v>
      </c>
      <c r="C2911" s="1" t="s">
        <v>25</v>
      </c>
      <c r="D2911" s="1" t="s">
        <v>32</v>
      </c>
      <c r="E2911" s="1" t="s">
        <v>45</v>
      </c>
      <c r="F2911" s="1" t="s">
        <v>15</v>
      </c>
      <c r="G2911" s="1">
        <v>2</v>
      </c>
      <c r="H2911" s="1">
        <v>37</v>
      </c>
      <c r="I2911" s="1">
        <v>20</v>
      </c>
      <c r="J2911" s="4">
        <v>59.2</v>
      </c>
      <c r="K2911" s="4">
        <v>45.77</v>
      </c>
      <c r="L2911" s="4">
        <v>13.43</v>
      </c>
      <c r="M2911" s="1" t="str">
        <f>TEXT(Table1[[#This Row],[Order_Date]], "MMM")</f>
        <v>Sep</v>
      </c>
      <c r="N2911" s="1">
        <f>YEAR(Table1[[#This Row],[Order_Date]])</f>
        <v>2024</v>
      </c>
      <c r="O2911" s="7">
        <f>Table1[[#This Row],[Profit]]/Table1[[#This Row],[Total_Sales]]</f>
        <v>0.22685810810810808</v>
      </c>
    </row>
    <row r="2912" spans="1:15" x14ac:dyDescent="0.25">
      <c r="A2912" s="1">
        <v>2911</v>
      </c>
      <c r="B2912" s="2">
        <v>45445</v>
      </c>
      <c r="C2912" s="1" t="s">
        <v>19</v>
      </c>
      <c r="D2912" s="1" t="s">
        <v>26</v>
      </c>
      <c r="E2912" s="1" t="s">
        <v>46</v>
      </c>
      <c r="F2912" s="1" t="s">
        <v>35</v>
      </c>
      <c r="G2912" s="1">
        <v>7</v>
      </c>
      <c r="H2912" s="1">
        <v>838</v>
      </c>
      <c r="I2912" s="1">
        <v>0</v>
      </c>
      <c r="J2912" s="4">
        <v>5866</v>
      </c>
      <c r="K2912" s="4">
        <v>3748.04</v>
      </c>
      <c r="L2912" s="4">
        <v>2117.96</v>
      </c>
      <c r="M2912" s="1" t="str">
        <f>TEXT(Table1[[#This Row],[Order_Date]], "MMM")</f>
        <v>Jun</v>
      </c>
      <c r="N2912" s="1">
        <f>YEAR(Table1[[#This Row],[Order_Date]])</f>
        <v>2024</v>
      </c>
      <c r="O2912" s="7">
        <f>Table1[[#This Row],[Profit]]/Table1[[#This Row],[Total_Sales]]</f>
        <v>0.36105693828844188</v>
      </c>
    </row>
    <row r="2913" spans="1:15" x14ac:dyDescent="0.25">
      <c r="A2913" s="1">
        <v>2912</v>
      </c>
      <c r="B2913" s="2">
        <v>45245</v>
      </c>
      <c r="C2913" s="1" t="s">
        <v>25</v>
      </c>
      <c r="D2913" s="1" t="s">
        <v>22</v>
      </c>
      <c r="E2913" s="1" t="s">
        <v>36</v>
      </c>
      <c r="F2913" s="1" t="s">
        <v>18</v>
      </c>
      <c r="G2913" s="1">
        <v>7</v>
      </c>
      <c r="H2913" s="1">
        <v>752</v>
      </c>
      <c r="I2913" s="1">
        <v>0</v>
      </c>
      <c r="J2913" s="4">
        <v>5264</v>
      </c>
      <c r="K2913" s="4">
        <v>3421.05</v>
      </c>
      <c r="L2913" s="4">
        <v>1842.95</v>
      </c>
      <c r="M2913" s="1" t="str">
        <f>TEXT(Table1[[#This Row],[Order_Date]], "MMM")</f>
        <v>Nov</v>
      </c>
      <c r="N2913" s="1">
        <f>YEAR(Table1[[#This Row],[Order_Date]])</f>
        <v>2023</v>
      </c>
      <c r="O2913" s="7">
        <f>Table1[[#This Row],[Profit]]/Table1[[#This Row],[Total_Sales]]</f>
        <v>0.35010448328267479</v>
      </c>
    </row>
    <row r="2914" spans="1:15" x14ac:dyDescent="0.25">
      <c r="A2914" s="1">
        <v>2913</v>
      </c>
      <c r="B2914" s="2">
        <v>45560</v>
      </c>
      <c r="C2914" s="1" t="s">
        <v>16</v>
      </c>
      <c r="D2914" s="1" t="s">
        <v>22</v>
      </c>
      <c r="E2914" s="1" t="s">
        <v>23</v>
      </c>
      <c r="F2914" s="1" t="s">
        <v>35</v>
      </c>
      <c r="G2914" s="1">
        <v>8</v>
      </c>
      <c r="H2914" s="1">
        <v>311</v>
      </c>
      <c r="I2914" s="1">
        <v>0</v>
      </c>
      <c r="J2914" s="4">
        <v>2488</v>
      </c>
      <c r="K2914" s="4">
        <v>1951.34</v>
      </c>
      <c r="L2914" s="4">
        <v>536.66</v>
      </c>
      <c r="M2914" s="1" t="str">
        <f>TEXT(Table1[[#This Row],[Order_Date]], "MMM")</f>
        <v>Sep</v>
      </c>
      <c r="N2914" s="1">
        <f>YEAR(Table1[[#This Row],[Order_Date]])</f>
        <v>2024</v>
      </c>
      <c r="O2914" s="7">
        <f>Table1[[#This Row],[Profit]]/Table1[[#This Row],[Total_Sales]]</f>
        <v>0.21569935691318326</v>
      </c>
    </row>
    <row r="2915" spans="1:15" x14ac:dyDescent="0.25">
      <c r="A2915" s="1">
        <v>2914</v>
      </c>
      <c r="B2915" s="2">
        <v>45572</v>
      </c>
      <c r="C2915" s="1" t="s">
        <v>25</v>
      </c>
      <c r="D2915" s="1" t="s">
        <v>26</v>
      </c>
      <c r="E2915" s="1" t="s">
        <v>42</v>
      </c>
      <c r="F2915" s="1" t="s">
        <v>40</v>
      </c>
      <c r="G2915" s="1">
        <v>7</v>
      </c>
      <c r="H2915" s="1">
        <v>644</v>
      </c>
      <c r="I2915" s="1">
        <v>10</v>
      </c>
      <c r="J2915" s="4">
        <v>4057.2</v>
      </c>
      <c r="K2915" s="4">
        <v>2943.81</v>
      </c>
      <c r="L2915" s="4">
        <v>1113.3900000000001</v>
      </c>
      <c r="M2915" s="1" t="str">
        <f>TEXT(Table1[[#This Row],[Order_Date]], "MMM")</f>
        <v>Oct</v>
      </c>
      <c r="N2915" s="1">
        <f>YEAR(Table1[[#This Row],[Order_Date]])</f>
        <v>2024</v>
      </c>
      <c r="O2915" s="7">
        <f>Table1[[#This Row],[Profit]]/Table1[[#This Row],[Total_Sales]]</f>
        <v>0.27442324755989356</v>
      </c>
    </row>
    <row r="2916" spans="1:15" x14ac:dyDescent="0.25">
      <c r="A2916" s="1">
        <v>2915</v>
      </c>
      <c r="B2916" s="2">
        <v>45027</v>
      </c>
      <c r="C2916" s="1" t="s">
        <v>16</v>
      </c>
      <c r="D2916" s="1" t="s">
        <v>20</v>
      </c>
      <c r="E2916" s="1" t="s">
        <v>30</v>
      </c>
      <c r="F2916" s="1" t="s">
        <v>18</v>
      </c>
      <c r="G2916" s="1">
        <v>1</v>
      </c>
      <c r="H2916" s="1">
        <v>64</v>
      </c>
      <c r="I2916" s="1">
        <v>15</v>
      </c>
      <c r="J2916" s="4">
        <v>54.4</v>
      </c>
      <c r="K2916" s="4">
        <v>27.36</v>
      </c>
      <c r="L2916" s="4">
        <v>27.04</v>
      </c>
      <c r="M2916" s="1" t="str">
        <f>TEXT(Table1[[#This Row],[Order_Date]], "MMM")</f>
        <v>Apr</v>
      </c>
      <c r="N2916" s="1">
        <f>YEAR(Table1[[#This Row],[Order_Date]])</f>
        <v>2023</v>
      </c>
      <c r="O2916" s="7">
        <f>Table1[[#This Row],[Profit]]/Table1[[#This Row],[Total_Sales]]</f>
        <v>0.49705882352941178</v>
      </c>
    </row>
    <row r="2917" spans="1:15" x14ac:dyDescent="0.25">
      <c r="A2917" s="1">
        <v>2916</v>
      </c>
      <c r="B2917" s="2">
        <v>45587</v>
      </c>
      <c r="C2917" s="1" t="s">
        <v>16</v>
      </c>
      <c r="D2917" s="1" t="s">
        <v>32</v>
      </c>
      <c r="E2917" s="1" t="s">
        <v>34</v>
      </c>
      <c r="F2917" s="1" t="s">
        <v>24</v>
      </c>
      <c r="G2917" s="1">
        <v>3</v>
      </c>
      <c r="H2917" s="1">
        <v>443</v>
      </c>
      <c r="I2917" s="1">
        <v>5</v>
      </c>
      <c r="J2917" s="4">
        <v>1262.55</v>
      </c>
      <c r="K2917" s="4">
        <v>657.89</v>
      </c>
      <c r="L2917" s="4">
        <v>604.66</v>
      </c>
      <c r="M2917" s="1" t="str">
        <f>TEXT(Table1[[#This Row],[Order_Date]], "MMM")</f>
        <v>Oct</v>
      </c>
      <c r="N2917" s="1">
        <f>YEAR(Table1[[#This Row],[Order_Date]])</f>
        <v>2024</v>
      </c>
      <c r="O2917" s="7">
        <f>Table1[[#This Row],[Profit]]/Table1[[#This Row],[Total_Sales]]</f>
        <v>0.47891964674666349</v>
      </c>
    </row>
    <row r="2918" spans="1:15" x14ac:dyDescent="0.25">
      <c r="A2918" s="1">
        <v>2917</v>
      </c>
      <c r="B2918" s="2">
        <v>45393</v>
      </c>
      <c r="C2918" s="1" t="s">
        <v>19</v>
      </c>
      <c r="D2918" s="1" t="s">
        <v>26</v>
      </c>
      <c r="E2918" s="1" t="s">
        <v>42</v>
      </c>
      <c r="F2918" s="1" t="s">
        <v>40</v>
      </c>
      <c r="G2918" s="1">
        <v>5</v>
      </c>
      <c r="H2918" s="1">
        <v>733</v>
      </c>
      <c r="I2918" s="1">
        <v>20</v>
      </c>
      <c r="J2918" s="4">
        <v>2932</v>
      </c>
      <c r="K2918" s="4">
        <v>2198.17</v>
      </c>
      <c r="L2918" s="4">
        <v>733.83</v>
      </c>
      <c r="M2918" s="1" t="str">
        <f>TEXT(Table1[[#This Row],[Order_Date]], "MMM")</f>
        <v>Apr</v>
      </c>
      <c r="N2918" s="1">
        <f>YEAR(Table1[[#This Row],[Order_Date]])</f>
        <v>2024</v>
      </c>
      <c r="O2918" s="7">
        <f>Table1[[#This Row],[Profit]]/Table1[[#This Row],[Total_Sales]]</f>
        <v>0.25028308321964532</v>
      </c>
    </row>
    <row r="2919" spans="1:15" x14ac:dyDescent="0.25">
      <c r="A2919" s="1">
        <v>2918</v>
      </c>
      <c r="B2919" s="2">
        <v>45064</v>
      </c>
      <c r="C2919" s="1" t="s">
        <v>16</v>
      </c>
      <c r="D2919" s="1" t="s">
        <v>22</v>
      </c>
      <c r="E2919" s="1" t="s">
        <v>29</v>
      </c>
      <c r="F2919" s="1" t="s">
        <v>15</v>
      </c>
      <c r="G2919" s="1">
        <v>3</v>
      </c>
      <c r="H2919" s="1">
        <v>416</v>
      </c>
      <c r="I2919" s="1">
        <v>20</v>
      </c>
      <c r="J2919" s="4">
        <v>998.4</v>
      </c>
      <c r="K2919" s="4">
        <v>768.93</v>
      </c>
      <c r="L2919" s="4">
        <v>229.47</v>
      </c>
      <c r="M2919" s="1" t="str">
        <f>TEXT(Table1[[#This Row],[Order_Date]], "MMM")</f>
        <v>May</v>
      </c>
      <c r="N2919" s="1">
        <f>YEAR(Table1[[#This Row],[Order_Date]])</f>
        <v>2023</v>
      </c>
      <c r="O2919" s="7">
        <f>Table1[[#This Row],[Profit]]/Table1[[#This Row],[Total_Sales]]</f>
        <v>0.22983774038461538</v>
      </c>
    </row>
    <row r="2920" spans="1:15" x14ac:dyDescent="0.25">
      <c r="A2920" s="1">
        <v>2919</v>
      </c>
      <c r="B2920" s="2">
        <v>45564</v>
      </c>
      <c r="C2920" s="1" t="s">
        <v>16</v>
      </c>
      <c r="D2920" s="1" t="s">
        <v>26</v>
      </c>
      <c r="E2920" s="1" t="s">
        <v>42</v>
      </c>
      <c r="F2920" s="1" t="s">
        <v>24</v>
      </c>
      <c r="G2920" s="1">
        <v>2</v>
      </c>
      <c r="H2920" s="1">
        <v>485</v>
      </c>
      <c r="I2920" s="1">
        <v>10</v>
      </c>
      <c r="J2920" s="4">
        <v>873</v>
      </c>
      <c r="K2920" s="4">
        <v>623.75</v>
      </c>
      <c r="L2920" s="4">
        <v>249.25</v>
      </c>
      <c r="M2920" s="1" t="str">
        <f>TEXT(Table1[[#This Row],[Order_Date]], "MMM")</f>
        <v>Sep</v>
      </c>
      <c r="N2920" s="1">
        <f>YEAR(Table1[[#This Row],[Order_Date]])</f>
        <v>2024</v>
      </c>
      <c r="O2920" s="7">
        <f>Table1[[#This Row],[Profit]]/Table1[[#This Row],[Total_Sales]]</f>
        <v>0.28550973654066436</v>
      </c>
    </row>
    <row r="2921" spans="1:15" x14ac:dyDescent="0.25">
      <c r="A2921" s="1">
        <v>2920</v>
      </c>
      <c r="B2921" s="2">
        <v>45090</v>
      </c>
      <c r="C2921" s="1" t="s">
        <v>25</v>
      </c>
      <c r="D2921" s="1" t="s">
        <v>20</v>
      </c>
      <c r="E2921" s="1" t="s">
        <v>43</v>
      </c>
      <c r="F2921" s="1" t="s">
        <v>18</v>
      </c>
      <c r="G2921" s="1">
        <v>2</v>
      </c>
      <c r="H2921" s="1">
        <v>639</v>
      </c>
      <c r="I2921" s="1">
        <v>10</v>
      </c>
      <c r="J2921" s="4">
        <v>1150.2</v>
      </c>
      <c r="K2921" s="4">
        <v>811.5</v>
      </c>
      <c r="L2921" s="4">
        <v>338.7</v>
      </c>
      <c r="M2921" s="1" t="str">
        <f>TEXT(Table1[[#This Row],[Order_Date]], "MMM")</f>
        <v>Jun</v>
      </c>
      <c r="N2921" s="1">
        <f>YEAR(Table1[[#This Row],[Order_Date]])</f>
        <v>2023</v>
      </c>
      <c r="O2921" s="7">
        <f>Table1[[#This Row],[Profit]]/Table1[[#This Row],[Total_Sales]]</f>
        <v>0.29447052686489306</v>
      </c>
    </row>
    <row r="2922" spans="1:15" x14ac:dyDescent="0.25">
      <c r="A2922" s="1">
        <v>2921</v>
      </c>
      <c r="B2922" s="2">
        <v>45478</v>
      </c>
      <c r="C2922" s="1" t="s">
        <v>19</v>
      </c>
      <c r="D2922" s="1" t="s">
        <v>22</v>
      </c>
      <c r="E2922" s="1" t="s">
        <v>36</v>
      </c>
      <c r="F2922" s="1" t="s">
        <v>24</v>
      </c>
      <c r="G2922" s="1">
        <v>2</v>
      </c>
      <c r="H2922" s="1">
        <v>275</v>
      </c>
      <c r="I2922" s="1">
        <v>15</v>
      </c>
      <c r="J2922" s="4">
        <v>467.5</v>
      </c>
      <c r="K2922" s="4">
        <v>307.37</v>
      </c>
      <c r="L2922" s="4">
        <v>160.13</v>
      </c>
      <c r="M2922" s="1" t="str">
        <f>TEXT(Table1[[#This Row],[Order_Date]], "MMM")</f>
        <v>Jul</v>
      </c>
      <c r="N2922" s="1">
        <f>YEAR(Table1[[#This Row],[Order_Date]])</f>
        <v>2024</v>
      </c>
      <c r="O2922" s="7">
        <f>Table1[[#This Row],[Profit]]/Table1[[#This Row],[Total_Sales]]</f>
        <v>0.34252406417112297</v>
      </c>
    </row>
    <row r="2923" spans="1:15" x14ac:dyDescent="0.25">
      <c r="A2923" s="1">
        <v>2922</v>
      </c>
      <c r="B2923" s="2">
        <v>45403</v>
      </c>
      <c r="C2923" s="1" t="s">
        <v>25</v>
      </c>
      <c r="D2923" s="1" t="s">
        <v>20</v>
      </c>
      <c r="E2923" s="1" t="s">
        <v>28</v>
      </c>
      <c r="F2923" s="1" t="s">
        <v>24</v>
      </c>
      <c r="G2923" s="1">
        <v>5</v>
      </c>
      <c r="H2923" s="1">
        <v>699</v>
      </c>
      <c r="I2923" s="1">
        <v>15</v>
      </c>
      <c r="J2923" s="4">
        <v>2970.75</v>
      </c>
      <c r="K2923" s="4">
        <v>1989.3</v>
      </c>
      <c r="L2923" s="4">
        <v>981.45</v>
      </c>
      <c r="M2923" s="1" t="str">
        <f>TEXT(Table1[[#This Row],[Order_Date]], "MMM")</f>
        <v>Apr</v>
      </c>
      <c r="N2923" s="1">
        <f>YEAR(Table1[[#This Row],[Order_Date]])</f>
        <v>2024</v>
      </c>
      <c r="O2923" s="7">
        <f>Table1[[#This Row],[Profit]]/Table1[[#This Row],[Total_Sales]]</f>
        <v>0.33037111840444333</v>
      </c>
    </row>
    <row r="2924" spans="1:15" x14ac:dyDescent="0.25">
      <c r="A2924" s="1">
        <v>2923</v>
      </c>
      <c r="B2924" s="2">
        <v>44985</v>
      </c>
      <c r="C2924" s="1" t="s">
        <v>25</v>
      </c>
      <c r="D2924" s="1" t="s">
        <v>22</v>
      </c>
      <c r="E2924" s="1" t="s">
        <v>23</v>
      </c>
      <c r="F2924" s="1" t="s">
        <v>24</v>
      </c>
      <c r="G2924" s="1">
        <v>5</v>
      </c>
      <c r="H2924" s="1">
        <v>509</v>
      </c>
      <c r="I2924" s="1">
        <v>20</v>
      </c>
      <c r="J2924" s="4">
        <v>2036</v>
      </c>
      <c r="K2924" s="4">
        <v>1300.44</v>
      </c>
      <c r="L2924" s="4">
        <v>735.56</v>
      </c>
      <c r="M2924" s="1" t="str">
        <f>TEXT(Table1[[#This Row],[Order_Date]], "MMM")</f>
        <v>Feb</v>
      </c>
      <c r="N2924" s="1">
        <f>YEAR(Table1[[#This Row],[Order_Date]])</f>
        <v>2023</v>
      </c>
      <c r="O2924" s="7">
        <f>Table1[[#This Row],[Profit]]/Table1[[#This Row],[Total_Sales]]</f>
        <v>0.36127701375245574</v>
      </c>
    </row>
    <row r="2925" spans="1:15" x14ac:dyDescent="0.25">
      <c r="A2925" s="1">
        <v>2924</v>
      </c>
      <c r="B2925" s="2">
        <v>45152</v>
      </c>
      <c r="C2925" s="1" t="s">
        <v>19</v>
      </c>
      <c r="D2925" s="1" t="s">
        <v>26</v>
      </c>
      <c r="E2925" s="1" t="s">
        <v>37</v>
      </c>
      <c r="F2925" s="1" t="s">
        <v>40</v>
      </c>
      <c r="G2925" s="1">
        <v>6</v>
      </c>
      <c r="H2925" s="1">
        <v>312</v>
      </c>
      <c r="I2925" s="1">
        <v>10</v>
      </c>
      <c r="J2925" s="4">
        <v>1684.8</v>
      </c>
      <c r="K2925" s="4">
        <v>1279.5899999999999</v>
      </c>
      <c r="L2925" s="4">
        <v>405.21</v>
      </c>
      <c r="M2925" s="1" t="str">
        <f>TEXT(Table1[[#This Row],[Order_Date]], "MMM")</f>
        <v>Aug</v>
      </c>
      <c r="N2925" s="1">
        <f>YEAR(Table1[[#This Row],[Order_Date]])</f>
        <v>2023</v>
      </c>
      <c r="O2925" s="7">
        <f>Table1[[#This Row],[Profit]]/Table1[[#This Row],[Total_Sales]]</f>
        <v>0.24050925925925926</v>
      </c>
    </row>
    <row r="2926" spans="1:15" x14ac:dyDescent="0.25">
      <c r="A2926" s="1">
        <v>2925</v>
      </c>
      <c r="B2926" s="2">
        <v>45494</v>
      </c>
      <c r="C2926" s="1" t="s">
        <v>12</v>
      </c>
      <c r="D2926" s="1" t="s">
        <v>22</v>
      </c>
      <c r="E2926" s="1" t="s">
        <v>44</v>
      </c>
      <c r="F2926" s="1" t="s">
        <v>35</v>
      </c>
      <c r="G2926" s="1">
        <v>6</v>
      </c>
      <c r="H2926" s="1">
        <v>678</v>
      </c>
      <c r="I2926" s="1">
        <v>15</v>
      </c>
      <c r="J2926" s="4">
        <v>3457.8</v>
      </c>
      <c r="K2926" s="4">
        <v>2336.23</v>
      </c>
      <c r="L2926" s="4">
        <v>1121.57</v>
      </c>
      <c r="M2926" s="1" t="str">
        <f>TEXT(Table1[[#This Row],[Order_Date]], "MMM")</f>
        <v>Jul</v>
      </c>
      <c r="N2926" s="1">
        <f>YEAR(Table1[[#This Row],[Order_Date]])</f>
        <v>2024</v>
      </c>
      <c r="O2926" s="7">
        <f>Table1[[#This Row],[Profit]]/Table1[[#This Row],[Total_Sales]]</f>
        <v>0.32435941928393774</v>
      </c>
    </row>
    <row r="2927" spans="1:15" x14ac:dyDescent="0.25">
      <c r="A2927" s="1">
        <v>2926</v>
      </c>
      <c r="B2927" s="2">
        <v>45057</v>
      </c>
      <c r="C2927" s="1" t="s">
        <v>16</v>
      </c>
      <c r="D2927" s="1" t="s">
        <v>13</v>
      </c>
      <c r="E2927" s="1" t="s">
        <v>17</v>
      </c>
      <c r="F2927" s="1" t="s">
        <v>40</v>
      </c>
      <c r="G2927" s="1">
        <v>10</v>
      </c>
      <c r="H2927" s="1">
        <v>506</v>
      </c>
      <c r="I2927" s="1">
        <v>5</v>
      </c>
      <c r="J2927" s="4">
        <v>4807</v>
      </c>
      <c r="K2927" s="4">
        <v>3725.27</v>
      </c>
      <c r="L2927" s="4">
        <v>1081.73</v>
      </c>
      <c r="M2927" s="1" t="str">
        <f>TEXT(Table1[[#This Row],[Order_Date]], "MMM")</f>
        <v>May</v>
      </c>
      <c r="N2927" s="1">
        <f>YEAR(Table1[[#This Row],[Order_Date]])</f>
        <v>2023</v>
      </c>
      <c r="O2927" s="7">
        <f>Table1[[#This Row],[Profit]]/Table1[[#This Row],[Total_Sales]]</f>
        <v>0.22503224464322863</v>
      </c>
    </row>
    <row r="2928" spans="1:15" x14ac:dyDescent="0.25">
      <c r="A2928" s="1">
        <v>2927</v>
      </c>
      <c r="B2928" s="2">
        <v>45506</v>
      </c>
      <c r="C2928" s="1" t="s">
        <v>16</v>
      </c>
      <c r="D2928" s="1" t="s">
        <v>22</v>
      </c>
      <c r="E2928" s="1" t="s">
        <v>23</v>
      </c>
      <c r="F2928" s="1" t="s">
        <v>18</v>
      </c>
      <c r="G2928" s="1">
        <v>8</v>
      </c>
      <c r="H2928" s="1">
        <v>898</v>
      </c>
      <c r="I2928" s="1">
        <v>10</v>
      </c>
      <c r="J2928" s="4">
        <v>6465.6</v>
      </c>
      <c r="K2928" s="4">
        <v>4995.57</v>
      </c>
      <c r="L2928" s="4">
        <v>1470.03</v>
      </c>
      <c r="M2928" s="1" t="str">
        <f>TEXT(Table1[[#This Row],[Order_Date]], "MMM")</f>
        <v>Aug</v>
      </c>
      <c r="N2928" s="1">
        <f>YEAR(Table1[[#This Row],[Order_Date]])</f>
        <v>2024</v>
      </c>
      <c r="O2928" s="7">
        <f>Table1[[#This Row],[Profit]]/Table1[[#This Row],[Total_Sales]]</f>
        <v>0.22736172976985894</v>
      </c>
    </row>
    <row r="2929" spans="1:15" x14ac:dyDescent="0.25">
      <c r="A2929" s="1">
        <v>2928</v>
      </c>
      <c r="B2929" s="2">
        <v>45221</v>
      </c>
      <c r="C2929" s="1" t="s">
        <v>12</v>
      </c>
      <c r="D2929" s="1" t="s">
        <v>22</v>
      </c>
      <c r="E2929" s="1" t="s">
        <v>29</v>
      </c>
      <c r="F2929" s="1" t="s">
        <v>24</v>
      </c>
      <c r="G2929" s="1">
        <v>6</v>
      </c>
      <c r="H2929" s="1">
        <v>363</v>
      </c>
      <c r="I2929" s="1">
        <v>5</v>
      </c>
      <c r="J2929" s="4">
        <v>2069.1</v>
      </c>
      <c r="K2929" s="4">
        <v>1458.82</v>
      </c>
      <c r="L2929" s="4">
        <v>610.28</v>
      </c>
      <c r="M2929" s="1" t="str">
        <f>TEXT(Table1[[#This Row],[Order_Date]], "MMM")</f>
        <v>Oct</v>
      </c>
      <c r="N2929" s="1">
        <f>YEAR(Table1[[#This Row],[Order_Date]])</f>
        <v>2023</v>
      </c>
      <c r="O2929" s="7">
        <f>Table1[[#This Row],[Profit]]/Table1[[#This Row],[Total_Sales]]</f>
        <v>0.29494949494949496</v>
      </c>
    </row>
    <row r="2930" spans="1:15" x14ac:dyDescent="0.25">
      <c r="A2930" s="1">
        <v>2929</v>
      </c>
      <c r="B2930" s="2">
        <v>45290</v>
      </c>
      <c r="C2930" s="1" t="s">
        <v>12</v>
      </c>
      <c r="D2930" s="1" t="s">
        <v>26</v>
      </c>
      <c r="E2930" s="1" t="s">
        <v>27</v>
      </c>
      <c r="F2930" s="1" t="s">
        <v>31</v>
      </c>
      <c r="G2930" s="1">
        <v>1</v>
      </c>
      <c r="H2930" s="1">
        <v>796</v>
      </c>
      <c r="I2930" s="1">
        <v>0</v>
      </c>
      <c r="J2930" s="4">
        <v>796</v>
      </c>
      <c r="K2930" s="4">
        <v>531.47</v>
      </c>
      <c r="L2930" s="4">
        <v>264.52999999999997</v>
      </c>
      <c r="M2930" s="1" t="str">
        <f>TEXT(Table1[[#This Row],[Order_Date]], "MMM")</f>
        <v>Dec</v>
      </c>
      <c r="N2930" s="1">
        <f>YEAR(Table1[[#This Row],[Order_Date]])</f>
        <v>2023</v>
      </c>
      <c r="O2930" s="7">
        <f>Table1[[#This Row],[Profit]]/Table1[[#This Row],[Total_Sales]]</f>
        <v>0.33232412060301503</v>
      </c>
    </row>
    <row r="2931" spans="1:15" x14ac:dyDescent="0.25">
      <c r="A2931" s="1">
        <v>2930</v>
      </c>
      <c r="B2931" s="2">
        <v>45191</v>
      </c>
      <c r="C2931" s="1" t="s">
        <v>25</v>
      </c>
      <c r="D2931" s="1" t="s">
        <v>13</v>
      </c>
      <c r="E2931" s="1" t="s">
        <v>17</v>
      </c>
      <c r="F2931" s="1" t="s">
        <v>15</v>
      </c>
      <c r="G2931" s="1">
        <v>6</v>
      </c>
      <c r="H2931" s="1">
        <v>12</v>
      </c>
      <c r="I2931" s="1">
        <v>0</v>
      </c>
      <c r="J2931" s="4">
        <v>72</v>
      </c>
      <c r="K2931" s="4">
        <v>36.340000000000003</v>
      </c>
      <c r="L2931" s="4">
        <v>35.659999999999997</v>
      </c>
      <c r="M2931" s="1" t="str">
        <f>TEXT(Table1[[#This Row],[Order_Date]], "MMM")</f>
        <v>Sep</v>
      </c>
      <c r="N2931" s="1">
        <f>YEAR(Table1[[#This Row],[Order_Date]])</f>
        <v>2023</v>
      </c>
      <c r="O2931" s="7">
        <f>Table1[[#This Row],[Profit]]/Table1[[#This Row],[Total_Sales]]</f>
        <v>0.49527777777777771</v>
      </c>
    </row>
    <row r="2932" spans="1:15" x14ac:dyDescent="0.25">
      <c r="A2932" s="1">
        <v>2931</v>
      </c>
      <c r="B2932" s="2">
        <v>45569</v>
      </c>
      <c r="C2932" s="1" t="s">
        <v>19</v>
      </c>
      <c r="D2932" s="1" t="s">
        <v>13</v>
      </c>
      <c r="E2932" s="1" t="s">
        <v>39</v>
      </c>
      <c r="F2932" s="1" t="s">
        <v>18</v>
      </c>
      <c r="G2932" s="1">
        <v>4</v>
      </c>
      <c r="H2932" s="1">
        <v>378</v>
      </c>
      <c r="I2932" s="1">
        <v>0</v>
      </c>
      <c r="J2932" s="4">
        <v>1512</v>
      </c>
      <c r="K2932" s="4">
        <v>1203.48</v>
      </c>
      <c r="L2932" s="4">
        <v>308.52</v>
      </c>
      <c r="M2932" s="1" t="str">
        <f>TEXT(Table1[[#This Row],[Order_Date]], "MMM")</f>
        <v>Oct</v>
      </c>
      <c r="N2932" s="1">
        <f>YEAR(Table1[[#This Row],[Order_Date]])</f>
        <v>2024</v>
      </c>
      <c r="O2932" s="7">
        <f>Table1[[#This Row],[Profit]]/Table1[[#This Row],[Total_Sales]]</f>
        <v>0.20404761904761903</v>
      </c>
    </row>
    <row r="2933" spans="1:15" x14ac:dyDescent="0.25">
      <c r="A2933" s="1">
        <v>2932</v>
      </c>
      <c r="B2933" s="2">
        <v>45482</v>
      </c>
      <c r="C2933" s="1" t="s">
        <v>25</v>
      </c>
      <c r="D2933" s="1" t="s">
        <v>22</v>
      </c>
      <c r="E2933" s="1" t="s">
        <v>44</v>
      </c>
      <c r="F2933" s="1" t="s">
        <v>40</v>
      </c>
      <c r="G2933" s="1">
        <v>5</v>
      </c>
      <c r="H2933" s="1">
        <v>480</v>
      </c>
      <c r="I2933" s="1">
        <v>15</v>
      </c>
      <c r="J2933" s="4">
        <v>2040</v>
      </c>
      <c r="K2933" s="4">
        <v>1413.38</v>
      </c>
      <c r="L2933" s="4">
        <v>626.62</v>
      </c>
      <c r="M2933" s="1" t="str">
        <f>TEXT(Table1[[#This Row],[Order_Date]], "MMM")</f>
        <v>Jul</v>
      </c>
      <c r="N2933" s="1">
        <f>YEAR(Table1[[#This Row],[Order_Date]])</f>
        <v>2024</v>
      </c>
      <c r="O2933" s="7">
        <f>Table1[[#This Row],[Profit]]/Table1[[#This Row],[Total_Sales]]</f>
        <v>0.30716666666666664</v>
      </c>
    </row>
    <row r="2934" spans="1:15" x14ac:dyDescent="0.25">
      <c r="A2934" s="1">
        <v>2933</v>
      </c>
      <c r="B2934" s="2">
        <v>45156</v>
      </c>
      <c r="C2934" s="1" t="s">
        <v>16</v>
      </c>
      <c r="D2934" s="1" t="s">
        <v>22</v>
      </c>
      <c r="E2934" s="1" t="s">
        <v>23</v>
      </c>
      <c r="F2934" s="1" t="s">
        <v>18</v>
      </c>
      <c r="G2934" s="1">
        <v>2</v>
      </c>
      <c r="H2934" s="1">
        <v>364</v>
      </c>
      <c r="I2934" s="1">
        <v>15</v>
      </c>
      <c r="J2934" s="4">
        <v>618.79999999999995</v>
      </c>
      <c r="K2934" s="4">
        <v>335.35</v>
      </c>
      <c r="L2934" s="4">
        <v>283.45</v>
      </c>
      <c r="M2934" s="1" t="str">
        <f>TEXT(Table1[[#This Row],[Order_Date]], "MMM")</f>
        <v>Aug</v>
      </c>
      <c r="N2934" s="1">
        <f>YEAR(Table1[[#This Row],[Order_Date]])</f>
        <v>2023</v>
      </c>
      <c r="O2934" s="7">
        <f>Table1[[#This Row],[Profit]]/Table1[[#This Row],[Total_Sales]]</f>
        <v>0.45806399482870075</v>
      </c>
    </row>
    <row r="2935" spans="1:15" x14ac:dyDescent="0.25">
      <c r="A2935" s="1">
        <v>2934</v>
      </c>
      <c r="B2935" s="2">
        <v>45092</v>
      </c>
      <c r="C2935" s="1" t="s">
        <v>12</v>
      </c>
      <c r="D2935" s="1" t="s">
        <v>20</v>
      </c>
      <c r="E2935" s="1" t="s">
        <v>28</v>
      </c>
      <c r="F2935" s="1" t="s">
        <v>18</v>
      </c>
      <c r="G2935" s="1">
        <v>6</v>
      </c>
      <c r="H2935" s="1">
        <v>972</v>
      </c>
      <c r="I2935" s="1">
        <v>10</v>
      </c>
      <c r="J2935" s="4">
        <v>5248.8</v>
      </c>
      <c r="K2935" s="4">
        <v>3882.21</v>
      </c>
      <c r="L2935" s="4">
        <v>1366.59</v>
      </c>
      <c r="M2935" s="1" t="str">
        <f>TEXT(Table1[[#This Row],[Order_Date]], "MMM")</f>
        <v>Jun</v>
      </c>
      <c r="N2935" s="1">
        <f>YEAR(Table1[[#This Row],[Order_Date]])</f>
        <v>2023</v>
      </c>
      <c r="O2935" s="7">
        <f>Table1[[#This Row],[Profit]]/Table1[[#This Row],[Total_Sales]]</f>
        <v>0.26036236854138084</v>
      </c>
    </row>
    <row r="2936" spans="1:15" x14ac:dyDescent="0.25">
      <c r="A2936" s="1">
        <v>2935</v>
      </c>
      <c r="B2936" s="2">
        <v>45297</v>
      </c>
      <c r="C2936" s="1" t="s">
        <v>16</v>
      </c>
      <c r="D2936" s="1" t="s">
        <v>20</v>
      </c>
      <c r="E2936" s="1" t="s">
        <v>21</v>
      </c>
      <c r="F2936" s="1" t="s">
        <v>24</v>
      </c>
      <c r="G2936" s="1">
        <v>6</v>
      </c>
      <c r="H2936" s="1">
        <v>180</v>
      </c>
      <c r="I2936" s="1">
        <v>0</v>
      </c>
      <c r="J2936" s="4">
        <v>1080</v>
      </c>
      <c r="K2936" s="4">
        <v>802.21</v>
      </c>
      <c r="L2936" s="4">
        <v>277.79000000000002</v>
      </c>
      <c r="M2936" s="1" t="str">
        <f>TEXT(Table1[[#This Row],[Order_Date]], "MMM")</f>
        <v>Jan</v>
      </c>
      <c r="N2936" s="1">
        <f>YEAR(Table1[[#This Row],[Order_Date]])</f>
        <v>2024</v>
      </c>
      <c r="O2936" s="7">
        <f>Table1[[#This Row],[Profit]]/Table1[[#This Row],[Total_Sales]]</f>
        <v>0.25721296296296298</v>
      </c>
    </row>
    <row r="2937" spans="1:15" x14ac:dyDescent="0.25">
      <c r="A2937" s="1">
        <v>2936</v>
      </c>
      <c r="B2937" s="2">
        <v>44988</v>
      </c>
      <c r="C2937" s="1" t="s">
        <v>19</v>
      </c>
      <c r="D2937" s="1" t="s">
        <v>26</v>
      </c>
      <c r="E2937" s="1" t="s">
        <v>27</v>
      </c>
      <c r="F2937" s="1" t="s">
        <v>24</v>
      </c>
      <c r="G2937" s="1">
        <v>1</v>
      </c>
      <c r="H2937" s="1">
        <v>907</v>
      </c>
      <c r="I2937" s="1">
        <v>0</v>
      </c>
      <c r="J2937" s="4">
        <v>907</v>
      </c>
      <c r="K2937" s="4">
        <v>603.76</v>
      </c>
      <c r="L2937" s="4">
        <v>303.24</v>
      </c>
      <c r="M2937" s="1" t="str">
        <f>TEXT(Table1[[#This Row],[Order_Date]], "MMM")</f>
        <v>Mar</v>
      </c>
      <c r="N2937" s="1">
        <f>YEAR(Table1[[#This Row],[Order_Date]])</f>
        <v>2023</v>
      </c>
      <c r="O2937" s="7">
        <f>Table1[[#This Row],[Profit]]/Table1[[#This Row],[Total_Sales]]</f>
        <v>0.33433296582138922</v>
      </c>
    </row>
    <row r="2938" spans="1:15" x14ac:dyDescent="0.25">
      <c r="A2938" s="1">
        <v>2937</v>
      </c>
      <c r="B2938" s="2">
        <v>45280</v>
      </c>
      <c r="C2938" s="1" t="s">
        <v>12</v>
      </c>
      <c r="D2938" s="1" t="s">
        <v>26</v>
      </c>
      <c r="E2938" s="1" t="s">
        <v>46</v>
      </c>
      <c r="F2938" s="1" t="s">
        <v>24</v>
      </c>
      <c r="G2938" s="1">
        <v>6</v>
      </c>
      <c r="H2938" s="1">
        <v>370</v>
      </c>
      <c r="I2938" s="1">
        <v>20</v>
      </c>
      <c r="J2938" s="4">
        <v>1776</v>
      </c>
      <c r="K2938" s="4">
        <v>1283.7</v>
      </c>
      <c r="L2938" s="4">
        <v>492.3</v>
      </c>
      <c r="M2938" s="1" t="str">
        <f>TEXT(Table1[[#This Row],[Order_Date]], "MMM")</f>
        <v>Dec</v>
      </c>
      <c r="N2938" s="1">
        <f>YEAR(Table1[[#This Row],[Order_Date]])</f>
        <v>2023</v>
      </c>
      <c r="O2938" s="7">
        <f>Table1[[#This Row],[Profit]]/Table1[[#This Row],[Total_Sales]]</f>
        <v>0.27719594594594593</v>
      </c>
    </row>
    <row r="2939" spans="1:15" x14ac:dyDescent="0.25">
      <c r="A2939" s="1">
        <v>2938</v>
      </c>
      <c r="B2939" s="2">
        <v>45080</v>
      </c>
      <c r="C2939" s="1" t="s">
        <v>25</v>
      </c>
      <c r="D2939" s="1" t="s">
        <v>32</v>
      </c>
      <c r="E2939" s="1" t="s">
        <v>34</v>
      </c>
      <c r="F2939" s="1" t="s">
        <v>18</v>
      </c>
      <c r="G2939" s="1">
        <v>8</v>
      </c>
      <c r="H2939" s="1">
        <v>251</v>
      </c>
      <c r="I2939" s="1">
        <v>10</v>
      </c>
      <c r="J2939" s="4">
        <v>1807.2</v>
      </c>
      <c r="K2939" s="4">
        <v>910.76</v>
      </c>
      <c r="L2939" s="4">
        <v>896.44</v>
      </c>
      <c r="M2939" s="1" t="str">
        <f>TEXT(Table1[[#This Row],[Order_Date]], "MMM")</f>
        <v>Jun</v>
      </c>
      <c r="N2939" s="1">
        <f>YEAR(Table1[[#This Row],[Order_Date]])</f>
        <v>2023</v>
      </c>
      <c r="O2939" s="7">
        <f>Table1[[#This Row],[Profit]]/Table1[[#This Row],[Total_Sales]]</f>
        <v>0.49603806994245242</v>
      </c>
    </row>
    <row r="2940" spans="1:15" x14ac:dyDescent="0.25">
      <c r="A2940" s="1">
        <v>2939</v>
      </c>
      <c r="B2940" s="2">
        <v>45537</v>
      </c>
      <c r="C2940" s="1" t="s">
        <v>25</v>
      </c>
      <c r="D2940" s="1" t="s">
        <v>13</v>
      </c>
      <c r="E2940" s="1" t="s">
        <v>14</v>
      </c>
      <c r="F2940" s="1" t="s">
        <v>35</v>
      </c>
      <c r="G2940" s="1">
        <v>1</v>
      </c>
      <c r="H2940" s="1">
        <v>895</v>
      </c>
      <c r="I2940" s="1">
        <v>20</v>
      </c>
      <c r="J2940" s="4">
        <v>716</v>
      </c>
      <c r="K2940" s="4">
        <v>411.15</v>
      </c>
      <c r="L2940" s="4">
        <v>304.85000000000002</v>
      </c>
      <c r="M2940" s="1" t="str">
        <f>TEXT(Table1[[#This Row],[Order_Date]], "MMM")</f>
        <v>Sep</v>
      </c>
      <c r="N2940" s="1">
        <f>YEAR(Table1[[#This Row],[Order_Date]])</f>
        <v>2024</v>
      </c>
      <c r="O2940" s="7">
        <f>Table1[[#This Row],[Profit]]/Table1[[#This Row],[Total_Sales]]</f>
        <v>0.42576815642458105</v>
      </c>
    </row>
    <row r="2941" spans="1:15" x14ac:dyDescent="0.25">
      <c r="A2941" s="1">
        <v>2940</v>
      </c>
      <c r="B2941" s="2">
        <v>45112</v>
      </c>
      <c r="C2941" s="1" t="s">
        <v>19</v>
      </c>
      <c r="D2941" s="1" t="s">
        <v>13</v>
      </c>
      <c r="E2941" s="1" t="s">
        <v>38</v>
      </c>
      <c r="F2941" s="1" t="s">
        <v>18</v>
      </c>
      <c r="G2941" s="1">
        <v>6</v>
      </c>
      <c r="H2941" s="1">
        <v>571</v>
      </c>
      <c r="I2941" s="1">
        <v>20</v>
      </c>
      <c r="J2941" s="4">
        <v>2740.8</v>
      </c>
      <c r="K2941" s="4">
        <v>1959.83</v>
      </c>
      <c r="L2941" s="4">
        <v>780.97</v>
      </c>
      <c r="M2941" s="1" t="str">
        <f>TEXT(Table1[[#This Row],[Order_Date]], "MMM")</f>
        <v>Jul</v>
      </c>
      <c r="N2941" s="1">
        <f>YEAR(Table1[[#This Row],[Order_Date]])</f>
        <v>2023</v>
      </c>
      <c r="O2941" s="7">
        <f>Table1[[#This Row],[Profit]]/Table1[[#This Row],[Total_Sales]]</f>
        <v>0.28494235259778167</v>
      </c>
    </row>
    <row r="2942" spans="1:15" x14ac:dyDescent="0.25">
      <c r="A2942" s="1">
        <v>2941</v>
      </c>
      <c r="B2942" s="2">
        <v>45455</v>
      </c>
      <c r="C2942" s="1" t="s">
        <v>16</v>
      </c>
      <c r="D2942" s="1" t="s">
        <v>13</v>
      </c>
      <c r="E2942" s="1" t="s">
        <v>39</v>
      </c>
      <c r="F2942" s="1" t="s">
        <v>40</v>
      </c>
      <c r="G2942" s="1">
        <v>2</v>
      </c>
      <c r="H2942" s="1">
        <v>547</v>
      </c>
      <c r="I2942" s="1">
        <v>0</v>
      </c>
      <c r="J2942" s="4">
        <v>1094</v>
      </c>
      <c r="K2942" s="4">
        <v>790.2</v>
      </c>
      <c r="L2942" s="4">
        <v>303.8</v>
      </c>
      <c r="M2942" s="1" t="str">
        <f>TEXT(Table1[[#This Row],[Order_Date]], "MMM")</f>
        <v>Jun</v>
      </c>
      <c r="N2942" s="1">
        <f>YEAR(Table1[[#This Row],[Order_Date]])</f>
        <v>2024</v>
      </c>
      <c r="O2942" s="7">
        <f>Table1[[#This Row],[Profit]]/Table1[[#This Row],[Total_Sales]]</f>
        <v>0.27769652650822668</v>
      </c>
    </row>
    <row r="2943" spans="1:15" x14ac:dyDescent="0.25">
      <c r="A2943" s="1">
        <v>2942</v>
      </c>
      <c r="B2943" s="2">
        <v>45292</v>
      </c>
      <c r="C2943" s="1" t="s">
        <v>16</v>
      </c>
      <c r="D2943" s="1" t="s">
        <v>13</v>
      </c>
      <c r="E2943" s="1" t="s">
        <v>17</v>
      </c>
      <c r="F2943" s="1" t="s">
        <v>31</v>
      </c>
      <c r="G2943" s="1">
        <v>1</v>
      </c>
      <c r="H2943" s="1">
        <v>432</v>
      </c>
      <c r="I2943" s="1">
        <v>15</v>
      </c>
      <c r="J2943" s="4">
        <v>367.2</v>
      </c>
      <c r="K2943" s="4">
        <v>240.03</v>
      </c>
      <c r="L2943" s="4">
        <v>127.17</v>
      </c>
      <c r="M2943" s="1" t="str">
        <f>TEXT(Table1[[#This Row],[Order_Date]], "MMM")</f>
        <v>Jan</v>
      </c>
      <c r="N2943" s="1">
        <f>YEAR(Table1[[#This Row],[Order_Date]])</f>
        <v>2024</v>
      </c>
      <c r="O2943" s="7">
        <f>Table1[[#This Row],[Profit]]/Table1[[#This Row],[Total_Sales]]</f>
        <v>0.3463235294117647</v>
      </c>
    </row>
    <row r="2944" spans="1:15" x14ac:dyDescent="0.25">
      <c r="A2944" s="1">
        <v>2943</v>
      </c>
      <c r="B2944" s="2">
        <v>45134</v>
      </c>
      <c r="C2944" s="1" t="s">
        <v>12</v>
      </c>
      <c r="D2944" s="1" t="s">
        <v>32</v>
      </c>
      <c r="E2944" s="1" t="s">
        <v>33</v>
      </c>
      <c r="F2944" s="1" t="s">
        <v>15</v>
      </c>
      <c r="G2944" s="1">
        <v>8</v>
      </c>
      <c r="H2944" s="1">
        <v>121</v>
      </c>
      <c r="I2944" s="1">
        <v>20</v>
      </c>
      <c r="J2944" s="4">
        <v>774.4</v>
      </c>
      <c r="K2944" s="4">
        <v>517.65</v>
      </c>
      <c r="L2944" s="4">
        <v>256.75</v>
      </c>
      <c r="M2944" s="1" t="str">
        <f>TEXT(Table1[[#This Row],[Order_Date]], "MMM")</f>
        <v>Jul</v>
      </c>
      <c r="N2944" s="1">
        <f>YEAR(Table1[[#This Row],[Order_Date]])</f>
        <v>2023</v>
      </c>
      <c r="O2944" s="7">
        <f>Table1[[#This Row],[Profit]]/Table1[[#This Row],[Total_Sales]]</f>
        <v>0.33154700413223143</v>
      </c>
    </row>
    <row r="2945" spans="1:15" x14ac:dyDescent="0.25">
      <c r="A2945" s="1">
        <v>2944</v>
      </c>
      <c r="B2945" s="2">
        <v>45587</v>
      </c>
      <c r="C2945" s="1" t="s">
        <v>16</v>
      </c>
      <c r="D2945" s="1" t="s">
        <v>26</v>
      </c>
      <c r="E2945" s="1" t="s">
        <v>37</v>
      </c>
      <c r="F2945" s="1" t="s">
        <v>35</v>
      </c>
      <c r="G2945" s="1">
        <v>3</v>
      </c>
      <c r="H2945" s="1">
        <v>432</v>
      </c>
      <c r="I2945" s="1">
        <v>10</v>
      </c>
      <c r="J2945" s="4">
        <v>1166.4000000000001</v>
      </c>
      <c r="K2945" s="4">
        <v>719.06</v>
      </c>
      <c r="L2945" s="4">
        <v>447.34</v>
      </c>
      <c r="M2945" s="1" t="str">
        <f>TEXT(Table1[[#This Row],[Order_Date]], "MMM")</f>
        <v>Oct</v>
      </c>
      <c r="N2945" s="1">
        <f>YEAR(Table1[[#This Row],[Order_Date]])</f>
        <v>2024</v>
      </c>
      <c r="O2945" s="7">
        <f>Table1[[#This Row],[Profit]]/Table1[[#This Row],[Total_Sales]]</f>
        <v>0.38352194787379967</v>
      </c>
    </row>
    <row r="2946" spans="1:15" x14ac:dyDescent="0.25">
      <c r="A2946" s="1">
        <v>2945</v>
      </c>
      <c r="B2946" s="2">
        <v>44995</v>
      </c>
      <c r="C2946" s="1" t="s">
        <v>12</v>
      </c>
      <c r="D2946" s="1" t="s">
        <v>13</v>
      </c>
      <c r="E2946" s="1" t="s">
        <v>17</v>
      </c>
      <c r="F2946" s="1" t="s">
        <v>31</v>
      </c>
      <c r="G2946" s="1">
        <v>3</v>
      </c>
      <c r="H2946" s="1">
        <v>468</v>
      </c>
      <c r="I2946" s="1">
        <v>20</v>
      </c>
      <c r="J2946" s="4">
        <v>1123.2</v>
      </c>
      <c r="K2946" s="4">
        <v>898.05</v>
      </c>
      <c r="L2946" s="4">
        <v>225.15</v>
      </c>
      <c r="M2946" s="1" t="str">
        <f>TEXT(Table1[[#This Row],[Order_Date]], "MMM")</f>
        <v>Mar</v>
      </c>
      <c r="N2946" s="1">
        <f>YEAR(Table1[[#This Row],[Order_Date]])</f>
        <v>2023</v>
      </c>
      <c r="O2946" s="7">
        <f>Table1[[#This Row],[Profit]]/Table1[[#This Row],[Total_Sales]]</f>
        <v>0.20045405982905984</v>
      </c>
    </row>
    <row r="2947" spans="1:15" x14ac:dyDescent="0.25">
      <c r="A2947" s="1">
        <v>2946</v>
      </c>
      <c r="B2947" s="2">
        <v>45192</v>
      </c>
      <c r="C2947" s="1" t="s">
        <v>16</v>
      </c>
      <c r="D2947" s="1" t="s">
        <v>13</v>
      </c>
      <c r="E2947" s="1" t="s">
        <v>14</v>
      </c>
      <c r="F2947" s="1" t="s">
        <v>15</v>
      </c>
      <c r="G2947" s="1">
        <v>2</v>
      </c>
      <c r="H2947" s="1">
        <v>613</v>
      </c>
      <c r="I2947" s="1">
        <v>0</v>
      </c>
      <c r="J2947" s="4">
        <v>1226</v>
      </c>
      <c r="K2947" s="4">
        <v>780.29</v>
      </c>
      <c r="L2947" s="4">
        <v>445.71</v>
      </c>
      <c r="M2947" s="1" t="str">
        <f>TEXT(Table1[[#This Row],[Order_Date]], "MMM")</f>
        <v>Sep</v>
      </c>
      <c r="N2947" s="1">
        <f>YEAR(Table1[[#This Row],[Order_Date]])</f>
        <v>2023</v>
      </c>
      <c r="O2947" s="7">
        <f>Table1[[#This Row],[Profit]]/Table1[[#This Row],[Total_Sales]]</f>
        <v>0.36354812398042413</v>
      </c>
    </row>
    <row r="2948" spans="1:15" x14ac:dyDescent="0.25">
      <c r="A2948" s="1">
        <v>2947</v>
      </c>
      <c r="B2948" s="2">
        <v>45498</v>
      </c>
      <c r="C2948" s="1" t="s">
        <v>25</v>
      </c>
      <c r="D2948" s="1" t="s">
        <v>13</v>
      </c>
      <c r="E2948" s="1" t="s">
        <v>17</v>
      </c>
      <c r="F2948" s="1" t="s">
        <v>40</v>
      </c>
      <c r="G2948" s="1">
        <v>10</v>
      </c>
      <c r="H2948" s="1">
        <v>817</v>
      </c>
      <c r="I2948" s="1">
        <v>5</v>
      </c>
      <c r="J2948" s="4">
        <v>7761.5</v>
      </c>
      <c r="K2948" s="4">
        <v>4995.09</v>
      </c>
      <c r="L2948" s="4">
        <v>2766.41</v>
      </c>
      <c r="M2948" s="1" t="str">
        <f>TEXT(Table1[[#This Row],[Order_Date]], "MMM")</f>
        <v>Jul</v>
      </c>
      <c r="N2948" s="1">
        <f>YEAR(Table1[[#This Row],[Order_Date]])</f>
        <v>2024</v>
      </c>
      <c r="O2948" s="7">
        <f>Table1[[#This Row],[Profit]]/Table1[[#This Row],[Total_Sales]]</f>
        <v>0.35642723700315659</v>
      </c>
    </row>
    <row r="2949" spans="1:15" x14ac:dyDescent="0.25">
      <c r="A2949" s="1">
        <v>2948</v>
      </c>
      <c r="B2949" s="2">
        <v>45187</v>
      </c>
      <c r="C2949" s="1" t="s">
        <v>16</v>
      </c>
      <c r="D2949" s="1" t="s">
        <v>22</v>
      </c>
      <c r="E2949" s="1" t="s">
        <v>36</v>
      </c>
      <c r="F2949" s="1" t="s">
        <v>18</v>
      </c>
      <c r="G2949" s="1">
        <v>10</v>
      </c>
      <c r="H2949" s="1">
        <v>80</v>
      </c>
      <c r="I2949" s="1">
        <v>15</v>
      </c>
      <c r="J2949" s="4">
        <v>680</v>
      </c>
      <c r="K2949" s="4">
        <v>384.01</v>
      </c>
      <c r="L2949" s="4">
        <v>295.99</v>
      </c>
      <c r="M2949" s="1" t="str">
        <f>TEXT(Table1[[#This Row],[Order_Date]], "MMM")</f>
        <v>Sep</v>
      </c>
      <c r="N2949" s="1">
        <f>YEAR(Table1[[#This Row],[Order_Date]])</f>
        <v>2023</v>
      </c>
      <c r="O2949" s="7">
        <f>Table1[[#This Row],[Profit]]/Table1[[#This Row],[Total_Sales]]</f>
        <v>0.43527941176470591</v>
      </c>
    </row>
    <row r="2950" spans="1:15" x14ac:dyDescent="0.25">
      <c r="A2950" s="1">
        <v>2949</v>
      </c>
      <c r="B2950" s="2">
        <v>44976</v>
      </c>
      <c r="C2950" s="1" t="s">
        <v>12</v>
      </c>
      <c r="D2950" s="1" t="s">
        <v>22</v>
      </c>
      <c r="E2950" s="1" t="s">
        <v>29</v>
      </c>
      <c r="F2950" s="1" t="s">
        <v>15</v>
      </c>
      <c r="G2950" s="1">
        <v>8</v>
      </c>
      <c r="H2950" s="1">
        <v>652</v>
      </c>
      <c r="I2950" s="1">
        <v>5</v>
      </c>
      <c r="J2950" s="4">
        <v>4955.2</v>
      </c>
      <c r="K2950" s="4">
        <v>2610.21</v>
      </c>
      <c r="L2950" s="4">
        <v>2344.9899999999998</v>
      </c>
      <c r="M2950" s="1" t="str">
        <f>TEXT(Table1[[#This Row],[Order_Date]], "MMM")</f>
        <v>Feb</v>
      </c>
      <c r="N2950" s="1">
        <f>YEAR(Table1[[#This Row],[Order_Date]])</f>
        <v>2023</v>
      </c>
      <c r="O2950" s="7">
        <f>Table1[[#This Row],[Profit]]/Table1[[#This Row],[Total_Sales]]</f>
        <v>0.47323821440103325</v>
      </c>
    </row>
    <row r="2951" spans="1:15" x14ac:dyDescent="0.25">
      <c r="A2951" s="1">
        <v>2950</v>
      </c>
      <c r="B2951" s="2">
        <v>45535</v>
      </c>
      <c r="C2951" s="1" t="s">
        <v>16</v>
      </c>
      <c r="D2951" s="1" t="s">
        <v>13</v>
      </c>
      <c r="E2951" s="1" t="s">
        <v>39</v>
      </c>
      <c r="F2951" s="1" t="s">
        <v>31</v>
      </c>
      <c r="G2951" s="1">
        <v>5</v>
      </c>
      <c r="H2951" s="1">
        <v>901</v>
      </c>
      <c r="I2951" s="1">
        <v>15</v>
      </c>
      <c r="J2951" s="4">
        <v>3829.25</v>
      </c>
      <c r="K2951" s="4">
        <v>2348.6</v>
      </c>
      <c r="L2951" s="4">
        <v>1480.65</v>
      </c>
      <c r="M2951" s="1" t="str">
        <f>TEXT(Table1[[#This Row],[Order_Date]], "MMM")</f>
        <v>Aug</v>
      </c>
      <c r="N2951" s="1">
        <f>YEAR(Table1[[#This Row],[Order_Date]])</f>
        <v>2024</v>
      </c>
      <c r="O2951" s="7">
        <f>Table1[[#This Row],[Profit]]/Table1[[#This Row],[Total_Sales]]</f>
        <v>0.38666840765162891</v>
      </c>
    </row>
    <row r="2952" spans="1:15" x14ac:dyDescent="0.25">
      <c r="A2952" s="1">
        <v>2951</v>
      </c>
      <c r="B2952" s="2">
        <v>45207</v>
      </c>
      <c r="C2952" s="1" t="s">
        <v>25</v>
      </c>
      <c r="D2952" s="1" t="s">
        <v>26</v>
      </c>
      <c r="E2952" s="1" t="s">
        <v>27</v>
      </c>
      <c r="F2952" s="1" t="s">
        <v>31</v>
      </c>
      <c r="G2952" s="1">
        <v>1</v>
      </c>
      <c r="H2952" s="1">
        <v>981</v>
      </c>
      <c r="I2952" s="1">
        <v>20</v>
      </c>
      <c r="J2952" s="4">
        <v>784.8</v>
      </c>
      <c r="K2952" s="4">
        <v>434.83</v>
      </c>
      <c r="L2952" s="4">
        <v>349.97</v>
      </c>
      <c r="M2952" s="1" t="str">
        <f>TEXT(Table1[[#This Row],[Order_Date]], "MMM")</f>
        <v>Oct</v>
      </c>
      <c r="N2952" s="1">
        <f>YEAR(Table1[[#This Row],[Order_Date]])</f>
        <v>2023</v>
      </c>
      <c r="O2952" s="7">
        <f>Table1[[#This Row],[Profit]]/Table1[[#This Row],[Total_Sales]]</f>
        <v>0.44593527013251788</v>
      </c>
    </row>
    <row r="2953" spans="1:15" x14ac:dyDescent="0.25">
      <c r="A2953" s="1">
        <v>2952</v>
      </c>
      <c r="B2953" s="2">
        <v>45015</v>
      </c>
      <c r="C2953" s="1" t="s">
        <v>19</v>
      </c>
      <c r="D2953" s="1" t="s">
        <v>26</v>
      </c>
      <c r="E2953" s="1" t="s">
        <v>27</v>
      </c>
      <c r="F2953" s="1" t="s">
        <v>31</v>
      </c>
      <c r="G2953" s="1">
        <v>10</v>
      </c>
      <c r="H2953" s="1">
        <v>916</v>
      </c>
      <c r="I2953" s="1">
        <v>15</v>
      </c>
      <c r="J2953" s="4">
        <v>7786</v>
      </c>
      <c r="K2953" s="4">
        <v>4576.57</v>
      </c>
      <c r="L2953" s="4">
        <v>3209.43</v>
      </c>
      <c r="M2953" s="1" t="str">
        <f>TEXT(Table1[[#This Row],[Order_Date]], "MMM")</f>
        <v>Mar</v>
      </c>
      <c r="N2953" s="1">
        <f>YEAR(Table1[[#This Row],[Order_Date]])</f>
        <v>2023</v>
      </c>
      <c r="O2953" s="7">
        <f>Table1[[#This Row],[Profit]]/Table1[[#This Row],[Total_Sales]]</f>
        <v>0.41220524017467247</v>
      </c>
    </row>
    <row r="2954" spans="1:15" x14ac:dyDescent="0.25">
      <c r="A2954" s="1">
        <v>2953</v>
      </c>
      <c r="B2954" s="2">
        <v>45507</v>
      </c>
      <c r="C2954" s="1" t="s">
        <v>12</v>
      </c>
      <c r="D2954" s="1" t="s">
        <v>32</v>
      </c>
      <c r="E2954" s="1" t="s">
        <v>45</v>
      </c>
      <c r="F2954" s="1" t="s">
        <v>40</v>
      </c>
      <c r="G2954" s="1">
        <v>3</v>
      </c>
      <c r="H2954" s="1">
        <v>788</v>
      </c>
      <c r="I2954" s="1">
        <v>10</v>
      </c>
      <c r="J2954" s="4">
        <v>2127.6</v>
      </c>
      <c r="K2954" s="4">
        <v>1125.24</v>
      </c>
      <c r="L2954" s="4">
        <v>1002.36</v>
      </c>
      <c r="M2954" s="1" t="str">
        <f>TEXT(Table1[[#This Row],[Order_Date]], "MMM")</f>
        <v>Aug</v>
      </c>
      <c r="N2954" s="1">
        <f>YEAR(Table1[[#This Row],[Order_Date]])</f>
        <v>2024</v>
      </c>
      <c r="O2954" s="7">
        <f>Table1[[#This Row],[Profit]]/Table1[[#This Row],[Total_Sales]]</f>
        <v>0.47112239142696</v>
      </c>
    </row>
    <row r="2955" spans="1:15" x14ac:dyDescent="0.25">
      <c r="A2955" s="1">
        <v>2954</v>
      </c>
      <c r="B2955" s="2">
        <v>45569</v>
      </c>
      <c r="C2955" s="1" t="s">
        <v>25</v>
      </c>
      <c r="D2955" s="1" t="s">
        <v>22</v>
      </c>
      <c r="E2955" s="1" t="s">
        <v>44</v>
      </c>
      <c r="F2955" s="1" t="s">
        <v>40</v>
      </c>
      <c r="G2955" s="1">
        <v>4</v>
      </c>
      <c r="H2955" s="1">
        <v>727</v>
      </c>
      <c r="I2955" s="1">
        <v>5</v>
      </c>
      <c r="J2955" s="4">
        <v>2762.6</v>
      </c>
      <c r="K2955" s="4">
        <v>1760.99</v>
      </c>
      <c r="L2955" s="4">
        <v>1001.61</v>
      </c>
      <c r="M2955" s="1" t="str">
        <f>TEXT(Table1[[#This Row],[Order_Date]], "MMM")</f>
        <v>Oct</v>
      </c>
      <c r="N2955" s="1">
        <f>YEAR(Table1[[#This Row],[Order_Date]])</f>
        <v>2024</v>
      </c>
      <c r="O2955" s="7">
        <f>Table1[[#This Row],[Profit]]/Table1[[#This Row],[Total_Sales]]</f>
        <v>0.36256063128936511</v>
      </c>
    </row>
    <row r="2956" spans="1:15" x14ac:dyDescent="0.25">
      <c r="A2956" s="1">
        <v>2955</v>
      </c>
      <c r="B2956" s="2">
        <v>45273</v>
      </c>
      <c r="C2956" s="1" t="s">
        <v>16</v>
      </c>
      <c r="D2956" s="1" t="s">
        <v>20</v>
      </c>
      <c r="E2956" s="1" t="s">
        <v>30</v>
      </c>
      <c r="F2956" s="1" t="s">
        <v>24</v>
      </c>
      <c r="G2956" s="1">
        <v>7</v>
      </c>
      <c r="H2956" s="1">
        <v>806</v>
      </c>
      <c r="I2956" s="1">
        <v>10</v>
      </c>
      <c r="J2956" s="4">
        <v>5077.8</v>
      </c>
      <c r="K2956" s="4">
        <v>3421.31</v>
      </c>
      <c r="L2956" s="4">
        <v>1656.49</v>
      </c>
      <c r="M2956" s="1" t="str">
        <f>TEXT(Table1[[#This Row],[Order_Date]], "MMM")</f>
        <v>Dec</v>
      </c>
      <c r="N2956" s="1">
        <f>YEAR(Table1[[#This Row],[Order_Date]])</f>
        <v>2023</v>
      </c>
      <c r="O2956" s="7">
        <f>Table1[[#This Row],[Profit]]/Table1[[#This Row],[Total_Sales]]</f>
        <v>0.32622198589940526</v>
      </c>
    </row>
    <row r="2957" spans="1:15" x14ac:dyDescent="0.25">
      <c r="A2957" s="1">
        <v>2956</v>
      </c>
      <c r="B2957" s="2">
        <v>45431</v>
      </c>
      <c r="C2957" s="1" t="s">
        <v>25</v>
      </c>
      <c r="D2957" s="1" t="s">
        <v>32</v>
      </c>
      <c r="E2957" s="1" t="s">
        <v>45</v>
      </c>
      <c r="F2957" s="1" t="s">
        <v>15</v>
      </c>
      <c r="G2957" s="1">
        <v>5</v>
      </c>
      <c r="H2957" s="1">
        <v>635</v>
      </c>
      <c r="I2957" s="1">
        <v>0</v>
      </c>
      <c r="J2957" s="4">
        <v>3175</v>
      </c>
      <c r="K2957" s="4">
        <v>2298.1799999999998</v>
      </c>
      <c r="L2957" s="4">
        <v>876.82</v>
      </c>
      <c r="M2957" s="1" t="str">
        <f>TEXT(Table1[[#This Row],[Order_Date]], "MMM")</f>
        <v>May</v>
      </c>
      <c r="N2957" s="1">
        <f>YEAR(Table1[[#This Row],[Order_Date]])</f>
        <v>2024</v>
      </c>
      <c r="O2957" s="7">
        <f>Table1[[#This Row],[Profit]]/Table1[[#This Row],[Total_Sales]]</f>
        <v>0.27616377952755905</v>
      </c>
    </row>
    <row r="2958" spans="1:15" x14ac:dyDescent="0.25">
      <c r="A2958" s="1">
        <v>2957</v>
      </c>
      <c r="B2958" s="2">
        <v>45313</v>
      </c>
      <c r="C2958" s="1" t="s">
        <v>25</v>
      </c>
      <c r="D2958" s="1" t="s">
        <v>26</v>
      </c>
      <c r="E2958" s="1" t="s">
        <v>27</v>
      </c>
      <c r="F2958" s="1" t="s">
        <v>40</v>
      </c>
      <c r="G2958" s="1">
        <v>7</v>
      </c>
      <c r="H2958" s="1">
        <v>673</v>
      </c>
      <c r="I2958" s="1">
        <v>5</v>
      </c>
      <c r="J2958" s="4">
        <v>4475.45</v>
      </c>
      <c r="K2958" s="4">
        <v>3509.35</v>
      </c>
      <c r="L2958" s="4">
        <v>966.1</v>
      </c>
      <c r="M2958" s="1" t="str">
        <f>TEXT(Table1[[#This Row],[Order_Date]], "MMM")</f>
        <v>Jan</v>
      </c>
      <c r="N2958" s="1">
        <f>YEAR(Table1[[#This Row],[Order_Date]])</f>
        <v>2024</v>
      </c>
      <c r="O2958" s="7">
        <f>Table1[[#This Row],[Profit]]/Table1[[#This Row],[Total_Sales]]</f>
        <v>0.21586656090449005</v>
      </c>
    </row>
    <row r="2959" spans="1:15" x14ac:dyDescent="0.25">
      <c r="A2959" s="1">
        <v>2958</v>
      </c>
      <c r="B2959" s="2">
        <v>45410</v>
      </c>
      <c r="C2959" s="1" t="s">
        <v>12</v>
      </c>
      <c r="D2959" s="1" t="s">
        <v>22</v>
      </c>
      <c r="E2959" s="1" t="s">
        <v>29</v>
      </c>
      <c r="F2959" s="1" t="s">
        <v>18</v>
      </c>
      <c r="G2959" s="1">
        <v>3</v>
      </c>
      <c r="H2959" s="1">
        <v>501</v>
      </c>
      <c r="I2959" s="1">
        <v>10</v>
      </c>
      <c r="J2959" s="4">
        <v>1352.7</v>
      </c>
      <c r="K2959" s="4">
        <v>863.8</v>
      </c>
      <c r="L2959" s="4">
        <v>488.9</v>
      </c>
      <c r="M2959" s="1" t="str">
        <f>TEXT(Table1[[#This Row],[Order_Date]], "MMM")</f>
        <v>Apr</v>
      </c>
      <c r="N2959" s="1">
        <f>YEAR(Table1[[#This Row],[Order_Date]])</f>
        <v>2024</v>
      </c>
      <c r="O2959" s="7">
        <f>Table1[[#This Row],[Profit]]/Table1[[#This Row],[Total_Sales]]</f>
        <v>0.36142529755304204</v>
      </c>
    </row>
    <row r="2960" spans="1:15" x14ac:dyDescent="0.25">
      <c r="A2960" s="1">
        <v>2959</v>
      </c>
      <c r="B2960" s="2">
        <v>45045</v>
      </c>
      <c r="C2960" s="1" t="s">
        <v>19</v>
      </c>
      <c r="D2960" s="1" t="s">
        <v>22</v>
      </c>
      <c r="E2960" s="1" t="s">
        <v>23</v>
      </c>
      <c r="F2960" s="1" t="s">
        <v>18</v>
      </c>
      <c r="G2960" s="1">
        <v>1</v>
      </c>
      <c r="H2960" s="1">
        <v>843</v>
      </c>
      <c r="I2960" s="1">
        <v>15</v>
      </c>
      <c r="J2960" s="4">
        <v>716.55</v>
      </c>
      <c r="K2960" s="4">
        <v>559.4</v>
      </c>
      <c r="L2960" s="4">
        <v>157.15</v>
      </c>
      <c r="M2960" s="1" t="str">
        <f>TEXT(Table1[[#This Row],[Order_Date]], "MMM")</f>
        <v>Apr</v>
      </c>
      <c r="N2960" s="1">
        <f>YEAR(Table1[[#This Row],[Order_Date]])</f>
        <v>2023</v>
      </c>
      <c r="O2960" s="7">
        <f>Table1[[#This Row],[Profit]]/Table1[[#This Row],[Total_Sales]]</f>
        <v>0.2193147721722141</v>
      </c>
    </row>
    <row r="2961" spans="1:15" x14ac:dyDescent="0.25">
      <c r="A2961" s="1">
        <v>2960</v>
      </c>
      <c r="B2961" s="2">
        <v>45137</v>
      </c>
      <c r="C2961" s="1" t="s">
        <v>25</v>
      </c>
      <c r="D2961" s="1" t="s">
        <v>32</v>
      </c>
      <c r="E2961" s="1" t="s">
        <v>45</v>
      </c>
      <c r="F2961" s="1" t="s">
        <v>15</v>
      </c>
      <c r="G2961" s="1">
        <v>10</v>
      </c>
      <c r="H2961" s="1">
        <v>667</v>
      </c>
      <c r="I2961" s="1">
        <v>10</v>
      </c>
      <c r="J2961" s="4">
        <v>6003</v>
      </c>
      <c r="K2961" s="4">
        <v>3077.14</v>
      </c>
      <c r="L2961" s="4">
        <v>2925.86</v>
      </c>
      <c r="M2961" s="1" t="str">
        <f>TEXT(Table1[[#This Row],[Order_Date]], "MMM")</f>
        <v>Jul</v>
      </c>
      <c r="N2961" s="1">
        <f>YEAR(Table1[[#This Row],[Order_Date]])</f>
        <v>2023</v>
      </c>
      <c r="O2961" s="7">
        <f>Table1[[#This Row],[Profit]]/Table1[[#This Row],[Total_Sales]]</f>
        <v>0.48739963351657506</v>
      </c>
    </row>
    <row r="2962" spans="1:15" x14ac:dyDescent="0.25">
      <c r="A2962" s="1">
        <v>2961</v>
      </c>
      <c r="B2962" s="2">
        <v>45532</v>
      </c>
      <c r="C2962" s="1" t="s">
        <v>25</v>
      </c>
      <c r="D2962" s="1" t="s">
        <v>20</v>
      </c>
      <c r="E2962" s="1" t="s">
        <v>30</v>
      </c>
      <c r="F2962" s="1" t="s">
        <v>35</v>
      </c>
      <c r="G2962" s="1">
        <v>2</v>
      </c>
      <c r="H2962" s="1">
        <v>306</v>
      </c>
      <c r="I2962" s="1">
        <v>5</v>
      </c>
      <c r="J2962" s="4">
        <v>581.4</v>
      </c>
      <c r="K2962" s="4">
        <v>301.45999999999998</v>
      </c>
      <c r="L2962" s="4">
        <v>279.94</v>
      </c>
      <c r="M2962" s="1" t="str">
        <f>TEXT(Table1[[#This Row],[Order_Date]], "MMM")</f>
        <v>Aug</v>
      </c>
      <c r="N2962" s="1">
        <f>YEAR(Table1[[#This Row],[Order_Date]])</f>
        <v>2024</v>
      </c>
      <c r="O2962" s="7">
        <f>Table1[[#This Row],[Profit]]/Table1[[#This Row],[Total_Sales]]</f>
        <v>0.48149294805641557</v>
      </c>
    </row>
    <row r="2963" spans="1:15" x14ac:dyDescent="0.25">
      <c r="A2963" s="1">
        <v>2962</v>
      </c>
      <c r="B2963" s="2">
        <v>45325</v>
      </c>
      <c r="C2963" s="1" t="s">
        <v>19</v>
      </c>
      <c r="D2963" s="1" t="s">
        <v>22</v>
      </c>
      <c r="E2963" s="1" t="s">
        <v>23</v>
      </c>
      <c r="F2963" s="1" t="s">
        <v>40</v>
      </c>
      <c r="G2963" s="1">
        <v>8</v>
      </c>
      <c r="H2963" s="1">
        <v>757</v>
      </c>
      <c r="I2963" s="1">
        <v>0</v>
      </c>
      <c r="J2963" s="4">
        <v>6056</v>
      </c>
      <c r="K2963" s="4">
        <v>3790.8</v>
      </c>
      <c r="L2963" s="4">
        <v>2265.1999999999998</v>
      </c>
      <c r="M2963" s="1" t="str">
        <f>TEXT(Table1[[#This Row],[Order_Date]], "MMM")</f>
        <v>Feb</v>
      </c>
      <c r="N2963" s="1">
        <f>YEAR(Table1[[#This Row],[Order_Date]])</f>
        <v>2024</v>
      </c>
      <c r="O2963" s="7">
        <f>Table1[[#This Row],[Profit]]/Table1[[#This Row],[Total_Sales]]</f>
        <v>0.37404227212681634</v>
      </c>
    </row>
    <row r="2964" spans="1:15" x14ac:dyDescent="0.25">
      <c r="A2964" s="1">
        <v>2963</v>
      </c>
      <c r="B2964" s="2">
        <v>45336</v>
      </c>
      <c r="C2964" s="1" t="s">
        <v>25</v>
      </c>
      <c r="D2964" s="1" t="s">
        <v>20</v>
      </c>
      <c r="E2964" s="1" t="s">
        <v>30</v>
      </c>
      <c r="F2964" s="1" t="s">
        <v>18</v>
      </c>
      <c r="G2964" s="1">
        <v>2</v>
      </c>
      <c r="H2964" s="1">
        <v>191</v>
      </c>
      <c r="I2964" s="1">
        <v>15</v>
      </c>
      <c r="J2964" s="4">
        <v>324.7</v>
      </c>
      <c r="K2964" s="4">
        <v>227.19</v>
      </c>
      <c r="L2964" s="4">
        <v>97.51</v>
      </c>
      <c r="M2964" s="1" t="str">
        <f>TEXT(Table1[[#This Row],[Order_Date]], "MMM")</f>
        <v>Feb</v>
      </c>
      <c r="N2964" s="1">
        <f>YEAR(Table1[[#This Row],[Order_Date]])</f>
        <v>2024</v>
      </c>
      <c r="O2964" s="7">
        <f>Table1[[#This Row],[Profit]]/Table1[[#This Row],[Total_Sales]]</f>
        <v>0.30030797659377889</v>
      </c>
    </row>
    <row r="2965" spans="1:15" x14ac:dyDescent="0.25">
      <c r="A2965" s="1">
        <v>2964</v>
      </c>
      <c r="B2965" s="2">
        <v>45276</v>
      </c>
      <c r="C2965" s="1" t="s">
        <v>16</v>
      </c>
      <c r="D2965" s="1" t="s">
        <v>22</v>
      </c>
      <c r="E2965" s="1" t="s">
        <v>29</v>
      </c>
      <c r="F2965" s="1" t="s">
        <v>31</v>
      </c>
      <c r="G2965" s="1">
        <v>9</v>
      </c>
      <c r="H2965" s="1">
        <v>189</v>
      </c>
      <c r="I2965" s="1">
        <v>20</v>
      </c>
      <c r="J2965" s="4">
        <v>1360.8</v>
      </c>
      <c r="K2965" s="4">
        <v>978.31</v>
      </c>
      <c r="L2965" s="4">
        <v>382.49</v>
      </c>
      <c r="M2965" s="1" t="str">
        <f>TEXT(Table1[[#This Row],[Order_Date]], "MMM")</f>
        <v>Dec</v>
      </c>
      <c r="N2965" s="1">
        <f>YEAR(Table1[[#This Row],[Order_Date]])</f>
        <v>2023</v>
      </c>
      <c r="O2965" s="7">
        <f>Table1[[#This Row],[Profit]]/Table1[[#This Row],[Total_Sales]]</f>
        <v>0.28107730746619636</v>
      </c>
    </row>
    <row r="2966" spans="1:15" x14ac:dyDescent="0.25">
      <c r="A2966" s="1">
        <v>2965</v>
      </c>
      <c r="B2966" s="2">
        <v>45422</v>
      </c>
      <c r="C2966" s="1" t="s">
        <v>16</v>
      </c>
      <c r="D2966" s="1" t="s">
        <v>20</v>
      </c>
      <c r="E2966" s="1" t="s">
        <v>43</v>
      </c>
      <c r="F2966" s="1" t="s">
        <v>40</v>
      </c>
      <c r="G2966" s="1">
        <v>1</v>
      </c>
      <c r="H2966" s="1">
        <v>535</v>
      </c>
      <c r="I2966" s="1">
        <v>5</v>
      </c>
      <c r="J2966" s="4">
        <v>508.25</v>
      </c>
      <c r="K2966" s="4">
        <v>351.34</v>
      </c>
      <c r="L2966" s="4">
        <v>156.91</v>
      </c>
      <c r="M2966" s="1" t="str">
        <f>TEXT(Table1[[#This Row],[Order_Date]], "MMM")</f>
        <v>May</v>
      </c>
      <c r="N2966" s="1">
        <f>YEAR(Table1[[#This Row],[Order_Date]])</f>
        <v>2024</v>
      </c>
      <c r="O2966" s="7">
        <f>Table1[[#This Row],[Profit]]/Table1[[#This Row],[Total_Sales]]</f>
        <v>0.30872602065912447</v>
      </c>
    </row>
    <row r="2967" spans="1:15" x14ac:dyDescent="0.25">
      <c r="A2967" s="1">
        <v>2966</v>
      </c>
      <c r="B2967" s="2">
        <v>45240</v>
      </c>
      <c r="C2967" s="1" t="s">
        <v>12</v>
      </c>
      <c r="D2967" s="1" t="s">
        <v>32</v>
      </c>
      <c r="E2967" s="1" t="s">
        <v>34</v>
      </c>
      <c r="F2967" s="1" t="s">
        <v>31</v>
      </c>
      <c r="G2967" s="1">
        <v>7</v>
      </c>
      <c r="H2967" s="1">
        <v>882</v>
      </c>
      <c r="I2967" s="1">
        <v>0</v>
      </c>
      <c r="J2967" s="4">
        <v>6174</v>
      </c>
      <c r="K2967" s="4">
        <v>4008.38</v>
      </c>
      <c r="L2967" s="4">
        <v>2165.62</v>
      </c>
      <c r="M2967" s="1" t="str">
        <f>TEXT(Table1[[#This Row],[Order_Date]], "MMM")</f>
        <v>Nov</v>
      </c>
      <c r="N2967" s="1">
        <f>YEAR(Table1[[#This Row],[Order_Date]])</f>
        <v>2023</v>
      </c>
      <c r="O2967" s="7">
        <f>Table1[[#This Row],[Profit]]/Table1[[#This Row],[Total_Sales]]</f>
        <v>0.35076449627470035</v>
      </c>
    </row>
    <row r="2968" spans="1:15" x14ac:dyDescent="0.25">
      <c r="A2968" s="1">
        <v>2967</v>
      </c>
      <c r="B2968" s="2">
        <v>45448</v>
      </c>
      <c r="C2968" s="1" t="s">
        <v>19</v>
      </c>
      <c r="D2968" s="1" t="s">
        <v>20</v>
      </c>
      <c r="E2968" s="1" t="s">
        <v>21</v>
      </c>
      <c r="F2968" s="1" t="s">
        <v>15</v>
      </c>
      <c r="G2968" s="1">
        <v>7</v>
      </c>
      <c r="H2968" s="1">
        <v>423</v>
      </c>
      <c r="I2968" s="1">
        <v>5</v>
      </c>
      <c r="J2968" s="4">
        <v>2812.95</v>
      </c>
      <c r="K2968" s="4">
        <v>1748.09</v>
      </c>
      <c r="L2968" s="4">
        <v>1064.8599999999999</v>
      </c>
      <c r="M2968" s="1" t="str">
        <f>TEXT(Table1[[#This Row],[Order_Date]], "MMM")</f>
        <v>Jun</v>
      </c>
      <c r="N2968" s="1">
        <f>YEAR(Table1[[#This Row],[Order_Date]])</f>
        <v>2024</v>
      </c>
      <c r="O2968" s="7">
        <f>Table1[[#This Row],[Profit]]/Table1[[#This Row],[Total_Sales]]</f>
        <v>0.37855631987770844</v>
      </c>
    </row>
    <row r="2969" spans="1:15" x14ac:dyDescent="0.25">
      <c r="A2969" s="1">
        <v>2968</v>
      </c>
      <c r="B2969" s="2">
        <v>45337</v>
      </c>
      <c r="C2969" s="1" t="s">
        <v>25</v>
      </c>
      <c r="D2969" s="1" t="s">
        <v>26</v>
      </c>
      <c r="E2969" s="1" t="s">
        <v>37</v>
      </c>
      <c r="F2969" s="1" t="s">
        <v>40</v>
      </c>
      <c r="G2969" s="1">
        <v>8</v>
      </c>
      <c r="H2969" s="1">
        <v>300</v>
      </c>
      <c r="I2969" s="1">
        <v>0</v>
      </c>
      <c r="J2969" s="4">
        <v>2400</v>
      </c>
      <c r="K2969" s="4">
        <v>1780.77</v>
      </c>
      <c r="L2969" s="4">
        <v>619.23</v>
      </c>
      <c r="M2969" s="1" t="str">
        <f>TEXT(Table1[[#This Row],[Order_Date]], "MMM")</f>
        <v>Feb</v>
      </c>
      <c r="N2969" s="1">
        <f>YEAR(Table1[[#This Row],[Order_Date]])</f>
        <v>2024</v>
      </c>
      <c r="O2969" s="7">
        <f>Table1[[#This Row],[Profit]]/Table1[[#This Row],[Total_Sales]]</f>
        <v>0.25801250000000003</v>
      </c>
    </row>
    <row r="2970" spans="1:15" x14ac:dyDescent="0.25">
      <c r="A2970" s="1">
        <v>2969</v>
      </c>
      <c r="B2970" s="2">
        <v>45576</v>
      </c>
      <c r="C2970" s="1" t="s">
        <v>12</v>
      </c>
      <c r="D2970" s="1" t="s">
        <v>22</v>
      </c>
      <c r="E2970" s="1" t="s">
        <v>44</v>
      </c>
      <c r="F2970" s="1" t="s">
        <v>15</v>
      </c>
      <c r="G2970" s="1">
        <v>9</v>
      </c>
      <c r="H2970" s="1">
        <v>971</v>
      </c>
      <c r="I2970" s="1">
        <v>10</v>
      </c>
      <c r="J2970" s="4">
        <v>7865.1</v>
      </c>
      <c r="K2970" s="4">
        <v>4232.53</v>
      </c>
      <c r="L2970" s="4">
        <v>3632.57</v>
      </c>
      <c r="M2970" s="1" t="str">
        <f>TEXT(Table1[[#This Row],[Order_Date]], "MMM")</f>
        <v>Oct</v>
      </c>
      <c r="N2970" s="1">
        <f>YEAR(Table1[[#This Row],[Order_Date]])</f>
        <v>2024</v>
      </c>
      <c r="O2970" s="7">
        <f>Table1[[#This Row],[Profit]]/Table1[[#This Row],[Total_Sales]]</f>
        <v>0.46185935334579342</v>
      </c>
    </row>
    <row r="2971" spans="1:15" x14ac:dyDescent="0.25">
      <c r="A2971" s="1">
        <v>2970</v>
      </c>
      <c r="B2971" s="2">
        <v>45641</v>
      </c>
      <c r="C2971" s="1" t="s">
        <v>16</v>
      </c>
      <c r="D2971" s="1" t="s">
        <v>13</v>
      </c>
      <c r="E2971" s="1" t="s">
        <v>38</v>
      </c>
      <c r="F2971" s="1" t="s">
        <v>18</v>
      </c>
      <c r="G2971" s="1">
        <v>9</v>
      </c>
      <c r="H2971" s="1">
        <v>355</v>
      </c>
      <c r="I2971" s="1">
        <v>0</v>
      </c>
      <c r="J2971" s="4">
        <v>3195</v>
      </c>
      <c r="K2971" s="4">
        <v>1946</v>
      </c>
      <c r="L2971" s="4">
        <v>1249</v>
      </c>
      <c r="M2971" s="1" t="str">
        <f>TEXT(Table1[[#This Row],[Order_Date]], "MMM")</f>
        <v>Dec</v>
      </c>
      <c r="N2971" s="1">
        <f>YEAR(Table1[[#This Row],[Order_Date]])</f>
        <v>2024</v>
      </c>
      <c r="O2971" s="7">
        <f>Table1[[#This Row],[Profit]]/Table1[[#This Row],[Total_Sales]]</f>
        <v>0.39092331768388106</v>
      </c>
    </row>
    <row r="2972" spans="1:15" x14ac:dyDescent="0.25">
      <c r="A2972" s="1">
        <v>2971</v>
      </c>
      <c r="B2972" s="2">
        <v>45241</v>
      </c>
      <c r="C2972" s="1" t="s">
        <v>16</v>
      </c>
      <c r="D2972" s="1" t="s">
        <v>26</v>
      </c>
      <c r="E2972" s="1" t="s">
        <v>37</v>
      </c>
      <c r="F2972" s="1" t="s">
        <v>35</v>
      </c>
      <c r="G2972" s="1">
        <v>10</v>
      </c>
      <c r="H2972" s="1">
        <v>607</v>
      </c>
      <c r="I2972" s="1">
        <v>5</v>
      </c>
      <c r="J2972" s="4">
        <v>5766.5</v>
      </c>
      <c r="K2972" s="4">
        <v>4499.66</v>
      </c>
      <c r="L2972" s="4">
        <v>1266.8399999999999</v>
      </c>
      <c r="M2972" s="1" t="str">
        <f>TEXT(Table1[[#This Row],[Order_Date]], "MMM")</f>
        <v>Nov</v>
      </c>
      <c r="N2972" s="1">
        <f>YEAR(Table1[[#This Row],[Order_Date]])</f>
        <v>2023</v>
      </c>
      <c r="O2972" s="7">
        <f>Table1[[#This Row],[Profit]]/Table1[[#This Row],[Total_Sales]]</f>
        <v>0.21968958640423134</v>
      </c>
    </row>
    <row r="2973" spans="1:15" x14ac:dyDescent="0.25">
      <c r="A2973" s="1">
        <v>2972</v>
      </c>
      <c r="B2973" s="2">
        <v>45234</v>
      </c>
      <c r="C2973" s="1" t="s">
        <v>19</v>
      </c>
      <c r="D2973" s="1" t="s">
        <v>26</v>
      </c>
      <c r="E2973" s="1" t="s">
        <v>46</v>
      </c>
      <c r="F2973" s="1" t="s">
        <v>24</v>
      </c>
      <c r="G2973" s="1">
        <v>7</v>
      </c>
      <c r="H2973" s="1">
        <v>546</v>
      </c>
      <c r="I2973" s="1">
        <v>0</v>
      </c>
      <c r="J2973" s="4">
        <v>3822</v>
      </c>
      <c r="K2973" s="4">
        <v>3018.61</v>
      </c>
      <c r="L2973" s="4">
        <v>803.39</v>
      </c>
      <c r="M2973" s="1" t="str">
        <f>TEXT(Table1[[#This Row],[Order_Date]], "MMM")</f>
        <v>Nov</v>
      </c>
      <c r="N2973" s="1">
        <f>YEAR(Table1[[#This Row],[Order_Date]])</f>
        <v>2023</v>
      </c>
      <c r="O2973" s="7">
        <f>Table1[[#This Row],[Profit]]/Table1[[#This Row],[Total_Sales]]</f>
        <v>0.21020146520146521</v>
      </c>
    </row>
    <row r="2974" spans="1:15" x14ac:dyDescent="0.25">
      <c r="A2974" s="1">
        <v>2973</v>
      </c>
      <c r="B2974" s="2">
        <v>45033</v>
      </c>
      <c r="C2974" s="1" t="s">
        <v>25</v>
      </c>
      <c r="D2974" s="1" t="s">
        <v>20</v>
      </c>
      <c r="E2974" s="1" t="s">
        <v>28</v>
      </c>
      <c r="F2974" s="1" t="s">
        <v>18</v>
      </c>
      <c r="G2974" s="1">
        <v>5</v>
      </c>
      <c r="H2974" s="1">
        <v>55</v>
      </c>
      <c r="I2974" s="1">
        <v>5</v>
      </c>
      <c r="J2974" s="4">
        <v>261.25</v>
      </c>
      <c r="K2974" s="4">
        <v>148.12</v>
      </c>
      <c r="L2974" s="4">
        <v>113.13</v>
      </c>
      <c r="M2974" s="1" t="str">
        <f>TEXT(Table1[[#This Row],[Order_Date]], "MMM")</f>
        <v>Apr</v>
      </c>
      <c r="N2974" s="1">
        <f>YEAR(Table1[[#This Row],[Order_Date]])</f>
        <v>2023</v>
      </c>
      <c r="O2974" s="7">
        <f>Table1[[#This Row],[Profit]]/Table1[[#This Row],[Total_Sales]]</f>
        <v>0.43303349282296649</v>
      </c>
    </row>
    <row r="2975" spans="1:15" x14ac:dyDescent="0.25">
      <c r="A2975" s="1">
        <v>2974</v>
      </c>
      <c r="B2975" s="2">
        <v>45150</v>
      </c>
      <c r="C2975" s="1" t="s">
        <v>12</v>
      </c>
      <c r="D2975" s="1" t="s">
        <v>32</v>
      </c>
      <c r="E2975" s="1" t="s">
        <v>41</v>
      </c>
      <c r="F2975" s="1" t="s">
        <v>24</v>
      </c>
      <c r="G2975" s="1">
        <v>4</v>
      </c>
      <c r="H2975" s="1">
        <v>1000</v>
      </c>
      <c r="I2975" s="1">
        <v>20</v>
      </c>
      <c r="J2975" s="4">
        <v>3200</v>
      </c>
      <c r="K2975" s="4">
        <v>1791</v>
      </c>
      <c r="L2975" s="4">
        <v>1409</v>
      </c>
      <c r="M2975" s="1" t="str">
        <f>TEXT(Table1[[#This Row],[Order_Date]], "MMM")</f>
        <v>Aug</v>
      </c>
      <c r="N2975" s="1">
        <f>YEAR(Table1[[#This Row],[Order_Date]])</f>
        <v>2023</v>
      </c>
      <c r="O2975" s="7">
        <f>Table1[[#This Row],[Profit]]/Table1[[#This Row],[Total_Sales]]</f>
        <v>0.4403125</v>
      </c>
    </row>
    <row r="2976" spans="1:15" x14ac:dyDescent="0.25">
      <c r="A2976" s="1">
        <v>2975</v>
      </c>
      <c r="B2976" s="2">
        <v>45308</v>
      </c>
      <c r="C2976" s="1" t="s">
        <v>12</v>
      </c>
      <c r="D2976" s="1" t="s">
        <v>13</v>
      </c>
      <c r="E2976" s="1" t="s">
        <v>39</v>
      </c>
      <c r="F2976" s="1" t="s">
        <v>18</v>
      </c>
      <c r="G2976" s="1">
        <v>8</v>
      </c>
      <c r="H2976" s="1">
        <v>413</v>
      </c>
      <c r="I2976" s="1">
        <v>5</v>
      </c>
      <c r="J2976" s="4">
        <v>3138.8</v>
      </c>
      <c r="K2976" s="4">
        <v>2433.67</v>
      </c>
      <c r="L2976" s="4">
        <v>705.13</v>
      </c>
      <c r="M2976" s="1" t="str">
        <f>TEXT(Table1[[#This Row],[Order_Date]], "MMM")</f>
        <v>Jan</v>
      </c>
      <c r="N2976" s="1">
        <f>YEAR(Table1[[#This Row],[Order_Date]])</f>
        <v>2024</v>
      </c>
      <c r="O2976" s="7">
        <f>Table1[[#This Row],[Profit]]/Table1[[#This Row],[Total_Sales]]</f>
        <v>0.22464954759780806</v>
      </c>
    </row>
    <row r="2977" spans="1:15" x14ac:dyDescent="0.25">
      <c r="A2977" s="1">
        <v>2976</v>
      </c>
      <c r="B2977" s="2">
        <v>44954</v>
      </c>
      <c r="C2977" s="1" t="s">
        <v>25</v>
      </c>
      <c r="D2977" s="1" t="s">
        <v>13</v>
      </c>
      <c r="E2977" s="1" t="s">
        <v>14</v>
      </c>
      <c r="F2977" s="1" t="s">
        <v>31</v>
      </c>
      <c r="G2977" s="1">
        <v>1</v>
      </c>
      <c r="H2977" s="1">
        <v>262</v>
      </c>
      <c r="I2977" s="1">
        <v>5</v>
      </c>
      <c r="J2977" s="4">
        <v>248.9</v>
      </c>
      <c r="K2977" s="4">
        <v>163.22</v>
      </c>
      <c r="L2977" s="4">
        <v>85.68</v>
      </c>
      <c r="M2977" s="1" t="str">
        <f>TEXT(Table1[[#This Row],[Order_Date]], "MMM")</f>
        <v>Jan</v>
      </c>
      <c r="N2977" s="1">
        <f>YEAR(Table1[[#This Row],[Order_Date]])</f>
        <v>2023</v>
      </c>
      <c r="O2977" s="7">
        <f>Table1[[#This Row],[Profit]]/Table1[[#This Row],[Total_Sales]]</f>
        <v>0.34423463238248292</v>
      </c>
    </row>
    <row r="2978" spans="1:15" x14ac:dyDescent="0.25">
      <c r="A2978" s="1">
        <v>2977</v>
      </c>
      <c r="B2978" s="2">
        <v>45003</v>
      </c>
      <c r="C2978" s="1" t="s">
        <v>16</v>
      </c>
      <c r="D2978" s="1" t="s">
        <v>22</v>
      </c>
      <c r="E2978" s="1" t="s">
        <v>44</v>
      </c>
      <c r="F2978" s="1" t="s">
        <v>24</v>
      </c>
      <c r="G2978" s="1">
        <v>10</v>
      </c>
      <c r="H2978" s="1">
        <v>992</v>
      </c>
      <c r="I2978" s="1">
        <v>20</v>
      </c>
      <c r="J2978" s="4">
        <v>7936</v>
      </c>
      <c r="K2978" s="4">
        <v>4017.54</v>
      </c>
      <c r="L2978" s="4">
        <v>3918.46</v>
      </c>
      <c r="M2978" s="1" t="str">
        <f>TEXT(Table1[[#This Row],[Order_Date]], "MMM")</f>
        <v>Mar</v>
      </c>
      <c r="N2978" s="1">
        <f>YEAR(Table1[[#This Row],[Order_Date]])</f>
        <v>2023</v>
      </c>
      <c r="O2978" s="7">
        <f>Table1[[#This Row],[Profit]]/Table1[[#This Row],[Total_Sales]]</f>
        <v>0.49375756048387098</v>
      </c>
    </row>
    <row r="2979" spans="1:15" x14ac:dyDescent="0.25">
      <c r="A2979" s="1">
        <v>2978</v>
      </c>
      <c r="B2979" s="2">
        <v>44954</v>
      </c>
      <c r="C2979" s="1" t="s">
        <v>12</v>
      </c>
      <c r="D2979" s="1" t="s">
        <v>13</v>
      </c>
      <c r="E2979" s="1" t="s">
        <v>39</v>
      </c>
      <c r="F2979" s="1" t="s">
        <v>31</v>
      </c>
      <c r="G2979" s="1">
        <v>5</v>
      </c>
      <c r="H2979" s="1">
        <v>178</v>
      </c>
      <c r="I2979" s="1">
        <v>10</v>
      </c>
      <c r="J2979" s="4">
        <v>801</v>
      </c>
      <c r="K2979" s="4">
        <v>488.19</v>
      </c>
      <c r="L2979" s="4">
        <v>312.81</v>
      </c>
      <c r="M2979" s="1" t="str">
        <f>TEXT(Table1[[#This Row],[Order_Date]], "MMM")</f>
        <v>Jan</v>
      </c>
      <c r="N2979" s="1">
        <f>YEAR(Table1[[#This Row],[Order_Date]])</f>
        <v>2023</v>
      </c>
      <c r="O2979" s="7">
        <f>Table1[[#This Row],[Profit]]/Table1[[#This Row],[Total_Sales]]</f>
        <v>0.39052434456928842</v>
      </c>
    </row>
    <row r="2980" spans="1:15" x14ac:dyDescent="0.25">
      <c r="A2980" s="1">
        <v>2979</v>
      </c>
      <c r="B2980" s="2">
        <v>44976</v>
      </c>
      <c r="C2980" s="1" t="s">
        <v>12</v>
      </c>
      <c r="D2980" s="1" t="s">
        <v>22</v>
      </c>
      <c r="E2980" s="1" t="s">
        <v>44</v>
      </c>
      <c r="F2980" s="1" t="s">
        <v>31</v>
      </c>
      <c r="G2980" s="1">
        <v>5</v>
      </c>
      <c r="H2980" s="1">
        <v>10</v>
      </c>
      <c r="I2980" s="1">
        <v>20</v>
      </c>
      <c r="J2980" s="4">
        <v>40</v>
      </c>
      <c r="K2980" s="4">
        <v>30.13</v>
      </c>
      <c r="L2980" s="4">
        <v>9.8699999999999992</v>
      </c>
      <c r="M2980" s="1" t="str">
        <f>TEXT(Table1[[#This Row],[Order_Date]], "MMM")</f>
        <v>Feb</v>
      </c>
      <c r="N2980" s="1">
        <f>YEAR(Table1[[#This Row],[Order_Date]])</f>
        <v>2023</v>
      </c>
      <c r="O2980" s="7">
        <f>Table1[[#This Row],[Profit]]/Table1[[#This Row],[Total_Sales]]</f>
        <v>0.24674999999999997</v>
      </c>
    </row>
    <row r="2981" spans="1:15" x14ac:dyDescent="0.25">
      <c r="A2981" s="1">
        <v>2980</v>
      </c>
      <c r="B2981" s="2">
        <v>45543</v>
      </c>
      <c r="C2981" s="1" t="s">
        <v>16</v>
      </c>
      <c r="D2981" s="1" t="s">
        <v>32</v>
      </c>
      <c r="E2981" s="1" t="s">
        <v>41</v>
      </c>
      <c r="F2981" s="1" t="s">
        <v>31</v>
      </c>
      <c r="G2981" s="1">
        <v>6</v>
      </c>
      <c r="H2981" s="1">
        <v>399</v>
      </c>
      <c r="I2981" s="1">
        <v>0</v>
      </c>
      <c r="J2981" s="4">
        <v>2394</v>
      </c>
      <c r="K2981" s="4">
        <v>1681.22</v>
      </c>
      <c r="L2981" s="4">
        <v>712.78</v>
      </c>
      <c r="M2981" s="1" t="str">
        <f>TEXT(Table1[[#This Row],[Order_Date]], "MMM")</f>
        <v>Sep</v>
      </c>
      <c r="N2981" s="1">
        <f>YEAR(Table1[[#This Row],[Order_Date]])</f>
        <v>2024</v>
      </c>
      <c r="O2981" s="7">
        <f>Table1[[#This Row],[Profit]]/Table1[[#This Row],[Total_Sales]]</f>
        <v>0.29773600668337508</v>
      </c>
    </row>
    <row r="2982" spans="1:15" x14ac:dyDescent="0.25">
      <c r="A2982" s="1">
        <v>2981</v>
      </c>
      <c r="B2982" s="2">
        <v>45622</v>
      </c>
      <c r="C2982" s="1" t="s">
        <v>16</v>
      </c>
      <c r="D2982" s="1" t="s">
        <v>13</v>
      </c>
      <c r="E2982" s="1" t="s">
        <v>39</v>
      </c>
      <c r="F2982" s="1" t="s">
        <v>40</v>
      </c>
      <c r="G2982" s="1">
        <v>5</v>
      </c>
      <c r="H2982" s="1">
        <v>11</v>
      </c>
      <c r="I2982" s="1">
        <v>5</v>
      </c>
      <c r="J2982" s="4">
        <v>52.25</v>
      </c>
      <c r="K2982" s="4">
        <v>35.74</v>
      </c>
      <c r="L2982" s="4">
        <v>16.510000000000002</v>
      </c>
      <c r="M2982" s="1" t="str">
        <f>TEXT(Table1[[#This Row],[Order_Date]], "MMM")</f>
        <v>Nov</v>
      </c>
      <c r="N2982" s="1">
        <f>YEAR(Table1[[#This Row],[Order_Date]])</f>
        <v>2024</v>
      </c>
      <c r="O2982" s="7">
        <f>Table1[[#This Row],[Profit]]/Table1[[#This Row],[Total_Sales]]</f>
        <v>0.3159808612440192</v>
      </c>
    </row>
    <row r="2983" spans="1:15" x14ac:dyDescent="0.25">
      <c r="A2983" s="1">
        <v>2982</v>
      </c>
      <c r="B2983" s="2">
        <v>45548</v>
      </c>
      <c r="C2983" s="1" t="s">
        <v>25</v>
      </c>
      <c r="D2983" s="1" t="s">
        <v>13</v>
      </c>
      <c r="E2983" s="1" t="s">
        <v>14</v>
      </c>
      <c r="F2983" s="1" t="s">
        <v>15</v>
      </c>
      <c r="G2983" s="1">
        <v>10</v>
      </c>
      <c r="H2983" s="1">
        <v>652</v>
      </c>
      <c r="I2983" s="1">
        <v>10</v>
      </c>
      <c r="J2983" s="4">
        <v>5868</v>
      </c>
      <c r="K2983" s="4">
        <v>3859.12</v>
      </c>
      <c r="L2983" s="4">
        <v>2008.88</v>
      </c>
      <c r="M2983" s="1" t="str">
        <f>TEXT(Table1[[#This Row],[Order_Date]], "MMM")</f>
        <v>Sep</v>
      </c>
      <c r="N2983" s="1">
        <f>YEAR(Table1[[#This Row],[Order_Date]])</f>
        <v>2024</v>
      </c>
      <c r="O2983" s="7">
        <f>Table1[[#This Row],[Profit]]/Table1[[#This Row],[Total_Sales]]</f>
        <v>0.34234492160872532</v>
      </c>
    </row>
    <row r="2984" spans="1:15" x14ac:dyDescent="0.25">
      <c r="A2984" s="1">
        <v>2983</v>
      </c>
      <c r="B2984" s="2">
        <v>45501</v>
      </c>
      <c r="C2984" s="1" t="s">
        <v>25</v>
      </c>
      <c r="D2984" s="1" t="s">
        <v>22</v>
      </c>
      <c r="E2984" s="1" t="s">
        <v>36</v>
      </c>
      <c r="F2984" s="1" t="s">
        <v>31</v>
      </c>
      <c r="G2984" s="1">
        <v>10</v>
      </c>
      <c r="H2984" s="1">
        <v>846</v>
      </c>
      <c r="I2984" s="1">
        <v>0</v>
      </c>
      <c r="J2984" s="4">
        <v>8460</v>
      </c>
      <c r="K2984" s="4">
        <v>4897.2299999999996</v>
      </c>
      <c r="L2984" s="4">
        <v>3562.77</v>
      </c>
      <c r="M2984" s="1" t="str">
        <f>TEXT(Table1[[#This Row],[Order_Date]], "MMM")</f>
        <v>Jul</v>
      </c>
      <c r="N2984" s="1">
        <f>YEAR(Table1[[#This Row],[Order_Date]])</f>
        <v>2024</v>
      </c>
      <c r="O2984" s="7">
        <f>Table1[[#This Row],[Profit]]/Table1[[#This Row],[Total_Sales]]</f>
        <v>0.42113120567375889</v>
      </c>
    </row>
    <row r="2985" spans="1:15" x14ac:dyDescent="0.25">
      <c r="A2985" s="1">
        <v>2984</v>
      </c>
      <c r="B2985" s="2">
        <v>45614</v>
      </c>
      <c r="C2985" s="1" t="s">
        <v>12</v>
      </c>
      <c r="D2985" s="1" t="s">
        <v>26</v>
      </c>
      <c r="E2985" s="1" t="s">
        <v>46</v>
      </c>
      <c r="F2985" s="1" t="s">
        <v>18</v>
      </c>
      <c r="G2985" s="1">
        <v>3</v>
      </c>
      <c r="H2985" s="1">
        <v>395</v>
      </c>
      <c r="I2985" s="1">
        <v>10</v>
      </c>
      <c r="J2985" s="4">
        <v>1066.5</v>
      </c>
      <c r="K2985" s="4">
        <v>691.91</v>
      </c>
      <c r="L2985" s="4">
        <v>374.59</v>
      </c>
      <c r="M2985" s="1" t="str">
        <f>TEXT(Table1[[#This Row],[Order_Date]], "MMM")</f>
        <v>Nov</v>
      </c>
      <c r="N2985" s="1">
        <f>YEAR(Table1[[#This Row],[Order_Date]])</f>
        <v>2024</v>
      </c>
      <c r="O2985" s="7">
        <f>Table1[[#This Row],[Profit]]/Table1[[#This Row],[Total_Sales]]</f>
        <v>0.35123300515705574</v>
      </c>
    </row>
    <row r="2986" spans="1:15" x14ac:dyDescent="0.25">
      <c r="A2986" s="1">
        <v>2985</v>
      </c>
      <c r="B2986" s="2">
        <v>45261</v>
      </c>
      <c r="C2986" s="1" t="s">
        <v>16</v>
      </c>
      <c r="D2986" s="1" t="s">
        <v>32</v>
      </c>
      <c r="E2986" s="1" t="s">
        <v>41</v>
      </c>
      <c r="F2986" s="1" t="s">
        <v>24</v>
      </c>
      <c r="G2986" s="1">
        <v>6</v>
      </c>
      <c r="H2986" s="1">
        <v>556</v>
      </c>
      <c r="I2986" s="1">
        <v>15</v>
      </c>
      <c r="J2986" s="4">
        <v>2835.6</v>
      </c>
      <c r="K2986" s="4">
        <v>1563.65</v>
      </c>
      <c r="L2986" s="4">
        <v>1271.95</v>
      </c>
      <c r="M2986" s="1" t="str">
        <f>TEXT(Table1[[#This Row],[Order_Date]], "MMM")</f>
        <v>Dec</v>
      </c>
      <c r="N2986" s="1">
        <f>YEAR(Table1[[#This Row],[Order_Date]])</f>
        <v>2023</v>
      </c>
      <c r="O2986" s="7">
        <f>Table1[[#This Row],[Profit]]/Table1[[#This Row],[Total_Sales]]</f>
        <v>0.44856467766962904</v>
      </c>
    </row>
    <row r="2987" spans="1:15" x14ac:dyDescent="0.25">
      <c r="A2987" s="1">
        <v>2986</v>
      </c>
      <c r="B2987" s="2">
        <v>45221</v>
      </c>
      <c r="C2987" s="1" t="s">
        <v>12</v>
      </c>
      <c r="D2987" s="1" t="s">
        <v>13</v>
      </c>
      <c r="E2987" s="1" t="s">
        <v>38</v>
      </c>
      <c r="F2987" s="1" t="s">
        <v>31</v>
      </c>
      <c r="G2987" s="1">
        <v>8</v>
      </c>
      <c r="H2987" s="1">
        <v>887</v>
      </c>
      <c r="I2987" s="1">
        <v>15</v>
      </c>
      <c r="J2987" s="4">
        <v>6031.6</v>
      </c>
      <c r="K2987" s="4">
        <v>3455.78</v>
      </c>
      <c r="L2987" s="4">
        <v>2575.8200000000002</v>
      </c>
      <c r="M2987" s="1" t="str">
        <f>TEXT(Table1[[#This Row],[Order_Date]], "MMM")</f>
        <v>Oct</v>
      </c>
      <c r="N2987" s="1">
        <f>YEAR(Table1[[#This Row],[Order_Date]])</f>
        <v>2023</v>
      </c>
      <c r="O2987" s="7">
        <f>Table1[[#This Row],[Profit]]/Table1[[#This Row],[Total_Sales]]</f>
        <v>0.4270541813117581</v>
      </c>
    </row>
    <row r="2988" spans="1:15" x14ac:dyDescent="0.25">
      <c r="A2988" s="1">
        <v>2987</v>
      </c>
      <c r="B2988" s="2">
        <v>45350</v>
      </c>
      <c r="C2988" s="1" t="s">
        <v>12</v>
      </c>
      <c r="D2988" s="1" t="s">
        <v>20</v>
      </c>
      <c r="E2988" s="1" t="s">
        <v>30</v>
      </c>
      <c r="F2988" s="1" t="s">
        <v>31</v>
      </c>
      <c r="G2988" s="1">
        <v>1</v>
      </c>
      <c r="H2988" s="1">
        <v>394</v>
      </c>
      <c r="I2988" s="1">
        <v>10</v>
      </c>
      <c r="J2988" s="4">
        <v>354.6</v>
      </c>
      <c r="K2988" s="4">
        <v>247.89</v>
      </c>
      <c r="L2988" s="4">
        <v>106.71</v>
      </c>
      <c r="M2988" s="1" t="str">
        <f>TEXT(Table1[[#This Row],[Order_Date]], "MMM")</f>
        <v>Feb</v>
      </c>
      <c r="N2988" s="1">
        <f>YEAR(Table1[[#This Row],[Order_Date]])</f>
        <v>2024</v>
      </c>
      <c r="O2988" s="7">
        <f>Table1[[#This Row],[Profit]]/Table1[[#This Row],[Total_Sales]]</f>
        <v>0.30093062605752957</v>
      </c>
    </row>
    <row r="2989" spans="1:15" x14ac:dyDescent="0.25">
      <c r="A2989" s="1">
        <v>2988</v>
      </c>
      <c r="B2989" s="2">
        <v>45264</v>
      </c>
      <c r="C2989" s="1" t="s">
        <v>19</v>
      </c>
      <c r="D2989" s="1" t="s">
        <v>13</v>
      </c>
      <c r="E2989" s="1" t="s">
        <v>14</v>
      </c>
      <c r="F2989" s="1" t="s">
        <v>35</v>
      </c>
      <c r="G2989" s="1">
        <v>4</v>
      </c>
      <c r="H2989" s="1">
        <v>662</v>
      </c>
      <c r="I2989" s="1">
        <v>0</v>
      </c>
      <c r="J2989" s="4">
        <v>2648</v>
      </c>
      <c r="K2989" s="4">
        <v>1405.27</v>
      </c>
      <c r="L2989" s="4">
        <v>1242.73</v>
      </c>
      <c r="M2989" s="1" t="str">
        <f>TEXT(Table1[[#This Row],[Order_Date]], "MMM")</f>
        <v>Dec</v>
      </c>
      <c r="N2989" s="1">
        <f>YEAR(Table1[[#This Row],[Order_Date]])</f>
        <v>2023</v>
      </c>
      <c r="O2989" s="7">
        <f>Table1[[#This Row],[Profit]]/Table1[[#This Row],[Total_Sales]]</f>
        <v>0.46930891238670697</v>
      </c>
    </row>
    <row r="2990" spans="1:15" x14ac:dyDescent="0.25">
      <c r="A2990" s="1">
        <v>2989</v>
      </c>
      <c r="B2990" s="2">
        <v>45470</v>
      </c>
      <c r="C2990" s="1" t="s">
        <v>25</v>
      </c>
      <c r="D2990" s="1" t="s">
        <v>22</v>
      </c>
      <c r="E2990" s="1" t="s">
        <v>23</v>
      </c>
      <c r="F2990" s="1" t="s">
        <v>35</v>
      </c>
      <c r="G2990" s="1">
        <v>10</v>
      </c>
      <c r="H2990" s="1">
        <v>518</v>
      </c>
      <c r="I2990" s="1">
        <v>15</v>
      </c>
      <c r="J2990" s="4">
        <v>4403</v>
      </c>
      <c r="K2990" s="4">
        <v>3212.93</v>
      </c>
      <c r="L2990" s="4">
        <v>1190.07</v>
      </c>
      <c r="M2990" s="1" t="str">
        <f>TEXT(Table1[[#This Row],[Order_Date]], "MMM")</f>
        <v>Jun</v>
      </c>
      <c r="N2990" s="1">
        <f>YEAR(Table1[[#This Row],[Order_Date]])</f>
        <v>2024</v>
      </c>
      <c r="O2990" s="7">
        <f>Table1[[#This Row],[Profit]]/Table1[[#This Row],[Total_Sales]]</f>
        <v>0.27028616852146264</v>
      </c>
    </row>
    <row r="2991" spans="1:15" x14ac:dyDescent="0.25">
      <c r="A2991" s="1">
        <v>2990</v>
      </c>
      <c r="B2991" s="2">
        <v>45369</v>
      </c>
      <c r="C2991" s="1" t="s">
        <v>25</v>
      </c>
      <c r="D2991" s="1" t="s">
        <v>22</v>
      </c>
      <c r="E2991" s="1" t="s">
        <v>23</v>
      </c>
      <c r="F2991" s="1" t="s">
        <v>31</v>
      </c>
      <c r="G2991" s="1">
        <v>2</v>
      </c>
      <c r="H2991" s="1">
        <v>950</v>
      </c>
      <c r="I2991" s="1">
        <v>20</v>
      </c>
      <c r="J2991" s="4">
        <v>1520</v>
      </c>
      <c r="K2991" s="4">
        <v>1102.72</v>
      </c>
      <c r="L2991" s="4">
        <v>417.28</v>
      </c>
      <c r="M2991" s="1" t="str">
        <f>TEXT(Table1[[#This Row],[Order_Date]], "MMM")</f>
        <v>Mar</v>
      </c>
      <c r="N2991" s="1">
        <f>YEAR(Table1[[#This Row],[Order_Date]])</f>
        <v>2024</v>
      </c>
      <c r="O2991" s="7">
        <f>Table1[[#This Row],[Profit]]/Table1[[#This Row],[Total_Sales]]</f>
        <v>0.27452631578947367</v>
      </c>
    </row>
    <row r="2992" spans="1:15" x14ac:dyDescent="0.25">
      <c r="A2992" s="1">
        <v>2991</v>
      </c>
      <c r="B2992" s="2">
        <v>45213</v>
      </c>
      <c r="C2992" s="1" t="s">
        <v>16</v>
      </c>
      <c r="D2992" s="1" t="s">
        <v>22</v>
      </c>
      <c r="E2992" s="1" t="s">
        <v>36</v>
      </c>
      <c r="F2992" s="1" t="s">
        <v>35</v>
      </c>
      <c r="G2992" s="1">
        <v>5</v>
      </c>
      <c r="H2992" s="1">
        <v>839</v>
      </c>
      <c r="I2992" s="1">
        <v>10</v>
      </c>
      <c r="J2992" s="4">
        <v>3775.5</v>
      </c>
      <c r="K2992" s="4">
        <v>1947.62</v>
      </c>
      <c r="L2992" s="4">
        <v>1827.88</v>
      </c>
      <c r="M2992" s="1" t="str">
        <f>TEXT(Table1[[#This Row],[Order_Date]], "MMM")</f>
        <v>Oct</v>
      </c>
      <c r="N2992" s="1">
        <f>YEAR(Table1[[#This Row],[Order_Date]])</f>
        <v>2023</v>
      </c>
      <c r="O2992" s="7">
        <f>Table1[[#This Row],[Profit]]/Table1[[#This Row],[Total_Sales]]</f>
        <v>0.48414249768242618</v>
      </c>
    </row>
    <row r="2993" spans="1:15" x14ac:dyDescent="0.25">
      <c r="A2993" s="1">
        <v>2992</v>
      </c>
      <c r="B2993" s="2">
        <v>45098</v>
      </c>
      <c r="C2993" s="1" t="s">
        <v>12</v>
      </c>
      <c r="D2993" s="1" t="s">
        <v>26</v>
      </c>
      <c r="E2993" s="1" t="s">
        <v>27</v>
      </c>
      <c r="F2993" s="1" t="s">
        <v>18</v>
      </c>
      <c r="G2993" s="1">
        <v>1</v>
      </c>
      <c r="H2993" s="1">
        <v>539</v>
      </c>
      <c r="I2993" s="1">
        <v>0</v>
      </c>
      <c r="J2993" s="4">
        <v>539</v>
      </c>
      <c r="K2993" s="4">
        <v>299.25</v>
      </c>
      <c r="L2993" s="4">
        <v>239.75</v>
      </c>
      <c r="M2993" s="1" t="str">
        <f>TEXT(Table1[[#This Row],[Order_Date]], "MMM")</f>
        <v>Jun</v>
      </c>
      <c r="N2993" s="1">
        <f>YEAR(Table1[[#This Row],[Order_Date]])</f>
        <v>2023</v>
      </c>
      <c r="O2993" s="7">
        <f>Table1[[#This Row],[Profit]]/Table1[[#This Row],[Total_Sales]]</f>
        <v>0.44480519480519481</v>
      </c>
    </row>
    <row r="2994" spans="1:15" x14ac:dyDescent="0.25">
      <c r="A2994" s="1">
        <v>2993</v>
      </c>
      <c r="B2994" s="2">
        <v>44981</v>
      </c>
      <c r="C2994" s="1" t="s">
        <v>12</v>
      </c>
      <c r="D2994" s="1" t="s">
        <v>32</v>
      </c>
      <c r="E2994" s="1" t="s">
        <v>41</v>
      </c>
      <c r="F2994" s="1" t="s">
        <v>35</v>
      </c>
      <c r="G2994" s="1">
        <v>5</v>
      </c>
      <c r="H2994" s="1">
        <v>278</v>
      </c>
      <c r="I2994" s="1">
        <v>5</v>
      </c>
      <c r="J2994" s="4">
        <v>1320.5</v>
      </c>
      <c r="K2994" s="4">
        <v>706.25</v>
      </c>
      <c r="L2994" s="4">
        <v>614.25</v>
      </c>
      <c r="M2994" s="1" t="str">
        <f>TEXT(Table1[[#This Row],[Order_Date]], "MMM")</f>
        <v>Feb</v>
      </c>
      <c r="N2994" s="1">
        <f>YEAR(Table1[[#This Row],[Order_Date]])</f>
        <v>2023</v>
      </c>
      <c r="O2994" s="7">
        <f>Table1[[#This Row],[Profit]]/Table1[[#This Row],[Total_Sales]]</f>
        <v>0.46516471033699358</v>
      </c>
    </row>
    <row r="2995" spans="1:15" x14ac:dyDescent="0.25">
      <c r="A2995" s="1">
        <v>2994</v>
      </c>
      <c r="B2995" s="2">
        <v>45433</v>
      </c>
      <c r="C2995" s="1" t="s">
        <v>16</v>
      </c>
      <c r="D2995" s="1" t="s">
        <v>13</v>
      </c>
      <c r="E2995" s="1" t="s">
        <v>39</v>
      </c>
      <c r="F2995" s="1" t="s">
        <v>35</v>
      </c>
      <c r="G2995" s="1">
        <v>4</v>
      </c>
      <c r="H2995" s="1">
        <v>798</v>
      </c>
      <c r="I2995" s="1">
        <v>0</v>
      </c>
      <c r="J2995" s="4">
        <v>3192</v>
      </c>
      <c r="K2995" s="4">
        <v>1758.42</v>
      </c>
      <c r="L2995" s="4">
        <v>1433.58</v>
      </c>
      <c r="M2995" s="1" t="str">
        <f>TEXT(Table1[[#This Row],[Order_Date]], "MMM")</f>
        <v>May</v>
      </c>
      <c r="N2995" s="1">
        <f>YEAR(Table1[[#This Row],[Order_Date]])</f>
        <v>2024</v>
      </c>
      <c r="O2995" s="7">
        <f>Table1[[#This Row],[Profit]]/Table1[[#This Row],[Total_Sales]]</f>
        <v>0.44911654135338341</v>
      </c>
    </row>
    <row r="2996" spans="1:15" x14ac:dyDescent="0.25">
      <c r="A2996" s="1">
        <v>2995</v>
      </c>
      <c r="B2996" s="2">
        <v>44964</v>
      </c>
      <c r="C2996" s="1" t="s">
        <v>12</v>
      </c>
      <c r="D2996" s="1" t="s">
        <v>13</v>
      </c>
      <c r="E2996" s="1" t="s">
        <v>17</v>
      </c>
      <c r="F2996" s="1" t="s">
        <v>40</v>
      </c>
      <c r="G2996" s="1">
        <v>5</v>
      </c>
      <c r="H2996" s="1">
        <v>451</v>
      </c>
      <c r="I2996" s="1">
        <v>0</v>
      </c>
      <c r="J2996" s="4">
        <v>2255</v>
      </c>
      <c r="K2996" s="4">
        <v>1142.57</v>
      </c>
      <c r="L2996" s="4">
        <v>1112.43</v>
      </c>
      <c r="M2996" s="1" t="str">
        <f>TEXT(Table1[[#This Row],[Order_Date]], "MMM")</f>
        <v>Feb</v>
      </c>
      <c r="N2996" s="1">
        <f>YEAR(Table1[[#This Row],[Order_Date]])</f>
        <v>2023</v>
      </c>
      <c r="O2996" s="7">
        <f>Table1[[#This Row],[Profit]]/Table1[[#This Row],[Total_Sales]]</f>
        <v>0.49331707317073176</v>
      </c>
    </row>
    <row r="2997" spans="1:15" x14ac:dyDescent="0.25">
      <c r="A2997" s="1">
        <v>2996</v>
      </c>
      <c r="B2997" s="2">
        <v>45227</v>
      </c>
      <c r="C2997" s="1" t="s">
        <v>16</v>
      </c>
      <c r="D2997" s="1" t="s">
        <v>20</v>
      </c>
      <c r="E2997" s="1" t="s">
        <v>30</v>
      </c>
      <c r="F2997" s="1" t="s">
        <v>24</v>
      </c>
      <c r="G2997" s="1">
        <v>4</v>
      </c>
      <c r="H2997" s="1">
        <v>714</v>
      </c>
      <c r="I2997" s="1">
        <v>10</v>
      </c>
      <c r="J2997" s="4">
        <v>2570.4</v>
      </c>
      <c r="K2997" s="4">
        <v>1579.84</v>
      </c>
      <c r="L2997" s="4">
        <v>990.56</v>
      </c>
      <c r="M2997" s="1" t="str">
        <f>TEXT(Table1[[#This Row],[Order_Date]], "MMM")</f>
        <v>Oct</v>
      </c>
      <c r="N2997" s="1">
        <f>YEAR(Table1[[#This Row],[Order_Date]])</f>
        <v>2023</v>
      </c>
      <c r="O2997" s="7">
        <f>Table1[[#This Row],[Profit]]/Table1[[#This Row],[Total_Sales]]</f>
        <v>0.38537192654839708</v>
      </c>
    </row>
    <row r="2998" spans="1:15" x14ac:dyDescent="0.25">
      <c r="A2998" s="1">
        <v>2997</v>
      </c>
      <c r="B2998" s="2">
        <v>45029</v>
      </c>
      <c r="C2998" s="1" t="s">
        <v>16</v>
      </c>
      <c r="D2998" s="1" t="s">
        <v>13</v>
      </c>
      <c r="E2998" s="1" t="s">
        <v>17</v>
      </c>
      <c r="F2998" s="1" t="s">
        <v>24</v>
      </c>
      <c r="G2998" s="1">
        <v>2</v>
      </c>
      <c r="H2998" s="1">
        <v>496</v>
      </c>
      <c r="I2998" s="1">
        <v>10</v>
      </c>
      <c r="J2998" s="4">
        <v>892.8</v>
      </c>
      <c r="K2998" s="4">
        <v>711.97</v>
      </c>
      <c r="L2998" s="4">
        <v>180.83</v>
      </c>
      <c r="M2998" s="1" t="str">
        <f>TEXT(Table1[[#This Row],[Order_Date]], "MMM")</f>
        <v>Apr</v>
      </c>
      <c r="N2998" s="1">
        <f>YEAR(Table1[[#This Row],[Order_Date]])</f>
        <v>2023</v>
      </c>
      <c r="O2998" s="7">
        <f>Table1[[#This Row],[Profit]]/Table1[[#This Row],[Total_Sales]]</f>
        <v>0.20254256272401436</v>
      </c>
    </row>
    <row r="2999" spans="1:15" x14ac:dyDescent="0.25">
      <c r="A2999" s="1">
        <v>2998</v>
      </c>
      <c r="B2999" s="2">
        <v>45500</v>
      </c>
      <c r="C2999" s="1" t="s">
        <v>19</v>
      </c>
      <c r="D2999" s="1" t="s">
        <v>13</v>
      </c>
      <c r="E2999" s="1" t="s">
        <v>39</v>
      </c>
      <c r="F2999" s="1" t="s">
        <v>24</v>
      </c>
      <c r="G2999" s="1">
        <v>1</v>
      </c>
      <c r="H2999" s="1">
        <v>250</v>
      </c>
      <c r="I2999" s="1">
        <v>5</v>
      </c>
      <c r="J2999" s="4">
        <v>237.5</v>
      </c>
      <c r="K2999" s="4">
        <v>147.82</v>
      </c>
      <c r="L2999" s="4">
        <v>89.68</v>
      </c>
      <c r="M2999" s="1" t="str">
        <f>TEXT(Table1[[#This Row],[Order_Date]], "MMM")</f>
        <v>Jul</v>
      </c>
      <c r="N2999" s="1">
        <f>YEAR(Table1[[#This Row],[Order_Date]])</f>
        <v>2024</v>
      </c>
      <c r="O2999" s="7">
        <f>Table1[[#This Row],[Profit]]/Table1[[#This Row],[Total_Sales]]</f>
        <v>0.37760000000000005</v>
      </c>
    </row>
    <row r="3000" spans="1:15" x14ac:dyDescent="0.25">
      <c r="A3000" s="1">
        <v>2999</v>
      </c>
      <c r="B3000" s="2">
        <v>45502</v>
      </c>
      <c r="C3000" s="1" t="s">
        <v>12</v>
      </c>
      <c r="D3000" s="1" t="s">
        <v>22</v>
      </c>
      <c r="E3000" s="1" t="s">
        <v>36</v>
      </c>
      <c r="F3000" s="1" t="s">
        <v>40</v>
      </c>
      <c r="G3000" s="1">
        <v>7</v>
      </c>
      <c r="H3000" s="1">
        <v>590</v>
      </c>
      <c r="I3000" s="1">
        <v>5</v>
      </c>
      <c r="J3000" s="4">
        <v>3923.5</v>
      </c>
      <c r="K3000" s="4">
        <v>3052.22</v>
      </c>
      <c r="L3000" s="4">
        <v>871.28</v>
      </c>
      <c r="M3000" s="1" t="str">
        <f>TEXT(Table1[[#This Row],[Order_Date]], "MMM")</f>
        <v>Jul</v>
      </c>
      <c r="N3000" s="1">
        <f>YEAR(Table1[[#This Row],[Order_Date]])</f>
        <v>2024</v>
      </c>
      <c r="O3000" s="7">
        <f>Table1[[#This Row],[Profit]]/Table1[[#This Row],[Total_Sales]]</f>
        <v>0.22206703198674652</v>
      </c>
    </row>
    <row r="3001" spans="1:15" x14ac:dyDescent="0.25">
      <c r="A3001" s="1">
        <v>3000</v>
      </c>
      <c r="B3001" s="2">
        <v>45021</v>
      </c>
      <c r="C3001" s="1" t="s">
        <v>25</v>
      </c>
      <c r="D3001" s="1" t="s">
        <v>26</v>
      </c>
      <c r="E3001" s="1" t="s">
        <v>42</v>
      </c>
      <c r="F3001" s="1" t="s">
        <v>35</v>
      </c>
      <c r="G3001" s="1">
        <v>7</v>
      </c>
      <c r="H3001" s="1">
        <v>516</v>
      </c>
      <c r="I3001" s="1">
        <v>15</v>
      </c>
      <c r="J3001" s="4">
        <v>3070.2</v>
      </c>
      <c r="K3001" s="4">
        <v>2298.6</v>
      </c>
      <c r="L3001" s="4">
        <v>771.6</v>
      </c>
      <c r="M3001" s="1" t="str">
        <f>TEXT(Table1[[#This Row],[Order_Date]], "MMM")</f>
        <v>Apr</v>
      </c>
      <c r="N3001" s="1">
        <f>YEAR(Table1[[#This Row],[Order_Date]])</f>
        <v>2023</v>
      </c>
      <c r="O3001" s="7">
        <f>Table1[[#This Row],[Profit]]/Table1[[#This Row],[Total_Sales]]</f>
        <v>0.25131913230408442</v>
      </c>
    </row>
    <row r="3002" spans="1:15" x14ac:dyDescent="0.25">
      <c r="A3002" s="1">
        <v>3001</v>
      </c>
      <c r="B3002" s="2">
        <v>45526</v>
      </c>
      <c r="C3002" s="1" t="s">
        <v>12</v>
      </c>
      <c r="D3002" s="1" t="s">
        <v>13</v>
      </c>
      <c r="E3002" s="1" t="s">
        <v>14</v>
      </c>
      <c r="F3002" s="1" t="s">
        <v>35</v>
      </c>
      <c r="G3002" s="1">
        <v>4</v>
      </c>
      <c r="H3002" s="1">
        <v>955</v>
      </c>
      <c r="I3002" s="1">
        <v>20</v>
      </c>
      <c r="J3002" s="4">
        <v>3056</v>
      </c>
      <c r="K3002" s="4">
        <v>2019.08</v>
      </c>
      <c r="L3002" s="4">
        <v>1036.92</v>
      </c>
      <c r="M3002" s="1" t="str">
        <f>TEXT(Table1[[#This Row],[Order_Date]], "MMM")</f>
        <v>Aug</v>
      </c>
      <c r="N3002" s="1">
        <f>YEAR(Table1[[#This Row],[Order_Date]])</f>
        <v>2024</v>
      </c>
      <c r="O3002" s="7">
        <f>Table1[[#This Row],[Profit]]/Table1[[#This Row],[Total_Sales]]</f>
        <v>0.33930628272251312</v>
      </c>
    </row>
    <row r="3003" spans="1:15" x14ac:dyDescent="0.25">
      <c r="A3003" s="1">
        <v>3002</v>
      </c>
      <c r="B3003" s="2">
        <v>45264</v>
      </c>
      <c r="C3003" s="1" t="s">
        <v>12</v>
      </c>
      <c r="D3003" s="1" t="s">
        <v>26</v>
      </c>
      <c r="E3003" s="1" t="s">
        <v>37</v>
      </c>
      <c r="F3003" s="1" t="s">
        <v>18</v>
      </c>
      <c r="G3003" s="1">
        <v>2</v>
      </c>
      <c r="H3003" s="1">
        <v>126</v>
      </c>
      <c r="I3003" s="1">
        <v>15</v>
      </c>
      <c r="J3003" s="4">
        <v>214.2</v>
      </c>
      <c r="K3003" s="4">
        <v>150.83000000000001</v>
      </c>
      <c r="L3003" s="4">
        <v>63.37</v>
      </c>
      <c r="M3003" s="1" t="str">
        <f>TEXT(Table1[[#This Row],[Order_Date]], "MMM")</f>
        <v>Dec</v>
      </c>
      <c r="N3003" s="1">
        <f>YEAR(Table1[[#This Row],[Order_Date]])</f>
        <v>2023</v>
      </c>
      <c r="O3003" s="7">
        <f>Table1[[#This Row],[Profit]]/Table1[[#This Row],[Total_Sales]]</f>
        <v>0.29584500466853408</v>
      </c>
    </row>
    <row r="3004" spans="1:15" x14ac:dyDescent="0.25">
      <c r="A3004" s="1">
        <v>3003</v>
      </c>
      <c r="B3004" s="2">
        <v>45526</v>
      </c>
      <c r="C3004" s="1" t="s">
        <v>12</v>
      </c>
      <c r="D3004" s="1" t="s">
        <v>22</v>
      </c>
      <c r="E3004" s="1" t="s">
        <v>36</v>
      </c>
      <c r="F3004" s="1" t="s">
        <v>35</v>
      </c>
      <c r="G3004" s="1">
        <v>2</v>
      </c>
      <c r="H3004" s="1">
        <v>393</v>
      </c>
      <c r="I3004" s="1">
        <v>20</v>
      </c>
      <c r="J3004" s="4">
        <v>628.79999999999995</v>
      </c>
      <c r="K3004" s="4">
        <v>455.87</v>
      </c>
      <c r="L3004" s="4">
        <v>172.93</v>
      </c>
      <c r="M3004" s="1" t="str">
        <f>TEXT(Table1[[#This Row],[Order_Date]], "MMM")</f>
        <v>Aug</v>
      </c>
      <c r="N3004" s="1">
        <f>YEAR(Table1[[#This Row],[Order_Date]])</f>
        <v>2024</v>
      </c>
      <c r="O3004" s="7">
        <f>Table1[[#This Row],[Profit]]/Table1[[#This Row],[Total_Sales]]</f>
        <v>0.27501590330788805</v>
      </c>
    </row>
    <row r="3005" spans="1:15" x14ac:dyDescent="0.25">
      <c r="A3005" s="1">
        <v>3004</v>
      </c>
      <c r="B3005" s="2">
        <v>45177</v>
      </c>
      <c r="C3005" s="1" t="s">
        <v>12</v>
      </c>
      <c r="D3005" s="1" t="s">
        <v>22</v>
      </c>
      <c r="E3005" s="1" t="s">
        <v>44</v>
      </c>
      <c r="F3005" s="1" t="s">
        <v>35</v>
      </c>
      <c r="G3005" s="1">
        <v>8</v>
      </c>
      <c r="H3005" s="1">
        <v>915</v>
      </c>
      <c r="I3005" s="1">
        <v>15</v>
      </c>
      <c r="J3005" s="4">
        <v>6222</v>
      </c>
      <c r="K3005" s="4">
        <v>4206.93</v>
      </c>
      <c r="L3005" s="4">
        <v>2015.07</v>
      </c>
      <c r="M3005" s="1" t="str">
        <f>TEXT(Table1[[#This Row],[Order_Date]], "MMM")</f>
        <v>Sep</v>
      </c>
      <c r="N3005" s="1">
        <f>YEAR(Table1[[#This Row],[Order_Date]])</f>
        <v>2023</v>
      </c>
      <c r="O3005" s="7">
        <f>Table1[[#This Row],[Profit]]/Table1[[#This Row],[Total_Sales]]</f>
        <v>0.32386210221793632</v>
      </c>
    </row>
    <row r="3006" spans="1:15" x14ac:dyDescent="0.25">
      <c r="A3006" s="1">
        <v>3005</v>
      </c>
      <c r="B3006" s="2">
        <v>45543</v>
      </c>
      <c r="C3006" s="1" t="s">
        <v>12</v>
      </c>
      <c r="D3006" s="1" t="s">
        <v>13</v>
      </c>
      <c r="E3006" s="1" t="s">
        <v>39</v>
      </c>
      <c r="F3006" s="1" t="s">
        <v>31</v>
      </c>
      <c r="G3006" s="1">
        <v>10</v>
      </c>
      <c r="H3006" s="1">
        <v>99</v>
      </c>
      <c r="I3006" s="1">
        <v>15</v>
      </c>
      <c r="J3006" s="4">
        <v>841.5</v>
      </c>
      <c r="K3006" s="4">
        <v>638.82000000000005</v>
      </c>
      <c r="L3006" s="4">
        <v>202.68</v>
      </c>
      <c r="M3006" s="1" t="str">
        <f>TEXT(Table1[[#This Row],[Order_Date]], "MMM")</f>
        <v>Sep</v>
      </c>
      <c r="N3006" s="1">
        <f>YEAR(Table1[[#This Row],[Order_Date]])</f>
        <v>2024</v>
      </c>
      <c r="O3006" s="7">
        <f>Table1[[#This Row],[Profit]]/Table1[[#This Row],[Total_Sales]]</f>
        <v>0.24085561497326205</v>
      </c>
    </row>
    <row r="3007" spans="1:15" x14ac:dyDescent="0.25">
      <c r="A3007" s="1">
        <v>3006</v>
      </c>
      <c r="B3007" s="2">
        <v>45520</v>
      </c>
      <c r="C3007" s="1" t="s">
        <v>12</v>
      </c>
      <c r="D3007" s="1" t="s">
        <v>26</v>
      </c>
      <c r="E3007" s="1" t="s">
        <v>37</v>
      </c>
      <c r="F3007" s="1" t="s">
        <v>31</v>
      </c>
      <c r="G3007" s="1">
        <v>6</v>
      </c>
      <c r="H3007" s="1">
        <v>465</v>
      </c>
      <c r="I3007" s="1">
        <v>0</v>
      </c>
      <c r="J3007" s="4">
        <v>2790</v>
      </c>
      <c r="K3007" s="4">
        <v>1706.75</v>
      </c>
      <c r="L3007" s="4">
        <v>1083.25</v>
      </c>
      <c r="M3007" s="1" t="str">
        <f>TEXT(Table1[[#This Row],[Order_Date]], "MMM")</f>
        <v>Aug</v>
      </c>
      <c r="N3007" s="1">
        <f>YEAR(Table1[[#This Row],[Order_Date]])</f>
        <v>2024</v>
      </c>
      <c r="O3007" s="7">
        <f>Table1[[#This Row],[Profit]]/Table1[[#This Row],[Total_Sales]]</f>
        <v>0.38826164874551972</v>
      </c>
    </row>
    <row r="3008" spans="1:15" x14ac:dyDescent="0.25">
      <c r="A3008" s="1">
        <v>3007</v>
      </c>
      <c r="B3008" s="2">
        <v>45257</v>
      </c>
      <c r="C3008" s="1" t="s">
        <v>19</v>
      </c>
      <c r="D3008" s="1" t="s">
        <v>20</v>
      </c>
      <c r="E3008" s="1" t="s">
        <v>28</v>
      </c>
      <c r="F3008" s="1" t="s">
        <v>31</v>
      </c>
      <c r="G3008" s="1">
        <v>8</v>
      </c>
      <c r="H3008" s="1">
        <v>714</v>
      </c>
      <c r="I3008" s="1">
        <v>0</v>
      </c>
      <c r="J3008" s="4">
        <v>5712</v>
      </c>
      <c r="K3008" s="4">
        <v>3230.36</v>
      </c>
      <c r="L3008" s="4">
        <v>2481.64</v>
      </c>
      <c r="M3008" s="1" t="str">
        <f>TEXT(Table1[[#This Row],[Order_Date]], "MMM")</f>
        <v>Nov</v>
      </c>
      <c r="N3008" s="1">
        <f>YEAR(Table1[[#This Row],[Order_Date]])</f>
        <v>2023</v>
      </c>
      <c r="O3008" s="7">
        <f>Table1[[#This Row],[Profit]]/Table1[[#This Row],[Total_Sales]]</f>
        <v>0.43446078431372548</v>
      </c>
    </row>
    <row r="3009" spans="1:15" x14ac:dyDescent="0.25">
      <c r="A3009" s="1">
        <v>3008</v>
      </c>
      <c r="B3009" s="2">
        <v>45433</v>
      </c>
      <c r="C3009" s="1" t="s">
        <v>16</v>
      </c>
      <c r="D3009" s="1" t="s">
        <v>22</v>
      </c>
      <c r="E3009" s="1" t="s">
        <v>23</v>
      </c>
      <c r="F3009" s="1" t="s">
        <v>40</v>
      </c>
      <c r="G3009" s="1">
        <v>6</v>
      </c>
      <c r="H3009" s="1">
        <v>955</v>
      </c>
      <c r="I3009" s="1">
        <v>0</v>
      </c>
      <c r="J3009" s="4">
        <v>5730</v>
      </c>
      <c r="K3009" s="4">
        <v>3592.13</v>
      </c>
      <c r="L3009" s="4">
        <v>2137.87</v>
      </c>
      <c r="M3009" s="1" t="str">
        <f>TEXT(Table1[[#This Row],[Order_Date]], "MMM")</f>
        <v>May</v>
      </c>
      <c r="N3009" s="1">
        <f>YEAR(Table1[[#This Row],[Order_Date]])</f>
        <v>2024</v>
      </c>
      <c r="O3009" s="7">
        <f>Table1[[#This Row],[Profit]]/Table1[[#This Row],[Total_Sales]]</f>
        <v>0.37310122164048865</v>
      </c>
    </row>
    <row r="3010" spans="1:15" x14ac:dyDescent="0.25">
      <c r="A3010" s="1">
        <v>3009</v>
      </c>
      <c r="B3010" s="2">
        <v>45414</v>
      </c>
      <c r="C3010" s="1" t="s">
        <v>12</v>
      </c>
      <c r="D3010" s="1" t="s">
        <v>13</v>
      </c>
      <c r="E3010" s="1" t="s">
        <v>14</v>
      </c>
      <c r="F3010" s="1" t="s">
        <v>15</v>
      </c>
      <c r="G3010" s="1">
        <v>3</v>
      </c>
      <c r="H3010" s="1">
        <v>955</v>
      </c>
      <c r="I3010" s="1">
        <v>20</v>
      </c>
      <c r="J3010" s="4">
        <v>2292</v>
      </c>
      <c r="K3010" s="4">
        <v>1546.02</v>
      </c>
      <c r="L3010" s="4">
        <v>745.98</v>
      </c>
      <c r="M3010" s="1" t="str">
        <f>TEXT(Table1[[#This Row],[Order_Date]], "MMM")</f>
        <v>May</v>
      </c>
      <c r="N3010" s="1">
        <f>YEAR(Table1[[#This Row],[Order_Date]])</f>
        <v>2024</v>
      </c>
      <c r="O3010" s="7">
        <f>Table1[[#This Row],[Profit]]/Table1[[#This Row],[Total_Sales]]</f>
        <v>0.32547120418848169</v>
      </c>
    </row>
    <row r="3011" spans="1:15" x14ac:dyDescent="0.25">
      <c r="A3011" s="1">
        <v>3010</v>
      </c>
      <c r="B3011" s="2">
        <v>45090</v>
      </c>
      <c r="C3011" s="1" t="s">
        <v>19</v>
      </c>
      <c r="D3011" s="1" t="s">
        <v>26</v>
      </c>
      <c r="E3011" s="1" t="s">
        <v>37</v>
      </c>
      <c r="F3011" s="1" t="s">
        <v>15</v>
      </c>
      <c r="G3011" s="1">
        <v>6</v>
      </c>
      <c r="H3011" s="1">
        <v>249</v>
      </c>
      <c r="I3011" s="1">
        <v>5</v>
      </c>
      <c r="J3011" s="4">
        <v>1419.3</v>
      </c>
      <c r="K3011" s="4">
        <v>821.23</v>
      </c>
      <c r="L3011" s="4">
        <v>598.07000000000005</v>
      </c>
      <c r="M3011" s="1" t="str">
        <f>TEXT(Table1[[#This Row],[Order_Date]], "MMM")</f>
        <v>Jun</v>
      </c>
      <c r="N3011" s="1">
        <f>YEAR(Table1[[#This Row],[Order_Date]])</f>
        <v>2023</v>
      </c>
      <c r="O3011" s="7">
        <f>Table1[[#This Row],[Profit]]/Table1[[#This Row],[Total_Sales]]</f>
        <v>0.42138378073698307</v>
      </c>
    </row>
    <row r="3012" spans="1:15" x14ac:dyDescent="0.25">
      <c r="A3012" s="1">
        <v>3011</v>
      </c>
      <c r="B3012" s="2">
        <v>45197</v>
      </c>
      <c r="C3012" s="1" t="s">
        <v>16</v>
      </c>
      <c r="D3012" s="1" t="s">
        <v>26</v>
      </c>
      <c r="E3012" s="1" t="s">
        <v>37</v>
      </c>
      <c r="F3012" s="1" t="s">
        <v>15</v>
      </c>
      <c r="G3012" s="1">
        <v>3</v>
      </c>
      <c r="H3012" s="1">
        <v>966</v>
      </c>
      <c r="I3012" s="1">
        <v>0</v>
      </c>
      <c r="J3012" s="4">
        <v>2898</v>
      </c>
      <c r="K3012" s="4">
        <v>2063.3000000000002</v>
      </c>
      <c r="L3012" s="4">
        <v>834.7</v>
      </c>
      <c r="M3012" s="1" t="str">
        <f>TEXT(Table1[[#This Row],[Order_Date]], "MMM")</f>
        <v>Sep</v>
      </c>
      <c r="N3012" s="1">
        <f>YEAR(Table1[[#This Row],[Order_Date]])</f>
        <v>2023</v>
      </c>
      <c r="O3012" s="7">
        <f>Table1[[#This Row],[Profit]]/Table1[[#This Row],[Total_Sales]]</f>
        <v>0.28802622498274671</v>
      </c>
    </row>
    <row r="3013" spans="1:15" x14ac:dyDescent="0.25">
      <c r="A3013" s="1">
        <v>3012</v>
      </c>
      <c r="B3013" s="2">
        <v>45124</v>
      </c>
      <c r="C3013" s="1" t="s">
        <v>16</v>
      </c>
      <c r="D3013" s="1" t="s">
        <v>22</v>
      </c>
      <c r="E3013" s="1" t="s">
        <v>29</v>
      </c>
      <c r="F3013" s="1" t="s">
        <v>31</v>
      </c>
      <c r="G3013" s="1">
        <v>1</v>
      </c>
      <c r="H3013" s="1">
        <v>291</v>
      </c>
      <c r="I3013" s="1">
        <v>5</v>
      </c>
      <c r="J3013" s="4">
        <v>276.45</v>
      </c>
      <c r="K3013" s="4">
        <v>146.43</v>
      </c>
      <c r="L3013" s="4">
        <v>130.02000000000001</v>
      </c>
      <c r="M3013" s="1" t="str">
        <f>TEXT(Table1[[#This Row],[Order_Date]], "MMM")</f>
        <v>Jul</v>
      </c>
      <c r="N3013" s="1">
        <f>YEAR(Table1[[#This Row],[Order_Date]])</f>
        <v>2023</v>
      </c>
      <c r="O3013" s="7">
        <f>Table1[[#This Row],[Profit]]/Table1[[#This Row],[Total_Sales]]</f>
        <v>0.47032013022246344</v>
      </c>
    </row>
    <row r="3014" spans="1:15" x14ac:dyDescent="0.25">
      <c r="A3014" s="1">
        <v>3013</v>
      </c>
      <c r="B3014" s="2">
        <v>45298</v>
      </c>
      <c r="C3014" s="1" t="s">
        <v>16</v>
      </c>
      <c r="D3014" s="1" t="s">
        <v>26</v>
      </c>
      <c r="E3014" s="1" t="s">
        <v>46</v>
      </c>
      <c r="F3014" s="1" t="s">
        <v>40</v>
      </c>
      <c r="G3014" s="1">
        <v>4</v>
      </c>
      <c r="H3014" s="1">
        <v>926</v>
      </c>
      <c r="I3014" s="1">
        <v>5</v>
      </c>
      <c r="J3014" s="4">
        <v>3518.8</v>
      </c>
      <c r="K3014" s="4">
        <v>2349.36</v>
      </c>
      <c r="L3014" s="4">
        <v>1169.44</v>
      </c>
      <c r="M3014" s="1" t="str">
        <f>TEXT(Table1[[#This Row],[Order_Date]], "MMM")</f>
        <v>Jan</v>
      </c>
      <c r="N3014" s="1">
        <f>YEAR(Table1[[#This Row],[Order_Date]])</f>
        <v>2024</v>
      </c>
      <c r="O3014" s="7">
        <f>Table1[[#This Row],[Profit]]/Table1[[#This Row],[Total_Sales]]</f>
        <v>0.3323405706490849</v>
      </c>
    </row>
    <row r="3015" spans="1:15" x14ac:dyDescent="0.25">
      <c r="A3015" s="1">
        <v>3014</v>
      </c>
      <c r="B3015" s="2">
        <v>45031</v>
      </c>
      <c r="C3015" s="1" t="s">
        <v>19</v>
      </c>
      <c r="D3015" s="1" t="s">
        <v>13</v>
      </c>
      <c r="E3015" s="1" t="s">
        <v>38</v>
      </c>
      <c r="F3015" s="1" t="s">
        <v>40</v>
      </c>
      <c r="G3015" s="1">
        <v>10</v>
      </c>
      <c r="H3015" s="1">
        <v>260</v>
      </c>
      <c r="I3015" s="1">
        <v>10</v>
      </c>
      <c r="J3015" s="4">
        <v>2340</v>
      </c>
      <c r="K3015" s="4">
        <v>1799.56</v>
      </c>
      <c r="L3015" s="4">
        <v>540.44000000000005</v>
      </c>
      <c r="M3015" s="1" t="str">
        <f>TEXT(Table1[[#This Row],[Order_Date]], "MMM")</f>
        <v>Apr</v>
      </c>
      <c r="N3015" s="1">
        <f>YEAR(Table1[[#This Row],[Order_Date]])</f>
        <v>2023</v>
      </c>
      <c r="O3015" s="7">
        <f>Table1[[#This Row],[Profit]]/Table1[[#This Row],[Total_Sales]]</f>
        <v>0.23095726495726498</v>
      </c>
    </row>
    <row r="3016" spans="1:15" x14ac:dyDescent="0.25">
      <c r="A3016" s="1">
        <v>3015</v>
      </c>
      <c r="B3016" s="2">
        <v>45465</v>
      </c>
      <c r="C3016" s="1" t="s">
        <v>12</v>
      </c>
      <c r="D3016" s="1" t="s">
        <v>26</v>
      </c>
      <c r="E3016" s="1" t="s">
        <v>42</v>
      </c>
      <c r="F3016" s="1" t="s">
        <v>24</v>
      </c>
      <c r="G3016" s="1">
        <v>4</v>
      </c>
      <c r="H3016" s="1">
        <v>331</v>
      </c>
      <c r="I3016" s="1">
        <v>5</v>
      </c>
      <c r="J3016" s="4">
        <v>1257.8</v>
      </c>
      <c r="K3016" s="4">
        <v>671.5</v>
      </c>
      <c r="L3016" s="4">
        <v>586.29999999999995</v>
      </c>
      <c r="M3016" s="1" t="str">
        <f>TEXT(Table1[[#This Row],[Order_Date]], "MMM")</f>
        <v>Jun</v>
      </c>
      <c r="N3016" s="1">
        <f>YEAR(Table1[[#This Row],[Order_Date]])</f>
        <v>2024</v>
      </c>
      <c r="O3016" s="7">
        <f>Table1[[#This Row],[Profit]]/Table1[[#This Row],[Total_Sales]]</f>
        <v>0.46613134043568133</v>
      </c>
    </row>
    <row r="3017" spans="1:15" x14ac:dyDescent="0.25">
      <c r="A3017" s="1">
        <v>3016</v>
      </c>
      <c r="B3017" s="2">
        <v>45201</v>
      </c>
      <c r="C3017" s="1" t="s">
        <v>16</v>
      </c>
      <c r="D3017" s="1" t="s">
        <v>26</v>
      </c>
      <c r="E3017" s="1" t="s">
        <v>27</v>
      </c>
      <c r="F3017" s="1" t="s">
        <v>31</v>
      </c>
      <c r="G3017" s="1">
        <v>5</v>
      </c>
      <c r="H3017" s="1">
        <v>140</v>
      </c>
      <c r="I3017" s="1">
        <v>15</v>
      </c>
      <c r="J3017" s="4">
        <v>595</v>
      </c>
      <c r="K3017" s="4">
        <v>438.71</v>
      </c>
      <c r="L3017" s="4">
        <v>156.29</v>
      </c>
      <c r="M3017" s="1" t="str">
        <f>TEXT(Table1[[#This Row],[Order_Date]], "MMM")</f>
        <v>Oct</v>
      </c>
      <c r="N3017" s="1">
        <f>YEAR(Table1[[#This Row],[Order_Date]])</f>
        <v>2023</v>
      </c>
      <c r="O3017" s="7">
        <f>Table1[[#This Row],[Profit]]/Table1[[#This Row],[Total_Sales]]</f>
        <v>0.26267226890756301</v>
      </c>
    </row>
    <row r="3018" spans="1:15" x14ac:dyDescent="0.25">
      <c r="A3018" s="1">
        <v>3017</v>
      </c>
      <c r="B3018" s="2">
        <v>45492</v>
      </c>
      <c r="C3018" s="1" t="s">
        <v>12</v>
      </c>
      <c r="D3018" s="1" t="s">
        <v>20</v>
      </c>
      <c r="E3018" s="1" t="s">
        <v>28</v>
      </c>
      <c r="F3018" s="1" t="s">
        <v>35</v>
      </c>
      <c r="G3018" s="1">
        <v>3</v>
      </c>
      <c r="H3018" s="1">
        <v>973</v>
      </c>
      <c r="I3018" s="1">
        <v>5</v>
      </c>
      <c r="J3018" s="4">
        <v>2773.05</v>
      </c>
      <c r="K3018" s="4">
        <v>1832.37</v>
      </c>
      <c r="L3018" s="4">
        <v>940.68</v>
      </c>
      <c r="M3018" s="1" t="str">
        <f>TEXT(Table1[[#This Row],[Order_Date]], "MMM")</f>
        <v>Jul</v>
      </c>
      <c r="N3018" s="1">
        <f>YEAR(Table1[[#This Row],[Order_Date]])</f>
        <v>2024</v>
      </c>
      <c r="O3018" s="7">
        <f>Table1[[#This Row],[Profit]]/Table1[[#This Row],[Total_Sales]]</f>
        <v>0.33922215610969869</v>
      </c>
    </row>
    <row r="3019" spans="1:15" x14ac:dyDescent="0.25">
      <c r="A3019" s="1">
        <v>3018</v>
      </c>
      <c r="B3019" s="2">
        <v>45367</v>
      </c>
      <c r="C3019" s="1" t="s">
        <v>12</v>
      </c>
      <c r="D3019" s="1" t="s">
        <v>13</v>
      </c>
      <c r="E3019" s="1" t="s">
        <v>17</v>
      </c>
      <c r="F3019" s="1" t="s">
        <v>40</v>
      </c>
      <c r="G3019" s="1">
        <v>2</v>
      </c>
      <c r="H3019" s="1">
        <v>221</v>
      </c>
      <c r="I3019" s="1">
        <v>20</v>
      </c>
      <c r="J3019" s="4">
        <v>353.6</v>
      </c>
      <c r="K3019" s="4">
        <v>278.32</v>
      </c>
      <c r="L3019" s="4">
        <v>75.28</v>
      </c>
      <c r="M3019" s="1" t="str">
        <f>TEXT(Table1[[#This Row],[Order_Date]], "MMM")</f>
        <v>Mar</v>
      </c>
      <c r="N3019" s="1">
        <f>YEAR(Table1[[#This Row],[Order_Date]])</f>
        <v>2024</v>
      </c>
      <c r="O3019" s="7">
        <f>Table1[[#This Row],[Profit]]/Table1[[#This Row],[Total_Sales]]</f>
        <v>0.21289592760180995</v>
      </c>
    </row>
    <row r="3020" spans="1:15" x14ac:dyDescent="0.25">
      <c r="A3020" s="1">
        <v>3019</v>
      </c>
      <c r="B3020" s="2">
        <v>45261</v>
      </c>
      <c r="C3020" s="1" t="s">
        <v>19</v>
      </c>
      <c r="D3020" s="1" t="s">
        <v>22</v>
      </c>
      <c r="E3020" s="1" t="s">
        <v>44</v>
      </c>
      <c r="F3020" s="1" t="s">
        <v>31</v>
      </c>
      <c r="G3020" s="1">
        <v>5</v>
      </c>
      <c r="H3020" s="1">
        <v>66</v>
      </c>
      <c r="I3020" s="1">
        <v>15</v>
      </c>
      <c r="J3020" s="4">
        <v>280.5</v>
      </c>
      <c r="K3020" s="4">
        <v>145.63999999999999</v>
      </c>
      <c r="L3020" s="4">
        <v>134.86000000000001</v>
      </c>
      <c r="M3020" s="1" t="str">
        <f>TEXT(Table1[[#This Row],[Order_Date]], "MMM")</f>
        <v>Dec</v>
      </c>
      <c r="N3020" s="1">
        <f>YEAR(Table1[[#This Row],[Order_Date]])</f>
        <v>2023</v>
      </c>
      <c r="O3020" s="7">
        <f>Table1[[#This Row],[Profit]]/Table1[[#This Row],[Total_Sales]]</f>
        <v>0.48078431372549024</v>
      </c>
    </row>
    <row r="3021" spans="1:15" x14ac:dyDescent="0.25">
      <c r="A3021" s="1">
        <v>3020</v>
      </c>
      <c r="B3021" s="2">
        <v>45637</v>
      </c>
      <c r="C3021" s="1" t="s">
        <v>19</v>
      </c>
      <c r="D3021" s="1" t="s">
        <v>20</v>
      </c>
      <c r="E3021" s="1" t="s">
        <v>43</v>
      </c>
      <c r="F3021" s="1" t="s">
        <v>18</v>
      </c>
      <c r="G3021" s="1">
        <v>9</v>
      </c>
      <c r="H3021" s="1">
        <v>826</v>
      </c>
      <c r="I3021" s="1">
        <v>15</v>
      </c>
      <c r="J3021" s="4">
        <v>6318.9</v>
      </c>
      <c r="K3021" s="4">
        <v>4923.18</v>
      </c>
      <c r="L3021" s="4">
        <v>1395.72</v>
      </c>
      <c r="M3021" s="1" t="str">
        <f>TEXT(Table1[[#This Row],[Order_Date]], "MMM")</f>
        <v>Dec</v>
      </c>
      <c r="N3021" s="1">
        <f>YEAR(Table1[[#This Row],[Order_Date]])</f>
        <v>2024</v>
      </c>
      <c r="O3021" s="7">
        <f>Table1[[#This Row],[Profit]]/Table1[[#This Row],[Total_Sales]]</f>
        <v>0.22088021649337702</v>
      </c>
    </row>
    <row r="3022" spans="1:15" x14ac:dyDescent="0.25">
      <c r="A3022" s="1">
        <v>3021</v>
      </c>
      <c r="B3022" s="2">
        <v>45576</v>
      </c>
      <c r="C3022" s="1" t="s">
        <v>25</v>
      </c>
      <c r="D3022" s="1" t="s">
        <v>20</v>
      </c>
      <c r="E3022" s="1" t="s">
        <v>28</v>
      </c>
      <c r="F3022" s="1" t="s">
        <v>40</v>
      </c>
      <c r="G3022" s="1">
        <v>9</v>
      </c>
      <c r="H3022" s="1">
        <v>879</v>
      </c>
      <c r="I3022" s="1">
        <v>0</v>
      </c>
      <c r="J3022" s="4">
        <v>7911</v>
      </c>
      <c r="K3022" s="4">
        <v>4847.13</v>
      </c>
      <c r="L3022" s="4">
        <v>3063.87</v>
      </c>
      <c r="M3022" s="1" t="str">
        <f>TEXT(Table1[[#This Row],[Order_Date]], "MMM")</f>
        <v>Oct</v>
      </c>
      <c r="N3022" s="1">
        <f>YEAR(Table1[[#This Row],[Order_Date]])</f>
        <v>2024</v>
      </c>
      <c r="O3022" s="7">
        <f>Table1[[#This Row],[Profit]]/Table1[[#This Row],[Total_Sales]]</f>
        <v>0.38729237770193398</v>
      </c>
    </row>
    <row r="3023" spans="1:15" x14ac:dyDescent="0.25">
      <c r="A3023" s="1">
        <v>3022</v>
      </c>
      <c r="B3023" s="2">
        <v>45341</v>
      </c>
      <c r="C3023" s="1" t="s">
        <v>25</v>
      </c>
      <c r="D3023" s="1" t="s">
        <v>20</v>
      </c>
      <c r="E3023" s="1" t="s">
        <v>28</v>
      </c>
      <c r="F3023" s="1" t="s">
        <v>31</v>
      </c>
      <c r="G3023" s="1">
        <v>8</v>
      </c>
      <c r="H3023" s="1">
        <v>821</v>
      </c>
      <c r="I3023" s="1">
        <v>20</v>
      </c>
      <c r="J3023" s="4">
        <v>5254.4</v>
      </c>
      <c r="K3023" s="4">
        <v>3276.39</v>
      </c>
      <c r="L3023" s="4">
        <v>1978.01</v>
      </c>
      <c r="M3023" s="1" t="str">
        <f>TEXT(Table1[[#This Row],[Order_Date]], "MMM")</f>
        <v>Feb</v>
      </c>
      <c r="N3023" s="1">
        <f>YEAR(Table1[[#This Row],[Order_Date]])</f>
        <v>2024</v>
      </c>
      <c r="O3023" s="7">
        <f>Table1[[#This Row],[Profit]]/Table1[[#This Row],[Total_Sales]]</f>
        <v>0.37644830998781975</v>
      </c>
    </row>
    <row r="3024" spans="1:15" x14ac:dyDescent="0.25">
      <c r="A3024" s="1">
        <v>3023</v>
      </c>
      <c r="B3024" s="2">
        <v>45616</v>
      </c>
      <c r="C3024" s="1" t="s">
        <v>25</v>
      </c>
      <c r="D3024" s="1" t="s">
        <v>26</v>
      </c>
      <c r="E3024" s="1" t="s">
        <v>27</v>
      </c>
      <c r="F3024" s="1" t="s">
        <v>18</v>
      </c>
      <c r="G3024" s="1">
        <v>7</v>
      </c>
      <c r="H3024" s="1">
        <v>674</v>
      </c>
      <c r="I3024" s="1">
        <v>10</v>
      </c>
      <c r="J3024" s="4">
        <v>4246.2</v>
      </c>
      <c r="K3024" s="4">
        <v>2622.96</v>
      </c>
      <c r="L3024" s="4">
        <v>1623.24</v>
      </c>
      <c r="M3024" s="1" t="str">
        <f>TEXT(Table1[[#This Row],[Order_Date]], "MMM")</f>
        <v>Nov</v>
      </c>
      <c r="N3024" s="1">
        <f>YEAR(Table1[[#This Row],[Order_Date]])</f>
        <v>2024</v>
      </c>
      <c r="O3024" s="7">
        <f>Table1[[#This Row],[Profit]]/Table1[[#This Row],[Total_Sales]]</f>
        <v>0.38228062738448498</v>
      </c>
    </row>
    <row r="3025" spans="1:15" x14ac:dyDescent="0.25">
      <c r="A3025" s="1">
        <v>3024</v>
      </c>
      <c r="B3025" s="2">
        <v>45070</v>
      </c>
      <c r="C3025" s="1" t="s">
        <v>16</v>
      </c>
      <c r="D3025" s="1" t="s">
        <v>32</v>
      </c>
      <c r="E3025" s="1" t="s">
        <v>45</v>
      </c>
      <c r="F3025" s="1" t="s">
        <v>31</v>
      </c>
      <c r="G3025" s="1">
        <v>7</v>
      </c>
      <c r="H3025" s="1">
        <v>695</v>
      </c>
      <c r="I3025" s="1">
        <v>10</v>
      </c>
      <c r="J3025" s="4">
        <v>4378.5</v>
      </c>
      <c r="K3025" s="4">
        <v>2836.68</v>
      </c>
      <c r="L3025" s="4">
        <v>1541.82</v>
      </c>
      <c r="M3025" s="1" t="str">
        <f>TEXT(Table1[[#This Row],[Order_Date]], "MMM")</f>
        <v>May</v>
      </c>
      <c r="N3025" s="1">
        <f>YEAR(Table1[[#This Row],[Order_Date]])</f>
        <v>2023</v>
      </c>
      <c r="O3025" s="7">
        <f>Table1[[#This Row],[Profit]]/Table1[[#This Row],[Total_Sales]]</f>
        <v>0.35213429256594725</v>
      </c>
    </row>
    <row r="3026" spans="1:15" x14ac:dyDescent="0.25">
      <c r="A3026" s="1">
        <v>3025</v>
      </c>
      <c r="B3026" s="2">
        <v>45234</v>
      </c>
      <c r="C3026" s="1" t="s">
        <v>16</v>
      </c>
      <c r="D3026" s="1" t="s">
        <v>13</v>
      </c>
      <c r="E3026" s="1" t="s">
        <v>14</v>
      </c>
      <c r="F3026" s="1" t="s">
        <v>40</v>
      </c>
      <c r="G3026" s="1">
        <v>6</v>
      </c>
      <c r="H3026" s="1">
        <v>878</v>
      </c>
      <c r="I3026" s="1">
        <v>5</v>
      </c>
      <c r="J3026" s="4">
        <v>5004.6000000000004</v>
      </c>
      <c r="K3026" s="4">
        <v>3212.93</v>
      </c>
      <c r="L3026" s="4">
        <v>1791.67</v>
      </c>
      <c r="M3026" s="1" t="str">
        <f>TEXT(Table1[[#This Row],[Order_Date]], "MMM")</f>
        <v>Nov</v>
      </c>
      <c r="N3026" s="1">
        <f>YEAR(Table1[[#This Row],[Order_Date]])</f>
        <v>2023</v>
      </c>
      <c r="O3026" s="7">
        <f>Table1[[#This Row],[Profit]]/Table1[[#This Row],[Total_Sales]]</f>
        <v>0.3580046357351237</v>
      </c>
    </row>
    <row r="3027" spans="1:15" x14ac:dyDescent="0.25">
      <c r="A3027" s="1">
        <v>3026</v>
      </c>
      <c r="B3027" s="2">
        <v>44940</v>
      </c>
      <c r="C3027" s="1" t="s">
        <v>16</v>
      </c>
      <c r="D3027" s="1" t="s">
        <v>26</v>
      </c>
      <c r="E3027" s="1" t="s">
        <v>42</v>
      </c>
      <c r="F3027" s="1" t="s">
        <v>24</v>
      </c>
      <c r="G3027" s="1">
        <v>3</v>
      </c>
      <c r="H3027" s="1">
        <v>854</v>
      </c>
      <c r="I3027" s="1">
        <v>5</v>
      </c>
      <c r="J3027" s="4">
        <v>2433.9</v>
      </c>
      <c r="K3027" s="4">
        <v>1434.01</v>
      </c>
      <c r="L3027" s="4">
        <v>999.89</v>
      </c>
      <c r="M3027" s="1" t="str">
        <f>TEXT(Table1[[#This Row],[Order_Date]], "MMM")</f>
        <v>Jan</v>
      </c>
      <c r="N3027" s="1">
        <f>YEAR(Table1[[#This Row],[Order_Date]])</f>
        <v>2023</v>
      </c>
      <c r="O3027" s="7">
        <f>Table1[[#This Row],[Profit]]/Table1[[#This Row],[Total_Sales]]</f>
        <v>0.41081802867825301</v>
      </c>
    </row>
    <row r="3028" spans="1:15" x14ac:dyDescent="0.25">
      <c r="A3028" s="1">
        <v>3027</v>
      </c>
      <c r="B3028" s="2">
        <v>45223</v>
      </c>
      <c r="C3028" s="1" t="s">
        <v>12</v>
      </c>
      <c r="D3028" s="1" t="s">
        <v>20</v>
      </c>
      <c r="E3028" s="1" t="s">
        <v>43</v>
      </c>
      <c r="F3028" s="1" t="s">
        <v>31</v>
      </c>
      <c r="G3028" s="1">
        <v>9</v>
      </c>
      <c r="H3028" s="1">
        <v>449</v>
      </c>
      <c r="I3028" s="1">
        <v>15</v>
      </c>
      <c r="J3028" s="4">
        <v>3434.85</v>
      </c>
      <c r="K3028" s="4">
        <v>1857.06</v>
      </c>
      <c r="L3028" s="4">
        <v>1577.79</v>
      </c>
      <c r="M3028" s="1" t="str">
        <f>TEXT(Table1[[#This Row],[Order_Date]], "MMM")</f>
        <v>Oct</v>
      </c>
      <c r="N3028" s="1">
        <f>YEAR(Table1[[#This Row],[Order_Date]])</f>
        <v>2023</v>
      </c>
      <c r="O3028" s="7">
        <f>Table1[[#This Row],[Profit]]/Table1[[#This Row],[Total_Sales]]</f>
        <v>0.45934756976287172</v>
      </c>
    </row>
    <row r="3029" spans="1:15" x14ac:dyDescent="0.25">
      <c r="A3029" s="1">
        <v>3028</v>
      </c>
      <c r="B3029" s="2">
        <v>45329</v>
      </c>
      <c r="C3029" s="1" t="s">
        <v>12</v>
      </c>
      <c r="D3029" s="1" t="s">
        <v>13</v>
      </c>
      <c r="E3029" s="1" t="s">
        <v>17</v>
      </c>
      <c r="F3029" s="1" t="s">
        <v>35</v>
      </c>
      <c r="G3029" s="1">
        <v>7</v>
      </c>
      <c r="H3029" s="1">
        <v>702</v>
      </c>
      <c r="I3029" s="1">
        <v>20</v>
      </c>
      <c r="J3029" s="4">
        <v>3931.2</v>
      </c>
      <c r="K3029" s="4">
        <v>3117.9</v>
      </c>
      <c r="L3029" s="4">
        <v>813.3</v>
      </c>
      <c r="M3029" s="1" t="str">
        <f>TEXT(Table1[[#This Row],[Order_Date]], "MMM")</f>
        <v>Feb</v>
      </c>
      <c r="N3029" s="1">
        <f>YEAR(Table1[[#This Row],[Order_Date]])</f>
        <v>2024</v>
      </c>
      <c r="O3029" s="7">
        <f>Table1[[#This Row],[Profit]]/Table1[[#This Row],[Total_Sales]]</f>
        <v>0.20688339438339437</v>
      </c>
    </row>
    <row r="3030" spans="1:15" x14ac:dyDescent="0.25">
      <c r="A3030" s="1">
        <v>3029</v>
      </c>
      <c r="B3030" s="2">
        <v>45512</v>
      </c>
      <c r="C3030" s="1" t="s">
        <v>16</v>
      </c>
      <c r="D3030" s="1" t="s">
        <v>26</v>
      </c>
      <c r="E3030" s="1" t="s">
        <v>46</v>
      </c>
      <c r="F3030" s="1" t="s">
        <v>35</v>
      </c>
      <c r="G3030" s="1">
        <v>8</v>
      </c>
      <c r="H3030" s="1">
        <v>435</v>
      </c>
      <c r="I3030" s="1">
        <v>10</v>
      </c>
      <c r="J3030" s="4">
        <v>3132</v>
      </c>
      <c r="K3030" s="4">
        <v>1777.8</v>
      </c>
      <c r="L3030" s="4">
        <v>1354.2</v>
      </c>
      <c r="M3030" s="1" t="str">
        <f>TEXT(Table1[[#This Row],[Order_Date]], "MMM")</f>
        <v>Aug</v>
      </c>
      <c r="N3030" s="1">
        <f>YEAR(Table1[[#This Row],[Order_Date]])</f>
        <v>2024</v>
      </c>
      <c r="O3030" s="7">
        <f>Table1[[#This Row],[Profit]]/Table1[[#This Row],[Total_Sales]]</f>
        <v>0.43237547892720307</v>
      </c>
    </row>
    <row r="3031" spans="1:15" x14ac:dyDescent="0.25">
      <c r="A3031" s="1">
        <v>3030</v>
      </c>
      <c r="B3031" s="2">
        <v>45499</v>
      </c>
      <c r="C3031" s="1" t="s">
        <v>25</v>
      </c>
      <c r="D3031" s="1" t="s">
        <v>26</v>
      </c>
      <c r="E3031" s="1" t="s">
        <v>37</v>
      </c>
      <c r="F3031" s="1" t="s">
        <v>35</v>
      </c>
      <c r="G3031" s="1">
        <v>1</v>
      </c>
      <c r="H3031" s="1">
        <v>649</v>
      </c>
      <c r="I3031" s="1">
        <v>20</v>
      </c>
      <c r="J3031" s="4">
        <v>519.20000000000005</v>
      </c>
      <c r="K3031" s="4">
        <v>311.26</v>
      </c>
      <c r="L3031" s="4">
        <v>207.94</v>
      </c>
      <c r="M3031" s="1" t="str">
        <f>TEXT(Table1[[#This Row],[Order_Date]], "MMM")</f>
        <v>Jul</v>
      </c>
      <c r="N3031" s="1">
        <f>YEAR(Table1[[#This Row],[Order_Date]])</f>
        <v>2024</v>
      </c>
      <c r="O3031" s="7">
        <f>Table1[[#This Row],[Profit]]/Table1[[#This Row],[Total_Sales]]</f>
        <v>0.40050077041602461</v>
      </c>
    </row>
    <row r="3032" spans="1:15" x14ac:dyDescent="0.25">
      <c r="A3032" s="1">
        <v>3031</v>
      </c>
      <c r="B3032" s="2">
        <v>45481</v>
      </c>
      <c r="C3032" s="1" t="s">
        <v>16</v>
      </c>
      <c r="D3032" s="1" t="s">
        <v>22</v>
      </c>
      <c r="E3032" s="1" t="s">
        <v>23</v>
      </c>
      <c r="F3032" s="1" t="s">
        <v>31</v>
      </c>
      <c r="G3032" s="1">
        <v>8</v>
      </c>
      <c r="H3032" s="1">
        <v>788</v>
      </c>
      <c r="I3032" s="1">
        <v>20</v>
      </c>
      <c r="J3032" s="4">
        <v>5043.2</v>
      </c>
      <c r="K3032" s="4">
        <v>2798.4</v>
      </c>
      <c r="L3032" s="4">
        <v>2244.8000000000002</v>
      </c>
      <c r="M3032" s="1" t="str">
        <f>TEXT(Table1[[#This Row],[Order_Date]], "MMM")</f>
        <v>Jul</v>
      </c>
      <c r="N3032" s="1">
        <f>YEAR(Table1[[#This Row],[Order_Date]])</f>
        <v>2024</v>
      </c>
      <c r="O3032" s="7">
        <f>Table1[[#This Row],[Profit]]/Table1[[#This Row],[Total_Sales]]</f>
        <v>0.44511421319796962</v>
      </c>
    </row>
    <row r="3033" spans="1:15" x14ac:dyDescent="0.25">
      <c r="A3033" s="1">
        <v>3032</v>
      </c>
      <c r="B3033" s="2">
        <v>45499</v>
      </c>
      <c r="C3033" s="1" t="s">
        <v>19</v>
      </c>
      <c r="D3033" s="1" t="s">
        <v>20</v>
      </c>
      <c r="E3033" s="1" t="s">
        <v>43</v>
      </c>
      <c r="F3033" s="1" t="s">
        <v>15</v>
      </c>
      <c r="G3033" s="1">
        <v>7</v>
      </c>
      <c r="H3033" s="1">
        <v>668</v>
      </c>
      <c r="I3033" s="1">
        <v>15</v>
      </c>
      <c r="J3033" s="4">
        <v>3974.6</v>
      </c>
      <c r="K3033" s="4">
        <v>2101.12</v>
      </c>
      <c r="L3033" s="4">
        <v>1873.48</v>
      </c>
      <c r="M3033" s="1" t="str">
        <f>TEXT(Table1[[#This Row],[Order_Date]], "MMM")</f>
        <v>Jul</v>
      </c>
      <c r="N3033" s="1">
        <f>YEAR(Table1[[#This Row],[Order_Date]])</f>
        <v>2024</v>
      </c>
      <c r="O3033" s="7">
        <f>Table1[[#This Row],[Profit]]/Table1[[#This Row],[Total_Sales]]</f>
        <v>0.47136315604085949</v>
      </c>
    </row>
    <row r="3034" spans="1:15" x14ac:dyDescent="0.25">
      <c r="A3034" s="1">
        <v>3033</v>
      </c>
      <c r="B3034" s="2">
        <v>45009</v>
      </c>
      <c r="C3034" s="1" t="s">
        <v>16</v>
      </c>
      <c r="D3034" s="1" t="s">
        <v>13</v>
      </c>
      <c r="E3034" s="1" t="s">
        <v>14</v>
      </c>
      <c r="F3034" s="1" t="s">
        <v>15</v>
      </c>
      <c r="G3034" s="1">
        <v>1</v>
      </c>
      <c r="H3034" s="1">
        <v>479</v>
      </c>
      <c r="I3034" s="1">
        <v>5</v>
      </c>
      <c r="J3034" s="4">
        <v>455.05</v>
      </c>
      <c r="K3034" s="4">
        <v>314.17</v>
      </c>
      <c r="L3034" s="4">
        <v>140.88</v>
      </c>
      <c r="M3034" s="1" t="str">
        <f>TEXT(Table1[[#This Row],[Order_Date]], "MMM")</f>
        <v>Mar</v>
      </c>
      <c r="N3034" s="1">
        <f>YEAR(Table1[[#This Row],[Order_Date]])</f>
        <v>2023</v>
      </c>
      <c r="O3034" s="7">
        <f>Table1[[#This Row],[Profit]]/Table1[[#This Row],[Total_Sales]]</f>
        <v>0.30959235248873751</v>
      </c>
    </row>
    <row r="3035" spans="1:15" x14ac:dyDescent="0.25">
      <c r="A3035" s="1">
        <v>3034</v>
      </c>
      <c r="B3035" s="2">
        <v>45404</v>
      </c>
      <c r="C3035" s="1" t="s">
        <v>19</v>
      </c>
      <c r="D3035" s="1" t="s">
        <v>32</v>
      </c>
      <c r="E3035" s="1" t="s">
        <v>45</v>
      </c>
      <c r="F3035" s="1" t="s">
        <v>35</v>
      </c>
      <c r="G3035" s="1">
        <v>2</v>
      </c>
      <c r="H3035" s="1">
        <v>371</v>
      </c>
      <c r="I3035" s="1">
        <v>0</v>
      </c>
      <c r="J3035" s="4">
        <v>742</v>
      </c>
      <c r="K3035" s="4">
        <v>406.06</v>
      </c>
      <c r="L3035" s="4">
        <v>335.94</v>
      </c>
      <c r="M3035" s="1" t="str">
        <f>TEXT(Table1[[#This Row],[Order_Date]], "MMM")</f>
        <v>Apr</v>
      </c>
      <c r="N3035" s="1">
        <f>YEAR(Table1[[#This Row],[Order_Date]])</f>
        <v>2024</v>
      </c>
      <c r="O3035" s="7">
        <f>Table1[[#This Row],[Profit]]/Table1[[#This Row],[Total_Sales]]</f>
        <v>0.45274932614555258</v>
      </c>
    </row>
    <row r="3036" spans="1:15" x14ac:dyDescent="0.25">
      <c r="A3036" s="1">
        <v>3035</v>
      </c>
      <c r="B3036" s="2">
        <v>45109</v>
      </c>
      <c r="C3036" s="1" t="s">
        <v>19</v>
      </c>
      <c r="D3036" s="1" t="s">
        <v>20</v>
      </c>
      <c r="E3036" s="1" t="s">
        <v>21</v>
      </c>
      <c r="F3036" s="1" t="s">
        <v>24</v>
      </c>
      <c r="G3036" s="1">
        <v>2</v>
      </c>
      <c r="H3036" s="1">
        <v>945</v>
      </c>
      <c r="I3036" s="1">
        <v>15</v>
      </c>
      <c r="J3036" s="4">
        <v>1606.5</v>
      </c>
      <c r="K3036" s="4">
        <v>1049.31</v>
      </c>
      <c r="L3036" s="4">
        <v>557.19000000000005</v>
      </c>
      <c r="M3036" s="1" t="str">
        <f>TEXT(Table1[[#This Row],[Order_Date]], "MMM")</f>
        <v>Jul</v>
      </c>
      <c r="N3036" s="1">
        <f>YEAR(Table1[[#This Row],[Order_Date]])</f>
        <v>2023</v>
      </c>
      <c r="O3036" s="7">
        <f>Table1[[#This Row],[Profit]]/Table1[[#This Row],[Total_Sales]]</f>
        <v>0.34683473389355746</v>
      </c>
    </row>
    <row r="3037" spans="1:15" x14ac:dyDescent="0.25">
      <c r="A3037" s="1">
        <v>3036</v>
      </c>
      <c r="B3037" s="2">
        <v>45583</v>
      </c>
      <c r="C3037" s="1" t="s">
        <v>12</v>
      </c>
      <c r="D3037" s="1" t="s">
        <v>13</v>
      </c>
      <c r="E3037" s="1" t="s">
        <v>38</v>
      </c>
      <c r="F3037" s="1" t="s">
        <v>15</v>
      </c>
      <c r="G3037" s="1">
        <v>3</v>
      </c>
      <c r="H3037" s="1">
        <v>969</v>
      </c>
      <c r="I3037" s="1">
        <v>20</v>
      </c>
      <c r="J3037" s="4">
        <v>2325.6</v>
      </c>
      <c r="K3037" s="4">
        <v>1708</v>
      </c>
      <c r="L3037" s="4">
        <v>617.6</v>
      </c>
      <c r="M3037" s="1" t="str">
        <f>TEXT(Table1[[#This Row],[Order_Date]], "MMM")</f>
        <v>Oct</v>
      </c>
      <c r="N3037" s="1">
        <f>YEAR(Table1[[#This Row],[Order_Date]])</f>
        <v>2024</v>
      </c>
      <c r="O3037" s="7">
        <f>Table1[[#This Row],[Profit]]/Table1[[#This Row],[Total_Sales]]</f>
        <v>0.26556587547299626</v>
      </c>
    </row>
    <row r="3038" spans="1:15" x14ac:dyDescent="0.25">
      <c r="A3038" s="1">
        <v>3037</v>
      </c>
      <c r="B3038" s="2">
        <v>45528</v>
      </c>
      <c r="C3038" s="1" t="s">
        <v>25</v>
      </c>
      <c r="D3038" s="1" t="s">
        <v>20</v>
      </c>
      <c r="E3038" s="1" t="s">
        <v>43</v>
      </c>
      <c r="F3038" s="1" t="s">
        <v>18</v>
      </c>
      <c r="G3038" s="1">
        <v>3</v>
      </c>
      <c r="H3038" s="1">
        <v>734</v>
      </c>
      <c r="I3038" s="1">
        <v>5</v>
      </c>
      <c r="J3038" s="4">
        <v>2091.9</v>
      </c>
      <c r="K3038" s="4">
        <v>1335.25</v>
      </c>
      <c r="L3038" s="4">
        <v>756.65</v>
      </c>
      <c r="M3038" s="1" t="str">
        <f>TEXT(Table1[[#This Row],[Order_Date]], "MMM")</f>
        <v>Aug</v>
      </c>
      <c r="N3038" s="1">
        <f>YEAR(Table1[[#This Row],[Order_Date]])</f>
        <v>2024</v>
      </c>
      <c r="O3038" s="7">
        <f>Table1[[#This Row],[Profit]]/Table1[[#This Row],[Total_Sales]]</f>
        <v>0.36170467039533438</v>
      </c>
    </row>
    <row r="3039" spans="1:15" x14ac:dyDescent="0.25">
      <c r="A3039" s="1">
        <v>3038</v>
      </c>
      <c r="B3039" s="2">
        <v>45336</v>
      </c>
      <c r="C3039" s="1" t="s">
        <v>19</v>
      </c>
      <c r="D3039" s="1" t="s">
        <v>32</v>
      </c>
      <c r="E3039" s="1" t="s">
        <v>41</v>
      </c>
      <c r="F3039" s="1" t="s">
        <v>40</v>
      </c>
      <c r="G3039" s="1">
        <v>4</v>
      </c>
      <c r="H3039" s="1">
        <v>231</v>
      </c>
      <c r="I3039" s="1">
        <v>10</v>
      </c>
      <c r="J3039" s="4">
        <v>831.6</v>
      </c>
      <c r="K3039" s="4">
        <v>651.16</v>
      </c>
      <c r="L3039" s="4">
        <v>180.44</v>
      </c>
      <c r="M3039" s="1" t="str">
        <f>TEXT(Table1[[#This Row],[Order_Date]], "MMM")</f>
        <v>Feb</v>
      </c>
      <c r="N3039" s="1">
        <f>YEAR(Table1[[#This Row],[Order_Date]])</f>
        <v>2024</v>
      </c>
      <c r="O3039" s="7">
        <f>Table1[[#This Row],[Profit]]/Table1[[#This Row],[Total_Sales]]</f>
        <v>0.21697931697931697</v>
      </c>
    </row>
    <row r="3040" spans="1:15" x14ac:dyDescent="0.25">
      <c r="A3040" s="1">
        <v>3039</v>
      </c>
      <c r="B3040" s="2">
        <v>45121</v>
      </c>
      <c r="C3040" s="1" t="s">
        <v>16</v>
      </c>
      <c r="D3040" s="1" t="s">
        <v>26</v>
      </c>
      <c r="E3040" s="1" t="s">
        <v>46</v>
      </c>
      <c r="F3040" s="1" t="s">
        <v>35</v>
      </c>
      <c r="G3040" s="1">
        <v>6</v>
      </c>
      <c r="H3040" s="1">
        <v>768</v>
      </c>
      <c r="I3040" s="1">
        <v>0</v>
      </c>
      <c r="J3040" s="4">
        <v>4608</v>
      </c>
      <c r="K3040" s="4">
        <v>3274.97</v>
      </c>
      <c r="L3040" s="4">
        <v>1333.03</v>
      </c>
      <c r="M3040" s="1" t="str">
        <f>TEXT(Table1[[#This Row],[Order_Date]], "MMM")</f>
        <v>Jul</v>
      </c>
      <c r="N3040" s="1">
        <f>YEAR(Table1[[#This Row],[Order_Date]])</f>
        <v>2023</v>
      </c>
      <c r="O3040" s="7">
        <f>Table1[[#This Row],[Profit]]/Table1[[#This Row],[Total_Sales]]</f>
        <v>0.28928602430555556</v>
      </c>
    </row>
    <row r="3041" spans="1:15" x14ac:dyDescent="0.25">
      <c r="A3041" s="1">
        <v>3040</v>
      </c>
      <c r="B3041" s="2">
        <v>45361</v>
      </c>
      <c r="C3041" s="1" t="s">
        <v>16</v>
      </c>
      <c r="D3041" s="1" t="s">
        <v>32</v>
      </c>
      <c r="E3041" s="1" t="s">
        <v>41</v>
      </c>
      <c r="F3041" s="1" t="s">
        <v>40</v>
      </c>
      <c r="G3041" s="1">
        <v>9</v>
      </c>
      <c r="H3041" s="1">
        <v>927</v>
      </c>
      <c r="I3041" s="1">
        <v>0</v>
      </c>
      <c r="J3041" s="4">
        <v>8343</v>
      </c>
      <c r="K3041" s="4">
        <v>6567.54</v>
      </c>
      <c r="L3041" s="4">
        <v>1775.46</v>
      </c>
      <c r="M3041" s="1" t="str">
        <f>TEXT(Table1[[#This Row],[Order_Date]], "MMM")</f>
        <v>Mar</v>
      </c>
      <c r="N3041" s="1">
        <f>YEAR(Table1[[#This Row],[Order_Date]])</f>
        <v>2024</v>
      </c>
      <c r="O3041" s="7">
        <f>Table1[[#This Row],[Profit]]/Table1[[#This Row],[Total_Sales]]</f>
        <v>0.21280834232290544</v>
      </c>
    </row>
    <row r="3042" spans="1:15" x14ac:dyDescent="0.25">
      <c r="A3042" s="1">
        <v>3041</v>
      </c>
      <c r="B3042" s="2">
        <v>45157</v>
      </c>
      <c r="C3042" s="1" t="s">
        <v>12</v>
      </c>
      <c r="D3042" s="1" t="s">
        <v>32</v>
      </c>
      <c r="E3042" s="1" t="s">
        <v>45</v>
      </c>
      <c r="F3042" s="1" t="s">
        <v>40</v>
      </c>
      <c r="G3042" s="1">
        <v>10</v>
      </c>
      <c r="H3042" s="1">
        <v>418</v>
      </c>
      <c r="I3042" s="1">
        <v>15</v>
      </c>
      <c r="J3042" s="4">
        <v>3553</v>
      </c>
      <c r="K3042" s="4">
        <v>2110.7600000000002</v>
      </c>
      <c r="L3042" s="4">
        <v>1442.24</v>
      </c>
      <c r="M3042" s="1" t="str">
        <f>TEXT(Table1[[#This Row],[Order_Date]], "MMM")</f>
        <v>Aug</v>
      </c>
      <c r="N3042" s="1">
        <f>YEAR(Table1[[#This Row],[Order_Date]])</f>
        <v>2023</v>
      </c>
      <c r="O3042" s="7">
        <f>Table1[[#This Row],[Profit]]/Table1[[#This Row],[Total_Sales]]</f>
        <v>0.40592175626231353</v>
      </c>
    </row>
    <row r="3043" spans="1:15" x14ac:dyDescent="0.25">
      <c r="A3043" s="1">
        <v>3042</v>
      </c>
      <c r="B3043" s="2">
        <v>45645</v>
      </c>
      <c r="C3043" s="1" t="s">
        <v>19</v>
      </c>
      <c r="D3043" s="1" t="s">
        <v>20</v>
      </c>
      <c r="E3043" s="1" t="s">
        <v>30</v>
      </c>
      <c r="F3043" s="1" t="s">
        <v>24</v>
      </c>
      <c r="G3043" s="1">
        <v>9</v>
      </c>
      <c r="H3043" s="1">
        <v>66</v>
      </c>
      <c r="I3043" s="1">
        <v>5</v>
      </c>
      <c r="J3043" s="4">
        <v>564.29999999999995</v>
      </c>
      <c r="K3043" s="4">
        <v>322.83</v>
      </c>
      <c r="L3043" s="4">
        <v>241.47</v>
      </c>
      <c r="M3043" s="1" t="str">
        <f>TEXT(Table1[[#This Row],[Order_Date]], "MMM")</f>
        <v>Dec</v>
      </c>
      <c r="N3043" s="1">
        <f>YEAR(Table1[[#This Row],[Order_Date]])</f>
        <v>2024</v>
      </c>
      <c r="O3043" s="7">
        <f>Table1[[#This Row],[Profit]]/Table1[[#This Row],[Total_Sales]]</f>
        <v>0.42791068580542269</v>
      </c>
    </row>
    <row r="3044" spans="1:15" x14ac:dyDescent="0.25">
      <c r="A3044" s="1">
        <v>3043</v>
      </c>
      <c r="B3044" s="2">
        <v>44959</v>
      </c>
      <c r="C3044" s="1" t="s">
        <v>19</v>
      </c>
      <c r="D3044" s="1" t="s">
        <v>22</v>
      </c>
      <c r="E3044" s="1" t="s">
        <v>23</v>
      </c>
      <c r="F3044" s="1" t="s">
        <v>15</v>
      </c>
      <c r="G3044" s="1">
        <v>8</v>
      </c>
      <c r="H3044" s="1">
        <v>35</v>
      </c>
      <c r="I3044" s="1">
        <v>10</v>
      </c>
      <c r="J3044" s="4">
        <v>252</v>
      </c>
      <c r="K3044" s="4">
        <v>156.72</v>
      </c>
      <c r="L3044" s="4">
        <v>95.28</v>
      </c>
      <c r="M3044" s="1" t="str">
        <f>TEXT(Table1[[#This Row],[Order_Date]], "MMM")</f>
        <v>Feb</v>
      </c>
      <c r="N3044" s="1">
        <f>YEAR(Table1[[#This Row],[Order_Date]])</f>
        <v>2023</v>
      </c>
      <c r="O3044" s="7">
        <f>Table1[[#This Row],[Profit]]/Table1[[#This Row],[Total_Sales]]</f>
        <v>0.3780952380952381</v>
      </c>
    </row>
    <row r="3045" spans="1:15" x14ac:dyDescent="0.25">
      <c r="A3045" s="1">
        <v>3044</v>
      </c>
      <c r="B3045" s="2">
        <v>45567</v>
      </c>
      <c r="C3045" s="1" t="s">
        <v>12</v>
      </c>
      <c r="D3045" s="1" t="s">
        <v>13</v>
      </c>
      <c r="E3045" s="1" t="s">
        <v>38</v>
      </c>
      <c r="F3045" s="1" t="s">
        <v>40</v>
      </c>
      <c r="G3045" s="1">
        <v>7</v>
      </c>
      <c r="H3045" s="1">
        <v>69</v>
      </c>
      <c r="I3045" s="1">
        <v>0</v>
      </c>
      <c r="J3045" s="4">
        <v>483</v>
      </c>
      <c r="K3045" s="4">
        <v>269.79000000000002</v>
      </c>
      <c r="L3045" s="4">
        <v>213.21</v>
      </c>
      <c r="M3045" s="1" t="str">
        <f>TEXT(Table1[[#This Row],[Order_Date]], "MMM")</f>
        <v>Oct</v>
      </c>
      <c r="N3045" s="1">
        <f>YEAR(Table1[[#This Row],[Order_Date]])</f>
        <v>2024</v>
      </c>
      <c r="O3045" s="7">
        <f>Table1[[#This Row],[Profit]]/Table1[[#This Row],[Total_Sales]]</f>
        <v>0.44142857142857145</v>
      </c>
    </row>
    <row r="3046" spans="1:15" x14ac:dyDescent="0.25">
      <c r="A3046" s="1">
        <v>3045</v>
      </c>
      <c r="B3046" s="2">
        <v>45264</v>
      </c>
      <c r="C3046" s="1" t="s">
        <v>25</v>
      </c>
      <c r="D3046" s="1" t="s">
        <v>22</v>
      </c>
      <c r="E3046" s="1" t="s">
        <v>23</v>
      </c>
      <c r="F3046" s="1" t="s">
        <v>15</v>
      </c>
      <c r="G3046" s="1">
        <v>6</v>
      </c>
      <c r="H3046" s="1">
        <v>310</v>
      </c>
      <c r="I3046" s="1">
        <v>15</v>
      </c>
      <c r="J3046" s="4">
        <v>1581</v>
      </c>
      <c r="K3046" s="4">
        <v>1058.2</v>
      </c>
      <c r="L3046" s="4">
        <v>522.79999999999995</v>
      </c>
      <c r="M3046" s="1" t="str">
        <f>TEXT(Table1[[#This Row],[Order_Date]], "MMM")</f>
        <v>Dec</v>
      </c>
      <c r="N3046" s="1">
        <f>YEAR(Table1[[#This Row],[Order_Date]])</f>
        <v>2023</v>
      </c>
      <c r="O3046" s="7">
        <f>Table1[[#This Row],[Profit]]/Table1[[#This Row],[Total_Sales]]</f>
        <v>0.33067678684376972</v>
      </c>
    </row>
    <row r="3047" spans="1:15" x14ac:dyDescent="0.25">
      <c r="A3047" s="1">
        <v>3046</v>
      </c>
      <c r="B3047" s="2">
        <v>45202</v>
      </c>
      <c r="C3047" s="1" t="s">
        <v>12</v>
      </c>
      <c r="D3047" s="1" t="s">
        <v>32</v>
      </c>
      <c r="E3047" s="1" t="s">
        <v>45</v>
      </c>
      <c r="F3047" s="1" t="s">
        <v>18</v>
      </c>
      <c r="G3047" s="1">
        <v>4</v>
      </c>
      <c r="H3047" s="1">
        <v>356</v>
      </c>
      <c r="I3047" s="1">
        <v>20</v>
      </c>
      <c r="J3047" s="4">
        <v>1139.2</v>
      </c>
      <c r="K3047" s="4">
        <v>676.6</v>
      </c>
      <c r="L3047" s="4">
        <v>462.6</v>
      </c>
      <c r="M3047" s="1" t="str">
        <f>TEXT(Table1[[#This Row],[Order_Date]], "MMM")</f>
        <v>Oct</v>
      </c>
      <c r="N3047" s="1">
        <f>YEAR(Table1[[#This Row],[Order_Date]])</f>
        <v>2023</v>
      </c>
      <c r="O3047" s="7">
        <f>Table1[[#This Row],[Profit]]/Table1[[#This Row],[Total_Sales]]</f>
        <v>0.4060744382022472</v>
      </c>
    </row>
    <row r="3048" spans="1:15" x14ac:dyDescent="0.25">
      <c r="A3048" s="1">
        <v>3047</v>
      </c>
      <c r="B3048" s="2">
        <v>45423</v>
      </c>
      <c r="C3048" s="1" t="s">
        <v>16</v>
      </c>
      <c r="D3048" s="1" t="s">
        <v>20</v>
      </c>
      <c r="E3048" s="1" t="s">
        <v>28</v>
      </c>
      <c r="F3048" s="1" t="s">
        <v>18</v>
      </c>
      <c r="G3048" s="1">
        <v>10</v>
      </c>
      <c r="H3048" s="1">
        <v>807</v>
      </c>
      <c r="I3048" s="1">
        <v>20</v>
      </c>
      <c r="J3048" s="4">
        <v>6456</v>
      </c>
      <c r="K3048" s="4">
        <v>3495.67</v>
      </c>
      <c r="L3048" s="4">
        <v>2960.33</v>
      </c>
      <c r="M3048" s="1" t="str">
        <f>TEXT(Table1[[#This Row],[Order_Date]], "MMM")</f>
        <v>May</v>
      </c>
      <c r="N3048" s="1">
        <f>YEAR(Table1[[#This Row],[Order_Date]])</f>
        <v>2024</v>
      </c>
      <c r="O3048" s="7">
        <f>Table1[[#This Row],[Profit]]/Table1[[#This Row],[Total_Sales]]</f>
        <v>0.45853934324659229</v>
      </c>
    </row>
    <row r="3049" spans="1:15" x14ac:dyDescent="0.25">
      <c r="A3049" s="1">
        <v>3048</v>
      </c>
      <c r="B3049" s="2">
        <v>44998</v>
      </c>
      <c r="C3049" s="1" t="s">
        <v>19</v>
      </c>
      <c r="D3049" s="1" t="s">
        <v>32</v>
      </c>
      <c r="E3049" s="1" t="s">
        <v>41</v>
      </c>
      <c r="F3049" s="1" t="s">
        <v>18</v>
      </c>
      <c r="G3049" s="1">
        <v>9</v>
      </c>
      <c r="H3049" s="1">
        <v>760</v>
      </c>
      <c r="I3049" s="1">
        <v>10</v>
      </c>
      <c r="J3049" s="4">
        <v>6156</v>
      </c>
      <c r="K3049" s="4">
        <v>4437.08</v>
      </c>
      <c r="L3049" s="4">
        <v>1718.92</v>
      </c>
      <c r="M3049" s="1" t="str">
        <f>TEXT(Table1[[#This Row],[Order_Date]], "MMM")</f>
        <v>Mar</v>
      </c>
      <c r="N3049" s="1">
        <f>YEAR(Table1[[#This Row],[Order_Date]])</f>
        <v>2023</v>
      </c>
      <c r="O3049" s="7">
        <f>Table1[[#This Row],[Profit]]/Table1[[#This Row],[Total_Sales]]</f>
        <v>0.2792267706302794</v>
      </c>
    </row>
    <row r="3050" spans="1:15" x14ac:dyDescent="0.25">
      <c r="A3050" s="1">
        <v>3049</v>
      </c>
      <c r="B3050" s="2">
        <v>45092</v>
      </c>
      <c r="C3050" s="1" t="s">
        <v>25</v>
      </c>
      <c r="D3050" s="1" t="s">
        <v>26</v>
      </c>
      <c r="E3050" s="1" t="s">
        <v>42</v>
      </c>
      <c r="F3050" s="1" t="s">
        <v>31</v>
      </c>
      <c r="G3050" s="1">
        <v>3</v>
      </c>
      <c r="H3050" s="1">
        <v>29</v>
      </c>
      <c r="I3050" s="1">
        <v>10</v>
      </c>
      <c r="J3050" s="4">
        <v>78.3</v>
      </c>
      <c r="K3050" s="4">
        <v>53.39</v>
      </c>
      <c r="L3050" s="4">
        <v>24.91</v>
      </c>
      <c r="M3050" s="1" t="str">
        <f>TEXT(Table1[[#This Row],[Order_Date]], "MMM")</f>
        <v>Jun</v>
      </c>
      <c r="N3050" s="1">
        <f>YEAR(Table1[[#This Row],[Order_Date]])</f>
        <v>2023</v>
      </c>
      <c r="O3050" s="7">
        <f>Table1[[#This Row],[Profit]]/Table1[[#This Row],[Total_Sales]]</f>
        <v>0.3181353767560664</v>
      </c>
    </row>
    <row r="3051" spans="1:15" x14ac:dyDescent="0.25">
      <c r="A3051" s="1">
        <v>3050</v>
      </c>
      <c r="B3051" s="2">
        <v>45067</v>
      </c>
      <c r="C3051" s="1" t="s">
        <v>16</v>
      </c>
      <c r="D3051" s="1" t="s">
        <v>13</v>
      </c>
      <c r="E3051" s="1" t="s">
        <v>14</v>
      </c>
      <c r="F3051" s="1" t="s">
        <v>31</v>
      </c>
      <c r="G3051" s="1">
        <v>3</v>
      </c>
      <c r="H3051" s="1">
        <v>918</v>
      </c>
      <c r="I3051" s="1">
        <v>0</v>
      </c>
      <c r="J3051" s="4">
        <v>2754</v>
      </c>
      <c r="K3051" s="4">
        <v>1981.79</v>
      </c>
      <c r="L3051" s="4">
        <v>772.21</v>
      </c>
      <c r="M3051" s="1" t="str">
        <f>TEXT(Table1[[#This Row],[Order_Date]], "MMM")</f>
        <v>May</v>
      </c>
      <c r="N3051" s="1">
        <f>YEAR(Table1[[#This Row],[Order_Date]])</f>
        <v>2023</v>
      </c>
      <c r="O3051" s="7">
        <f>Table1[[#This Row],[Profit]]/Table1[[#This Row],[Total_Sales]]</f>
        <v>0.28039578794480757</v>
      </c>
    </row>
    <row r="3052" spans="1:15" x14ac:dyDescent="0.25">
      <c r="A3052" s="1">
        <v>3051</v>
      </c>
      <c r="B3052" s="2">
        <v>45234</v>
      </c>
      <c r="C3052" s="1" t="s">
        <v>19</v>
      </c>
      <c r="D3052" s="1" t="s">
        <v>22</v>
      </c>
      <c r="E3052" s="1" t="s">
        <v>23</v>
      </c>
      <c r="F3052" s="1" t="s">
        <v>40</v>
      </c>
      <c r="G3052" s="1">
        <v>8</v>
      </c>
      <c r="H3052" s="1">
        <v>45</v>
      </c>
      <c r="I3052" s="1">
        <v>15</v>
      </c>
      <c r="J3052" s="4">
        <v>306</v>
      </c>
      <c r="K3052" s="4">
        <v>165.18</v>
      </c>
      <c r="L3052" s="4">
        <v>140.82</v>
      </c>
      <c r="M3052" s="1" t="str">
        <f>TEXT(Table1[[#This Row],[Order_Date]], "MMM")</f>
        <v>Nov</v>
      </c>
      <c r="N3052" s="1">
        <f>YEAR(Table1[[#This Row],[Order_Date]])</f>
        <v>2023</v>
      </c>
      <c r="O3052" s="7">
        <f>Table1[[#This Row],[Profit]]/Table1[[#This Row],[Total_Sales]]</f>
        <v>0.4601960784313725</v>
      </c>
    </row>
    <row r="3053" spans="1:15" x14ac:dyDescent="0.25">
      <c r="A3053" s="1">
        <v>3052</v>
      </c>
      <c r="B3053" s="2">
        <v>45050</v>
      </c>
      <c r="C3053" s="1" t="s">
        <v>25</v>
      </c>
      <c r="D3053" s="1" t="s">
        <v>22</v>
      </c>
      <c r="E3053" s="1" t="s">
        <v>44</v>
      </c>
      <c r="F3053" s="1" t="s">
        <v>40</v>
      </c>
      <c r="G3053" s="1">
        <v>8</v>
      </c>
      <c r="H3053" s="1">
        <v>46</v>
      </c>
      <c r="I3053" s="1">
        <v>20</v>
      </c>
      <c r="J3053" s="4">
        <v>294.39999999999998</v>
      </c>
      <c r="K3053" s="4">
        <v>225.11</v>
      </c>
      <c r="L3053" s="4">
        <v>69.290000000000006</v>
      </c>
      <c r="M3053" s="1" t="str">
        <f>TEXT(Table1[[#This Row],[Order_Date]], "MMM")</f>
        <v>May</v>
      </c>
      <c r="N3053" s="1">
        <f>YEAR(Table1[[#This Row],[Order_Date]])</f>
        <v>2023</v>
      </c>
      <c r="O3053" s="7">
        <f>Table1[[#This Row],[Profit]]/Table1[[#This Row],[Total_Sales]]</f>
        <v>0.23536005434782611</v>
      </c>
    </row>
    <row r="3054" spans="1:15" x14ac:dyDescent="0.25">
      <c r="A3054" s="1">
        <v>3053</v>
      </c>
      <c r="B3054" s="2">
        <v>45597</v>
      </c>
      <c r="C3054" s="1" t="s">
        <v>12</v>
      </c>
      <c r="D3054" s="1" t="s">
        <v>32</v>
      </c>
      <c r="E3054" s="1" t="s">
        <v>33</v>
      </c>
      <c r="F3054" s="1" t="s">
        <v>18</v>
      </c>
      <c r="G3054" s="1">
        <v>9</v>
      </c>
      <c r="H3054" s="1">
        <v>195</v>
      </c>
      <c r="I3054" s="1">
        <v>15</v>
      </c>
      <c r="J3054" s="4">
        <v>1491.75</v>
      </c>
      <c r="K3054" s="4">
        <v>887.36</v>
      </c>
      <c r="L3054" s="4">
        <v>604.39</v>
      </c>
      <c r="M3054" s="1" t="str">
        <f>TEXT(Table1[[#This Row],[Order_Date]], "MMM")</f>
        <v>Nov</v>
      </c>
      <c r="N3054" s="1">
        <f>YEAR(Table1[[#This Row],[Order_Date]])</f>
        <v>2024</v>
      </c>
      <c r="O3054" s="7">
        <f>Table1[[#This Row],[Profit]]/Table1[[#This Row],[Total_Sales]]</f>
        <v>0.40515501927266634</v>
      </c>
    </row>
    <row r="3055" spans="1:15" x14ac:dyDescent="0.25">
      <c r="A3055" s="1">
        <v>3054</v>
      </c>
      <c r="B3055" s="2">
        <v>45207</v>
      </c>
      <c r="C3055" s="1" t="s">
        <v>19</v>
      </c>
      <c r="D3055" s="1" t="s">
        <v>32</v>
      </c>
      <c r="E3055" s="1" t="s">
        <v>45</v>
      </c>
      <c r="F3055" s="1" t="s">
        <v>31</v>
      </c>
      <c r="G3055" s="1">
        <v>8</v>
      </c>
      <c r="H3055" s="1">
        <v>455</v>
      </c>
      <c r="I3055" s="1">
        <v>0</v>
      </c>
      <c r="J3055" s="4">
        <v>3640</v>
      </c>
      <c r="K3055" s="4">
        <v>2687.7</v>
      </c>
      <c r="L3055" s="4">
        <v>952.3</v>
      </c>
      <c r="M3055" s="1" t="str">
        <f>TEXT(Table1[[#This Row],[Order_Date]], "MMM")</f>
        <v>Oct</v>
      </c>
      <c r="N3055" s="1">
        <f>YEAR(Table1[[#This Row],[Order_Date]])</f>
        <v>2023</v>
      </c>
      <c r="O3055" s="7">
        <f>Table1[[#This Row],[Profit]]/Table1[[#This Row],[Total_Sales]]</f>
        <v>0.26162087912087911</v>
      </c>
    </row>
    <row r="3056" spans="1:15" x14ac:dyDescent="0.25">
      <c r="A3056" s="1">
        <v>3055</v>
      </c>
      <c r="B3056" s="2">
        <v>45599</v>
      </c>
      <c r="C3056" s="1" t="s">
        <v>16</v>
      </c>
      <c r="D3056" s="1" t="s">
        <v>22</v>
      </c>
      <c r="E3056" s="1" t="s">
        <v>36</v>
      </c>
      <c r="F3056" s="1" t="s">
        <v>15</v>
      </c>
      <c r="G3056" s="1">
        <v>4</v>
      </c>
      <c r="H3056" s="1">
        <v>916</v>
      </c>
      <c r="I3056" s="1">
        <v>5</v>
      </c>
      <c r="J3056" s="4">
        <v>3480.8</v>
      </c>
      <c r="K3056" s="4">
        <v>1817.43</v>
      </c>
      <c r="L3056" s="4">
        <v>1663.37</v>
      </c>
      <c r="M3056" s="1" t="str">
        <f>TEXT(Table1[[#This Row],[Order_Date]], "MMM")</f>
        <v>Nov</v>
      </c>
      <c r="N3056" s="1">
        <f>YEAR(Table1[[#This Row],[Order_Date]])</f>
        <v>2024</v>
      </c>
      <c r="O3056" s="7">
        <f>Table1[[#This Row],[Profit]]/Table1[[#This Row],[Total_Sales]]</f>
        <v>0.47787002987818888</v>
      </c>
    </row>
    <row r="3057" spans="1:15" x14ac:dyDescent="0.25">
      <c r="A3057" s="1">
        <v>3056</v>
      </c>
      <c r="B3057" s="2">
        <v>45496</v>
      </c>
      <c r="C3057" s="1" t="s">
        <v>16</v>
      </c>
      <c r="D3057" s="1" t="s">
        <v>13</v>
      </c>
      <c r="E3057" s="1" t="s">
        <v>14</v>
      </c>
      <c r="F3057" s="1" t="s">
        <v>35</v>
      </c>
      <c r="G3057" s="1">
        <v>5</v>
      </c>
      <c r="H3057" s="1">
        <v>992</v>
      </c>
      <c r="I3057" s="1">
        <v>5</v>
      </c>
      <c r="J3057" s="4">
        <v>4712</v>
      </c>
      <c r="K3057" s="4">
        <v>3303.79</v>
      </c>
      <c r="L3057" s="4">
        <v>1408.21</v>
      </c>
      <c r="M3057" s="1" t="str">
        <f>TEXT(Table1[[#This Row],[Order_Date]], "MMM")</f>
        <v>Jul</v>
      </c>
      <c r="N3057" s="1">
        <f>YEAR(Table1[[#This Row],[Order_Date]])</f>
        <v>2024</v>
      </c>
      <c r="O3057" s="7">
        <f>Table1[[#This Row],[Profit]]/Table1[[#This Row],[Total_Sales]]</f>
        <v>0.29885611205432938</v>
      </c>
    </row>
    <row r="3058" spans="1:15" x14ac:dyDescent="0.25">
      <c r="A3058" s="1">
        <v>3057</v>
      </c>
      <c r="B3058" s="2">
        <v>45163</v>
      </c>
      <c r="C3058" s="1" t="s">
        <v>19</v>
      </c>
      <c r="D3058" s="1" t="s">
        <v>26</v>
      </c>
      <c r="E3058" s="1" t="s">
        <v>42</v>
      </c>
      <c r="F3058" s="1" t="s">
        <v>40</v>
      </c>
      <c r="G3058" s="1">
        <v>6</v>
      </c>
      <c r="H3058" s="1">
        <v>668</v>
      </c>
      <c r="I3058" s="1">
        <v>20</v>
      </c>
      <c r="J3058" s="4">
        <v>3206.4</v>
      </c>
      <c r="K3058" s="4">
        <v>1880.28</v>
      </c>
      <c r="L3058" s="4">
        <v>1326.12</v>
      </c>
      <c r="M3058" s="1" t="str">
        <f>TEXT(Table1[[#This Row],[Order_Date]], "MMM")</f>
        <v>Aug</v>
      </c>
      <c r="N3058" s="1">
        <f>YEAR(Table1[[#This Row],[Order_Date]])</f>
        <v>2023</v>
      </c>
      <c r="O3058" s="7">
        <f>Table1[[#This Row],[Profit]]/Table1[[#This Row],[Total_Sales]]</f>
        <v>0.41358532934131731</v>
      </c>
    </row>
    <row r="3059" spans="1:15" x14ac:dyDescent="0.25">
      <c r="A3059" s="1">
        <v>3058</v>
      </c>
      <c r="B3059" s="2">
        <v>45436</v>
      </c>
      <c r="C3059" s="1" t="s">
        <v>19</v>
      </c>
      <c r="D3059" s="1" t="s">
        <v>13</v>
      </c>
      <c r="E3059" s="1" t="s">
        <v>17</v>
      </c>
      <c r="F3059" s="1" t="s">
        <v>31</v>
      </c>
      <c r="G3059" s="1">
        <v>4</v>
      </c>
      <c r="H3059" s="1">
        <v>997</v>
      </c>
      <c r="I3059" s="1">
        <v>20</v>
      </c>
      <c r="J3059" s="4">
        <v>3190.4</v>
      </c>
      <c r="K3059" s="4">
        <v>1746.54</v>
      </c>
      <c r="L3059" s="4">
        <v>1443.86</v>
      </c>
      <c r="M3059" s="1" t="str">
        <f>TEXT(Table1[[#This Row],[Order_Date]], "MMM")</f>
        <v>May</v>
      </c>
      <c r="N3059" s="1">
        <f>YEAR(Table1[[#This Row],[Order_Date]])</f>
        <v>2024</v>
      </c>
      <c r="O3059" s="7">
        <f>Table1[[#This Row],[Profit]]/Table1[[#This Row],[Total_Sales]]</f>
        <v>0.45256394182547638</v>
      </c>
    </row>
    <row r="3060" spans="1:15" x14ac:dyDescent="0.25">
      <c r="A3060" s="1">
        <v>3059</v>
      </c>
      <c r="B3060" s="2">
        <v>45246</v>
      </c>
      <c r="C3060" s="1" t="s">
        <v>12</v>
      </c>
      <c r="D3060" s="1" t="s">
        <v>22</v>
      </c>
      <c r="E3060" s="1" t="s">
        <v>44</v>
      </c>
      <c r="F3060" s="1" t="s">
        <v>18</v>
      </c>
      <c r="G3060" s="1">
        <v>1</v>
      </c>
      <c r="H3060" s="1">
        <v>926</v>
      </c>
      <c r="I3060" s="1">
        <v>5</v>
      </c>
      <c r="J3060" s="4">
        <v>879.7</v>
      </c>
      <c r="K3060" s="4">
        <v>477.78</v>
      </c>
      <c r="L3060" s="4">
        <v>401.92</v>
      </c>
      <c r="M3060" s="1" t="str">
        <f>TEXT(Table1[[#This Row],[Order_Date]], "MMM")</f>
        <v>Nov</v>
      </c>
      <c r="N3060" s="1">
        <f>YEAR(Table1[[#This Row],[Order_Date]])</f>
        <v>2023</v>
      </c>
      <c r="O3060" s="7">
        <f>Table1[[#This Row],[Profit]]/Table1[[#This Row],[Total_Sales]]</f>
        <v>0.45688302830510402</v>
      </c>
    </row>
    <row r="3061" spans="1:15" x14ac:dyDescent="0.25">
      <c r="A3061" s="1">
        <v>3060</v>
      </c>
      <c r="B3061" s="2">
        <v>45637</v>
      </c>
      <c r="C3061" s="1" t="s">
        <v>19</v>
      </c>
      <c r="D3061" s="1" t="s">
        <v>32</v>
      </c>
      <c r="E3061" s="1" t="s">
        <v>34</v>
      </c>
      <c r="F3061" s="1" t="s">
        <v>31</v>
      </c>
      <c r="G3061" s="1">
        <v>4</v>
      </c>
      <c r="H3061" s="1">
        <v>381</v>
      </c>
      <c r="I3061" s="1">
        <v>5</v>
      </c>
      <c r="J3061" s="4">
        <v>1447.8</v>
      </c>
      <c r="K3061" s="4">
        <v>755.93</v>
      </c>
      <c r="L3061" s="4">
        <v>691.87</v>
      </c>
      <c r="M3061" s="1" t="str">
        <f>TEXT(Table1[[#This Row],[Order_Date]], "MMM")</f>
        <v>Dec</v>
      </c>
      <c r="N3061" s="1">
        <f>YEAR(Table1[[#This Row],[Order_Date]])</f>
        <v>2024</v>
      </c>
      <c r="O3061" s="7">
        <f>Table1[[#This Row],[Profit]]/Table1[[#This Row],[Total_Sales]]</f>
        <v>0.4778767785605747</v>
      </c>
    </row>
    <row r="3062" spans="1:15" x14ac:dyDescent="0.25">
      <c r="A3062" s="1">
        <v>3061</v>
      </c>
      <c r="B3062" s="2">
        <v>45024</v>
      </c>
      <c r="C3062" s="1" t="s">
        <v>19</v>
      </c>
      <c r="D3062" s="1" t="s">
        <v>32</v>
      </c>
      <c r="E3062" s="1" t="s">
        <v>33</v>
      </c>
      <c r="F3062" s="1" t="s">
        <v>40</v>
      </c>
      <c r="G3062" s="1">
        <v>8</v>
      </c>
      <c r="H3062" s="1">
        <v>656</v>
      </c>
      <c r="I3062" s="1">
        <v>10</v>
      </c>
      <c r="J3062" s="4">
        <v>4723.2</v>
      </c>
      <c r="K3062" s="4">
        <v>3374.78</v>
      </c>
      <c r="L3062" s="4">
        <v>1348.42</v>
      </c>
      <c r="M3062" s="1" t="str">
        <f>TEXT(Table1[[#This Row],[Order_Date]], "MMM")</f>
        <v>Apr</v>
      </c>
      <c r="N3062" s="1">
        <f>YEAR(Table1[[#This Row],[Order_Date]])</f>
        <v>2023</v>
      </c>
      <c r="O3062" s="7">
        <f>Table1[[#This Row],[Profit]]/Table1[[#This Row],[Total_Sales]]</f>
        <v>0.28548865176151766</v>
      </c>
    </row>
    <row r="3063" spans="1:15" x14ac:dyDescent="0.25">
      <c r="A3063" s="1">
        <v>3062</v>
      </c>
      <c r="B3063" s="2">
        <v>45095</v>
      </c>
      <c r="C3063" s="1" t="s">
        <v>16</v>
      </c>
      <c r="D3063" s="1" t="s">
        <v>32</v>
      </c>
      <c r="E3063" s="1" t="s">
        <v>33</v>
      </c>
      <c r="F3063" s="1" t="s">
        <v>15</v>
      </c>
      <c r="G3063" s="1">
        <v>2</v>
      </c>
      <c r="H3063" s="1">
        <v>654</v>
      </c>
      <c r="I3063" s="1">
        <v>15</v>
      </c>
      <c r="J3063" s="4">
        <v>1111.8</v>
      </c>
      <c r="K3063" s="4">
        <v>564.27</v>
      </c>
      <c r="L3063" s="4">
        <v>547.53</v>
      </c>
      <c r="M3063" s="1" t="str">
        <f>TEXT(Table1[[#This Row],[Order_Date]], "MMM")</f>
        <v>Jun</v>
      </c>
      <c r="N3063" s="1">
        <f>YEAR(Table1[[#This Row],[Order_Date]])</f>
        <v>2023</v>
      </c>
      <c r="O3063" s="7">
        <f>Table1[[#This Row],[Profit]]/Table1[[#This Row],[Total_Sales]]</f>
        <v>0.49247166756610899</v>
      </c>
    </row>
    <row r="3064" spans="1:15" x14ac:dyDescent="0.25">
      <c r="A3064" s="1">
        <v>3063</v>
      </c>
      <c r="B3064" s="2">
        <v>45548</v>
      </c>
      <c r="C3064" s="1" t="s">
        <v>16</v>
      </c>
      <c r="D3064" s="1" t="s">
        <v>13</v>
      </c>
      <c r="E3064" s="1" t="s">
        <v>14</v>
      </c>
      <c r="F3064" s="1" t="s">
        <v>40</v>
      </c>
      <c r="G3064" s="1">
        <v>4</v>
      </c>
      <c r="H3064" s="1">
        <v>812</v>
      </c>
      <c r="I3064" s="1">
        <v>5</v>
      </c>
      <c r="J3064" s="4">
        <v>3085.6</v>
      </c>
      <c r="K3064" s="4">
        <v>1956.94</v>
      </c>
      <c r="L3064" s="4">
        <v>1128.6600000000001</v>
      </c>
      <c r="M3064" s="1" t="str">
        <f>TEXT(Table1[[#This Row],[Order_Date]], "MMM")</f>
        <v>Sep</v>
      </c>
      <c r="N3064" s="1">
        <f>YEAR(Table1[[#This Row],[Order_Date]])</f>
        <v>2024</v>
      </c>
      <c r="O3064" s="7">
        <f>Table1[[#This Row],[Profit]]/Table1[[#This Row],[Total_Sales]]</f>
        <v>0.36578299196266534</v>
      </c>
    </row>
    <row r="3065" spans="1:15" x14ac:dyDescent="0.25">
      <c r="A3065" s="1">
        <v>3064</v>
      </c>
      <c r="B3065" s="2">
        <v>45329</v>
      </c>
      <c r="C3065" s="1" t="s">
        <v>19</v>
      </c>
      <c r="D3065" s="1" t="s">
        <v>13</v>
      </c>
      <c r="E3065" s="1" t="s">
        <v>17</v>
      </c>
      <c r="F3065" s="1" t="s">
        <v>40</v>
      </c>
      <c r="G3065" s="1">
        <v>7</v>
      </c>
      <c r="H3065" s="1">
        <v>537</v>
      </c>
      <c r="I3065" s="1">
        <v>10</v>
      </c>
      <c r="J3065" s="4">
        <v>3383.1</v>
      </c>
      <c r="K3065" s="4">
        <v>2386.1</v>
      </c>
      <c r="L3065" s="4">
        <v>997</v>
      </c>
      <c r="M3065" s="1" t="str">
        <f>TEXT(Table1[[#This Row],[Order_Date]], "MMM")</f>
        <v>Feb</v>
      </c>
      <c r="N3065" s="1">
        <f>YEAR(Table1[[#This Row],[Order_Date]])</f>
        <v>2024</v>
      </c>
      <c r="O3065" s="7">
        <f>Table1[[#This Row],[Profit]]/Table1[[#This Row],[Total_Sales]]</f>
        <v>0.29470012710236176</v>
      </c>
    </row>
    <row r="3066" spans="1:15" x14ac:dyDescent="0.25">
      <c r="A3066" s="1">
        <v>3065</v>
      </c>
      <c r="B3066" s="2">
        <v>45013</v>
      </c>
      <c r="C3066" s="1" t="s">
        <v>19</v>
      </c>
      <c r="D3066" s="1" t="s">
        <v>22</v>
      </c>
      <c r="E3066" s="1" t="s">
        <v>44</v>
      </c>
      <c r="F3066" s="1" t="s">
        <v>31</v>
      </c>
      <c r="G3066" s="1">
        <v>10</v>
      </c>
      <c r="H3066" s="1">
        <v>989</v>
      </c>
      <c r="I3066" s="1">
        <v>0</v>
      </c>
      <c r="J3066" s="4">
        <v>9890</v>
      </c>
      <c r="K3066" s="4">
        <v>7365.13</v>
      </c>
      <c r="L3066" s="4">
        <v>2524.87</v>
      </c>
      <c r="M3066" s="1" t="str">
        <f>TEXT(Table1[[#This Row],[Order_Date]], "MMM")</f>
        <v>Mar</v>
      </c>
      <c r="N3066" s="1">
        <f>YEAR(Table1[[#This Row],[Order_Date]])</f>
        <v>2023</v>
      </c>
      <c r="O3066" s="7">
        <f>Table1[[#This Row],[Profit]]/Table1[[#This Row],[Total_Sales]]</f>
        <v>0.25529524772497469</v>
      </c>
    </row>
    <row r="3067" spans="1:15" x14ac:dyDescent="0.25">
      <c r="A3067" s="1">
        <v>3066</v>
      </c>
      <c r="B3067" s="2">
        <v>45147</v>
      </c>
      <c r="C3067" s="1" t="s">
        <v>12</v>
      </c>
      <c r="D3067" s="1" t="s">
        <v>22</v>
      </c>
      <c r="E3067" s="1" t="s">
        <v>36</v>
      </c>
      <c r="F3067" s="1" t="s">
        <v>15</v>
      </c>
      <c r="G3067" s="1">
        <v>7</v>
      </c>
      <c r="H3067" s="1">
        <v>525</v>
      </c>
      <c r="I3067" s="1">
        <v>15</v>
      </c>
      <c r="J3067" s="4">
        <v>3123.75</v>
      </c>
      <c r="K3067" s="4">
        <v>1855.94</v>
      </c>
      <c r="L3067" s="4">
        <v>1267.81</v>
      </c>
      <c r="M3067" s="1" t="str">
        <f>TEXT(Table1[[#This Row],[Order_Date]], "MMM")</f>
        <v>Aug</v>
      </c>
      <c r="N3067" s="1">
        <f>YEAR(Table1[[#This Row],[Order_Date]])</f>
        <v>2023</v>
      </c>
      <c r="O3067" s="7">
        <f>Table1[[#This Row],[Profit]]/Table1[[#This Row],[Total_Sales]]</f>
        <v>0.40586154461784713</v>
      </c>
    </row>
    <row r="3068" spans="1:15" x14ac:dyDescent="0.25">
      <c r="A3068" s="1">
        <v>3067</v>
      </c>
      <c r="B3068" s="2">
        <v>45437</v>
      </c>
      <c r="C3068" s="1" t="s">
        <v>16</v>
      </c>
      <c r="D3068" s="1" t="s">
        <v>13</v>
      </c>
      <c r="E3068" s="1" t="s">
        <v>39</v>
      </c>
      <c r="F3068" s="1" t="s">
        <v>35</v>
      </c>
      <c r="G3068" s="1">
        <v>6</v>
      </c>
      <c r="H3068" s="1">
        <v>281</v>
      </c>
      <c r="I3068" s="1">
        <v>15</v>
      </c>
      <c r="J3068" s="4">
        <v>1433.1</v>
      </c>
      <c r="K3068" s="4">
        <v>736.31</v>
      </c>
      <c r="L3068" s="4">
        <v>696.79</v>
      </c>
      <c r="M3068" s="1" t="str">
        <f>TEXT(Table1[[#This Row],[Order_Date]], "MMM")</f>
        <v>May</v>
      </c>
      <c r="N3068" s="1">
        <f>YEAR(Table1[[#This Row],[Order_Date]])</f>
        <v>2024</v>
      </c>
      <c r="O3068" s="7">
        <f>Table1[[#This Row],[Profit]]/Table1[[#This Row],[Total_Sales]]</f>
        <v>0.48621170888284138</v>
      </c>
    </row>
    <row r="3069" spans="1:15" x14ac:dyDescent="0.25">
      <c r="A3069" s="1">
        <v>3068</v>
      </c>
      <c r="B3069" s="2">
        <v>45395</v>
      </c>
      <c r="C3069" s="1" t="s">
        <v>19</v>
      </c>
      <c r="D3069" s="1" t="s">
        <v>20</v>
      </c>
      <c r="E3069" s="1" t="s">
        <v>43</v>
      </c>
      <c r="F3069" s="1" t="s">
        <v>24</v>
      </c>
      <c r="G3069" s="1">
        <v>7</v>
      </c>
      <c r="H3069" s="1">
        <v>504</v>
      </c>
      <c r="I3069" s="1">
        <v>5</v>
      </c>
      <c r="J3069" s="4">
        <v>3351.6</v>
      </c>
      <c r="K3069" s="4">
        <v>2418.36</v>
      </c>
      <c r="L3069" s="4">
        <v>933.24</v>
      </c>
      <c r="M3069" s="1" t="str">
        <f>TEXT(Table1[[#This Row],[Order_Date]], "MMM")</f>
        <v>Apr</v>
      </c>
      <c r="N3069" s="1">
        <f>YEAR(Table1[[#This Row],[Order_Date]])</f>
        <v>2024</v>
      </c>
      <c r="O3069" s="7">
        <f>Table1[[#This Row],[Profit]]/Table1[[#This Row],[Total_Sales]]</f>
        <v>0.27844611528822055</v>
      </c>
    </row>
    <row r="3070" spans="1:15" x14ac:dyDescent="0.25">
      <c r="A3070" s="1">
        <v>3069</v>
      </c>
      <c r="B3070" s="2">
        <v>45575</v>
      </c>
      <c r="C3070" s="1" t="s">
        <v>25</v>
      </c>
      <c r="D3070" s="1" t="s">
        <v>13</v>
      </c>
      <c r="E3070" s="1" t="s">
        <v>38</v>
      </c>
      <c r="F3070" s="1" t="s">
        <v>18</v>
      </c>
      <c r="G3070" s="1">
        <v>3</v>
      </c>
      <c r="H3070" s="1">
        <v>332</v>
      </c>
      <c r="I3070" s="1">
        <v>5</v>
      </c>
      <c r="J3070" s="4">
        <v>946.2</v>
      </c>
      <c r="K3070" s="4">
        <v>709.65</v>
      </c>
      <c r="L3070" s="4">
        <v>236.55</v>
      </c>
      <c r="M3070" s="1" t="str">
        <f>TEXT(Table1[[#This Row],[Order_Date]], "MMM")</f>
        <v>Oct</v>
      </c>
      <c r="N3070" s="1">
        <f>YEAR(Table1[[#This Row],[Order_Date]])</f>
        <v>2024</v>
      </c>
      <c r="O3070" s="7">
        <f>Table1[[#This Row],[Profit]]/Table1[[#This Row],[Total_Sales]]</f>
        <v>0.25</v>
      </c>
    </row>
    <row r="3071" spans="1:15" x14ac:dyDescent="0.25">
      <c r="A3071" s="1">
        <v>3070</v>
      </c>
      <c r="B3071" s="2">
        <v>45592</v>
      </c>
      <c r="C3071" s="1" t="s">
        <v>19</v>
      </c>
      <c r="D3071" s="1" t="s">
        <v>32</v>
      </c>
      <c r="E3071" s="1" t="s">
        <v>34</v>
      </c>
      <c r="F3071" s="1" t="s">
        <v>31</v>
      </c>
      <c r="G3071" s="1">
        <v>9</v>
      </c>
      <c r="H3071" s="1">
        <v>983</v>
      </c>
      <c r="I3071" s="1">
        <v>5</v>
      </c>
      <c r="J3071" s="4">
        <v>8404.65</v>
      </c>
      <c r="K3071" s="4">
        <v>5809.18</v>
      </c>
      <c r="L3071" s="4">
        <v>2595.4699999999998</v>
      </c>
      <c r="M3071" s="1" t="str">
        <f>TEXT(Table1[[#This Row],[Order_Date]], "MMM")</f>
        <v>Oct</v>
      </c>
      <c r="N3071" s="1">
        <f>YEAR(Table1[[#This Row],[Order_Date]])</f>
        <v>2024</v>
      </c>
      <c r="O3071" s="7">
        <f>Table1[[#This Row],[Profit]]/Table1[[#This Row],[Total_Sales]]</f>
        <v>0.30881357343851318</v>
      </c>
    </row>
    <row r="3072" spans="1:15" x14ac:dyDescent="0.25">
      <c r="A3072" s="1">
        <v>3071</v>
      </c>
      <c r="B3072" s="2">
        <v>45495</v>
      </c>
      <c r="C3072" s="1" t="s">
        <v>16</v>
      </c>
      <c r="D3072" s="1" t="s">
        <v>32</v>
      </c>
      <c r="E3072" s="1" t="s">
        <v>34</v>
      </c>
      <c r="F3072" s="1" t="s">
        <v>18</v>
      </c>
      <c r="G3072" s="1">
        <v>5</v>
      </c>
      <c r="H3072" s="1">
        <v>905</v>
      </c>
      <c r="I3072" s="1">
        <v>20</v>
      </c>
      <c r="J3072" s="4">
        <v>3620</v>
      </c>
      <c r="K3072" s="4">
        <v>2832.87</v>
      </c>
      <c r="L3072" s="4">
        <v>787.13</v>
      </c>
      <c r="M3072" s="1" t="str">
        <f>TEXT(Table1[[#This Row],[Order_Date]], "MMM")</f>
        <v>Jul</v>
      </c>
      <c r="N3072" s="1">
        <f>YEAR(Table1[[#This Row],[Order_Date]])</f>
        <v>2024</v>
      </c>
      <c r="O3072" s="7">
        <f>Table1[[#This Row],[Profit]]/Table1[[#This Row],[Total_Sales]]</f>
        <v>0.217439226519337</v>
      </c>
    </row>
    <row r="3073" spans="1:15" x14ac:dyDescent="0.25">
      <c r="A3073" s="1">
        <v>3072</v>
      </c>
      <c r="B3073" s="2">
        <v>45351</v>
      </c>
      <c r="C3073" s="1" t="s">
        <v>12</v>
      </c>
      <c r="D3073" s="1" t="s">
        <v>22</v>
      </c>
      <c r="E3073" s="1" t="s">
        <v>23</v>
      </c>
      <c r="F3073" s="1" t="s">
        <v>18</v>
      </c>
      <c r="G3073" s="1">
        <v>9</v>
      </c>
      <c r="H3073" s="1">
        <v>807</v>
      </c>
      <c r="I3073" s="1">
        <v>10</v>
      </c>
      <c r="J3073" s="4">
        <v>6536.7</v>
      </c>
      <c r="K3073" s="4">
        <v>4924.58</v>
      </c>
      <c r="L3073" s="4">
        <v>1612.12</v>
      </c>
      <c r="M3073" s="1" t="str">
        <f>TEXT(Table1[[#This Row],[Order_Date]], "MMM")</f>
        <v>Feb</v>
      </c>
      <c r="N3073" s="1">
        <f>YEAR(Table1[[#This Row],[Order_Date]])</f>
        <v>2024</v>
      </c>
      <c r="O3073" s="7">
        <f>Table1[[#This Row],[Profit]]/Table1[[#This Row],[Total_Sales]]</f>
        <v>0.24662597335046735</v>
      </c>
    </row>
    <row r="3074" spans="1:15" x14ac:dyDescent="0.25">
      <c r="A3074" s="1">
        <v>3073</v>
      </c>
      <c r="B3074" s="2">
        <v>45064</v>
      </c>
      <c r="C3074" s="1" t="s">
        <v>12</v>
      </c>
      <c r="D3074" s="1" t="s">
        <v>13</v>
      </c>
      <c r="E3074" s="1" t="s">
        <v>14</v>
      </c>
      <c r="F3074" s="1" t="s">
        <v>18</v>
      </c>
      <c r="G3074" s="1">
        <v>3</v>
      </c>
      <c r="H3074" s="1">
        <v>768</v>
      </c>
      <c r="I3074" s="1">
        <v>20</v>
      </c>
      <c r="J3074" s="4">
        <v>1843.2</v>
      </c>
      <c r="K3074" s="4">
        <v>1187.54</v>
      </c>
      <c r="L3074" s="4">
        <v>655.66</v>
      </c>
      <c r="M3074" s="1" t="str">
        <f>TEXT(Table1[[#This Row],[Order_Date]], "MMM")</f>
        <v>May</v>
      </c>
      <c r="N3074" s="1">
        <f>YEAR(Table1[[#This Row],[Order_Date]])</f>
        <v>2023</v>
      </c>
      <c r="O3074" s="7">
        <f>Table1[[#This Row],[Profit]]/Table1[[#This Row],[Total_Sales]]</f>
        <v>0.3557183159722222</v>
      </c>
    </row>
    <row r="3075" spans="1:15" x14ac:dyDescent="0.25">
      <c r="A3075" s="1">
        <v>3074</v>
      </c>
      <c r="B3075" s="2">
        <v>45471</v>
      </c>
      <c r="C3075" s="1" t="s">
        <v>12</v>
      </c>
      <c r="D3075" s="1" t="s">
        <v>22</v>
      </c>
      <c r="E3075" s="1" t="s">
        <v>36</v>
      </c>
      <c r="F3075" s="1" t="s">
        <v>18</v>
      </c>
      <c r="G3075" s="1">
        <v>5</v>
      </c>
      <c r="H3075" s="1">
        <v>739</v>
      </c>
      <c r="I3075" s="1">
        <v>5</v>
      </c>
      <c r="J3075" s="4">
        <v>3510.25</v>
      </c>
      <c r="K3075" s="4">
        <v>2000.28</v>
      </c>
      <c r="L3075" s="4">
        <v>1509.97</v>
      </c>
      <c r="M3075" s="1" t="str">
        <f>TEXT(Table1[[#This Row],[Order_Date]], "MMM")</f>
        <v>Jun</v>
      </c>
      <c r="N3075" s="1">
        <f>YEAR(Table1[[#This Row],[Order_Date]])</f>
        <v>2024</v>
      </c>
      <c r="O3075" s="7">
        <f>Table1[[#This Row],[Profit]]/Table1[[#This Row],[Total_Sales]]</f>
        <v>0.43016024499679512</v>
      </c>
    </row>
    <row r="3076" spans="1:15" x14ac:dyDescent="0.25">
      <c r="A3076" s="1">
        <v>3075</v>
      </c>
      <c r="B3076" s="2">
        <v>45047</v>
      </c>
      <c r="C3076" s="1" t="s">
        <v>25</v>
      </c>
      <c r="D3076" s="1" t="s">
        <v>20</v>
      </c>
      <c r="E3076" s="1" t="s">
        <v>21</v>
      </c>
      <c r="F3076" s="1" t="s">
        <v>18</v>
      </c>
      <c r="G3076" s="1">
        <v>7</v>
      </c>
      <c r="H3076" s="1">
        <v>84</v>
      </c>
      <c r="I3076" s="1">
        <v>15</v>
      </c>
      <c r="J3076" s="4">
        <v>499.8</v>
      </c>
      <c r="K3076" s="4">
        <v>326.58</v>
      </c>
      <c r="L3076" s="4">
        <v>173.22</v>
      </c>
      <c r="M3076" s="1" t="str">
        <f>TEXT(Table1[[#This Row],[Order_Date]], "MMM")</f>
        <v>May</v>
      </c>
      <c r="N3076" s="1">
        <f>YEAR(Table1[[#This Row],[Order_Date]])</f>
        <v>2023</v>
      </c>
      <c r="O3076" s="7">
        <f>Table1[[#This Row],[Profit]]/Table1[[#This Row],[Total_Sales]]</f>
        <v>0.346578631452581</v>
      </c>
    </row>
    <row r="3077" spans="1:15" x14ac:dyDescent="0.25">
      <c r="A3077" s="1">
        <v>3076</v>
      </c>
      <c r="B3077" s="2">
        <v>45526</v>
      </c>
      <c r="C3077" s="1" t="s">
        <v>19</v>
      </c>
      <c r="D3077" s="1" t="s">
        <v>13</v>
      </c>
      <c r="E3077" s="1" t="s">
        <v>14</v>
      </c>
      <c r="F3077" s="1" t="s">
        <v>40</v>
      </c>
      <c r="G3077" s="1">
        <v>1</v>
      </c>
      <c r="H3077" s="1">
        <v>137</v>
      </c>
      <c r="I3077" s="1">
        <v>0</v>
      </c>
      <c r="J3077" s="4">
        <v>137</v>
      </c>
      <c r="K3077" s="4">
        <v>86.05</v>
      </c>
      <c r="L3077" s="4">
        <v>50.95</v>
      </c>
      <c r="M3077" s="1" t="str">
        <f>TEXT(Table1[[#This Row],[Order_Date]], "MMM")</f>
        <v>Aug</v>
      </c>
      <c r="N3077" s="1">
        <f>YEAR(Table1[[#This Row],[Order_Date]])</f>
        <v>2024</v>
      </c>
      <c r="O3077" s="7">
        <f>Table1[[#This Row],[Profit]]/Table1[[#This Row],[Total_Sales]]</f>
        <v>0.37189781021897811</v>
      </c>
    </row>
    <row r="3078" spans="1:15" x14ac:dyDescent="0.25">
      <c r="A3078" s="1">
        <v>3077</v>
      </c>
      <c r="B3078" s="2">
        <v>45008</v>
      </c>
      <c r="C3078" s="1" t="s">
        <v>12</v>
      </c>
      <c r="D3078" s="1" t="s">
        <v>32</v>
      </c>
      <c r="E3078" s="1" t="s">
        <v>45</v>
      </c>
      <c r="F3078" s="1" t="s">
        <v>40</v>
      </c>
      <c r="G3078" s="1">
        <v>3</v>
      </c>
      <c r="H3078" s="1">
        <v>815</v>
      </c>
      <c r="I3078" s="1">
        <v>20</v>
      </c>
      <c r="J3078" s="4">
        <v>1956</v>
      </c>
      <c r="K3078" s="4">
        <v>1341.74</v>
      </c>
      <c r="L3078" s="4">
        <v>614.26</v>
      </c>
      <c r="M3078" s="1" t="str">
        <f>TEXT(Table1[[#This Row],[Order_Date]], "MMM")</f>
        <v>Mar</v>
      </c>
      <c r="N3078" s="1">
        <f>YEAR(Table1[[#This Row],[Order_Date]])</f>
        <v>2023</v>
      </c>
      <c r="O3078" s="7">
        <f>Table1[[#This Row],[Profit]]/Table1[[#This Row],[Total_Sales]]</f>
        <v>0.31403885480572596</v>
      </c>
    </row>
    <row r="3079" spans="1:15" x14ac:dyDescent="0.25">
      <c r="A3079" s="1">
        <v>3078</v>
      </c>
      <c r="B3079" s="2">
        <v>45643</v>
      </c>
      <c r="C3079" s="1" t="s">
        <v>25</v>
      </c>
      <c r="D3079" s="1" t="s">
        <v>13</v>
      </c>
      <c r="E3079" s="1" t="s">
        <v>38</v>
      </c>
      <c r="F3079" s="1" t="s">
        <v>31</v>
      </c>
      <c r="G3079" s="1">
        <v>9</v>
      </c>
      <c r="H3079" s="1">
        <v>625</v>
      </c>
      <c r="I3079" s="1">
        <v>10</v>
      </c>
      <c r="J3079" s="4">
        <v>5062.5</v>
      </c>
      <c r="K3079" s="4">
        <v>3693.35</v>
      </c>
      <c r="L3079" s="4">
        <v>1369.15</v>
      </c>
      <c r="M3079" s="1" t="str">
        <f>TEXT(Table1[[#This Row],[Order_Date]], "MMM")</f>
        <v>Dec</v>
      </c>
      <c r="N3079" s="1">
        <f>YEAR(Table1[[#This Row],[Order_Date]])</f>
        <v>2024</v>
      </c>
      <c r="O3079" s="7">
        <f>Table1[[#This Row],[Profit]]/Table1[[#This Row],[Total_Sales]]</f>
        <v>0.2704493827160494</v>
      </c>
    </row>
    <row r="3080" spans="1:15" x14ac:dyDescent="0.25">
      <c r="A3080" s="1">
        <v>3079</v>
      </c>
      <c r="B3080" s="2">
        <v>45409</v>
      </c>
      <c r="C3080" s="1" t="s">
        <v>12</v>
      </c>
      <c r="D3080" s="1" t="s">
        <v>13</v>
      </c>
      <c r="E3080" s="1" t="s">
        <v>38</v>
      </c>
      <c r="F3080" s="1" t="s">
        <v>40</v>
      </c>
      <c r="G3080" s="1">
        <v>10</v>
      </c>
      <c r="H3080" s="1">
        <v>290</v>
      </c>
      <c r="I3080" s="1">
        <v>15</v>
      </c>
      <c r="J3080" s="4">
        <v>2465</v>
      </c>
      <c r="K3080" s="4">
        <v>1643.99</v>
      </c>
      <c r="L3080" s="4">
        <v>821.01</v>
      </c>
      <c r="M3080" s="1" t="str">
        <f>TEXT(Table1[[#This Row],[Order_Date]], "MMM")</f>
        <v>Apr</v>
      </c>
      <c r="N3080" s="1">
        <f>YEAR(Table1[[#This Row],[Order_Date]])</f>
        <v>2024</v>
      </c>
      <c r="O3080" s="7">
        <f>Table1[[#This Row],[Profit]]/Table1[[#This Row],[Total_Sales]]</f>
        <v>0.33306693711967544</v>
      </c>
    </row>
    <row r="3081" spans="1:15" x14ac:dyDescent="0.25">
      <c r="A3081" s="1">
        <v>3080</v>
      </c>
      <c r="B3081" s="2">
        <v>45038</v>
      </c>
      <c r="C3081" s="1" t="s">
        <v>12</v>
      </c>
      <c r="D3081" s="1" t="s">
        <v>20</v>
      </c>
      <c r="E3081" s="1" t="s">
        <v>30</v>
      </c>
      <c r="F3081" s="1" t="s">
        <v>31</v>
      </c>
      <c r="G3081" s="1">
        <v>10</v>
      </c>
      <c r="H3081" s="1">
        <v>345</v>
      </c>
      <c r="I3081" s="1">
        <v>20</v>
      </c>
      <c r="J3081" s="4">
        <v>2760</v>
      </c>
      <c r="K3081" s="4">
        <v>1920.26</v>
      </c>
      <c r="L3081" s="4">
        <v>839.74</v>
      </c>
      <c r="M3081" s="1" t="str">
        <f>TEXT(Table1[[#This Row],[Order_Date]], "MMM")</f>
        <v>Apr</v>
      </c>
      <c r="N3081" s="1">
        <f>YEAR(Table1[[#This Row],[Order_Date]])</f>
        <v>2023</v>
      </c>
      <c r="O3081" s="7">
        <f>Table1[[#This Row],[Profit]]/Table1[[#This Row],[Total_Sales]]</f>
        <v>0.30425362318840582</v>
      </c>
    </row>
    <row r="3082" spans="1:15" x14ac:dyDescent="0.25">
      <c r="A3082" s="1">
        <v>3081</v>
      </c>
      <c r="B3082" s="2">
        <v>45534</v>
      </c>
      <c r="C3082" s="1" t="s">
        <v>12</v>
      </c>
      <c r="D3082" s="1" t="s">
        <v>13</v>
      </c>
      <c r="E3082" s="1" t="s">
        <v>38</v>
      </c>
      <c r="F3082" s="1" t="s">
        <v>24</v>
      </c>
      <c r="G3082" s="1">
        <v>2</v>
      </c>
      <c r="H3082" s="1">
        <v>591</v>
      </c>
      <c r="I3082" s="1">
        <v>5</v>
      </c>
      <c r="J3082" s="4">
        <v>1122.9000000000001</v>
      </c>
      <c r="K3082" s="4">
        <v>773.4</v>
      </c>
      <c r="L3082" s="4">
        <v>349.5</v>
      </c>
      <c r="M3082" s="1" t="str">
        <f>TEXT(Table1[[#This Row],[Order_Date]], "MMM")</f>
        <v>Aug</v>
      </c>
      <c r="N3082" s="1">
        <f>YEAR(Table1[[#This Row],[Order_Date]])</f>
        <v>2024</v>
      </c>
      <c r="O3082" s="7">
        <f>Table1[[#This Row],[Profit]]/Table1[[#This Row],[Total_Sales]]</f>
        <v>0.31124766230296552</v>
      </c>
    </row>
    <row r="3083" spans="1:15" x14ac:dyDescent="0.25">
      <c r="A3083" s="1">
        <v>3082</v>
      </c>
      <c r="B3083" s="2">
        <v>45030</v>
      </c>
      <c r="C3083" s="1" t="s">
        <v>25</v>
      </c>
      <c r="D3083" s="1" t="s">
        <v>20</v>
      </c>
      <c r="E3083" s="1" t="s">
        <v>30</v>
      </c>
      <c r="F3083" s="1" t="s">
        <v>31</v>
      </c>
      <c r="G3083" s="1">
        <v>1</v>
      </c>
      <c r="H3083" s="1">
        <v>965</v>
      </c>
      <c r="I3083" s="1">
        <v>20</v>
      </c>
      <c r="J3083" s="4">
        <v>772</v>
      </c>
      <c r="K3083" s="4">
        <v>433.58</v>
      </c>
      <c r="L3083" s="4">
        <v>338.42</v>
      </c>
      <c r="M3083" s="1" t="str">
        <f>TEXT(Table1[[#This Row],[Order_Date]], "MMM")</f>
        <v>Apr</v>
      </c>
      <c r="N3083" s="1">
        <f>YEAR(Table1[[#This Row],[Order_Date]])</f>
        <v>2023</v>
      </c>
      <c r="O3083" s="7">
        <f>Table1[[#This Row],[Profit]]/Table1[[#This Row],[Total_Sales]]</f>
        <v>0.43836787564766844</v>
      </c>
    </row>
    <row r="3084" spans="1:15" x14ac:dyDescent="0.25">
      <c r="A3084" s="1">
        <v>3083</v>
      </c>
      <c r="B3084" s="2">
        <v>45430</v>
      </c>
      <c r="C3084" s="1" t="s">
        <v>16</v>
      </c>
      <c r="D3084" s="1" t="s">
        <v>20</v>
      </c>
      <c r="E3084" s="1" t="s">
        <v>21</v>
      </c>
      <c r="F3084" s="1" t="s">
        <v>40</v>
      </c>
      <c r="G3084" s="1">
        <v>10</v>
      </c>
      <c r="H3084" s="1">
        <v>27</v>
      </c>
      <c r="I3084" s="1">
        <v>0</v>
      </c>
      <c r="J3084" s="4">
        <v>270</v>
      </c>
      <c r="K3084" s="4">
        <v>207.94</v>
      </c>
      <c r="L3084" s="4">
        <v>62.06</v>
      </c>
      <c r="M3084" s="1" t="str">
        <f>TEXT(Table1[[#This Row],[Order_Date]], "MMM")</f>
        <v>May</v>
      </c>
      <c r="N3084" s="1">
        <f>YEAR(Table1[[#This Row],[Order_Date]])</f>
        <v>2024</v>
      </c>
      <c r="O3084" s="7">
        <f>Table1[[#This Row],[Profit]]/Table1[[#This Row],[Total_Sales]]</f>
        <v>0.22985185185185186</v>
      </c>
    </row>
    <row r="3085" spans="1:15" x14ac:dyDescent="0.25">
      <c r="A3085" s="1">
        <v>3084</v>
      </c>
      <c r="B3085" s="2">
        <v>44985</v>
      </c>
      <c r="C3085" s="1" t="s">
        <v>12</v>
      </c>
      <c r="D3085" s="1" t="s">
        <v>26</v>
      </c>
      <c r="E3085" s="1" t="s">
        <v>46</v>
      </c>
      <c r="F3085" s="1" t="s">
        <v>31</v>
      </c>
      <c r="G3085" s="1">
        <v>9</v>
      </c>
      <c r="H3085" s="1">
        <v>729</v>
      </c>
      <c r="I3085" s="1">
        <v>0</v>
      </c>
      <c r="J3085" s="4">
        <v>6561</v>
      </c>
      <c r="K3085" s="4">
        <v>3491.71</v>
      </c>
      <c r="L3085" s="4">
        <v>3069.29</v>
      </c>
      <c r="M3085" s="1" t="str">
        <f>TEXT(Table1[[#This Row],[Order_Date]], "MMM")</f>
        <v>Feb</v>
      </c>
      <c r="N3085" s="1">
        <f>YEAR(Table1[[#This Row],[Order_Date]])</f>
        <v>2023</v>
      </c>
      <c r="O3085" s="7">
        <f>Table1[[#This Row],[Profit]]/Table1[[#This Row],[Total_Sales]]</f>
        <v>0.46780826093583294</v>
      </c>
    </row>
    <row r="3086" spans="1:15" x14ac:dyDescent="0.25">
      <c r="A3086" s="1">
        <v>3085</v>
      </c>
      <c r="B3086" s="2">
        <v>45157</v>
      </c>
      <c r="C3086" s="1" t="s">
        <v>16</v>
      </c>
      <c r="D3086" s="1" t="s">
        <v>26</v>
      </c>
      <c r="E3086" s="1" t="s">
        <v>37</v>
      </c>
      <c r="F3086" s="1" t="s">
        <v>31</v>
      </c>
      <c r="G3086" s="1">
        <v>10</v>
      </c>
      <c r="H3086" s="1">
        <v>542</v>
      </c>
      <c r="I3086" s="1">
        <v>15</v>
      </c>
      <c r="J3086" s="4">
        <v>4607</v>
      </c>
      <c r="K3086" s="4">
        <v>2349.4899999999998</v>
      </c>
      <c r="L3086" s="4">
        <v>2257.5100000000002</v>
      </c>
      <c r="M3086" s="1" t="str">
        <f>TEXT(Table1[[#This Row],[Order_Date]], "MMM")</f>
        <v>Aug</v>
      </c>
      <c r="N3086" s="1">
        <f>YEAR(Table1[[#This Row],[Order_Date]])</f>
        <v>2023</v>
      </c>
      <c r="O3086" s="7">
        <f>Table1[[#This Row],[Profit]]/Table1[[#This Row],[Total_Sales]]</f>
        <v>0.49001736487953118</v>
      </c>
    </row>
    <row r="3087" spans="1:15" x14ac:dyDescent="0.25">
      <c r="A3087" s="1">
        <v>3086</v>
      </c>
      <c r="B3087" s="2">
        <v>45229</v>
      </c>
      <c r="C3087" s="1" t="s">
        <v>25</v>
      </c>
      <c r="D3087" s="1" t="s">
        <v>26</v>
      </c>
      <c r="E3087" s="1" t="s">
        <v>37</v>
      </c>
      <c r="F3087" s="1" t="s">
        <v>35</v>
      </c>
      <c r="G3087" s="1">
        <v>3</v>
      </c>
      <c r="H3087" s="1">
        <v>540</v>
      </c>
      <c r="I3087" s="1">
        <v>15</v>
      </c>
      <c r="J3087" s="4">
        <v>1377</v>
      </c>
      <c r="K3087" s="4">
        <v>722.69</v>
      </c>
      <c r="L3087" s="4">
        <v>654.30999999999995</v>
      </c>
      <c r="M3087" s="1" t="str">
        <f>TEXT(Table1[[#This Row],[Order_Date]], "MMM")</f>
        <v>Oct</v>
      </c>
      <c r="N3087" s="1">
        <f>YEAR(Table1[[#This Row],[Order_Date]])</f>
        <v>2023</v>
      </c>
      <c r="O3087" s="7">
        <f>Table1[[#This Row],[Profit]]/Table1[[#This Row],[Total_Sales]]</f>
        <v>0.47517066085693532</v>
      </c>
    </row>
    <row r="3088" spans="1:15" x14ac:dyDescent="0.25">
      <c r="A3088" s="1">
        <v>3087</v>
      </c>
      <c r="B3088" s="2">
        <v>45590</v>
      </c>
      <c r="C3088" s="1" t="s">
        <v>25</v>
      </c>
      <c r="D3088" s="1" t="s">
        <v>13</v>
      </c>
      <c r="E3088" s="1" t="s">
        <v>39</v>
      </c>
      <c r="F3088" s="1" t="s">
        <v>31</v>
      </c>
      <c r="G3088" s="1">
        <v>3</v>
      </c>
      <c r="H3088" s="1">
        <v>438</v>
      </c>
      <c r="I3088" s="1">
        <v>0</v>
      </c>
      <c r="J3088" s="4">
        <v>1314</v>
      </c>
      <c r="K3088" s="4">
        <v>958.4</v>
      </c>
      <c r="L3088" s="4">
        <v>355.6</v>
      </c>
      <c r="M3088" s="1" t="str">
        <f>TEXT(Table1[[#This Row],[Order_Date]], "MMM")</f>
        <v>Oct</v>
      </c>
      <c r="N3088" s="1">
        <f>YEAR(Table1[[#This Row],[Order_Date]])</f>
        <v>2024</v>
      </c>
      <c r="O3088" s="7">
        <f>Table1[[#This Row],[Profit]]/Table1[[#This Row],[Total_Sales]]</f>
        <v>0.27062404870624052</v>
      </c>
    </row>
    <row r="3089" spans="1:15" x14ac:dyDescent="0.25">
      <c r="A3089" s="1">
        <v>3088</v>
      </c>
      <c r="B3089" s="2">
        <v>45186</v>
      </c>
      <c r="C3089" s="1" t="s">
        <v>19</v>
      </c>
      <c r="D3089" s="1" t="s">
        <v>22</v>
      </c>
      <c r="E3089" s="1" t="s">
        <v>29</v>
      </c>
      <c r="F3089" s="1" t="s">
        <v>40</v>
      </c>
      <c r="G3089" s="1">
        <v>5</v>
      </c>
      <c r="H3089" s="1">
        <v>384</v>
      </c>
      <c r="I3089" s="1">
        <v>10</v>
      </c>
      <c r="J3089" s="4">
        <v>1728</v>
      </c>
      <c r="K3089" s="4">
        <v>914.78</v>
      </c>
      <c r="L3089" s="4">
        <v>813.22</v>
      </c>
      <c r="M3089" s="1" t="str">
        <f>TEXT(Table1[[#This Row],[Order_Date]], "MMM")</f>
        <v>Sep</v>
      </c>
      <c r="N3089" s="1">
        <f>YEAR(Table1[[#This Row],[Order_Date]])</f>
        <v>2023</v>
      </c>
      <c r="O3089" s="7">
        <f>Table1[[#This Row],[Profit]]/Table1[[#This Row],[Total_Sales]]</f>
        <v>0.47061342592592592</v>
      </c>
    </row>
    <row r="3090" spans="1:15" x14ac:dyDescent="0.25">
      <c r="A3090" s="1">
        <v>3089</v>
      </c>
      <c r="B3090" s="2">
        <v>45330</v>
      </c>
      <c r="C3090" s="1" t="s">
        <v>25</v>
      </c>
      <c r="D3090" s="1" t="s">
        <v>13</v>
      </c>
      <c r="E3090" s="1" t="s">
        <v>38</v>
      </c>
      <c r="F3090" s="1" t="s">
        <v>24</v>
      </c>
      <c r="G3090" s="1">
        <v>4</v>
      </c>
      <c r="H3090" s="1">
        <v>692</v>
      </c>
      <c r="I3090" s="1">
        <v>0</v>
      </c>
      <c r="J3090" s="4">
        <v>2768</v>
      </c>
      <c r="K3090" s="4">
        <v>1992.31</v>
      </c>
      <c r="L3090" s="4">
        <v>775.69</v>
      </c>
      <c r="M3090" s="1" t="str">
        <f>TEXT(Table1[[#This Row],[Order_Date]], "MMM")</f>
        <v>Feb</v>
      </c>
      <c r="N3090" s="1">
        <f>YEAR(Table1[[#This Row],[Order_Date]])</f>
        <v>2024</v>
      </c>
      <c r="O3090" s="7">
        <f>Table1[[#This Row],[Profit]]/Table1[[#This Row],[Total_Sales]]</f>
        <v>0.28023482658959542</v>
      </c>
    </row>
    <row r="3091" spans="1:15" x14ac:dyDescent="0.25">
      <c r="A3091" s="1">
        <v>3090</v>
      </c>
      <c r="B3091" s="2">
        <v>44928</v>
      </c>
      <c r="C3091" s="1" t="s">
        <v>16</v>
      </c>
      <c r="D3091" s="1" t="s">
        <v>13</v>
      </c>
      <c r="E3091" s="1" t="s">
        <v>39</v>
      </c>
      <c r="F3091" s="1" t="s">
        <v>40</v>
      </c>
      <c r="G3091" s="1">
        <v>2</v>
      </c>
      <c r="H3091" s="1">
        <v>707</v>
      </c>
      <c r="I3091" s="1">
        <v>5</v>
      </c>
      <c r="J3091" s="4">
        <v>1343.3</v>
      </c>
      <c r="K3091" s="4">
        <v>788.35</v>
      </c>
      <c r="L3091" s="4">
        <v>554.95000000000005</v>
      </c>
      <c r="M3091" s="1" t="str">
        <f>TEXT(Table1[[#This Row],[Order_Date]], "MMM")</f>
        <v>Jan</v>
      </c>
      <c r="N3091" s="1">
        <f>YEAR(Table1[[#This Row],[Order_Date]])</f>
        <v>2023</v>
      </c>
      <c r="O3091" s="7">
        <f>Table1[[#This Row],[Profit]]/Table1[[#This Row],[Total_Sales]]</f>
        <v>0.41312439514628158</v>
      </c>
    </row>
    <row r="3092" spans="1:15" x14ac:dyDescent="0.25">
      <c r="A3092" s="1">
        <v>3091</v>
      </c>
      <c r="B3092" s="2">
        <v>45241</v>
      </c>
      <c r="C3092" s="1" t="s">
        <v>19</v>
      </c>
      <c r="D3092" s="1" t="s">
        <v>13</v>
      </c>
      <c r="E3092" s="1" t="s">
        <v>17</v>
      </c>
      <c r="F3092" s="1" t="s">
        <v>31</v>
      </c>
      <c r="G3092" s="1">
        <v>9</v>
      </c>
      <c r="H3092" s="1">
        <v>97</v>
      </c>
      <c r="I3092" s="1">
        <v>10</v>
      </c>
      <c r="J3092" s="4">
        <v>785.7</v>
      </c>
      <c r="K3092" s="4">
        <v>477.65</v>
      </c>
      <c r="L3092" s="4">
        <v>308.05</v>
      </c>
      <c r="M3092" s="1" t="str">
        <f>TEXT(Table1[[#This Row],[Order_Date]], "MMM")</f>
        <v>Nov</v>
      </c>
      <c r="N3092" s="1">
        <f>YEAR(Table1[[#This Row],[Order_Date]])</f>
        <v>2023</v>
      </c>
      <c r="O3092" s="7">
        <f>Table1[[#This Row],[Profit]]/Table1[[#This Row],[Total_Sales]]</f>
        <v>0.39207076492299858</v>
      </c>
    </row>
    <row r="3093" spans="1:15" x14ac:dyDescent="0.25">
      <c r="A3093" s="1">
        <v>3092</v>
      </c>
      <c r="B3093" s="2">
        <v>45071</v>
      </c>
      <c r="C3093" s="1" t="s">
        <v>16</v>
      </c>
      <c r="D3093" s="1" t="s">
        <v>20</v>
      </c>
      <c r="E3093" s="1" t="s">
        <v>28</v>
      </c>
      <c r="F3093" s="1" t="s">
        <v>24</v>
      </c>
      <c r="G3093" s="1">
        <v>8</v>
      </c>
      <c r="H3093" s="1">
        <v>482</v>
      </c>
      <c r="I3093" s="1">
        <v>20</v>
      </c>
      <c r="J3093" s="4">
        <v>3084.8</v>
      </c>
      <c r="K3093" s="4">
        <v>1780.6</v>
      </c>
      <c r="L3093" s="4">
        <v>1304.2</v>
      </c>
      <c r="M3093" s="1" t="str">
        <f>TEXT(Table1[[#This Row],[Order_Date]], "MMM")</f>
        <v>May</v>
      </c>
      <c r="N3093" s="1">
        <f>YEAR(Table1[[#This Row],[Order_Date]])</f>
        <v>2023</v>
      </c>
      <c r="O3093" s="7">
        <f>Table1[[#This Row],[Profit]]/Table1[[#This Row],[Total_Sales]]</f>
        <v>0.42278267634854771</v>
      </c>
    </row>
    <row r="3094" spans="1:15" x14ac:dyDescent="0.25">
      <c r="A3094" s="1">
        <v>3093</v>
      </c>
      <c r="B3094" s="2">
        <v>45364</v>
      </c>
      <c r="C3094" s="1" t="s">
        <v>25</v>
      </c>
      <c r="D3094" s="1" t="s">
        <v>20</v>
      </c>
      <c r="E3094" s="1" t="s">
        <v>28</v>
      </c>
      <c r="F3094" s="1" t="s">
        <v>35</v>
      </c>
      <c r="G3094" s="1">
        <v>5</v>
      </c>
      <c r="H3094" s="1">
        <v>686</v>
      </c>
      <c r="I3094" s="1">
        <v>20</v>
      </c>
      <c r="J3094" s="4">
        <v>2744</v>
      </c>
      <c r="K3094" s="4">
        <v>1700.18</v>
      </c>
      <c r="L3094" s="4">
        <v>1043.82</v>
      </c>
      <c r="M3094" s="1" t="str">
        <f>TEXT(Table1[[#This Row],[Order_Date]], "MMM")</f>
        <v>Mar</v>
      </c>
      <c r="N3094" s="1">
        <f>YEAR(Table1[[#This Row],[Order_Date]])</f>
        <v>2024</v>
      </c>
      <c r="O3094" s="7">
        <f>Table1[[#This Row],[Profit]]/Table1[[#This Row],[Total_Sales]]</f>
        <v>0.38040087463556849</v>
      </c>
    </row>
    <row r="3095" spans="1:15" x14ac:dyDescent="0.25">
      <c r="A3095" s="1">
        <v>3094</v>
      </c>
      <c r="B3095" s="2">
        <v>45109</v>
      </c>
      <c r="C3095" s="1" t="s">
        <v>12</v>
      </c>
      <c r="D3095" s="1" t="s">
        <v>20</v>
      </c>
      <c r="E3095" s="1" t="s">
        <v>28</v>
      </c>
      <c r="F3095" s="1" t="s">
        <v>35</v>
      </c>
      <c r="G3095" s="1">
        <v>9</v>
      </c>
      <c r="H3095" s="1">
        <v>245</v>
      </c>
      <c r="I3095" s="1">
        <v>15</v>
      </c>
      <c r="J3095" s="4">
        <v>1874.25</v>
      </c>
      <c r="K3095" s="4">
        <v>1367.98</v>
      </c>
      <c r="L3095" s="4">
        <v>506.27</v>
      </c>
      <c r="M3095" s="1" t="str">
        <f>TEXT(Table1[[#This Row],[Order_Date]], "MMM")</f>
        <v>Jul</v>
      </c>
      <c r="N3095" s="1">
        <f>YEAR(Table1[[#This Row],[Order_Date]])</f>
        <v>2023</v>
      </c>
      <c r="O3095" s="7">
        <f>Table1[[#This Row],[Profit]]/Table1[[#This Row],[Total_Sales]]</f>
        <v>0.27011871415232758</v>
      </c>
    </row>
    <row r="3096" spans="1:15" x14ac:dyDescent="0.25">
      <c r="A3096" s="1">
        <v>3095</v>
      </c>
      <c r="B3096" s="2">
        <v>44995</v>
      </c>
      <c r="C3096" s="1" t="s">
        <v>16</v>
      </c>
      <c r="D3096" s="1" t="s">
        <v>13</v>
      </c>
      <c r="E3096" s="1" t="s">
        <v>39</v>
      </c>
      <c r="F3096" s="1" t="s">
        <v>35</v>
      </c>
      <c r="G3096" s="1">
        <v>10</v>
      </c>
      <c r="H3096" s="1">
        <v>112</v>
      </c>
      <c r="I3096" s="1">
        <v>5</v>
      </c>
      <c r="J3096" s="4">
        <v>1064</v>
      </c>
      <c r="K3096" s="4">
        <v>753.68</v>
      </c>
      <c r="L3096" s="4">
        <v>310.32</v>
      </c>
      <c r="M3096" s="1" t="str">
        <f>TEXT(Table1[[#This Row],[Order_Date]], "MMM")</f>
        <v>Mar</v>
      </c>
      <c r="N3096" s="1">
        <f>YEAR(Table1[[#This Row],[Order_Date]])</f>
        <v>2023</v>
      </c>
      <c r="O3096" s="7">
        <f>Table1[[#This Row],[Profit]]/Table1[[#This Row],[Total_Sales]]</f>
        <v>0.29165413533834583</v>
      </c>
    </row>
    <row r="3097" spans="1:15" x14ac:dyDescent="0.25">
      <c r="A3097" s="1">
        <v>3096</v>
      </c>
      <c r="B3097" s="2">
        <v>44997</v>
      </c>
      <c r="C3097" s="1" t="s">
        <v>12</v>
      </c>
      <c r="D3097" s="1" t="s">
        <v>22</v>
      </c>
      <c r="E3097" s="1" t="s">
        <v>36</v>
      </c>
      <c r="F3097" s="1" t="s">
        <v>15</v>
      </c>
      <c r="G3097" s="1">
        <v>7</v>
      </c>
      <c r="H3097" s="1">
        <v>301</v>
      </c>
      <c r="I3097" s="1">
        <v>5</v>
      </c>
      <c r="J3097" s="4">
        <v>2001.65</v>
      </c>
      <c r="K3097" s="4">
        <v>1085.6199999999999</v>
      </c>
      <c r="L3097" s="4">
        <v>916.03</v>
      </c>
      <c r="M3097" s="1" t="str">
        <f>TEXT(Table1[[#This Row],[Order_Date]], "MMM")</f>
        <v>Mar</v>
      </c>
      <c r="N3097" s="1">
        <f>YEAR(Table1[[#This Row],[Order_Date]])</f>
        <v>2023</v>
      </c>
      <c r="O3097" s="7">
        <f>Table1[[#This Row],[Profit]]/Table1[[#This Row],[Total_Sales]]</f>
        <v>0.45763744910448878</v>
      </c>
    </row>
    <row r="3098" spans="1:15" x14ac:dyDescent="0.25">
      <c r="A3098" s="1">
        <v>3097</v>
      </c>
      <c r="B3098" s="2">
        <v>45314</v>
      </c>
      <c r="C3098" s="1" t="s">
        <v>19</v>
      </c>
      <c r="D3098" s="1" t="s">
        <v>26</v>
      </c>
      <c r="E3098" s="1" t="s">
        <v>37</v>
      </c>
      <c r="F3098" s="1" t="s">
        <v>35</v>
      </c>
      <c r="G3098" s="1">
        <v>1</v>
      </c>
      <c r="H3098" s="1">
        <v>718</v>
      </c>
      <c r="I3098" s="1">
        <v>0</v>
      </c>
      <c r="J3098" s="4">
        <v>718</v>
      </c>
      <c r="K3098" s="4">
        <v>551.5</v>
      </c>
      <c r="L3098" s="4">
        <v>166.5</v>
      </c>
      <c r="M3098" s="1" t="str">
        <f>TEXT(Table1[[#This Row],[Order_Date]], "MMM")</f>
        <v>Jan</v>
      </c>
      <c r="N3098" s="1">
        <f>YEAR(Table1[[#This Row],[Order_Date]])</f>
        <v>2024</v>
      </c>
      <c r="O3098" s="7">
        <f>Table1[[#This Row],[Profit]]/Table1[[#This Row],[Total_Sales]]</f>
        <v>0.23189415041782729</v>
      </c>
    </row>
    <row r="3099" spans="1:15" x14ac:dyDescent="0.25">
      <c r="A3099" s="1">
        <v>3098</v>
      </c>
      <c r="B3099" s="2">
        <v>45306</v>
      </c>
      <c r="C3099" s="1" t="s">
        <v>19</v>
      </c>
      <c r="D3099" s="1" t="s">
        <v>26</v>
      </c>
      <c r="E3099" s="1" t="s">
        <v>37</v>
      </c>
      <c r="F3099" s="1" t="s">
        <v>15</v>
      </c>
      <c r="G3099" s="1">
        <v>8</v>
      </c>
      <c r="H3099" s="1">
        <v>218</v>
      </c>
      <c r="I3099" s="1">
        <v>5</v>
      </c>
      <c r="J3099" s="4">
        <v>1656.8</v>
      </c>
      <c r="K3099" s="4">
        <v>1248.6099999999999</v>
      </c>
      <c r="L3099" s="4">
        <v>408.19</v>
      </c>
      <c r="M3099" s="1" t="str">
        <f>TEXT(Table1[[#This Row],[Order_Date]], "MMM")</f>
        <v>Jan</v>
      </c>
      <c r="N3099" s="1">
        <f>YEAR(Table1[[#This Row],[Order_Date]])</f>
        <v>2024</v>
      </c>
      <c r="O3099" s="7">
        <f>Table1[[#This Row],[Profit]]/Table1[[#This Row],[Total_Sales]]</f>
        <v>0.24637252535007242</v>
      </c>
    </row>
    <row r="3100" spans="1:15" x14ac:dyDescent="0.25">
      <c r="A3100" s="1">
        <v>3099</v>
      </c>
      <c r="B3100" s="2">
        <v>45177</v>
      </c>
      <c r="C3100" s="1" t="s">
        <v>12</v>
      </c>
      <c r="D3100" s="1" t="s">
        <v>20</v>
      </c>
      <c r="E3100" s="1" t="s">
        <v>30</v>
      </c>
      <c r="F3100" s="1" t="s">
        <v>40</v>
      </c>
      <c r="G3100" s="1">
        <v>6</v>
      </c>
      <c r="H3100" s="1">
        <v>571</v>
      </c>
      <c r="I3100" s="1">
        <v>5</v>
      </c>
      <c r="J3100" s="4">
        <v>3254.7</v>
      </c>
      <c r="K3100" s="4">
        <v>2229.1999999999998</v>
      </c>
      <c r="L3100" s="4">
        <v>1025.5</v>
      </c>
      <c r="M3100" s="1" t="str">
        <f>TEXT(Table1[[#This Row],[Order_Date]], "MMM")</f>
        <v>Sep</v>
      </c>
      <c r="N3100" s="1">
        <f>YEAR(Table1[[#This Row],[Order_Date]])</f>
        <v>2023</v>
      </c>
      <c r="O3100" s="7">
        <f>Table1[[#This Row],[Profit]]/Table1[[#This Row],[Total_Sales]]</f>
        <v>0.3150828033305681</v>
      </c>
    </row>
    <row r="3101" spans="1:15" x14ac:dyDescent="0.25">
      <c r="A3101" s="1">
        <v>3100</v>
      </c>
      <c r="B3101" s="2">
        <v>45185</v>
      </c>
      <c r="C3101" s="1" t="s">
        <v>12</v>
      </c>
      <c r="D3101" s="1" t="s">
        <v>26</v>
      </c>
      <c r="E3101" s="1" t="s">
        <v>37</v>
      </c>
      <c r="F3101" s="1" t="s">
        <v>24</v>
      </c>
      <c r="G3101" s="1">
        <v>6</v>
      </c>
      <c r="H3101" s="1">
        <v>455</v>
      </c>
      <c r="I3101" s="1">
        <v>10</v>
      </c>
      <c r="J3101" s="4">
        <v>2457</v>
      </c>
      <c r="K3101" s="4">
        <v>1860.5</v>
      </c>
      <c r="L3101" s="4">
        <v>596.5</v>
      </c>
      <c r="M3101" s="1" t="str">
        <f>TEXT(Table1[[#This Row],[Order_Date]], "MMM")</f>
        <v>Sep</v>
      </c>
      <c r="N3101" s="1">
        <f>YEAR(Table1[[#This Row],[Order_Date]])</f>
        <v>2023</v>
      </c>
      <c r="O3101" s="7">
        <f>Table1[[#This Row],[Profit]]/Table1[[#This Row],[Total_Sales]]</f>
        <v>0.24277574277574276</v>
      </c>
    </row>
    <row r="3102" spans="1:15" x14ac:dyDescent="0.25">
      <c r="A3102" s="1">
        <v>3101</v>
      </c>
      <c r="B3102" s="2">
        <v>45043</v>
      </c>
      <c r="C3102" s="1" t="s">
        <v>16</v>
      </c>
      <c r="D3102" s="1" t="s">
        <v>20</v>
      </c>
      <c r="E3102" s="1" t="s">
        <v>43</v>
      </c>
      <c r="F3102" s="1" t="s">
        <v>31</v>
      </c>
      <c r="G3102" s="1">
        <v>5</v>
      </c>
      <c r="H3102" s="1">
        <v>76</v>
      </c>
      <c r="I3102" s="1">
        <v>15</v>
      </c>
      <c r="J3102" s="4">
        <v>323</v>
      </c>
      <c r="K3102" s="4">
        <v>218.06</v>
      </c>
      <c r="L3102" s="4">
        <v>104.94</v>
      </c>
      <c r="M3102" s="1" t="str">
        <f>TEXT(Table1[[#This Row],[Order_Date]], "MMM")</f>
        <v>Apr</v>
      </c>
      <c r="N3102" s="1">
        <f>YEAR(Table1[[#This Row],[Order_Date]])</f>
        <v>2023</v>
      </c>
      <c r="O3102" s="7">
        <f>Table1[[#This Row],[Profit]]/Table1[[#This Row],[Total_Sales]]</f>
        <v>0.32489164086687305</v>
      </c>
    </row>
    <row r="3103" spans="1:15" x14ac:dyDescent="0.25">
      <c r="A3103" s="1">
        <v>3102</v>
      </c>
      <c r="B3103" s="2">
        <v>45473</v>
      </c>
      <c r="C3103" s="1" t="s">
        <v>16</v>
      </c>
      <c r="D3103" s="1" t="s">
        <v>22</v>
      </c>
      <c r="E3103" s="1" t="s">
        <v>23</v>
      </c>
      <c r="F3103" s="1" t="s">
        <v>40</v>
      </c>
      <c r="G3103" s="1">
        <v>8</v>
      </c>
      <c r="H3103" s="1">
        <v>744</v>
      </c>
      <c r="I3103" s="1">
        <v>15</v>
      </c>
      <c r="J3103" s="4">
        <v>5059.2</v>
      </c>
      <c r="K3103" s="4">
        <v>3705.31</v>
      </c>
      <c r="L3103" s="4">
        <v>1353.89</v>
      </c>
      <c r="M3103" s="1" t="str">
        <f>TEXT(Table1[[#This Row],[Order_Date]], "MMM")</f>
        <v>Jun</v>
      </c>
      <c r="N3103" s="1">
        <f>YEAR(Table1[[#This Row],[Order_Date]])</f>
        <v>2024</v>
      </c>
      <c r="O3103" s="7">
        <f>Table1[[#This Row],[Profit]]/Table1[[#This Row],[Total_Sales]]</f>
        <v>0.26760950347881091</v>
      </c>
    </row>
    <row r="3104" spans="1:15" x14ac:dyDescent="0.25">
      <c r="A3104" s="1">
        <v>3103</v>
      </c>
      <c r="B3104" s="2">
        <v>45334</v>
      </c>
      <c r="C3104" s="1" t="s">
        <v>16</v>
      </c>
      <c r="D3104" s="1" t="s">
        <v>13</v>
      </c>
      <c r="E3104" s="1" t="s">
        <v>39</v>
      </c>
      <c r="F3104" s="1" t="s">
        <v>40</v>
      </c>
      <c r="G3104" s="1">
        <v>9</v>
      </c>
      <c r="H3104" s="1">
        <v>567</v>
      </c>
      <c r="I3104" s="1">
        <v>15</v>
      </c>
      <c r="J3104" s="4">
        <v>4337.55</v>
      </c>
      <c r="K3104" s="4">
        <v>3167.7</v>
      </c>
      <c r="L3104" s="4">
        <v>1169.8499999999999</v>
      </c>
      <c r="M3104" s="1" t="str">
        <f>TEXT(Table1[[#This Row],[Order_Date]], "MMM")</f>
        <v>Feb</v>
      </c>
      <c r="N3104" s="1">
        <f>YEAR(Table1[[#This Row],[Order_Date]])</f>
        <v>2024</v>
      </c>
      <c r="O3104" s="7">
        <f>Table1[[#This Row],[Profit]]/Table1[[#This Row],[Total_Sales]]</f>
        <v>0.26970294290555724</v>
      </c>
    </row>
    <row r="3105" spans="1:15" x14ac:dyDescent="0.25">
      <c r="A3105" s="1">
        <v>3104</v>
      </c>
      <c r="B3105" s="2">
        <v>44957</v>
      </c>
      <c r="C3105" s="1" t="s">
        <v>19</v>
      </c>
      <c r="D3105" s="1" t="s">
        <v>13</v>
      </c>
      <c r="E3105" s="1" t="s">
        <v>39</v>
      </c>
      <c r="F3105" s="1" t="s">
        <v>35</v>
      </c>
      <c r="G3105" s="1">
        <v>3</v>
      </c>
      <c r="H3105" s="1">
        <v>89</v>
      </c>
      <c r="I3105" s="1">
        <v>15</v>
      </c>
      <c r="J3105" s="4">
        <v>226.95</v>
      </c>
      <c r="K3105" s="4">
        <v>152.11000000000001</v>
      </c>
      <c r="L3105" s="4">
        <v>74.84</v>
      </c>
      <c r="M3105" s="1" t="str">
        <f>TEXT(Table1[[#This Row],[Order_Date]], "MMM")</f>
        <v>Jan</v>
      </c>
      <c r="N3105" s="1">
        <f>YEAR(Table1[[#This Row],[Order_Date]])</f>
        <v>2023</v>
      </c>
      <c r="O3105" s="7">
        <f>Table1[[#This Row],[Profit]]/Table1[[#This Row],[Total_Sales]]</f>
        <v>0.32976426525666447</v>
      </c>
    </row>
    <row r="3106" spans="1:15" x14ac:dyDescent="0.25">
      <c r="A3106" s="1">
        <v>3105</v>
      </c>
      <c r="B3106" s="2">
        <v>45066</v>
      </c>
      <c r="C3106" s="1" t="s">
        <v>12</v>
      </c>
      <c r="D3106" s="1" t="s">
        <v>13</v>
      </c>
      <c r="E3106" s="1" t="s">
        <v>14</v>
      </c>
      <c r="F3106" s="1" t="s">
        <v>40</v>
      </c>
      <c r="G3106" s="1">
        <v>10</v>
      </c>
      <c r="H3106" s="1">
        <v>970</v>
      </c>
      <c r="I3106" s="1">
        <v>0</v>
      </c>
      <c r="J3106" s="4">
        <v>9700</v>
      </c>
      <c r="K3106" s="4">
        <v>5942.43</v>
      </c>
      <c r="L3106" s="4">
        <v>3757.57</v>
      </c>
      <c r="M3106" s="1" t="str">
        <f>TEXT(Table1[[#This Row],[Order_Date]], "MMM")</f>
        <v>May</v>
      </c>
      <c r="N3106" s="1">
        <f>YEAR(Table1[[#This Row],[Order_Date]])</f>
        <v>2023</v>
      </c>
      <c r="O3106" s="7">
        <f>Table1[[#This Row],[Profit]]/Table1[[#This Row],[Total_Sales]]</f>
        <v>0.38737835051546393</v>
      </c>
    </row>
    <row r="3107" spans="1:15" x14ac:dyDescent="0.25">
      <c r="A3107" s="1">
        <v>3106</v>
      </c>
      <c r="B3107" s="2">
        <v>45536</v>
      </c>
      <c r="C3107" s="1" t="s">
        <v>12</v>
      </c>
      <c r="D3107" s="1" t="s">
        <v>32</v>
      </c>
      <c r="E3107" s="1" t="s">
        <v>34</v>
      </c>
      <c r="F3107" s="1" t="s">
        <v>18</v>
      </c>
      <c r="G3107" s="1">
        <v>7</v>
      </c>
      <c r="H3107" s="1">
        <v>836</v>
      </c>
      <c r="I3107" s="1">
        <v>0</v>
      </c>
      <c r="J3107" s="4">
        <v>5852</v>
      </c>
      <c r="K3107" s="4">
        <v>3638.61</v>
      </c>
      <c r="L3107" s="4">
        <v>2213.39</v>
      </c>
      <c r="M3107" s="1" t="str">
        <f>TEXT(Table1[[#This Row],[Order_Date]], "MMM")</f>
        <v>Sep</v>
      </c>
      <c r="N3107" s="1">
        <f>YEAR(Table1[[#This Row],[Order_Date]])</f>
        <v>2024</v>
      </c>
      <c r="O3107" s="7">
        <f>Table1[[#This Row],[Profit]]/Table1[[#This Row],[Total_Sales]]</f>
        <v>0.37822795625427202</v>
      </c>
    </row>
    <row r="3108" spans="1:15" x14ac:dyDescent="0.25">
      <c r="A3108" s="1">
        <v>3107</v>
      </c>
      <c r="B3108" s="2">
        <v>45428</v>
      </c>
      <c r="C3108" s="1" t="s">
        <v>19</v>
      </c>
      <c r="D3108" s="1" t="s">
        <v>26</v>
      </c>
      <c r="E3108" s="1" t="s">
        <v>42</v>
      </c>
      <c r="F3108" s="1" t="s">
        <v>18</v>
      </c>
      <c r="G3108" s="1">
        <v>8</v>
      </c>
      <c r="H3108" s="1">
        <v>122</v>
      </c>
      <c r="I3108" s="1">
        <v>20</v>
      </c>
      <c r="J3108" s="4">
        <v>780.8</v>
      </c>
      <c r="K3108" s="4">
        <v>481.54</v>
      </c>
      <c r="L3108" s="4">
        <v>299.26</v>
      </c>
      <c r="M3108" s="1" t="str">
        <f>TEXT(Table1[[#This Row],[Order_Date]], "MMM")</f>
        <v>May</v>
      </c>
      <c r="N3108" s="1">
        <f>YEAR(Table1[[#This Row],[Order_Date]])</f>
        <v>2024</v>
      </c>
      <c r="O3108" s="7">
        <f>Table1[[#This Row],[Profit]]/Table1[[#This Row],[Total_Sales]]</f>
        <v>0.38327356557377051</v>
      </c>
    </row>
    <row r="3109" spans="1:15" x14ac:dyDescent="0.25">
      <c r="A3109" s="1">
        <v>3108</v>
      </c>
      <c r="B3109" s="2">
        <v>45388</v>
      </c>
      <c r="C3109" s="1" t="s">
        <v>19</v>
      </c>
      <c r="D3109" s="1" t="s">
        <v>13</v>
      </c>
      <c r="E3109" s="1" t="s">
        <v>17</v>
      </c>
      <c r="F3109" s="1" t="s">
        <v>35</v>
      </c>
      <c r="G3109" s="1">
        <v>7</v>
      </c>
      <c r="H3109" s="1">
        <v>112</v>
      </c>
      <c r="I3109" s="1">
        <v>10</v>
      </c>
      <c r="J3109" s="4">
        <v>705.6</v>
      </c>
      <c r="K3109" s="4">
        <v>542.05999999999995</v>
      </c>
      <c r="L3109" s="4">
        <v>163.54</v>
      </c>
      <c r="M3109" s="1" t="str">
        <f>TEXT(Table1[[#This Row],[Order_Date]], "MMM")</f>
        <v>Apr</v>
      </c>
      <c r="N3109" s="1">
        <f>YEAR(Table1[[#This Row],[Order_Date]])</f>
        <v>2024</v>
      </c>
      <c r="O3109" s="7">
        <f>Table1[[#This Row],[Profit]]/Table1[[#This Row],[Total_Sales]]</f>
        <v>0.23177437641723353</v>
      </c>
    </row>
    <row r="3110" spans="1:15" x14ac:dyDescent="0.25">
      <c r="A3110" s="1">
        <v>3109</v>
      </c>
      <c r="B3110" s="2">
        <v>44936</v>
      </c>
      <c r="C3110" s="1" t="s">
        <v>25</v>
      </c>
      <c r="D3110" s="1" t="s">
        <v>26</v>
      </c>
      <c r="E3110" s="1" t="s">
        <v>42</v>
      </c>
      <c r="F3110" s="1" t="s">
        <v>15</v>
      </c>
      <c r="G3110" s="1">
        <v>3</v>
      </c>
      <c r="H3110" s="1">
        <v>787</v>
      </c>
      <c r="I3110" s="1">
        <v>5</v>
      </c>
      <c r="J3110" s="4">
        <v>2242.9499999999998</v>
      </c>
      <c r="K3110" s="4">
        <v>1543.1</v>
      </c>
      <c r="L3110" s="4">
        <v>699.85</v>
      </c>
      <c r="M3110" s="1" t="str">
        <f>TEXT(Table1[[#This Row],[Order_Date]], "MMM")</f>
        <v>Jan</v>
      </c>
      <c r="N3110" s="1">
        <f>YEAR(Table1[[#This Row],[Order_Date]])</f>
        <v>2023</v>
      </c>
      <c r="O3110" s="7">
        <f>Table1[[#This Row],[Profit]]/Table1[[#This Row],[Total_Sales]]</f>
        <v>0.31202211373414479</v>
      </c>
    </row>
    <row r="3111" spans="1:15" x14ac:dyDescent="0.25">
      <c r="A3111" s="1">
        <v>3110</v>
      </c>
      <c r="B3111" s="2">
        <v>45503</v>
      </c>
      <c r="C3111" s="1" t="s">
        <v>12</v>
      </c>
      <c r="D3111" s="1" t="s">
        <v>26</v>
      </c>
      <c r="E3111" s="1" t="s">
        <v>46</v>
      </c>
      <c r="F3111" s="1" t="s">
        <v>31</v>
      </c>
      <c r="G3111" s="1">
        <v>5</v>
      </c>
      <c r="H3111" s="1">
        <v>603</v>
      </c>
      <c r="I3111" s="1">
        <v>10</v>
      </c>
      <c r="J3111" s="4">
        <v>2713.5</v>
      </c>
      <c r="K3111" s="4">
        <v>1839.29</v>
      </c>
      <c r="L3111" s="4">
        <v>874.21</v>
      </c>
      <c r="M3111" s="1" t="str">
        <f>TEXT(Table1[[#This Row],[Order_Date]], "MMM")</f>
        <v>Jul</v>
      </c>
      <c r="N3111" s="1">
        <f>YEAR(Table1[[#This Row],[Order_Date]])</f>
        <v>2024</v>
      </c>
      <c r="O3111" s="7">
        <f>Table1[[#This Row],[Profit]]/Table1[[#This Row],[Total_Sales]]</f>
        <v>0.32217062833978261</v>
      </c>
    </row>
    <row r="3112" spans="1:15" x14ac:dyDescent="0.25">
      <c r="A3112" s="1">
        <v>3111</v>
      </c>
      <c r="B3112" s="2">
        <v>44941</v>
      </c>
      <c r="C3112" s="1" t="s">
        <v>19</v>
      </c>
      <c r="D3112" s="1" t="s">
        <v>13</v>
      </c>
      <c r="E3112" s="1" t="s">
        <v>14</v>
      </c>
      <c r="F3112" s="1" t="s">
        <v>40</v>
      </c>
      <c r="G3112" s="1">
        <v>8</v>
      </c>
      <c r="H3112" s="1">
        <v>996</v>
      </c>
      <c r="I3112" s="1">
        <v>20</v>
      </c>
      <c r="J3112" s="4">
        <v>6374.4</v>
      </c>
      <c r="K3112" s="4">
        <v>3824.82</v>
      </c>
      <c r="L3112" s="4">
        <v>2549.58</v>
      </c>
      <c r="M3112" s="1" t="str">
        <f>TEXT(Table1[[#This Row],[Order_Date]], "MMM")</f>
        <v>Jan</v>
      </c>
      <c r="N3112" s="1">
        <f>YEAR(Table1[[#This Row],[Order_Date]])</f>
        <v>2023</v>
      </c>
      <c r="O3112" s="7">
        <f>Table1[[#This Row],[Profit]]/Table1[[#This Row],[Total_Sales]]</f>
        <v>0.39997176204819279</v>
      </c>
    </row>
    <row r="3113" spans="1:15" x14ac:dyDescent="0.25">
      <c r="A3113" s="1">
        <v>3112</v>
      </c>
      <c r="B3113" s="2">
        <v>45201</v>
      </c>
      <c r="C3113" s="1" t="s">
        <v>16</v>
      </c>
      <c r="D3113" s="1" t="s">
        <v>26</v>
      </c>
      <c r="E3113" s="1" t="s">
        <v>46</v>
      </c>
      <c r="F3113" s="1" t="s">
        <v>40</v>
      </c>
      <c r="G3113" s="1">
        <v>5</v>
      </c>
      <c r="H3113" s="1">
        <v>173</v>
      </c>
      <c r="I3113" s="1">
        <v>15</v>
      </c>
      <c r="J3113" s="4">
        <v>735.25</v>
      </c>
      <c r="K3113" s="4">
        <v>490.59</v>
      </c>
      <c r="L3113" s="4">
        <v>244.66</v>
      </c>
      <c r="M3113" s="1" t="str">
        <f>TEXT(Table1[[#This Row],[Order_Date]], "MMM")</f>
        <v>Oct</v>
      </c>
      <c r="N3113" s="1">
        <f>YEAR(Table1[[#This Row],[Order_Date]])</f>
        <v>2023</v>
      </c>
      <c r="O3113" s="7">
        <f>Table1[[#This Row],[Profit]]/Table1[[#This Row],[Total_Sales]]</f>
        <v>0.33275756545392721</v>
      </c>
    </row>
    <row r="3114" spans="1:15" x14ac:dyDescent="0.25">
      <c r="A3114" s="1">
        <v>3113</v>
      </c>
      <c r="B3114" s="2">
        <v>45376</v>
      </c>
      <c r="C3114" s="1" t="s">
        <v>25</v>
      </c>
      <c r="D3114" s="1" t="s">
        <v>20</v>
      </c>
      <c r="E3114" s="1" t="s">
        <v>30</v>
      </c>
      <c r="F3114" s="1" t="s">
        <v>18</v>
      </c>
      <c r="G3114" s="1">
        <v>10</v>
      </c>
      <c r="H3114" s="1">
        <v>950</v>
      </c>
      <c r="I3114" s="1">
        <v>20</v>
      </c>
      <c r="J3114" s="4">
        <v>7600</v>
      </c>
      <c r="K3114" s="4">
        <v>4986.9799999999996</v>
      </c>
      <c r="L3114" s="4">
        <v>2613.02</v>
      </c>
      <c r="M3114" s="1" t="str">
        <f>TEXT(Table1[[#This Row],[Order_Date]], "MMM")</f>
        <v>Mar</v>
      </c>
      <c r="N3114" s="1">
        <f>YEAR(Table1[[#This Row],[Order_Date]])</f>
        <v>2024</v>
      </c>
      <c r="O3114" s="7">
        <f>Table1[[#This Row],[Profit]]/Table1[[#This Row],[Total_Sales]]</f>
        <v>0.34381842105263155</v>
      </c>
    </row>
    <row r="3115" spans="1:15" x14ac:dyDescent="0.25">
      <c r="A3115" s="1">
        <v>3114</v>
      </c>
      <c r="B3115" s="2">
        <v>45291</v>
      </c>
      <c r="C3115" s="1" t="s">
        <v>19</v>
      </c>
      <c r="D3115" s="1" t="s">
        <v>13</v>
      </c>
      <c r="E3115" s="1" t="s">
        <v>39</v>
      </c>
      <c r="F3115" s="1" t="s">
        <v>31</v>
      </c>
      <c r="G3115" s="1">
        <v>8</v>
      </c>
      <c r="H3115" s="1">
        <v>584</v>
      </c>
      <c r="I3115" s="1">
        <v>15</v>
      </c>
      <c r="J3115" s="4">
        <v>3971.2</v>
      </c>
      <c r="K3115" s="4">
        <v>2376.9299999999998</v>
      </c>
      <c r="L3115" s="4">
        <v>1594.27</v>
      </c>
      <c r="M3115" s="1" t="str">
        <f>TEXT(Table1[[#This Row],[Order_Date]], "MMM")</f>
        <v>Dec</v>
      </c>
      <c r="N3115" s="1">
        <f>YEAR(Table1[[#This Row],[Order_Date]])</f>
        <v>2023</v>
      </c>
      <c r="O3115" s="7">
        <f>Table1[[#This Row],[Profit]]/Table1[[#This Row],[Total_Sales]]</f>
        <v>0.40145799758259471</v>
      </c>
    </row>
    <row r="3116" spans="1:15" x14ac:dyDescent="0.25">
      <c r="A3116" s="1">
        <v>3115</v>
      </c>
      <c r="B3116" s="2">
        <v>45380</v>
      </c>
      <c r="C3116" s="1" t="s">
        <v>16</v>
      </c>
      <c r="D3116" s="1" t="s">
        <v>26</v>
      </c>
      <c r="E3116" s="1" t="s">
        <v>42</v>
      </c>
      <c r="F3116" s="1" t="s">
        <v>18</v>
      </c>
      <c r="G3116" s="1">
        <v>6</v>
      </c>
      <c r="H3116" s="1">
        <v>102</v>
      </c>
      <c r="I3116" s="1">
        <v>20</v>
      </c>
      <c r="J3116" s="4">
        <v>489.6</v>
      </c>
      <c r="K3116" s="4">
        <v>295.19</v>
      </c>
      <c r="L3116" s="4">
        <v>194.41</v>
      </c>
      <c r="M3116" s="1" t="str">
        <f>TEXT(Table1[[#This Row],[Order_Date]], "MMM")</f>
        <v>Mar</v>
      </c>
      <c r="N3116" s="1">
        <f>YEAR(Table1[[#This Row],[Order_Date]])</f>
        <v>2024</v>
      </c>
      <c r="O3116" s="7">
        <f>Table1[[#This Row],[Profit]]/Table1[[#This Row],[Total_Sales]]</f>
        <v>0.39707924836601305</v>
      </c>
    </row>
    <row r="3117" spans="1:15" x14ac:dyDescent="0.25">
      <c r="A3117" s="1">
        <v>3116</v>
      </c>
      <c r="B3117" s="2">
        <v>44939</v>
      </c>
      <c r="C3117" s="1" t="s">
        <v>25</v>
      </c>
      <c r="D3117" s="1" t="s">
        <v>13</v>
      </c>
      <c r="E3117" s="1" t="s">
        <v>17</v>
      </c>
      <c r="F3117" s="1" t="s">
        <v>40</v>
      </c>
      <c r="G3117" s="1">
        <v>7</v>
      </c>
      <c r="H3117" s="1">
        <v>119</v>
      </c>
      <c r="I3117" s="1">
        <v>0</v>
      </c>
      <c r="J3117" s="4">
        <v>833</v>
      </c>
      <c r="K3117" s="4">
        <v>512.78</v>
      </c>
      <c r="L3117" s="4">
        <v>320.22000000000003</v>
      </c>
      <c r="M3117" s="1" t="str">
        <f>TEXT(Table1[[#This Row],[Order_Date]], "MMM")</f>
        <v>Jan</v>
      </c>
      <c r="N3117" s="1">
        <f>YEAR(Table1[[#This Row],[Order_Date]])</f>
        <v>2023</v>
      </c>
      <c r="O3117" s="7">
        <f>Table1[[#This Row],[Profit]]/Table1[[#This Row],[Total_Sales]]</f>
        <v>0.38441776710684278</v>
      </c>
    </row>
    <row r="3118" spans="1:15" x14ac:dyDescent="0.25">
      <c r="A3118" s="1">
        <v>3117</v>
      </c>
      <c r="B3118" s="2">
        <v>45365</v>
      </c>
      <c r="C3118" s="1" t="s">
        <v>19</v>
      </c>
      <c r="D3118" s="1" t="s">
        <v>26</v>
      </c>
      <c r="E3118" s="1" t="s">
        <v>37</v>
      </c>
      <c r="F3118" s="1" t="s">
        <v>40</v>
      </c>
      <c r="G3118" s="1">
        <v>7</v>
      </c>
      <c r="H3118" s="1">
        <v>296</v>
      </c>
      <c r="I3118" s="1">
        <v>15</v>
      </c>
      <c r="J3118" s="4">
        <v>1761.2</v>
      </c>
      <c r="K3118" s="4">
        <v>949.02</v>
      </c>
      <c r="L3118" s="4">
        <v>812.18</v>
      </c>
      <c r="M3118" s="1" t="str">
        <f>TEXT(Table1[[#This Row],[Order_Date]], "MMM")</f>
        <v>Mar</v>
      </c>
      <c r="N3118" s="1">
        <f>YEAR(Table1[[#This Row],[Order_Date]])</f>
        <v>2024</v>
      </c>
      <c r="O3118" s="7">
        <f>Table1[[#This Row],[Profit]]/Table1[[#This Row],[Total_Sales]]</f>
        <v>0.46115148762207581</v>
      </c>
    </row>
    <row r="3119" spans="1:15" x14ac:dyDescent="0.25">
      <c r="A3119" s="1">
        <v>3118</v>
      </c>
      <c r="B3119" s="2">
        <v>45551</v>
      </c>
      <c r="C3119" s="1" t="s">
        <v>25</v>
      </c>
      <c r="D3119" s="1" t="s">
        <v>13</v>
      </c>
      <c r="E3119" s="1" t="s">
        <v>38</v>
      </c>
      <c r="F3119" s="1" t="s">
        <v>18</v>
      </c>
      <c r="G3119" s="1">
        <v>3</v>
      </c>
      <c r="H3119" s="1">
        <v>385</v>
      </c>
      <c r="I3119" s="1">
        <v>15</v>
      </c>
      <c r="J3119" s="4">
        <v>981.75</v>
      </c>
      <c r="K3119" s="4">
        <v>666.82</v>
      </c>
      <c r="L3119" s="4">
        <v>314.93</v>
      </c>
      <c r="M3119" s="1" t="str">
        <f>TEXT(Table1[[#This Row],[Order_Date]], "MMM")</f>
        <v>Sep</v>
      </c>
      <c r="N3119" s="1">
        <f>YEAR(Table1[[#This Row],[Order_Date]])</f>
        <v>2024</v>
      </c>
      <c r="O3119" s="7">
        <f>Table1[[#This Row],[Profit]]/Table1[[#This Row],[Total_Sales]]</f>
        <v>0.32078431372549021</v>
      </c>
    </row>
    <row r="3120" spans="1:15" x14ac:dyDescent="0.25">
      <c r="A3120" s="1">
        <v>3119</v>
      </c>
      <c r="B3120" s="2">
        <v>45627</v>
      </c>
      <c r="C3120" s="1" t="s">
        <v>12</v>
      </c>
      <c r="D3120" s="1" t="s">
        <v>22</v>
      </c>
      <c r="E3120" s="1" t="s">
        <v>36</v>
      </c>
      <c r="F3120" s="1" t="s">
        <v>18</v>
      </c>
      <c r="G3120" s="1">
        <v>7</v>
      </c>
      <c r="H3120" s="1">
        <v>982</v>
      </c>
      <c r="I3120" s="1">
        <v>0</v>
      </c>
      <c r="J3120" s="4">
        <v>6874</v>
      </c>
      <c r="K3120" s="4">
        <v>3667.36</v>
      </c>
      <c r="L3120" s="4">
        <v>3206.64</v>
      </c>
      <c r="M3120" s="1" t="str">
        <f>TEXT(Table1[[#This Row],[Order_Date]], "MMM")</f>
        <v>Dec</v>
      </c>
      <c r="N3120" s="1">
        <f>YEAR(Table1[[#This Row],[Order_Date]])</f>
        <v>2024</v>
      </c>
      <c r="O3120" s="7">
        <f>Table1[[#This Row],[Profit]]/Table1[[#This Row],[Total_Sales]]</f>
        <v>0.46648821646784983</v>
      </c>
    </row>
    <row r="3121" spans="1:15" x14ac:dyDescent="0.25">
      <c r="A3121" s="1">
        <v>3120</v>
      </c>
      <c r="B3121" s="2">
        <v>45218</v>
      </c>
      <c r="C3121" s="1" t="s">
        <v>16</v>
      </c>
      <c r="D3121" s="1" t="s">
        <v>13</v>
      </c>
      <c r="E3121" s="1" t="s">
        <v>14</v>
      </c>
      <c r="F3121" s="1" t="s">
        <v>15</v>
      </c>
      <c r="G3121" s="1">
        <v>1</v>
      </c>
      <c r="H3121" s="1">
        <v>384</v>
      </c>
      <c r="I3121" s="1">
        <v>15</v>
      </c>
      <c r="J3121" s="4">
        <v>326.39999999999998</v>
      </c>
      <c r="K3121" s="4">
        <v>256.08999999999997</v>
      </c>
      <c r="L3121" s="4">
        <v>70.31</v>
      </c>
      <c r="M3121" s="1" t="str">
        <f>TEXT(Table1[[#This Row],[Order_Date]], "MMM")</f>
        <v>Oct</v>
      </c>
      <c r="N3121" s="1">
        <f>YEAR(Table1[[#This Row],[Order_Date]])</f>
        <v>2023</v>
      </c>
      <c r="O3121" s="7">
        <f>Table1[[#This Row],[Profit]]/Table1[[#This Row],[Total_Sales]]</f>
        <v>0.21541053921568629</v>
      </c>
    </row>
    <row r="3122" spans="1:15" x14ac:dyDescent="0.25">
      <c r="A3122" s="1">
        <v>3121</v>
      </c>
      <c r="B3122" s="2">
        <v>45043</v>
      </c>
      <c r="C3122" s="1" t="s">
        <v>12</v>
      </c>
      <c r="D3122" s="1" t="s">
        <v>20</v>
      </c>
      <c r="E3122" s="1" t="s">
        <v>30</v>
      </c>
      <c r="F3122" s="1" t="s">
        <v>31</v>
      </c>
      <c r="G3122" s="1">
        <v>9</v>
      </c>
      <c r="H3122" s="1">
        <v>978</v>
      </c>
      <c r="I3122" s="1">
        <v>20</v>
      </c>
      <c r="J3122" s="4">
        <v>7041.6</v>
      </c>
      <c r="K3122" s="4">
        <v>5628.13</v>
      </c>
      <c r="L3122" s="4">
        <v>1413.47</v>
      </c>
      <c r="M3122" s="1" t="str">
        <f>TEXT(Table1[[#This Row],[Order_Date]], "MMM")</f>
        <v>Apr</v>
      </c>
      <c r="N3122" s="1">
        <f>YEAR(Table1[[#This Row],[Order_Date]])</f>
        <v>2023</v>
      </c>
      <c r="O3122" s="7">
        <f>Table1[[#This Row],[Profit]]/Table1[[#This Row],[Total_Sales]]</f>
        <v>0.20073136787093843</v>
      </c>
    </row>
    <row r="3123" spans="1:15" x14ac:dyDescent="0.25">
      <c r="A3123" s="1">
        <v>3122</v>
      </c>
      <c r="B3123" s="2">
        <v>45562</v>
      </c>
      <c r="C3123" s="1" t="s">
        <v>19</v>
      </c>
      <c r="D3123" s="1" t="s">
        <v>13</v>
      </c>
      <c r="E3123" s="1" t="s">
        <v>14</v>
      </c>
      <c r="F3123" s="1" t="s">
        <v>18</v>
      </c>
      <c r="G3123" s="1">
        <v>4</v>
      </c>
      <c r="H3123" s="1">
        <v>357</v>
      </c>
      <c r="I3123" s="1">
        <v>15</v>
      </c>
      <c r="J3123" s="4">
        <v>1213.8</v>
      </c>
      <c r="K3123" s="4">
        <v>816.65</v>
      </c>
      <c r="L3123" s="4">
        <v>397.15</v>
      </c>
      <c r="M3123" s="1" t="str">
        <f>TEXT(Table1[[#This Row],[Order_Date]], "MMM")</f>
        <v>Sep</v>
      </c>
      <c r="N3123" s="1">
        <f>YEAR(Table1[[#This Row],[Order_Date]])</f>
        <v>2024</v>
      </c>
      <c r="O3123" s="7">
        <f>Table1[[#This Row],[Profit]]/Table1[[#This Row],[Total_Sales]]</f>
        <v>0.32719558411599936</v>
      </c>
    </row>
    <row r="3124" spans="1:15" x14ac:dyDescent="0.25">
      <c r="A3124" s="1">
        <v>3123</v>
      </c>
      <c r="B3124" s="2">
        <v>45136</v>
      </c>
      <c r="C3124" s="1" t="s">
        <v>12</v>
      </c>
      <c r="D3124" s="1" t="s">
        <v>26</v>
      </c>
      <c r="E3124" s="1" t="s">
        <v>42</v>
      </c>
      <c r="F3124" s="1" t="s">
        <v>18</v>
      </c>
      <c r="G3124" s="1">
        <v>7</v>
      </c>
      <c r="H3124" s="1">
        <v>268</v>
      </c>
      <c r="I3124" s="1">
        <v>5</v>
      </c>
      <c r="J3124" s="4">
        <v>1782.2</v>
      </c>
      <c r="K3124" s="4">
        <v>1132.83</v>
      </c>
      <c r="L3124" s="4">
        <v>649.37</v>
      </c>
      <c r="M3124" s="1" t="str">
        <f>TEXT(Table1[[#This Row],[Order_Date]], "MMM")</f>
        <v>Jul</v>
      </c>
      <c r="N3124" s="1">
        <f>YEAR(Table1[[#This Row],[Order_Date]])</f>
        <v>2023</v>
      </c>
      <c r="O3124" s="7">
        <f>Table1[[#This Row],[Profit]]/Table1[[#This Row],[Total_Sales]]</f>
        <v>0.36436426888115814</v>
      </c>
    </row>
    <row r="3125" spans="1:15" x14ac:dyDescent="0.25">
      <c r="A3125" s="1">
        <v>3124</v>
      </c>
      <c r="B3125" s="2">
        <v>45169</v>
      </c>
      <c r="C3125" s="1" t="s">
        <v>12</v>
      </c>
      <c r="D3125" s="1" t="s">
        <v>13</v>
      </c>
      <c r="E3125" s="1" t="s">
        <v>38</v>
      </c>
      <c r="F3125" s="1" t="s">
        <v>40</v>
      </c>
      <c r="G3125" s="1">
        <v>4</v>
      </c>
      <c r="H3125" s="1">
        <v>311</v>
      </c>
      <c r="I3125" s="1">
        <v>15</v>
      </c>
      <c r="J3125" s="4">
        <v>1057.4000000000001</v>
      </c>
      <c r="K3125" s="4">
        <v>799.22</v>
      </c>
      <c r="L3125" s="4">
        <v>258.18</v>
      </c>
      <c r="M3125" s="1" t="str">
        <f>TEXT(Table1[[#This Row],[Order_Date]], "MMM")</f>
        <v>Aug</v>
      </c>
      <c r="N3125" s="1">
        <f>YEAR(Table1[[#This Row],[Order_Date]])</f>
        <v>2023</v>
      </c>
      <c r="O3125" s="7">
        <f>Table1[[#This Row],[Profit]]/Table1[[#This Row],[Total_Sales]]</f>
        <v>0.2441649328541706</v>
      </c>
    </row>
    <row r="3126" spans="1:15" x14ac:dyDescent="0.25">
      <c r="A3126" s="1">
        <v>3125</v>
      </c>
      <c r="B3126" s="2">
        <v>45091</v>
      </c>
      <c r="C3126" s="1" t="s">
        <v>12</v>
      </c>
      <c r="D3126" s="1" t="s">
        <v>26</v>
      </c>
      <c r="E3126" s="1" t="s">
        <v>42</v>
      </c>
      <c r="F3126" s="1" t="s">
        <v>24</v>
      </c>
      <c r="G3126" s="1">
        <v>10</v>
      </c>
      <c r="H3126" s="1">
        <v>254</v>
      </c>
      <c r="I3126" s="1">
        <v>15</v>
      </c>
      <c r="J3126" s="4">
        <v>2159</v>
      </c>
      <c r="K3126" s="4">
        <v>1148.67</v>
      </c>
      <c r="L3126" s="4">
        <v>1010.33</v>
      </c>
      <c r="M3126" s="1" t="str">
        <f>TEXT(Table1[[#This Row],[Order_Date]], "MMM")</f>
        <v>Jun</v>
      </c>
      <c r="N3126" s="1">
        <f>YEAR(Table1[[#This Row],[Order_Date]])</f>
        <v>2023</v>
      </c>
      <c r="O3126" s="7">
        <f>Table1[[#This Row],[Profit]]/Table1[[#This Row],[Total_Sales]]</f>
        <v>0.46796201945345067</v>
      </c>
    </row>
    <row r="3127" spans="1:15" x14ac:dyDescent="0.25">
      <c r="A3127" s="1">
        <v>3126</v>
      </c>
      <c r="B3127" s="2">
        <v>45625</v>
      </c>
      <c r="C3127" s="1" t="s">
        <v>25</v>
      </c>
      <c r="D3127" s="1" t="s">
        <v>22</v>
      </c>
      <c r="E3127" s="1" t="s">
        <v>29</v>
      </c>
      <c r="F3127" s="1" t="s">
        <v>31</v>
      </c>
      <c r="G3127" s="1">
        <v>9</v>
      </c>
      <c r="H3127" s="1">
        <v>18</v>
      </c>
      <c r="I3127" s="1">
        <v>10</v>
      </c>
      <c r="J3127" s="4">
        <v>145.80000000000001</v>
      </c>
      <c r="K3127" s="4">
        <v>106.77</v>
      </c>
      <c r="L3127" s="4">
        <v>39.03</v>
      </c>
      <c r="M3127" s="1" t="str">
        <f>TEXT(Table1[[#This Row],[Order_Date]], "MMM")</f>
        <v>Nov</v>
      </c>
      <c r="N3127" s="1">
        <f>YEAR(Table1[[#This Row],[Order_Date]])</f>
        <v>2024</v>
      </c>
      <c r="O3127" s="7">
        <f>Table1[[#This Row],[Profit]]/Table1[[#This Row],[Total_Sales]]</f>
        <v>0.26769547325102877</v>
      </c>
    </row>
    <row r="3128" spans="1:15" x14ac:dyDescent="0.25">
      <c r="A3128" s="1">
        <v>3127</v>
      </c>
      <c r="B3128" s="2">
        <v>44955</v>
      </c>
      <c r="C3128" s="1" t="s">
        <v>19</v>
      </c>
      <c r="D3128" s="1" t="s">
        <v>26</v>
      </c>
      <c r="E3128" s="1" t="s">
        <v>27</v>
      </c>
      <c r="F3128" s="1" t="s">
        <v>18</v>
      </c>
      <c r="G3128" s="1">
        <v>6</v>
      </c>
      <c r="H3128" s="1">
        <v>485</v>
      </c>
      <c r="I3128" s="1">
        <v>0</v>
      </c>
      <c r="J3128" s="4">
        <v>2910</v>
      </c>
      <c r="K3128" s="4">
        <v>1822.03</v>
      </c>
      <c r="L3128" s="4">
        <v>1087.97</v>
      </c>
      <c r="M3128" s="1" t="str">
        <f>TEXT(Table1[[#This Row],[Order_Date]], "MMM")</f>
        <v>Jan</v>
      </c>
      <c r="N3128" s="1">
        <f>YEAR(Table1[[#This Row],[Order_Date]])</f>
        <v>2023</v>
      </c>
      <c r="O3128" s="7">
        <f>Table1[[#This Row],[Profit]]/Table1[[#This Row],[Total_Sales]]</f>
        <v>0.373872852233677</v>
      </c>
    </row>
    <row r="3129" spans="1:15" x14ac:dyDescent="0.25">
      <c r="A3129" s="1">
        <v>3128</v>
      </c>
      <c r="B3129" s="2">
        <v>45202</v>
      </c>
      <c r="C3129" s="1" t="s">
        <v>19</v>
      </c>
      <c r="D3129" s="1" t="s">
        <v>26</v>
      </c>
      <c r="E3129" s="1" t="s">
        <v>37</v>
      </c>
      <c r="F3129" s="1" t="s">
        <v>31</v>
      </c>
      <c r="G3129" s="1">
        <v>8</v>
      </c>
      <c r="H3129" s="1">
        <v>593</v>
      </c>
      <c r="I3129" s="1">
        <v>10</v>
      </c>
      <c r="J3129" s="4">
        <v>4269.6000000000004</v>
      </c>
      <c r="K3129" s="4">
        <v>2837.54</v>
      </c>
      <c r="L3129" s="4">
        <v>1432.06</v>
      </c>
      <c r="M3129" s="1" t="str">
        <f>TEXT(Table1[[#This Row],[Order_Date]], "MMM")</f>
        <v>Oct</v>
      </c>
      <c r="N3129" s="1">
        <f>YEAR(Table1[[#This Row],[Order_Date]])</f>
        <v>2023</v>
      </c>
      <c r="O3129" s="7">
        <f>Table1[[#This Row],[Profit]]/Table1[[#This Row],[Total_Sales]]</f>
        <v>0.33540846917744049</v>
      </c>
    </row>
    <row r="3130" spans="1:15" x14ac:dyDescent="0.25">
      <c r="A3130" s="1">
        <v>3129</v>
      </c>
      <c r="B3130" s="2">
        <v>45595</v>
      </c>
      <c r="C3130" s="1" t="s">
        <v>16</v>
      </c>
      <c r="D3130" s="1" t="s">
        <v>32</v>
      </c>
      <c r="E3130" s="1" t="s">
        <v>34</v>
      </c>
      <c r="F3130" s="1" t="s">
        <v>35</v>
      </c>
      <c r="G3130" s="1">
        <v>5</v>
      </c>
      <c r="H3130" s="1">
        <v>515</v>
      </c>
      <c r="I3130" s="1">
        <v>15</v>
      </c>
      <c r="J3130" s="4">
        <v>2188.75</v>
      </c>
      <c r="K3130" s="4">
        <v>1202.8800000000001</v>
      </c>
      <c r="L3130" s="4">
        <v>985.87</v>
      </c>
      <c r="M3130" s="1" t="str">
        <f>TEXT(Table1[[#This Row],[Order_Date]], "MMM")</f>
        <v>Oct</v>
      </c>
      <c r="N3130" s="1">
        <f>YEAR(Table1[[#This Row],[Order_Date]])</f>
        <v>2024</v>
      </c>
      <c r="O3130" s="7">
        <f>Table1[[#This Row],[Profit]]/Table1[[#This Row],[Total_Sales]]</f>
        <v>0.4504260422615648</v>
      </c>
    </row>
    <row r="3131" spans="1:15" x14ac:dyDescent="0.25">
      <c r="A3131" s="1">
        <v>3130</v>
      </c>
      <c r="B3131" s="2">
        <v>45182</v>
      </c>
      <c r="C3131" s="1" t="s">
        <v>25</v>
      </c>
      <c r="D3131" s="1" t="s">
        <v>32</v>
      </c>
      <c r="E3131" s="1" t="s">
        <v>34</v>
      </c>
      <c r="F3131" s="1" t="s">
        <v>31</v>
      </c>
      <c r="G3131" s="1">
        <v>9</v>
      </c>
      <c r="H3131" s="1">
        <v>621</v>
      </c>
      <c r="I3131" s="1">
        <v>5</v>
      </c>
      <c r="J3131" s="4">
        <v>5309.55</v>
      </c>
      <c r="K3131" s="4">
        <v>3892.65</v>
      </c>
      <c r="L3131" s="4">
        <v>1416.9</v>
      </c>
      <c r="M3131" s="1" t="str">
        <f>TEXT(Table1[[#This Row],[Order_Date]], "MMM")</f>
        <v>Sep</v>
      </c>
      <c r="N3131" s="1">
        <f>YEAR(Table1[[#This Row],[Order_Date]])</f>
        <v>2023</v>
      </c>
      <c r="O3131" s="7">
        <f>Table1[[#This Row],[Profit]]/Table1[[#This Row],[Total_Sales]]</f>
        <v>0.26685877334237368</v>
      </c>
    </row>
    <row r="3132" spans="1:15" x14ac:dyDescent="0.25">
      <c r="A3132" s="1">
        <v>3131</v>
      </c>
      <c r="B3132" s="2">
        <v>45148</v>
      </c>
      <c r="C3132" s="1" t="s">
        <v>16</v>
      </c>
      <c r="D3132" s="1" t="s">
        <v>26</v>
      </c>
      <c r="E3132" s="1" t="s">
        <v>42</v>
      </c>
      <c r="F3132" s="1" t="s">
        <v>18</v>
      </c>
      <c r="G3132" s="1">
        <v>5</v>
      </c>
      <c r="H3132" s="1">
        <v>713</v>
      </c>
      <c r="I3132" s="1">
        <v>0</v>
      </c>
      <c r="J3132" s="4">
        <v>3565</v>
      </c>
      <c r="K3132" s="4">
        <v>1970.63</v>
      </c>
      <c r="L3132" s="4">
        <v>1594.37</v>
      </c>
      <c r="M3132" s="1" t="str">
        <f>TEXT(Table1[[#This Row],[Order_Date]], "MMM")</f>
        <v>Aug</v>
      </c>
      <c r="N3132" s="1">
        <f>YEAR(Table1[[#This Row],[Order_Date]])</f>
        <v>2023</v>
      </c>
      <c r="O3132" s="7">
        <f>Table1[[#This Row],[Profit]]/Table1[[#This Row],[Total_Sales]]</f>
        <v>0.44722861150070126</v>
      </c>
    </row>
    <row r="3133" spans="1:15" x14ac:dyDescent="0.25">
      <c r="A3133" s="1">
        <v>3132</v>
      </c>
      <c r="B3133" s="2">
        <v>45331</v>
      </c>
      <c r="C3133" s="1" t="s">
        <v>12</v>
      </c>
      <c r="D3133" s="1" t="s">
        <v>13</v>
      </c>
      <c r="E3133" s="1" t="s">
        <v>38</v>
      </c>
      <c r="F3133" s="1" t="s">
        <v>40</v>
      </c>
      <c r="G3133" s="1">
        <v>1</v>
      </c>
      <c r="H3133" s="1">
        <v>511</v>
      </c>
      <c r="I3133" s="1">
        <v>0</v>
      </c>
      <c r="J3133" s="4">
        <v>511</v>
      </c>
      <c r="K3133" s="4">
        <v>392.33</v>
      </c>
      <c r="L3133" s="4">
        <v>118.67</v>
      </c>
      <c r="M3133" s="1" t="str">
        <f>TEXT(Table1[[#This Row],[Order_Date]], "MMM")</f>
        <v>Feb</v>
      </c>
      <c r="N3133" s="1">
        <f>YEAR(Table1[[#This Row],[Order_Date]])</f>
        <v>2024</v>
      </c>
      <c r="O3133" s="7">
        <f>Table1[[#This Row],[Profit]]/Table1[[#This Row],[Total_Sales]]</f>
        <v>0.23223091976516635</v>
      </c>
    </row>
    <row r="3134" spans="1:15" x14ac:dyDescent="0.25">
      <c r="A3134" s="1">
        <v>3133</v>
      </c>
      <c r="B3134" s="2">
        <v>45498</v>
      </c>
      <c r="C3134" s="1" t="s">
        <v>12</v>
      </c>
      <c r="D3134" s="1" t="s">
        <v>22</v>
      </c>
      <c r="E3134" s="1" t="s">
        <v>23</v>
      </c>
      <c r="F3134" s="1" t="s">
        <v>40</v>
      </c>
      <c r="G3134" s="1">
        <v>6</v>
      </c>
      <c r="H3134" s="1">
        <v>357</v>
      </c>
      <c r="I3134" s="1">
        <v>15</v>
      </c>
      <c r="J3134" s="4">
        <v>1820.7</v>
      </c>
      <c r="K3134" s="4">
        <v>1238.1300000000001</v>
      </c>
      <c r="L3134" s="4">
        <v>582.57000000000005</v>
      </c>
      <c r="M3134" s="1" t="str">
        <f>TEXT(Table1[[#This Row],[Order_Date]], "MMM")</f>
        <v>Jul</v>
      </c>
      <c r="N3134" s="1">
        <f>YEAR(Table1[[#This Row],[Order_Date]])</f>
        <v>2024</v>
      </c>
      <c r="O3134" s="7">
        <f>Table1[[#This Row],[Profit]]/Table1[[#This Row],[Total_Sales]]</f>
        <v>0.31997034107760752</v>
      </c>
    </row>
    <row r="3135" spans="1:15" x14ac:dyDescent="0.25">
      <c r="A3135" s="1">
        <v>3134</v>
      </c>
      <c r="B3135" s="2">
        <v>45096</v>
      </c>
      <c r="C3135" s="1" t="s">
        <v>25</v>
      </c>
      <c r="D3135" s="1" t="s">
        <v>20</v>
      </c>
      <c r="E3135" s="1" t="s">
        <v>21</v>
      </c>
      <c r="F3135" s="1" t="s">
        <v>35</v>
      </c>
      <c r="G3135" s="1">
        <v>10</v>
      </c>
      <c r="H3135" s="1">
        <v>681</v>
      </c>
      <c r="I3135" s="1">
        <v>20</v>
      </c>
      <c r="J3135" s="4">
        <v>5448</v>
      </c>
      <c r="K3135" s="4">
        <v>3992.93</v>
      </c>
      <c r="L3135" s="4">
        <v>1455.07</v>
      </c>
      <c r="M3135" s="1" t="str">
        <f>TEXT(Table1[[#This Row],[Order_Date]], "MMM")</f>
        <v>Jun</v>
      </c>
      <c r="N3135" s="1">
        <f>YEAR(Table1[[#This Row],[Order_Date]])</f>
        <v>2023</v>
      </c>
      <c r="O3135" s="7">
        <f>Table1[[#This Row],[Profit]]/Table1[[#This Row],[Total_Sales]]</f>
        <v>0.26708333333333334</v>
      </c>
    </row>
    <row r="3136" spans="1:15" x14ac:dyDescent="0.25">
      <c r="A3136" s="1">
        <v>3135</v>
      </c>
      <c r="B3136" s="2">
        <v>45501</v>
      </c>
      <c r="C3136" s="1" t="s">
        <v>12</v>
      </c>
      <c r="D3136" s="1" t="s">
        <v>22</v>
      </c>
      <c r="E3136" s="1" t="s">
        <v>44</v>
      </c>
      <c r="F3136" s="1" t="s">
        <v>35</v>
      </c>
      <c r="G3136" s="1">
        <v>5</v>
      </c>
      <c r="H3136" s="1">
        <v>428</v>
      </c>
      <c r="I3136" s="1">
        <v>20</v>
      </c>
      <c r="J3136" s="4">
        <v>1712</v>
      </c>
      <c r="K3136" s="4">
        <v>1161.75</v>
      </c>
      <c r="L3136" s="4">
        <v>550.25</v>
      </c>
      <c r="M3136" s="1" t="str">
        <f>TEXT(Table1[[#This Row],[Order_Date]], "MMM")</f>
        <v>Jul</v>
      </c>
      <c r="N3136" s="1">
        <f>YEAR(Table1[[#This Row],[Order_Date]])</f>
        <v>2024</v>
      </c>
      <c r="O3136" s="7">
        <f>Table1[[#This Row],[Profit]]/Table1[[#This Row],[Total_Sales]]</f>
        <v>0.32140771028037385</v>
      </c>
    </row>
    <row r="3137" spans="1:15" x14ac:dyDescent="0.25">
      <c r="A3137" s="1">
        <v>3136</v>
      </c>
      <c r="B3137" s="2">
        <v>45126</v>
      </c>
      <c r="C3137" s="1" t="s">
        <v>16</v>
      </c>
      <c r="D3137" s="1" t="s">
        <v>13</v>
      </c>
      <c r="E3137" s="1" t="s">
        <v>14</v>
      </c>
      <c r="F3137" s="1" t="s">
        <v>35</v>
      </c>
      <c r="G3137" s="1">
        <v>1</v>
      </c>
      <c r="H3137" s="1">
        <v>883</v>
      </c>
      <c r="I3137" s="1">
        <v>20</v>
      </c>
      <c r="J3137" s="4">
        <v>706.4</v>
      </c>
      <c r="K3137" s="4">
        <v>479.56</v>
      </c>
      <c r="L3137" s="4">
        <v>226.84</v>
      </c>
      <c r="M3137" s="1" t="str">
        <f>TEXT(Table1[[#This Row],[Order_Date]], "MMM")</f>
        <v>Jul</v>
      </c>
      <c r="N3137" s="1">
        <f>YEAR(Table1[[#This Row],[Order_Date]])</f>
        <v>2023</v>
      </c>
      <c r="O3137" s="7">
        <f>Table1[[#This Row],[Profit]]/Table1[[#This Row],[Total_Sales]]</f>
        <v>0.32112117780294452</v>
      </c>
    </row>
    <row r="3138" spans="1:15" x14ac:dyDescent="0.25">
      <c r="A3138" s="1">
        <v>3137</v>
      </c>
      <c r="B3138" s="2">
        <v>45426</v>
      </c>
      <c r="C3138" s="1" t="s">
        <v>25</v>
      </c>
      <c r="D3138" s="1" t="s">
        <v>20</v>
      </c>
      <c r="E3138" s="1" t="s">
        <v>28</v>
      </c>
      <c r="F3138" s="1" t="s">
        <v>15</v>
      </c>
      <c r="G3138" s="1">
        <v>9</v>
      </c>
      <c r="H3138" s="1">
        <v>177</v>
      </c>
      <c r="I3138" s="1">
        <v>15</v>
      </c>
      <c r="J3138" s="4">
        <v>1354.05</v>
      </c>
      <c r="K3138" s="4">
        <v>966.57</v>
      </c>
      <c r="L3138" s="4">
        <v>387.48</v>
      </c>
      <c r="M3138" s="1" t="str">
        <f>TEXT(Table1[[#This Row],[Order_Date]], "MMM")</f>
        <v>May</v>
      </c>
      <c r="N3138" s="1">
        <f>YEAR(Table1[[#This Row],[Order_Date]])</f>
        <v>2024</v>
      </c>
      <c r="O3138" s="7">
        <f>Table1[[#This Row],[Profit]]/Table1[[#This Row],[Total_Sales]]</f>
        <v>0.28616373102913484</v>
      </c>
    </row>
    <row r="3139" spans="1:15" x14ac:dyDescent="0.25">
      <c r="A3139" s="1">
        <v>3138</v>
      </c>
      <c r="B3139" s="2">
        <v>45149</v>
      </c>
      <c r="C3139" s="1" t="s">
        <v>12</v>
      </c>
      <c r="D3139" s="1" t="s">
        <v>13</v>
      </c>
      <c r="E3139" s="1" t="s">
        <v>17</v>
      </c>
      <c r="F3139" s="1" t="s">
        <v>35</v>
      </c>
      <c r="G3139" s="1">
        <v>4</v>
      </c>
      <c r="H3139" s="1">
        <v>36</v>
      </c>
      <c r="I3139" s="1">
        <v>20</v>
      </c>
      <c r="J3139" s="4">
        <v>115.2</v>
      </c>
      <c r="K3139" s="4">
        <v>81.93</v>
      </c>
      <c r="L3139" s="4">
        <v>33.270000000000003</v>
      </c>
      <c r="M3139" s="1" t="str">
        <f>TEXT(Table1[[#This Row],[Order_Date]], "MMM")</f>
        <v>Aug</v>
      </c>
      <c r="N3139" s="1">
        <f>YEAR(Table1[[#This Row],[Order_Date]])</f>
        <v>2023</v>
      </c>
      <c r="O3139" s="7">
        <f>Table1[[#This Row],[Profit]]/Table1[[#This Row],[Total_Sales]]</f>
        <v>0.28880208333333335</v>
      </c>
    </row>
    <row r="3140" spans="1:15" x14ac:dyDescent="0.25">
      <c r="A3140" s="1">
        <v>3139</v>
      </c>
      <c r="B3140" s="2">
        <v>45047</v>
      </c>
      <c r="C3140" s="1" t="s">
        <v>19</v>
      </c>
      <c r="D3140" s="1" t="s">
        <v>13</v>
      </c>
      <c r="E3140" s="1" t="s">
        <v>14</v>
      </c>
      <c r="F3140" s="1" t="s">
        <v>18</v>
      </c>
      <c r="G3140" s="1">
        <v>6</v>
      </c>
      <c r="H3140" s="1">
        <v>378</v>
      </c>
      <c r="I3140" s="1">
        <v>5</v>
      </c>
      <c r="J3140" s="4">
        <v>2154.6</v>
      </c>
      <c r="K3140" s="4">
        <v>1585.33</v>
      </c>
      <c r="L3140" s="4">
        <v>569.27</v>
      </c>
      <c r="M3140" s="1" t="str">
        <f>TEXT(Table1[[#This Row],[Order_Date]], "MMM")</f>
        <v>May</v>
      </c>
      <c r="N3140" s="1">
        <f>YEAR(Table1[[#This Row],[Order_Date]])</f>
        <v>2023</v>
      </c>
      <c r="O3140" s="7">
        <f>Table1[[#This Row],[Profit]]/Table1[[#This Row],[Total_Sales]]</f>
        <v>0.26421145456233175</v>
      </c>
    </row>
    <row r="3141" spans="1:15" x14ac:dyDescent="0.25">
      <c r="A3141" s="1">
        <v>3140</v>
      </c>
      <c r="B3141" s="2">
        <v>45177</v>
      </c>
      <c r="C3141" s="1" t="s">
        <v>12</v>
      </c>
      <c r="D3141" s="1" t="s">
        <v>13</v>
      </c>
      <c r="E3141" s="1" t="s">
        <v>39</v>
      </c>
      <c r="F3141" s="1" t="s">
        <v>18</v>
      </c>
      <c r="G3141" s="1">
        <v>3</v>
      </c>
      <c r="H3141" s="1">
        <v>839</v>
      </c>
      <c r="I3141" s="1">
        <v>15</v>
      </c>
      <c r="J3141" s="4">
        <v>2139.4499999999998</v>
      </c>
      <c r="K3141" s="4">
        <v>1666.04</v>
      </c>
      <c r="L3141" s="4">
        <v>473.41</v>
      </c>
      <c r="M3141" s="1" t="str">
        <f>TEXT(Table1[[#This Row],[Order_Date]], "MMM")</f>
        <v>Sep</v>
      </c>
      <c r="N3141" s="1">
        <f>YEAR(Table1[[#This Row],[Order_Date]])</f>
        <v>2023</v>
      </c>
      <c r="O3141" s="7">
        <f>Table1[[#This Row],[Profit]]/Table1[[#This Row],[Total_Sales]]</f>
        <v>0.22127649629577698</v>
      </c>
    </row>
    <row r="3142" spans="1:15" x14ac:dyDescent="0.25">
      <c r="A3142" s="1">
        <v>3141</v>
      </c>
      <c r="B3142" s="2">
        <v>44985</v>
      </c>
      <c r="C3142" s="1" t="s">
        <v>12</v>
      </c>
      <c r="D3142" s="1" t="s">
        <v>26</v>
      </c>
      <c r="E3142" s="1" t="s">
        <v>27</v>
      </c>
      <c r="F3142" s="1" t="s">
        <v>40</v>
      </c>
      <c r="G3142" s="1">
        <v>3</v>
      </c>
      <c r="H3142" s="1">
        <v>110</v>
      </c>
      <c r="I3142" s="1">
        <v>0</v>
      </c>
      <c r="J3142" s="4">
        <v>330</v>
      </c>
      <c r="K3142" s="4">
        <v>262.62</v>
      </c>
      <c r="L3142" s="4">
        <v>67.38</v>
      </c>
      <c r="M3142" s="1" t="str">
        <f>TEXT(Table1[[#This Row],[Order_Date]], "MMM")</f>
        <v>Feb</v>
      </c>
      <c r="N3142" s="1">
        <f>YEAR(Table1[[#This Row],[Order_Date]])</f>
        <v>2023</v>
      </c>
      <c r="O3142" s="7">
        <f>Table1[[#This Row],[Profit]]/Table1[[#This Row],[Total_Sales]]</f>
        <v>0.20418181818181816</v>
      </c>
    </row>
    <row r="3143" spans="1:15" x14ac:dyDescent="0.25">
      <c r="A3143" s="1">
        <v>3142</v>
      </c>
      <c r="B3143" s="2">
        <v>44976</v>
      </c>
      <c r="C3143" s="1" t="s">
        <v>12</v>
      </c>
      <c r="D3143" s="1" t="s">
        <v>13</v>
      </c>
      <c r="E3143" s="1" t="s">
        <v>38</v>
      </c>
      <c r="F3143" s="1" t="s">
        <v>15</v>
      </c>
      <c r="G3143" s="1">
        <v>8</v>
      </c>
      <c r="H3143" s="1">
        <v>906</v>
      </c>
      <c r="I3143" s="1">
        <v>10</v>
      </c>
      <c r="J3143" s="4">
        <v>6523.2</v>
      </c>
      <c r="K3143" s="4">
        <v>3381.65</v>
      </c>
      <c r="L3143" s="4">
        <v>3141.55</v>
      </c>
      <c r="M3143" s="1" t="str">
        <f>TEXT(Table1[[#This Row],[Order_Date]], "MMM")</f>
        <v>Feb</v>
      </c>
      <c r="N3143" s="1">
        <f>YEAR(Table1[[#This Row],[Order_Date]])</f>
        <v>2023</v>
      </c>
      <c r="O3143" s="7">
        <f>Table1[[#This Row],[Profit]]/Table1[[#This Row],[Total_Sales]]</f>
        <v>0.48159645572725046</v>
      </c>
    </row>
    <row r="3144" spans="1:15" x14ac:dyDescent="0.25">
      <c r="A3144" s="1">
        <v>3143</v>
      </c>
      <c r="B3144" s="2">
        <v>44927</v>
      </c>
      <c r="C3144" s="1" t="s">
        <v>25</v>
      </c>
      <c r="D3144" s="1" t="s">
        <v>20</v>
      </c>
      <c r="E3144" s="1" t="s">
        <v>21</v>
      </c>
      <c r="F3144" s="1" t="s">
        <v>18</v>
      </c>
      <c r="G3144" s="1">
        <v>9</v>
      </c>
      <c r="H3144" s="1">
        <v>492</v>
      </c>
      <c r="I3144" s="1">
        <v>15</v>
      </c>
      <c r="J3144" s="4">
        <v>3763.8</v>
      </c>
      <c r="K3144" s="4">
        <v>2453.4499999999998</v>
      </c>
      <c r="L3144" s="4">
        <v>1310.3499999999999</v>
      </c>
      <c r="M3144" s="1" t="str">
        <f>TEXT(Table1[[#This Row],[Order_Date]], "MMM")</f>
        <v>Jan</v>
      </c>
      <c r="N3144" s="1">
        <f>YEAR(Table1[[#This Row],[Order_Date]])</f>
        <v>2023</v>
      </c>
      <c r="O3144" s="7">
        <f>Table1[[#This Row],[Profit]]/Table1[[#This Row],[Total_Sales]]</f>
        <v>0.34814549125883409</v>
      </c>
    </row>
    <row r="3145" spans="1:15" x14ac:dyDescent="0.25">
      <c r="A3145" s="1">
        <v>3144</v>
      </c>
      <c r="B3145" s="2">
        <v>45022</v>
      </c>
      <c r="C3145" s="1" t="s">
        <v>19</v>
      </c>
      <c r="D3145" s="1" t="s">
        <v>32</v>
      </c>
      <c r="E3145" s="1" t="s">
        <v>33</v>
      </c>
      <c r="F3145" s="1" t="s">
        <v>15</v>
      </c>
      <c r="G3145" s="1">
        <v>10</v>
      </c>
      <c r="H3145" s="1">
        <v>388</v>
      </c>
      <c r="I3145" s="1">
        <v>5</v>
      </c>
      <c r="J3145" s="4">
        <v>3686</v>
      </c>
      <c r="K3145" s="4">
        <v>2254.91</v>
      </c>
      <c r="L3145" s="4">
        <v>1431.09</v>
      </c>
      <c r="M3145" s="1" t="str">
        <f>TEXT(Table1[[#This Row],[Order_Date]], "MMM")</f>
        <v>Apr</v>
      </c>
      <c r="N3145" s="1">
        <f>YEAR(Table1[[#This Row],[Order_Date]])</f>
        <v>2023</v>
      </c>
      <c r="O3145" s="7">
        <f>Table1[[#This Row],[Profit]]/Table1[[#This Row],[Total_Sales]]</f>
        <v>0.38825013564839933</v>
      </c>
    </row>
    <row r="3146" spans="1:15" x14ac:dyDescent="0.25">
      <c r="A3146" s="1">
        <v>3145</v>
      </c>
      <c r="B3146" s="2">
        <v>45460</v>
      </c>
      <c r="C3146" s="1" t="s">
        <v>25</v>
      </c>
      <c r="D3146" s="1" t="s">
        <v>13</v>
      </c>
      <c r="E3146" s="1" t="s">
        <v>38</v>
      </c>
      <c r="F3146" s="1" t="s">
        <v>40</v>
      </c>
      <c r="G3146" s="1">
        <v>1</v>
      </c>
      <c r="H3146" s="1">
        <v>770</v>
      </c>
      <c r="I3146" s="1">
        <v>5</v>
      </c>
      <c r="J3146" s="4">
        <v>731.5</v>
      </c>
      <c r="K3146" s="4">
        <v>541.5</v>
      </c>
      <c r="L3146" s="4">
        <v>190</v>
      </c>
      <c r="M3146" s="1" t="str">
        <f>TEXT(Table1[[#This Row],[Order_Date]], "MMM")</f>
        <v>Jun</v>
      </c>
      <c r="N3146" s="1">
        <f>YEAR(Table1[[#This Row],[Order_Date]])</f>
        <v>2024</v>
      </c>
      <c r="O3146" s="7">
        <f>Table1[[#This Row],[Profit]]/Table1[[#This Row],[Total_Sales]]</f>
        <v>0.25974025974025972</v>
      </c>
    </row>
    <row r="3147" spans="1:15" x14ac:dyDescent="0.25">
      <c r="A3147" s="1">
        <v>3146</v>
      </c>
      <c r="B3147" s="2">
        <v>45413</v>
      </c>
      <c r="C3147" s="1" t="s">
        <v>12</v>
      </c>
      <c r="D3147" s="1" t="s">
        <v>22</v>
      </c>
      <c r="E3147" s="1" t="s">
        <v>36</v>
      </c>
      <c r="F3147" s="1" t="s">
        <v>40</v>
      </c>
      <c r="G3147" s="1">
        <v>5</v>
      </c>
      <c r="H3147" s="1">
        <v>339</v>
      </c>
      <c r="I3147" s="1">
        <v>15</v>
      </c>
      <c r="J3147" s="4">
        <v>1440.75</v>
      </c>
      <c r="K3147" s="4">
        <v>803.77</v>
      </c>
      <c r="L3147" s="4">
        <v>636.98</v>
      </c>
      <c r="M3147" s="1" t="str">
        <f>TEXT(Table1[[#This Row],[Order_Date]], "MMM")</f>
        <v>May</v>
      </c>
      <c r="N3147" s="1">
        <f>YEAR(Table1[[#This Row],[Order_Date]])</f>
        <v>2024</v>
      </c>
      <c r="O3147" s="7">
        <f>Table1[[#This Row],[Profit]]/Table1[[#This Row],[Total_Sales]]</f>
        <v>0.44211695297588061</v>
      </c>
    </row>
    <row r="3148" spans="1:15" x14ac:dyDescent="0.25">
      <c r="A3148" s="1">
        <v>3147</v>
      </c>
      <c r="B3148" s="2">
        <v>45200</v>
      </c>
      <c r="C3148" s="1" t="s">
        <v>12</v>
      </c>
      <c r="D3148" s="1" t="s">
        <v>32</v>
      </c>
      <c r="E3148" s="1" t="s">
        <v>34</v>
      </c>
      <c r="F3148" s="1" t="s">
        <v>35</v>
      </c>
      <c r="G3148" s="1">
        <v>2</v>
      </c>
      <c r="H3148" s="1">
        <v>516</v>
      </c>
      <c r="I3148" s="1">
        <v>5</v>
      </c>
      <c r="J3148" s="4">
        <v>980.4</v>
      </c>
      <c r="K3148" s="4">
        <v>636.66</v>
      </c>
      <c r="L3148" s="4">
        <v>343.74</v>
      </c>
      <c r="M3148" s="1" t="str">
        <f>TEXT(Table1[[#This Row],[Order_Date]], "MMM")</f>
        <v>Oct</v>
      </c>
      <c r="N3148" s="1">
        <f>YEAR(Table1[[#This Row],[Order_Date]])</f>
        <v>2023</v>
      </c>
      <c r="O3148" s="7">
        <f>Table1[[#This Row],[Profit]]/Table1[[#This Row],[Total_Sales]]</f>
        <v>0.35061199510403918</v>
      </c>
    </row>
    <row r="3149" spans="1:15" x14ac:dyDescent="0.25">
      <c r="A3149" s="1">
        <v>3148</v>
      </c>
      <c r="B3149" s="2">
        <v>44967</v>
      </c>
      <c r="C3149" s="1" t="s">
        <v>16</v>
      </c>
      <c r="D3149" s="1" t="s">
        <v>32</v>
      </c>
      <c r="E3149" s="1" t="s">
        <v>33</v>
      </c>
      <c r="F3149" s="1" t="s">
        <v>40</v>
      </c>
      <c r="G3149" s="1">
        <v>2</v>
      </c>
      <c r="H3149" s="1">
        <v>373</v>
      </c>
      <c r="I3149" s="1">
        <v>10</v>
      </c>
      <c r="J3149" s="4">
        <v>671.4</v>
      </c>
      <c r="K3149" s="4">
        <v>470.01</v>
      </c>
      <c r="L3149" s="4">
        <v>201.39</v>
      </c>
      <c r="M3149" s="1" t="str">
        <f>TEXT(Table1[[#This Row],[Order_Date]], "MMM")</f>
        <v>Feb</v>
      </c>
      <c r="N3149" s="1">
        <f>YEAR(Table1[[#This Row],[Order_Date]])</f>
        <v>2023</v>
      </c>
      <c r="O3149" s="7">
        <f>Table1[[#This Row],[Profit]]/Table1[[#This Row],[Total_Sales]]</f>
        <v>0.29995531724754243</v>
      </c>
    </row>
    <row r="3150" spans="1:15" x14ac:dyDescent="0.25">
      <c r="A3150" s="1">
        <v>3149</v>
      </c>
      <c r="B3150" s="2">
        <v>45560</v>
      </c>
      <c r="C3150" s="1" t="s">
        <v>19</v>
      </c>
      <c r="D3150" s="1" t="s">
        <v>13</v>
      </c>
      <c r="E3150" s="1" t="s">
        <v>17</v>
      </c>
      <c r="F3150" s="1" t="s">
        <v>15</v>
      </c>
      <c r="G3150" s="1">
        <v>3</v>
      </c>
      <c r="H3150" s="1">
        <v>298</v>
      </c>
      <c r="I3150" s="1">
        <v>20</v>
      </c>
      <c r="J3150" s="4">
        <v>715.2</v>
      </c>
      <c r="K3150" s="4">
        <v>445.03</v>
      </c>
      <c r="L3150" s="4">
        <v>270.17</v>
      </c>
      <c r="M3150" s="1" t="str">
        <f>TEXT(Table1[[#This Row],[Order_Date]], "MMM")</f>
        <v>Sep</v>
      </c>
      <c r="N3150" s="1">
        <f>YEAR(Table1[[#This Row],[Order_Date]])</f>
        <v>2024</v>
      </c>
      <c r="O3150" s="7">
        <f>Table1[[#This Row],[Profit]]/Table1[[#This Row],[Total_Sales]]</f>
        <v>0.37775447427293063</v>
      </c>
    </row>
    <row r="3151" spans="1:15" x14ac:dyDescent="0.25">
      <c r="A3151" s="1">
        <v>3150</v>
      </c>
      <c r="B3151" s="2">
        <v>45173</v>
      </c>
      <c r="C3151" s="1" t="s">
        <v>25</v>
      </c>
      <c r="D3151" s="1" t="s">
        <v>13</v>
      </c>
      <c r="E3151" s="1" t="s">
        <v>38</v>
      </c>
      <c r="F3151" s="1" t="s">
        <v>24</v>
      </c>
      <c r="G3151" s="1">
        <v>3</v>
      </c>
      <c r="H3151" s="1">
        <v>509</v>
      </c>
      <c r="I3151" s="1">
        <v>15</v>
      </c>
      <c r="J3151" s="4">
        <v>1297.95</v>
      </c>
      <c r="K3151" s="4">
        <v>820.03</v>
      </c>
      <c r="L3151" s="4">
        <v>477.92</v>
      </c>
      <c r="M3151" s="1" t="str">
        <f>TEXT(Table1[[#This Row],[Order_Date]], "MMM")</f>
        <v>Sep</v>
      </c>
      <c r="N3151" s="1">
        <f>YEAR(Table1[[#This Row],[Order_Date]])</f>
        <v>2023</v>
      </c>
      <c r="O3151" s="7">
        <f>Table1[[#This Row],[Profit]]/Table1[[#This Row],[Total_Sales]]</f>
        <v>0.36821141030085902</v>
      </c>
    </row>
    <row r="3152" spans="1:15" x14ac:dyDescent="0.25">
      <c r="A3152" s="1">
        <v>3151</v>
      </c>
      <c r="B3152" s="2">
        <v>45325</v>
      </c>
      <c r="C3152" s="1" t="s">
        <v>25</v>
      </c>
      <c r="D3152" s="1" t="s">
        <v>22</v>
      </c>
      <c r="E3152" s="1" t="s">
        <v>44</v>
      </c>
      <c r="F3152" s="1" t="s">
        <v>24</v>
      </c>
      <c r="G3152" s="1">
        <v>3</v>
      </c>
      <c r="H3152" s="1">
        <v>322</v>
      </c>
      <c r="I3152" s="1">
        <v>0</v>
      </c>
      <c r="J3152" s="4">
        <v>966</v>
      </c>
      <c r="K3152" s="4">
        <v>709.63</v>
      </c>
      <c r="L3152" s="4">
        <v>256.37</v>
      </c>
      <c r="M3152" s="1" t="str">
        <f>TEXT(Table1[[#This Row],[Order_Date]], "MMM")</f>
        <v>Feb</v>
      </c>
      <c r="N3152" s="1">
        <f>YEAR(Table1[[#This Row],[Order_Date]])</f>
        <v>2024</v>
      </c>
      <c r="O3152" s="7">
        <f>Table1[[#This Row],[Profit]]/Table1[[#This Row],[Total_Sales]]</f>
        <v>0.26539337474120084</v>
      </c>
    </row>
    <row r="3153" spans="1:15" x14ac:dyDescent="0.25">
      <c r="A3153" s="1">
        <v>3152</v>
      </c>
      <c r="B3153" s="2">
        <v>45606</v>
      </c>
      <c r="C3153" s="1" t="s">
        <v>19</v>
      </c>
      <c r="D3153" s="1" t="s">
        <v>22</v>
      </c>
      <c r="E3153" s="1" t="s">
        <v>29</v>
      </c>
      <c r="F3153" s="1" t="s">
        <v>40</v>
      </c>
      <c r="G3153" s="1">
        <v>5</v>
      </c>
      <c r="H3153" s="1">
        <v>747</v>
      </c>
      <c r="I3153" s="1">
        <v>20</v>
      </c>
      <c r="J3153" s="4">
        <v>2988</v>
      </c>
      <c r="K3153" s="4">
        <v>1589.94</v>
      </c>
      <c r="L3153" s="4">
        <v>1398.06</v>
      </c>
      <c r="M3153" s="1" t="str">
        <f>TEXT(Table1[[#This Row],[Order_Date]], "MMM")</f>
        <v>Nov</v>
      </c>
      <c r="N3153" s="1">
        <f>YEAR(Table1[[#This Row],[Order_Date]])</f>
        <v>2024</v>
      </c>
      <c r="O3153" s="7">
        <f>Table1[[#This Row],[Profit]]/Table1[[#This Row],[Total_Sales]]</f>
        <v>0.46789156626506023</v>
      </c>
    </row>
    <row r="3154" spans="1:15" x14ac:dyDescent="0.25">
      <c r="A3154" s="1">
        <v>3153</v>
      </c>
      <c r="B3154" s="2">
        <v>45446</v>
      </c>
      <c r="C3154" s="1" t="s">
        <v>16</v>
      </c>
      <c r="D3154" s="1" t="s">
        <v>13</v>
      </c>
      <c r="E3154" s="1" t="s">
        <v>14</v>
      </c>
      <c r="F3154" s="1" t="s">
        <v>40</v>
      </c>
      <c r="G3154" s="1">
        <v>9</v>
      </c>
      <c r="H3154" s="1">
        <v>861</v>
      </c>
      <c r="I3154" s="1">
        <v>15</v>
      </c>
      <c r="J3154" s="4">
        <v>6586.65</v>
      </c>
      <c r="K3154" s="4">
        <v>5204.8500000000004</v>
      </c>
      <c r="L3154" s="4">
        <v>1381.8</v>
      </c>
      <c r="M3154" s="1" t="str">
        <f>TEXT(Table1[[#This Row],[Order_Date]], "MMM")</f>
        <v>Jun</v>
      </c>
      <c r="N3154" s="1">
        <f>YEAR(Table1[[#This Row],[Order_Date]])</f>
        <v>2024</v>
      </c>
      <c r="O3154" s="7">
        <f>Table1[[#This Row],[Profit]]/Table1[[#This Row],[Total_Sales]]</f>
        <v>0.2097879802327435</v>
      </c>
    </row>
    <row r="3155" spans="1:15" x14ac:dyDescent="0.25">
      <c r="A3155" s="1">
        <v>3154</v>
      </c>
      <c r="B3155" s="2">
        <v>45515</v>
      </c>
      <c r="C3155" s="1" t="s">
        <v>16</v>
      </c>
      <c r="D3155" s="1" t="s">
        <v>22</v>
      </c>
      <c r="E3155" s="1" t="s">
        <v>29</v>
      </c>
      <c r="F3155" s="1" t="s">
        <v>18</v>
      </c>
      <c r="G3155" s="1">
        <v>8</v>
      </c>
      <c r="H3155" s="1">
        <v>115</v>
      </c>
      <c r="I3155" s="1">
        <v>5</v>
      </c>
      <c r="J3155" s="4">
        <v>874</v>
      </c>
      <c r="K3155" s="4">
        <v>565.83000000000004</v>
      </c>
      <c r="L3155" s="4">
        <v>308.17</v>
      </c>
      <c r="M3155" s="1" t="str">
        <f>TEXT(Table1[[#This Row],[Order_Date]], "MMM")</f>
        <v>Aug</v>
      </c>
      <c r="N3155" s="1">
        <f>YEAR(Table1[[#This Row],[Order_Date]])</f>
        <v>2024</v>
      </c>
      <c r="O3155" s="7">
        <f>Table1[[#This Row],[Profit]]/Table1[[#This Row],[Total_Sales]]</f>
        <v>0.3525972540045767</v>
      </c>
    </row>
    <row r="3156" spans="1:15" x14ac:dyDescent="0.25">
      <c r="A3156" s="1">
        <v>3155</v>
      </c>
      <c r="B3156" s="2">
        <v>45591</v>
      </c>
      <c r="C3156" s="1" t="s">
        <v>16</v>
      </c>
      <c r="D3156" s="1" t="s">
        <v>20</v>
      </c>
      <c r="E3156" s="1" t="s">
        <v>21</v>
      </c>
      <c r="F3156" s="1" t="s">
        <v>18</v>
      </c>
      <c r="G3156" s="1">
        <v>4</v>
      </c>
      <c r="H3156" s="1">
        <v>84</v>
      </c>
      <c r="I3156" s="1">
        <v>20</v>
      </c>
      <c r="J3156" s="4">
        <v>268.8</v>
      </c>
      <c r="K3156" s="4">
        <v>213.88</v>
      </c>
      <c r="L3156" s="4">
        <v>54.92</v>
      </c>
      <c r="M3156" s="1" t="str">
        <f>TEXT(Table1[[#This Row],[Order_Date]], "MMM")</f>
        <v>Oct</v>
      </c>
      <c r="N3156" s="1">
        <f>YEAR(Table1[[#This Row],[Order_Date]])</f>
        <v>2024</v>
      </c>
      <c r="O3156" s="7">
        <f>Table1[[#This Row],[Profit]]/Table1[[#This Row],[Total_Sales]]</f>
        <v>0.20431547619047619</v>
      </c>
    </row>
    <row r="3157" spans="1:15" x14ac:dyDescent="0.25">
      <c r="A3157" s="1">
        <v>3156</v>
      </c>
      <c r="B3157" s="2">
        <v>45481</v>
      </c>
      <c r="C3157" s="1" t="s">
        <v>25</v>
      </c>
      <c r="D3157" s="1" t="s">
        <v>26</v>
      </c>
      <c r="E3157" s="1" t="s">
        <v>37</v>
      </c>
      <c r="F3157" s="1" t="s">
        <v>31</v>
      </c>
      <c r="G3157" s="1">
        <v>5</v>
      </c>
      <c r="H3157" s="1">
        <v>509</v>
      </c>
      <c r="I3157" s="1">
        <v>20</v>
      </c>
      <c r="J3157" s="4">
        <v>2036</v>
      </c>
      <c r="K3157" s="4">
        <v>1395.1</v>
      </c>
      <c r="L3157" s="4">
        <v>640.9</v>
      </c>
      <c r="M3157" s="1" t="str">
        <f>TEXT(Table1[[#This Row],[Order_Date]], "MMM")</f>
        <v>Jul</v>
      </c>
      <c r="N3157" s="1">
        <f>YEAR(Table1[[#This Row],[Order_Date]])</f>
        <v>2024</v>
      </c>
      <c r="O3157" s="7">
        <f>Table1[[#This Row],[Profit]]/Table1[[#This Row],[Total_Sales]]</f>
        <v>0.31478388998035362</v>
      </c>
    </row>
    <row r="3158" spans="1:15" x14ac:dyDescent="0.25">
      <c r="A3158" s="1">
        <v>3157</v>
      </c>
      <c r="B3158" s="2">
        <v>45367</v>
      </c>
      <c r="C3158" s="1" t="s">
        <v>19</v>
      </c>
      <c r="D3158" s="1" t="s">
        <v>20</v>
      </c>
      <c r="E3158" s="1" t="s">
        <v>28</v>
      </c>
      <c r="F3158" s="1" t="s">
        <v>35</v>
      </c>
      <c r="G3158" s="1">
        <v>6</v>
      </c>
      <c r="H3158" s="1">
        <v>342</v>
      </c>
      <c r="I3158" s="1">
        <v>0</v>
      </c>
      <c r="J3158" s="4">
        <v>2052</v>
      </c>
      <c r="K3158" s="4">
        <v>1217.8</v>
      </c>
      <c r="L3158" s="4">
        <v>834.2</v>
      </c>
      <c r="M3158" s="1" t="str">
        <f>TEXT(Table1[[#This Row],[Order_Date]], "MMM")</f>
        <v>Mar</v>
      </c>
      <c r="N3158" s="1">
        <f>YEAR(Table1[[#This Row],[Order_Date]])</f>
        <v>2024</v>
      </c>
      <c r="O3158" s="7">
        <f>Table1[[#This Row],[Profit]]/Table1[[#This Row],[Total_Sales]]</f>
        <v>0.4065302144249513</v>
      </c>
    </row>
    <row r="3159" spans="1:15" x14ac:dyDescent="0.25">
      <c r="A3159" s="1">
        <v>3158</v>
      </c>
      <c r="B3159" s="2">
        <v>45324</v>
      </c>
      <c r="C3159" s="1" t="s">
        <v>12</v>
      </c>
      <c r="D3159" s="1" t="s">
        <v>26</v>
      </c>
      <c r="E3159" s="1" t="s">
        <v>27</v>
      </c>
      <c r="F3159" s="1" t="s">
        <v>31</v>
      </c>
      <c r="G3159" s="1">
        <v>10</v>
      </c>
      <c r="H3159" s="1">
        <v>624</v>
      </c>
      <c r="I3159" s="1">
        <v>20</v>
      </c>
      <c r="J3159" s="4">
        <v>4992</v>
      </c>
      <c r="K3159" s="4">
        <v>3984.82</v>
      </c>
      <c r="L3159" s="4">
        <v>1007.18</v>
      </c>
      <c r="M3159" s="1" t="str">
        <f>TEXT(Table1[[#This Row],[Order_Date]], "MMM")</f>
        <v>Feb</v>
      </c>
      <c r="N3159" s="1">
        <f>YEAR(Table1[[#This Row],[Order_Date]])</f>
        <v>2024</v>
      </c>
      <c r="O3159" s="7">
        <f>Table1[[#This Row],[Profit]]/Table1[[#This Row],[Total_Sales]]</f>
        <v>0.2017588141025641</v>
      </c>
    </row>
    <row r="3160" spans="1:15" x14ac:dyDescent="0.25">
      <c r="A3160" s="1">
        <v>3159</v>
      </c>
      <c r="B3160" s="2">
        <v>45003</v>
      </c>
      <c r="C3160" s="1" t="s">
        <v>16</v>
      </c>
      <c r="D3160" s="1" t="s">
        <v>13</v>
      </c>
      <c r="E3160" s="1" t="s">
        <v>14</v>
      </c>
      <c r="F3160" s="1" t="s">
        <v>24</v>
      </c>
      <c r="G3160" s="1">
        <v>6</v>
      </c>
      <c r="H3160" s="1">
        <v>713</v>
      </c>
      <c r="I3160" s="1">
        <v>0</v>
      </c>
      <c r="J3160" s="4">
        <v>4278</v>
      </c>
      <c r="K3160" s="4">
        <v>2925</v>
      </c>
      <c r="L3160" s="4">
        <v>1353</v>
      </c>
      <c r="M3160" s="1" t="str">
        <f>TEXT(Table1[[#This Row],[Order_Date]], "MMM")</f>
        <v>Mar</v>
      </c>
      <c r="N3160" s="1">
        <f>YEAR(Table1[[#This Row],[Order_Date]])</f>
        <v>2023</v>
      </c>
      <c r="O3160" s="7">
        <f>Table1[[#This Row],[Profit]]/Table1[[#This Row],[Total_Sales]]</f>
        <v>0.31626928471248245</v>
      </c>
    </row>
    <row r="3161" spans="1:15" x14ac:dyDescent="0.25">
      <c r="A3161" s="1">
        <v>3160</v>
      </c>
      <c r="B3161" s="2">
        <v>45163</v>
      </c>
      <c r="C3161" s="1" t="s">
        <v>16</v>
      </c>
      <c r="D3161" s="1" t="s">
        <v>20</v>
      </c>
      <c r="E3161" s="1" t="s">
        <v>21</v>
      </c>
      <c r="F3161" s="1" t="s">
        <v>24</v>
      </c>
      <c r="G3161" s="1">
        <v>9</v>
      </c>
      <c r="H3161" s="1">
        <v>184</v>
      </c>
      <c r="I3161" s="1">
        <v>0</v>
      </c>
      <c r="J3161" s="4">
        <v>1656</v>
      </c>
      <c r="K3161" s="4">
        <v>888.28</v>
      </c>
      <c r="L3161" s="4">
        <v>767.72</v>
      </c>
      <c r="M3161" s="1" t="str">
        <f>TEXT(Table1[[#This Row],[Order_Date]], "MMM")</f>
        <v>Aug</v>
      </c>
      <c r="N3161" s="1">
        <f>YEAR(Table1[[#This Row],[Order_Date]])</f>
        <v>2023</v>
      </c>
      <c r="O3161" s="7">
        <f>Table1[[#This Row],[Profit]]/Table1[[#This Row],[Total_Sales]]</f>
        <v>0.46359903381642514</v>
      </c>
    </row>
    <row r="3162" spans="1:15" x14ac:dyDescent="0.25">
      <c r="A3162" s="1">
        <v>3161</v>
      </c>
      <c r="B3162" s="2">
        <v>45237</v>
      </c>
      <c r="C3162" s="1" t="s">
        <v>16</v>
      </c>
      <c r="D3162" s="1" t="s">
        <v>13</v>
      </c>
      <c r="E3162" s="1" t="s">
        <v>39</v>
      </c>
      <c r="F3162" s="1" t="s">
        <v>15</v>
      </c>
      <c r="G3162" s="1">
        <v>9</v>
      </c>
      <c r="H3162" s="1">
        <v>863</v>
      </c>
      <c r="I3162" s="1">
        <v>20</v>
      </c>
      <c r="J3162" s="4">
        <v>6213.6</v>
      </c>
      <c r="K3162" s="4">
        <v>4052.19</v>
      </c>
      <c r="L3162" s="4">
        <v>2161.41</v>
      </c>
      <c r="M3162" s="1" t="str">
        <f>TEXT(Table1[[#This Row],[Order_Date]], "MMM")</f>
        <v>Nov</v>
      </c>
      <c r="N3162" s="1">
        <f>YEAR(Table1[[#This Row],[Order_Date]])</f>
        <v>2023</v>
      </c>
      <c r="O3162" s="7">
        <f>Table1[[#This Row],[Profit]]/Table1[[#This Row],[Total_Sales]]</f>
        <v>0.34785148706064112</v>
      </c>
    </row>
    <row r="3163" spans="1:15" x14ac:dyDescent="0.25">
      <c r="A3163" s="1">
        <v>3162</v>
      </c>
      <c r="B3163" s="2">
        <v>44938</v>
      </c>
      <c r="C3163" s="1" t="s">
        <v>19</v>
      </c>
      <c r="D3163" s="1" t="s">
        <v>32</v>
      </c>
      <c r="E3163" s="1" t="s">
        <v>33</v>
      </c>
      <c r="F3163" s="1" t="s">
        <v>35</v>
      </c>
      <c r="G3163" s="1">
        <v>5</v>
      </c>
      <c r="H3163" s="1">
        <v>647</v>
      </c>
      <c r="I3163" s="1">
        <v>20</v>
      </c>
      <c r="J3163" s="4">
        <v>2588</v>
      </c>
      <c r="K3163" s="4">
        <v>1833.93</v>
      </c>
      <c r="L3163" s="4">
        <v>754.07</v>
      </c>
      <c r="M3163" s="1" t="str">
        <f>TEXT(Table1[[#This Row],[Order_Date]], "MMM")</f>
        <v>Jan</v>
      </c>
      <c r="N3163" s="1">
        <f>YEAR(Table1[[#This Row],[Order_Date]])</f>
        <v>2023</v>
      </c>
      <c r="O3163" s="7">
        <f>Table1[[#This Row],[Profit]]/Table1[[#This Row],[Total_Sales]]</f>
        <v>0.29137171561051006</v>
      </c>
    </row>
    <row r="3164" spans="1:15" x14ac:dyDescent="0.25">
      <c r="A3164" s="1">
        <v>3163</v>
      </c>
      <c r="B3164" s="2">
        <v>45174</v>
      </c>
      <c r="C3164" s="1" t="s">
        <v>19</v>
      </c>
      <c r="D3164" s="1" t="s">
        <v>20</v>
      </c>
      <c r="E3164" s="1" t="s">
        <v>43</v>
      </c>
      <c r="F3164" s="1" t="s">
        <v>40</v>
      </c>
      <c r="G3164" s="1">
        <v>4</v>
      </c>
      <c r="H3164" s="1">
        <v>745</v>
      </c>
      <c r="I3164" s="1">
        <v>10</v>
      </c>
      <c r="J3164" s="4">
        <v>2682</v>
      </c>
      <c r="K3164" s="4">
        <v>1945.16</v>
      </c>
      <c r="L3164" s="4">
        <v>736.84</v>
      </c>
      <c r="M3164" s="1" t="str">
        <f>TEXT(Table1[[#This Row],[Order_Date]], "MMM")</f>
        <v>Sep</v>
      </c>
      <c r="N3164" s="1">
        <f>YEAR(Table1[[#This Row],[Order_Date]])</f>
        <v>2023</v>
      </c>
      <c r="O3164" s="7">
        <f>Table1[[#This Row],[Profit]]/Table1[[#This Row],[Total_Sales]]</f>
        <v>0.27473527218493665</v>
      </c>
    </row>
    <row r="3165" spans="1:15" x14ac:dyDescent="0.25">
      <c r="A3165" s="1">
        <v>3164</v>
      </c>
      <c r="B3165" s="2">
        <v>45458</v>
      </c>
      <c r="C3165" s="1" t="s">
        <v>12</v>
      </c>
      <c r="D3165" s="1" t="s">
        <v>13</v>
      </c>
      <c r="E3165" s="1" t="s">
        <v>38</v>
      </c>
      <c r="F3165" s="1" t="s">
        <v>18</v>
      </c>
      <c r="G3165" s="1">
        <v>6</v>
      </c>
      <c r="H3165" s="1">
        <v>650</v>
      </c>
      <c r="I3165" s="1">
        <v>20</v>
      </c>
      <c r="J3165" s="4">
        <v>3120</v>
      </c>
      <c r="K3165" s="4">
        <v>2345.84</v>
      </c>
      <c r="L3165" s="4">
        <v>774.16</v>
      </c>
      <c r="M3165" s="1" t="str">
        <f>TEXT(Table1[[#This Row],[Order_Date]], "MMM")</f>
        <v>Jun</v>
      </c>
      <c r="N3165" s="1">
        <f>YEAR(Table1[[#This Row],[Order_Date]])</f>
        <v>2024</v>
      </c>
      <c r="O3165" s="7">
        <f>Table1[[#This Row],[Profit]]/Table1[[#This Row],[Total_Sales]]</f>
        <v>0.24812820512820513</v>
      </c>
    </row>
    <row r="3166" spans="1:15" x14ac:dyDescent="0.25">
      <c r="A3166" s="1">
        <v>3165</v>
      </c>
      <c r="B3166" s="2">
        <v>45580</v>
      </c>
      <c r="C3166" s="1" t="s">
        <v>16</v>
      </c>
      <c r="D3166" s="1" t="s">
        <v>32</v>
      </c>
      <c r="E3166" s="1" t="s">
        <v>45</v>
      </c>
      <c r="F3166" s="1" t="s">
        <v>24</v>
      </c>
      <c r="G3166" s="1">
        <v>1</v>
      </c>
      <c r="H3166" s="1">
        <v>17</v>
      </c>
      <c r="I3166" s="1">
        <v>0</v>
      </c>
      <c r="J3166" s="4">
        <v>17</v>
      </c>
      <c r="K3166" s="4">
        <v>12.34</v>
      </c>
      <c r="L3166" s="4">
        <v>4.66</v>
      </c>
      <c r="M3166" s="1" t="str">
        <f>TEXT(Table1[[#This Row],[Order_Date]], "MMM")</f>
        <v>Oct</v>
      </c>
      <c r="N3166" s="1">
        <f>YEAR(Table1[[#This Row],[Order_Date]])</f>
        <v>2024</v>
      </c>
      <c r="O3166" s="7">
        <f>Table1[[#This Row],[Profit]]/Table1[[#This Row],[Total_Sales]]</f>
        <v>0.27411764705882352</v>
      </c>
    </row>
    <row r="3167" spans="1:15" x14ac:dyDescent="0.25">
      <c r="A3167" s="1">
        <v>3166</v>
      </c>
      <c r="B3167" s="2">
        <v>45598</v>
      </c>
      <c r="C3167" s="1" t="s">
        <v>25</v>
      </c>
      <c r="D3167" s="1" t="s">
        <v>26</v>
      </c>
      <c r="E3167" s="1" t="s">
        <v>46</v>
      </c>
      <c r="F3167" s="1" t="s">
        <v>40</v>
      </c>
      <c r="G3167" s="1">
        <v>4</v>
      </c>
      <c r="H3167" s="1">
        <v>406</v>
      </c>
      <c r="I3167" s="1">
        <v>0</v>
      </c>
      <c r="J3167" s="4">
        <v>1624</v>
      </c>
      <c r="K3167" s="4">
        <v>1045.45</v>
      </c>
      <c r="L3167" s="4">
        <v>578.54999999999995</v>
      </c>
      <c r="M3167" s="1" t="str">
        <f>TEXT(Table1[[#This Row],[Order_Date]], "MMM")</f>
        <v>Nov</v>
      </c>
      <c r="N3167" s="1">
        <f>YEAR(Table1[[#This Row],[Order_Date]])</f>
        <v>2024</v>
      </c>
      <c r="O3167" s="7">
        <f>Table1[[#This Row],[Profit]]/Table1[[#This Row],[Total_Sales]]</f>
        <v>0.35624999999999996</v>
      </c>
    </row>
    <row r="3168" spans="1:15" x14ac:dyDescent="0.25">
      <c r="A3168" s="1">
        <v>3167</v>
      </c>
      <c r="B3168" s="2">
        <v>45163</v>
      </c>
      <c r="C3168" s="1" t="s">
        <v>16</v>
      </c>
      <c r="D3168" s="1" t="s">
        <v>13</v>
      </c>
      <c r="E3168" s="1" t="s">
        <v>17</v>
      </c>
      <c r="F3168" s="1" t="s">
        <v>40</v>
      </c>
      <c r="G3168" s="1">
        <v>9</v>
      </c>
      <c r="H3168" s="1">
        <v>134</v>
      </c>
      <c r="I3168" s="1">
        <v>5</v>
      </c>
      <c r="J3168" s="4">
        <v>1145.7</v>
      </c>
      <c r="K3168" s="4">
        <v>620.87</v>
      </c>
      <c r="L3168" s="4">
        <v>524.83000000000004</v>
      </c>
      <c r="M3168" s="1" t="str">
        <f>TEXT(Table1[[#This Row],[Order_Date]], "MMM")</f>
        <v>Aug</v>
      </c>
      <c r="N3168" s="1">
        <f>YEAR(Table1[[#This Row],[Order_Date]])</f>
        <v>2023</v>
      </c>
      <c r="O3168" s="7">
        <f>Table1[[#This Row],[Profit]]/Table1[[#This Row],[Total_Sales]]</f>
        <v>0.45808675918652353</v>
      </c>
    </row>
    <row r="3169" spans="1:15" x14ac:dyDescent="0.25">
      <c r="A3169" s="1">
        <v>3168</v>
      </c>
      <c r="B3169" s="2">
        <v>45181</v>
      </c>
      <c r="C3169" s="1" t="s">
        <v>25</v>
      </c>
      <c r="D3169" s="1" t="s">
        <v>32</v>
      </c>
      <c r="E3169" s="1" t="s">
        <v>41</v>
      </c>
      <c r="F3169" s="1" t="s">
        <v>40</v>
      </c>
      <c r="G3169" s="1">
        <v>5</v>
      </c>
      <c r="H3169" s="1">
        <v>612</v>
      </c>
      <c r="I3169" s="1">
        <v>15</v>
      </c>
      <c r="J3169" s="4">
        <v>2601</v>
      </c>
      <c r="K3169" s="4">
        <v>1748.81</v>
      </c>
      <c r="L3169" s="4">
        <v>852.19</v>
      </c>
      <c r="M3169" s="1" t="str">
        <f>TEXT(Table1[[#This Row],[Order_Date]], "MMM")</f>
        <v>Sep</v>
      </c>
      <c r="N3169" s="1">
        <f>YEAR(Table1[[#This Row],[Order_Date]])</f>
        <v>2023</v>
      </c>
      <c r="O3169" s="7">
        <f>Table1[[#This Row],[Profit]]/Table1[[#This Row],[Total_Sales]]</f>
        <v>0.32763936947327954</v>
      </c>
    </row>
    <row r="3170" spans="1:15" x14ac:dyDescent="0.25">
      <c r="A3170" s="1">
        <v>3169</v>
      </c>
      <c r="B3170" s="2">
        <v>45021</v>
      </c>
      <c r="C3170" s="1" t="s">
        <v>16</v>
      </c>
      <c r="D3170" s="1" t="s">
        <v>22</v>
      </c>
      <c r="E3170" s="1" t="s">
        <v>23</v>
      </c>
      <c r="F3170" s="1" t="s">
        <v>35</v>
      </c>
      <c r="G3170" s="1">
        <v>7</v>
      </c>
      <c r="H3170" s="1">
        <v>666</v>
      </c>
      <c r="I3170" s="1">
        <v>5</v>
      </c>
      <c r="J3170" s="4">
        <v>4428.8999999999996</v>
      </c>
      <c r="K3170" s="4">
        <v>2588.64</v>
      </c>
      <c r="L3170" s="4">
        <v>1840.26</v>
      </c>
      <c r="M3170" s="1" t="str">
        <f>TEXT(Table1[[#This Row],[Order_Date]], "MMM")</f>
        <v>Apr</v>
      </c>
      <c r="N3170" s="1">
        <f>YEAR(Table1[[#This Row],[Order_Date]])</f>
        <v>2023</v>
      </c>
      <c r="O3170" s="7">
        <f>Table1[[#This Row],[Profit]]/Table1[[#This Row],[Total_Sales]]</f>
        <v>0.41551175235385762</v>
      </c>
    </row>
    <row r="3171" spans="1:15" x14ac:dyDescent="0.25">
      <c r="A3171" s="1">
        <v>3170</v>
      </c>
      <c r="B3171" s="2">
        <v>45526</v>
      </c>
      <c r="C3171" s="1" t="s">
        <v>16</v>
      </c>
      <c r="D3171" s="1" t="s">
        <v>13</v>
      </c>
      <c r="E3171" s="1" t="s">
        <v>39</v>
      </c>
      <c r="F3171" s="1" t="s">
        <v>35</v>
      </c>
      <c r="G3171" s="1">
        <v>10</v>
      </c>
      <c r="H3171" s="1">
        <v>681</v>
      </c>
      <c r="I3171" s="1">
        <v>15</v>
      </c>
      <c r="J3171" s="4">
        <v>5788.5</v>
      </c>
      <c r="K3171" s="4">
        <v>3325.05</v>
      </c>
      <c r="L3171" s="4">
        <v>2463.4499999999998</v>
      </c>
      <c r="M3171" s="1" t="str">
        <f>TEXT(Table1[[#This Row],[Order_Date]], "MMM")</f>
        <v>Aug</v>
      </c>
      <c r="N3171" s="1">
        <f>YEAR(Table1[[#This Row],[Order_Date]])</f>
        <v>2024</v>
      </c>
      <c r="O3171" s="7">
        <f>Table1[[#This Row],[Profit]]/Table1[[#This Row],[Total_Sales]]</f>
        <v>0.4255765742420316</v>
      </c>
    </row>
    <row r="3172" spans="1:15" x14ac:dyDescent="0.25">
      <c r="A3172" s="1">
        <v>3171</v>
      </c>
      <c r="B3172" s="2">
        <v>44973</v>
      </c>
      <c r="C3172" s="1" t="s">
        <v>25</v>
      </c>
      <c r="D3172" s="1" t="s">
        <v>20</v>
      </c>
      <c r="E3172" s="1" t="s">
        <v>43</v>
      </c>
      <c r="F3172" s="1" t="s">
        <v>31</v>
      </c>
      <c r="G3172" s="1">
        <v>8</v>
      </c>
      <c r="H3172" s="1">
        <v>70</v>
      </c>
      <c r="I3172" s="1">
        <v>15</v>
      </c>
      <c r="J3172" s="4">
        <v>476</v>
      </c>
      <c r="K3172" s="4">
        <v>267.20999999999998</v>
      </c>
      <c r="L3172" s="4">
        <v>208.79</v>
      </c>
      <c r="M3172" s="1" t="str">
        <f>TEXT(Table1[[#This Row],[Order_Date]], "MMM")</f>
        <v>Feb</v>
      </c>
      <c r="N3172" s="1">
        <f>YEAR(Table1[[#This Row],[Order_Date]])</f>
        <v>2023</v>
      </c>
      <c r="O3172" s="7">
        <f>Table1[[#This Row],[Profit]]/Table1[[#This Row],[Total_Sales]]</f>
        <v>0.43863445378151261</v>
      </c>
    </row>
    <row r="3173" spans="1:15" x14ac:dyDescent="0.25">
      <c r="A3173" s="1">
        <v>3172</v>
      </c>
      <c r="B3173" s="2">
        <v>45609</v>
      </c>
      <c r="C3173" s="1" t="s">
        <v>12</v>
      </c>
      <c r="D3173" s="1" t="s">
        <v>22</v>
      </c>
      <c r="E3173" s="1" t="s">
        <v>29</v>
      </c>
      <c r="F3173" s="1" t="s">
        <v>40</v>
      </c>
      <c r="G3173" s="1">
        <v>4</v>
      </c>
      <c r="H3173" s="1">
        <v>98</v>
      </c>
      <c r="I3173" s="1">
        <v>20</v>
      </c>
      <c r="J3173" s="4">
        <v>313.60000000000002</v>
      </c>
      <c r="K3173" s="4">
        <v>206.02</v>
      </c>
      <c r="L3173" s="4">
        <v>107.58</v>
      </c>
      <c r="M3173" s="1" t="str">
        <f>TEXT(Table1[[#This Row],[Order_Date]], "MMM")</f>
        <v>Nov</v>
      </c>
      <c r="N3173" s="1">
        <f>YEAR(Table1[[#This Row],[Order_Date]])</f>
        <v>2024</v>
      </c>
      <c r="O3173" s="7">
        <f>Table1[[#This Row],[Profit]]/Table1[[#This Row],[Total_Sales]]</f>
        <v>0.34304846938775507</v>
      </c>
    </row>
    <row r="3174" spans="1:15" x14ac:dyDescent="0.25">
      <c r="A3174" s="1">
        <v>3173</v>
      </c>
      <c r="B3174" s="2">
        <v>45147</v>
      </c>
      <c r="C3174" s="1" t="s">
        <v>16</v>
      </c>
      <c r="D3174" s="1" t="s">
        <v>20</v>
      </c>
      <c r="E3174" s="1" t="s">
        <v>43</v>
      </c>
      <c r="F3174" s="1" t="s">
        <v>18</v>
      </c>
      <c r="G3174" s="1">
        <v>3</v>
      </c>
      <c r="H3174" s="1">
        <v>164</v>
      </c>
      <c r="I3174" s="1">
        <v>10</v>
      </c>
      <c r="J3174" s="4">
        <v>442.8</v>
      </c>
      <c r="K3174" s="4">
        <v>265.44</v>
      </c>
      <c r="L3174" s="4">
        <v>177.36</v>
      </c>
      <c r="M3174" s="1" t="str">
        <f>TEXT(Table1[[#This Row],[Order_Date]], "MMM")</f>
        <v>Aug</v>
      </c>
      <c r="N3174" s="1">
        <f>YEAR(Table1[[#This Row],[Order_Date]])</f>
        <v>2023</v>
      </c>
      <c r="O3174" s="7">
        <f>Table1[[#This Row],[Profit]]/Table1[[#This Row],[Total_Sales]]</f>
        <v>0.40054200542005425</v>
      </c>
    </row>
    <row r="3175" spans="1:15" x14ac:dyDescent="0.25">
      <c r="A3175" s="1">
        <v>3174</v>
      </c>
      <c r="B3175" s="2">
        <v>45530</v>
      </c>
      <c r="C3175" s="1" t="s">
        <v>19</v>
      </c>
      <c r="D3175" s="1" t="s">
        <v>20</v>
      </c>
      <c r="E3175" s="1" t="s">
        <v>28</v>
      </c>
      <c r="F3175" s="1" t="s">
        <v>18</v>
      </c>
      <c r="G3175" s="1">
        <v>7</v>
      </c>
      <c r="H3175" s="1">
        <v>662</v>
      </c>
      <c r="I3175" s="1">
        <v>0</v>
      </c>
      <c r="J3175" s="4">
        <v>4634</v>
      </c>
      <c r="K3175" s="4">
        <v>2680.21</v>
      </c>
      <c r="L3175" s="4">
        <v>1953.79</v>
      </c>
      <c r="M3175" s="1" t="str">
        <f>TEXT(Table1[[#This Row],[Order_Date]], "MMM")</f>
        <v>Aug</v>
      </c>
      <c r="N3175" s="1">
        <f>YEAR(Table1[[#This Row],[Order_Date]])</f>
        <v>2024</v>
      </c>
      <c r="O3175" s="7">
        <f>Table1[[#This Row],[Profit]]/Table1[[#This Row],[Total_Sales]]</f>
        <v>0.42162063012516182</v>
      </c>
    </row>
    <row r="3176" spans="1:15" x14ac:dyDescent="0.25">
      <c r="A3176" s="1">
        <v>3175</v>
      </c>
      <c r="B3176" s="2">
        <v>45550</v>
      </c>
      <c r="C3176" s="1" t="s">
        <v>19</v>
      </c>
      <c r="D3176" s="1" t="s">
        <v>22</v>
      </c>
      <c r="E3176" s="1" t="s">
        <v>29</v>
      </c>
      <c r="F3176" s="1" t="s">
        <v>15</v>
      </c>
      <c r="G3176" s="1">
        <v>8</v>
      </c>
      <c r="H3176" s="1">
        <v>59</v>
      </c>
      <c r="I3176" s="1">
        <v>20</v>
      </c>
      <c r="J3176" s="4">
        <v>377.6</v>
      </c>
      <c r="K3176" s="4">
        <v>270.64</v>
      </c>
      <c r="L3176" s="4">
        <v>106.96</v>
      </c>
      <c r="M3176" s="1" t="str">
        <f>TEXT(Table1[[#This Row],[Order_Date]], "MMM")</f>
        <v>Sep</v>
      </c>
      <c r="N3176" s="1">
        <f>YEAR(Table1[[#This Row],[Order_Date]])</f>
        <v>2024</v>
      </c>
      <c r="O3176" s="7">
        <f>Table1[[#This Row],[Profit]]/Table1[[#This Row],[Total_Sales]]</f>
        <v>0.28326271186440677</v>
      </c>
    </row>
    <row r="3177" spans="1:15" x14ac:dyDescent="0.25">
      <c r="A3177" s="1">
        <v>3176</v>
      </c>
      <c r="B3177" s="2">
        <v>45217</v>
      </c>
      <c r="C3177" s="1" t="s">
        <v>19</v>
      </c>
      <c r="D3177" s="1" t="s">
        <v>22</v>
      </c>
      <c r="E3177" s="1" t="s">
        <v>44</v>
      </c>
      <c r="F3177" s="1" t="s">
        <v>15</v>
      </c>
      <c r="G3177" s="1">
        <v>8</v>
      </c>
      <c r="H3177" s="1">
        <v>412</v>
      </c>
      <c r="I3177" s="1">
        <v>20</v>
      </c>
      <c r="J3177" s="4">
        <v>2636.8</v>
      </c>
      <c r="K3177" s="4">
        <v>1986.68</v>
      </c>
      <c r="L3177" s="4">
        <v>650.12</v>
      </c>
      <c r="M3177" s="1" t="str">
        <f>TEXT(Table1[[#This Row],[Order_Date]], "MMM")</f>
        <v>Oct</v>
      </c>
      <c r="N3177" s="1">
        <f>YEAR(Table1[[#This Row],[Order_Date]])</f>
        <v>2023</v>
      </c>
      <c r="O3177" s="7">
        <f>Table1[[#This Row],[Profit]]/Table1[[#This Row],[Total_Sales]]</f>
        <v>0.24655643203883493</v>
      </c>
    </row>
    <row r="3178" spans="1:15" x14ac:dyDescent="0.25">
      <c r="A3178" s="1">
        <v>3177</v>
      </c>
      <c r="B3178" s="2">
        <v>45026</v>
      </c>
      <c r="C3178" s="1" t="s">
        <v>25</v>
      </c>
      <c r="D3178" s="1" t="s">
        <v>22</v>
      </c>
      <c r="E3178" s="1" t="s">
        <v>36</v>
      </c>
      <c r="F3178" s="1" t="s">
        <v>31</v>
      </c>
      <c r="G3178" s="1">
        <v>5</v>
      </c>
      <c r="H3178" s="1">
        <v>71</v>
      </c>
      <c r="I3178" s="1">
        <v>5</v>
      </c>
      <c r="J3178" s="4">
        <v>337.25</v>
      </c>
      <c r="K3178" s="4">
        <v>195.03</v>
      </c>
      <c r="L3178" s="4">
        <v>142.22</v>
      </c>
      <c r="M3178" s="1" t="str">
        <f>TEXT(Table1[[#This Row],[Order_Date]], "MMM")</f>
        <v>Apr</v>
      </c>
      <c r="N3178" s="1">
        <f>YEAR(Table1[[#This Row],[Order_Date]])</f>
        <v>2023</v>
      </c>
      <c r="O3178" s="7">
        <f>Table1[[#This Row],[Profit]]/Table1[[#This Row],[Total_Sales]]</f>
        <v>0.421704966641957</v>
      </c>
    </row>
    <row r="3179" spans="1:15" x14ac:dyDescent="0.25">
      <c r="A3179" s="1">
        <v>3178</v>
      </c>
      <c r="B3179" s="2">
        <v>45093</v>
      </c>
      <c r="C3179" s="1" t="s">
        <v>16</v>
      </c>
      <c r="D3179" s="1" t="s">
        <v>32</v>
      </c>
      <c r="E3179" s="1" t="s">
        <v>33</v>
      </c>
      <c r="F3179" s="1" t="s">
        <v>24</v>
      </c>
      <c r="G3179" s="1">
        <v>2</v>
      </c>
      <c r="H3179" s="1">
        <v>306</v>
      </c>
      <c r="I3179" s="1">
        <v>15</v>
      </c>
      <c r="J3179" s="4">
        <v>520.20000000000005</v>
      </c>
      <c r="K3179" s="4">
        <v>401.91</v>
      </c>
      <c r="L3179" s="4">
        <v>118.29</v>
      </c>
      <c r="M3179" s="1" t="str">
        <f>TEXT(Table1[[#This Row],[Order_Date]], "MMM")</f>
        <v>Jun</v>
      </c>
      <c r="N3179" s="1">
        <f>YEAR(Table1[[#This Row],[Order_Date]])</f>
        <v>2023</v>
      </c>
      <c r="O3179" s="7">
        <f>Table1[[#This Row],[Profit]]/Table1[[#This Row],[Total_Sales]]</f>
        <v>0.22739331026528259</v>
      </c>
    </row>
    <row r="3180" spans="1:15" x14ac:dyDescent="0.25">
      <c r="A3180" s="1">
        <v>3179</v>
      </c>
      <c r="B3180" s="2">
        <v>45416</v>
      </c>
      <c r="C3180" s="1" t="s">
        <v>25</v>
      </c>
      <c r="D3180" s="1" t="s">
        <v>20</v>
      </c>
      <c r="E3180" s="1" t="s">
        <v>21</v>
      </c>
      <c r="F3180" s="1" t="s">
        <v>18</v>
      </c>
      <c r="G3180" s="1">
        <v>9</v>
      </c>
      <c r="H3180" s="1">
        <v>75</v>
      </c>
      <c r="I3180" s="1">
        <v>20</v>
      </c>
      <c r="J3180" s="4">
        <v>540</v>
      </c>
      <c r="K3180" s="4">
        <v>429.5</v>
      </c>
      <c r="L3180" s="4">
        <v>110.5</v>
      </c>
      <c r="M3180" s="1" t="str">
        <f>TEXT(Table1[[#This Row],[Order_Date]], "MMM")</f>
        <v>May</v>
      </c>
      <c r="N3180" s="1">
        <f>YEAR(Table1[[#This Row],[Order_Date]])</f>
        <v>2024</v>
      </c>
      <c r="O3180" s="7">
        <f>Table1[[#This Row],[Profit]]/Table1[[#This Row],[Total_Sales]]</f>
        <v>0.20462962962962963</v>
      </c>
    </row>
    <row r="3181" spans="1:15" x14ac:dyDescent="0.25">
      <c r="A3181" s="1">
        <v>3180</v>
      </c>
      <c r="B3181" s="2">
        <v>45177</v>
      </c>
      <c r="C3181" s="1" t="s">
        <v>12</v>
      </c>
      <c r="D3181" s="1" t="s">
        <v>32</v>
      </c>
      <c r="E3181" s="1" t="s">
        <v>33</v>
      </c>
      <c r="F3181" s="1" t="s">
        <v>35</v>
      </c>
      <c r="G3181" s="1">
        <v>5</v>
      </c>
      <c r="H3181" s="1">
        <v>619</v>
      </c>
      <c r="I3181" s="1">
        <v>5</v>
      </c>
      <c r="J3181" s="4">
        <v>2940.25</v>
      </c>
      <c r="K3181" s="4">
        <v>2214.36</v>
      </c>
      <c r="L3181" s="4">
        <v>725.89</v>
      </c>
      <c r="M3181" s="1" t="str">
        <f>TEXT(Table1[[#This Row],[Order_Date]], "MMM")</f>
        <v>Sep</v>
      </c>
      <c r="N3181" s="1">
        <f>YEAR(Table1[[#This Row],[Order_Date]])</f>
        <v>2023</v>
      </c>
      <c r="O3181" s="7">
        <f>Table1[[#This Row],[Profit]]/Table1[[#This Row],[Total_Sales]]</f>
        <v>0.24688036731570445</v>
      </c>
    </row>
    <row r="3182" spans="1:15" x14ac:dyDescent="0.25">
      <c r="A3182" s="1">
        <v>3181</v>
      </c>
      <c r="B3182" s="2">
        <v>45420</v>
      </c>
      <c r="C3182" s="1" t="s">
        <v>12</v>
      </c>
      <c r="D3182" s="1" t="s">
        <v>26</v>
      </c>
      <c r="E3182" s="1" t="s">
        <v>46</v>
      </c>
      <c r="F3182" s="1" t="s">
        <v>35</v>
      </c>
      <c r="G3182" s="1">
        <v>4</v>
      </c>
      <c r="H3182" s="1">
        <v>624</v>
      </c>
      <c r="I3182" s="1">
        <v>0</v>
      </c>
      <c r="J3182" s="4">
        <v>2496</v>
      </c>
      <c r="K3182" s="4">
        <v>1611.73</v>
      </c>
      <c r="L3182" s="4">
        <v>884.27</v>
      </c>
      <c r="M3182" s="1" t="str">
        <f>TEXT(Table1[[#This Row],[Order_Date]], "MMM")</f>
        <v>May</v>
      </c>
      <c r="N3182" s="1">
        <f>YEAR(Table1[[#This Row],[Order_Date]])</f>
        <v>2024</v>
      </c>
      <c r="O3182" s="7">
        <f>Table1[[#This Row],[Profit]]/Table1[[#This Row],[Total_Sales]]</f>
        <v>0.35427483974358975</v>
      </c>
    </row>
    <row r="3183" spans="1:15" x14ac:dyDescent="0.25">
      <c r="A3183" s="1">
        <v>3182</v>
      </c>
      <c r="B3183" s="2">
        <v>45280</v>
      </c>
      <c r="C3183" s="1" t="s">
        <v>12</v>
      </c>
      <c r="D3183" s="1" t="s">
        <v>20</v>
      </c>
      <c r="E3183" s="1" t="s">
        <v>28</v>
      </c>
      <c r="F3183" s="1" t="s">
        <v>15</v>
      </c>
      <c r="G3183" s="1">
        <v>4</v>
      </c>
      <c r="H3183" s="1">
        <v>987</v>
      </c>
      <c r="I3183" s="1">
        <v>0</v>
      </c>
      <c r="J3183" s="4">
        <v>3948</v>
      </c>
      <c r="K3183" s="4">
        <v>2232.98</v>
      </c>
      <c r="L3183" s="4">
        <v>1715.02</v>
      </c>
      <c r="M3183" s="1" t="str">
        <f>TEXT(Table1[[#This Row],[Order_Date]], "MMM")</f>
        <v>Dec</v>
      </c>
      <c r="N3183" s="1">
        <f>YEAR(Table1[[#This Row],[Order_Date]])</f>
        <v>2023</v>
      </c>
      <c r="O3183" s="7">
        <f>Table1[[#This Row],[Profit]]/Table1[[#This Row],[Total_Sales]]</f>
        <v>0.43440222897669706</v>
      </c>
    </row>
    <row r="3184" spans="1:15" x14ac:dyDescent="0.25">
      <c r="A3184" s="1">
        <v>3183</v>
      </c>
      <c r="B3184" s="2">
        <v>45157</v>
      </c>
      <c r="C3184" s="1" t="s">
        <v>25</v>
      </c>
      <c r="D3184" s="1" t="s">
        <v>20</v>
      </c>
      <c r="E3184" s="1" t="s">
        <v>21</v>
      </c>
      <c r="F3184" s="1" t="s">
        <v>24</v>
      </c>
      <c r="G3184" s="1">
        <v>6</v>
      </c>
      <c r="H3184" s="1">
        <v>623</v>
      </c>
      <c r="I3184" s="1">
        <v>20</v>
      </c>
      <c r="J3184" s="4">
        <v>2990.4</v>
      </c>
      <c r="K3184" s="4">
        <v>1496.51</v>
      </c>
      <c r="L3184" s="4">
        <v>1493.89</v>
      </c>
      <c r="M3184" s="1" t="str">
        <f>TEXT(Table1[[#This Row],[Order_Date]], "MMM")</f>
        <v>Aug</v>
      </c>
      <c r="N3184" s="1">
        <f>YEAR(Table1[[#This Row],[Order_Date]])</f>
        <v>2023</v>
      </c>
      <c r="O3184" s="7">
        <f>Table1[[#This Row],[Profit]]/Table1[[#This Row],[Total_Sales]]</f>
        <v>0.49956193151417871</v>
      </c>
    </row>
    <row r="3185" spans="1:15" x14ac:dyDescent="0.25">
      <c r="A3185" s="1">
        <v>3184</v>
      </c>
      <c r="B3185" s="2">
        <v>45006</v>
      </c>
      <c r="C3185" s="1" t="s">
        <v>16</v>
      </c>
      <c r="D3185" s="1" t="s">
        <v>20</v>
      </c>
      <c r="E3185" s="1" t="s">
        <v>28</v>
      </c>
      <c r="F3185" s="1" t="s">
        <v>15</v>
      </c>
      <c r="G3185" s="1">
        <v>6</v>
      </c>
      <c r="H3185" s="1">
        <v>640</v>
      </c>
      <c r="I3185" s="1">
        <v>15</v>
      </c>
      <c r="J3185" s="4">
        <v>3264</v>
      </c>
      <c r="K3185" s="4">
        <v>1951.93</v>
      </c>
      <c r="L3185" s="4">
        <v>1312.07</v>
      </c>
      <c r="M3185" s="1" t="str">
        <f>TEXT(Table1[[#This Row],[Order_Date]], "MMM")</f>
        <v>Mar</v>
      </c>
      <c r="N3185" s="1">
        <f>YEAR(Table1[[#This Row],[Order_Date]])</f>
        <v>2023</v>
      </c>
      <c r="O3185" s="7">
        <f>Table1[[#This Row],[Profit]]/Table1[[#This Row],[Total_Sales]]</f>
        <v>0.40198223039215686</v>
      </c>
    </row>
    <row r="3186" spans="1:15" x14ac:dyDescent="0.25">
      <c r="A3186" s="1">
        <v>3185</v>
      </c>
      <c r="B3186" s="2">
        <v>45606</v>
      </c>
      <c r="C3186" s="1" t="s">
        <v>12</v>
      </c>
      <c r="D3186" s="1" t="s">
        <v>13</v>
      </c>
      <c r="E3186" s="1" t="s">
        <v>38</v>
      </c>
      <c r="F3186" s="1" t="s">
        <v>15</v>
      </c>
      <c r="G3186" s="1">
        <v>9</v>
      </c>
      <c r="H3186" s="1">
        <v>970</v>
      </c>
      <c r="I3186" s="1">
        <v>10</v>
      </c>
      <c r="J3186" s="4">
        <v>7857</v>
      </c>
      <c r="K3186" s="4">
        <v>6012.55</v>
      </c>
      <c r="L3186" s="4">
        <v>1844.45</v>
      </c>
      <c r="M3186" s="1" t="str">
        <f>TEXT(Table1[[#This Row],[Order_Date]], "MMM")</f>
        <v>Nov</v>
      </c>
      <c r="N3186" s="1">
        <f>YEAR(Table1[[#This Row],[Order_Date]])</f>
        <v>2024</v>
      </c>
      <c r="O3186" s="7">
        <f>Table1[[#This Row],[Profit]]/Table1[[#This Row],[Total_Sales]]</f>
        <v>0.23475245004454626</v>
      </c>
    </row>
    <row r="3187" spans="1:15" x14ac:dyDescent="0.25">
      <c r="A3187" s="1">
        <v>3186</v>
      </c>
      <c r="B3187" s="2">
        <v>45486</v>
      </c>
      <c r="C3187" s="1" t="s">
        <v>25</v>
      </c>
      <c r="D3187" s="1" t="s">
        <v>20</v>
      </c>
      <c r="E3187" s="1" t="s">
        <v>28</v>
      </c>
      <c r="F3187" s="1" t="s">
        <v>24</v>
      </c>
      <c r="G3187" s="1">
        <v>4</v>
      </c>
      <c r="H3187" s="1">
        <v>198</v>
      </c>
      <c r="I3187" s="1">
        <v>10</v>
      </c>
      <c r="J3187" s="4">
        <v>712.8</v>
      </c>
      <c r="K3187" s="4">
        <v>483.27</v>
      </c>
      <c r="L3187" s="4">
        <v>229.53</v>
      </c>
      <c r="M3187" s="1" t="str">
        <f>TEXT(Table1[[#This Row],[Order_Date]], "MMM")</f>
        <v>Jul</v>
      </c>
      <c r="N3187" s="1">
        <f>YEAR(Table1[[#This Row],[Order_Date]])</f>
        <v>2024</v>
      </c>
      <c r="O3187" s="7">
        <f>Table1[[#This Row],[Profit]]/Table1[[#This Row],[Total_Sales]]</f>
        <v>0.32201178451178453</v>
      </c>
    </row>
    <row r="3188" spans="1:15" x14ac:dyDescent="0.25">
      <c r="A3188" s="1">
        <v>3187</v>
      </c>
      <c r="B3188" s="2">
        <v>45584</v>
      </c>
      <c r="C3188" s="1" t="s">
        <v>19</v>
      </c>
      <c r="D3188" s="1" t="s">
        <v>13</v>
      </c>
      <c r="E3188" s="1" t="s">
        <v>17</v>
      </c>
      <c r="F3188" s="1" t="s">
        <v>40</v>
      </c>
      <c r="G3188" s="1">
        <v>10</v>
      </c>
      <c r="H3188" s="1">
        <v>602</v>
      </c>
      <c r="I3188" s="1">
        <v>0</v>
      </c>
      <c r="J3188" s="4">
        <v>6020</v>
      </c>
      <c r="K3188" s="4">
        <v>3561.4</v>
      </c>
      <c r="L3188" s="4">
        <v>2458.6</v>
      </c>
      <c r="M3188" s="1" t="str">
        <f>TEXT(Table1[[#This Row],[Order_Date]], "MMM")</f>
        <v>Oct</v>
      </c>
      <c r="N3188" s="1">
        <f>YEAR(Table1[[#This Row],[Order_Date]])</f>
        <v>2024</v>
      </c>
      <c r="O3188" s="7">
        <f>Table1[[#This Row],[Profit]]/Table1[[#This Row],[Total_Sales]]</f>
        <v>0.4084053156146179</v>
      </c>
    </row>
    <row r="3189" spans="1:15" x14ac:dyDescent="0.25">
      <c r="A3189" s="1">
        <v>3188</v>
      </c>
      <c r="B3189" s="2">
        <v>45527</v>
      </c>
      <c r="C3189" s="1" t="s">
        <v>12</v>
      </c>
      <c r="D3189" s="1" t="s">
        <v>26</v>
      </c>
      <c r="E3189" s="1" t="s">
        <v>37</v>
      </c>
      <c r="F3189" s="1" t="s">
        <v>18</v>
      </c>
      <c r="G3189" s="1">
        <v>9</v>
      </c>
      <c r="H3189" s="1">
        <v>289</v>
      </c>
      <c r="I3189" s="1">
        <v>20</v>
      </c>
      <c r="J3189" s="4">
        <v>2080.8000000000002</v>
      </c>
      <c r="K3189" s="4">
        <v>1353.05</v>
      </c>
      <c r="L3189" s="4">
        <v>727.75</v>
      </c>
      <c r="M3189" s="1" t="str">
        <f>TEXT(Table1[[#This Row],[Order_Date]], "MMM")</f>
        <v>Aug</v>
      </c>
      <c r="N3189" s="1">
        <f>YEAR(Table1[[#This Row],[Order_Date]])</f>
        <v>2024</v>
      </c>
      <c r="O3189" s="7">
        <f>Table1[[#This Row],[Profit]]/Table1[[#This Row],[Total_Sales]]</f>
        <v>0.34974529027297191</v>
      </c>
    </row>
    <row r="3190" spans="1:15" x14ac:dyDescent="0.25">
      <c r="A3190" s="1">
        <v>3189</v>
      </c>
      <c r="B3190" s="2">
        <v>45371</v>
      </c>
      <c r="C3190" s="1" t="s">
        <v>19</v>
      </c>
      <c r="D3190" s="1" t="s">
        <v>22</v>
      </c>
      <c r="E3190" s="1" t="s">
        <v>44</v>
      </c>
      <c r="F3190" s="1" t="s">
        <v>15</v>
      </c>
      <c r="G3190" s="1">
        <v>9</v>
      </c>
      <c r="H3190" s="1">
        <v>80</v>
      </c>
      <c r="I3190" s="1">
        <v>15</v>
      </c>
      <c r="J3190" s="4">
        <v>612</v>
      </c>
      <c r="K3190" s="4">
        <v>354.59</v>
      </c>
      <c r="L3190" s="4">
        <v>257.41000000000003</v>
      </c>
      <c r="M3190" s="1" t="str">
        <f>TEXT(Table1[[#This Row],[Order_Date]], "MMM")</f>
        <v>Mar</v>
      </c>
      <c r="N3190" s="1">
        <f>YEAR(Table1[[#This Row],[Order_Date]])</f>
        <v>2024</v>
      </c>
      <c r="O3190" s="7">
        <f>Table1[[#This Row],[Profit]]/Table1[[#This Row],[Total_Sales]]</f>
        <v>0.42060457516339872</v>
      </c>
    </row>
    <row r="3191" spans="1:15" x14ac:dyDescent="0.25">
      <c r="A3191" s="1">
        <v>3190</v>
      </c>
      <c r="B3191" s="2">
        <v>45360</v>
      </c>
      <c r="C3191" s="1" t="s">
        <v>19</v>
      </c>
      <c r="D3191" s="1" t="s">
        <v>26</v>
      </c>
      <c r="E3191" s="1" t="s">
        <v>27</v>
      </c>
      <c r="F3191" s="1" t="s">
        <v>15</v>
      </c>
      <c r="G3191" s="1">
        <v>4</v>
      </c>
      <c r="H3191" s="1">
        <v>66</v>
      </c>
      <c r="I3191" s="1">
        <v>10</v>
      </c>
      <c r="J3191" s="4">
        <v>237.6</v>
      </c>
      <c r="K3191" s="4">
        <v>119.5</v>
      </c>
      <c r="L3191" s="4">
        <v>118.1</v>
      </c>
      <c r="M3191" s="1" t="str">
        <f>TEXT(Table1[[#This Row],[Order_Date]], "MMM")</f>
        <v>Mar</v>
      </c>
      <c r="N3191" s="1">
        <f>YEAR(Table1[[#This Row],[Order_Date]])</f>
        <v>2024</v>
      </c>
      <c r="O3191" s="7">
        <f>Table1[[#This Row],[Profit]]/Table1[[#This Row],[Total_Sales]]</f>
        <v>0.49705387205387203</v>
      </c>
    </row>
    <row r="3192" spans="1:15" x14ac:dyDescent="0.25">
      <c r="A3192" s="1">
        <v>3191</v>
      </c>
      <c r="B3192" s="2">
        <v>45185</v>
      </c>
      <c r="C3192" s="1" t="s">
        <v>12</v>
      </c>
      <c r="D3192" s="1" t="s">
        <v>22</v>
      </c>
      <c r="E3192" s="1" t="s">
        <v>36</v>
      </c>
      <c r="F3192" s="1" t="s">
        <v>35</v>
      </c>
      <c r="G3192" s="1">
        <v>1</v>
      </c>
      <c r="H3192" s="1">
        <v>530</v>
      </c>
      <c r="I3192" s="1">
        <v>10</v>
      </c>
      <c r="J3192" s="4">
        <v>477</v>
      </c>
      <c r="K3192" s="4">
        <v>343.64</v>
      </c>
      <c r="L3192" s="4">
        <v>133.36000000000001</v>
      </c>
      <c r="M3192" s="1" t="str">
        <f>TEXT(Table1[[#This Row],[Order_Date]], "MMM")</f>
        <v>Sep</v>
      </c>
      <c r="N3192" s="1">
        <f>YEAR(Table1[[#This Row],[Order_Date]])</f>
        <v>2023</v>
      </c>
      <c r="O3192" s="7">
        <f>Table1[[#This Row],[Profit]]/Table1[[#This Row],[Total_Sales]]</f>
        <v>0.27958071278825997</v>
      </c>
    </row>
    <row r="3193" spans="1:15" x14ac:dyDescent="0.25">
      <c r="A3193" s="1">
        <v>3192</v>
      </c>
      <c r="B3193" s="2">
        <v>44997</v>
      </c>
      <c r="C3193" s="1" t="s">
        <v>16</v>
      </c>
      <c r="D3193" s="1" t="s">
        <v>32</v>
      </c>
      <c r="E3193" s="1" t="s">
        <v>33</v>
      </c>
      <c r="F3193" s="1" t="s">
        <v>24</v>
      </c>
      <c r="G3193" s="1">
        <v>10</v>
      </c>
      <c r="H3193" s="1">
        <v>176</v>
      </c>
      <c r="I3193" s="1">
        <v>5</v>
      </c>
      <c r="J3193" s="4">
        <v>1672</v>
      </c>
      <c r="K3193" s="4">
        <v>1084.95</v>
      </c>
      <c r="L3193" s="4">
        <v>587.04999999999995</v>
      </c>
      <c r="M3193" s="1" t="str">
        <f>TEXT(Table1[[#This Row],[Order_Date]], "MMM")</f>
        <v>Mar</v>
      </c>
      <c r="N3193" s="1">
        <f>YEAR(Table1[[#This Row],[Order_Date]])</f>
        <v>2023</v>
      </c>
      <c r="O3193" s="7">
        <f>Table1[[#This Row],[Profit]]/Table1[[#This Row],[Total_Sales]]</f>
        <v>0.35110645933014351</v>
      </c>
    </row>
    <row r="3194" spans="1:15" x14ac:dyDescent="0.25">
      <c r="A3194" s="1">
        <v>3193</v>
      </c>
      <c r="B3194" s="2">
        <v>45191</v>
      </c>
      <c r="C3194" s="1" t="s">
        <v>16</v>
      </c>
      <c r="D3194" s="1" t="s">
        <v>26</v>
      </c>
      <c r="E3194" s="1" t="s">
        <v>46</v>
      </c>
      <c r="F3194" s="1" t="s">
        <v>31</v>
      </c>
      <c r="G3194" s="1">
        <v>10</v>
      </c>
      <c r="H3194" s="1">
        <v>42</v>
      </c>
      <c r="I3194" s="1">
        <v>10</v>
      </c>
      <c r="J3194" s="4">
        <v>378</v>
      </c>
      <c r="K3194" s="4">
        <v>207.52</v>
      </c>
      <c r="L3194" s="4">
        <v>170.48</v>
      </c>
      <c r="M3194" s="1" t="str">
        <f>TEXT(Table1[[#This Row],[Order_Date]], "MMM")</f>
        <v>Sep</v>
      </c>
      <c r="N3194" s="1">
        <f>YEAR(Table1[[#This Row],[Order_Date]])</f>
        <v>2023</v>
      </c>
      <c r="O3194" s="7">
        <f>Table1[[#This Row],[Profit]]/Table1[[#This Row],[Total_Sales]]</f>
        <v>0.45100529100529096</v>
      </c>
    </row>
    <row r="3195" spans="1:15" x14ac:dyDescent="0.25">
      <c r="A3195" s="1">
        <v>3194</v>
      </c>
      <c r="B3195" s="2">
        <v>45016</v>
      </c>
      <c r="C3195" s="1" t="s">
        <v>12</v>
      </c>
      <c r="D3195" s="1" t="s">
        <v>20</v>
      </c>
      <c r="E3195" s="1" t="s">
        <v>28</v>
      </c>
      <c r="F3195" s="1" t="s">
        <v>35</v>
      </c>
      <c r="G3195" s="1">
        <v>9</v>
      </c>
      <c r="H3195" s="1">
        <v>333</v>
      </c>
      <c r="I3195" s="1">
        <v>20</v>
      </c>
      <c r="J3195" s="4">
        <v>2397.6</v>
      </c>
      <c r="K3195" s="4">
        <v>1683.78</v>
      </c>
      <c r="L3195" s="4">
        <v>713.82</v>
      </c>
      <c r="M3195" s="1" t="str">
        <f>TEXT(Table1[[#This Row],[Order_Date]], "MMM")</f>
        <v>Mar</v>
      </c>
      <c r="N3195" s="1">
        <f>YEAR(Table1[[#This Row],[Order_Date]])</f>
        <v>2023</v>
      </c>
      <c r="O3195" s="7">
        <f>Table1[[#This Row],[Profit]]/Table1[[#This Row],[Total_Sales]]</f>
        <v>0.29772272272272277</v>
      </c>
    </row>
    <row r="3196" spans="1:15" x14ac:dyDescent="0.25">
      <c r="A3196" s="1">
        <v>3195</v>
      </c>
      <c r="B3196" s="2">
        <v>45333</v>
      </c>
      <c r="C3196" s="1" t="s">
        <v>12</v>
      </c>
      <c r="D3196" s="1" t="s">
        <v>22</v>
      </c>
      <c r="E3196" s="1" t="s">
        <v>36</v>
      </c>
      <c r="F3196" s="1" t="s">
        <v>15</v>
      </c>
      <c r="G3196" s="1">
        <v>8</v>
      </c>
      <c r="H3196" s="1">
        <v>990</v>
      </c>
      <c r="I3196" s="1">
        <v>0</v>
      </c>
      <c r="J3196" s="4">
        <v>7920</v>
      </c>
      <c r="K3196" s="4">
        <v>6152.01</v>
      </c>
      <c r="L3196" s="4">
        <v>1767.99</v>
      </c>
      <c r="M3196" s="1" t="str">
        <f>TEXT(Table1[[#This Row],[Order_Date]], "MMM")</f>
        <v>Feb</v>
      </c>
      <c r="N3196" s="1">
        <f>YEAR(Table1[[#This Row],[Order_Date]])</f>
        <v>2024</v>
      </c>
      <c r="O3196" s="7">
        <f>Table1[[#This Row],[Profit]]/Table1[[#This Row],[Total_Sales]]</f>
        <v>0.2232310606060606</v>
      </c>
    </row>
    <row r="3197" spans="1:15" x14ac:dyDescent="0.25">
      <c r="A3197" s="1">
        <v>3196</v>
      </c>
      <c r="B3197" s="2">
        <v>45643</v>
      </c>
      <c r="C3197" s="1" t="s">
        <v>19</v>
      </c>
      <c r="D3197" s="1" t="s">
        <v>26</v>
      </c>
      <c r="E3197" s="1" t="s">
        <v>46</v>
      </c>
      <c r="F3197" s="1" t="s">
        <v>15</v>
      </c>
      <c r="G3197" s="1">
        <v>9</v>
      </c>
      <c r="H3197" s="1">
        <v>596</v>
      </c>
      <c r="I3197" s="1">
        <v>10</v>
      </c>
      <c r="J3197" s="4">
        <v>4827.6000000000004</v>
      </c>
      <c r="K3197" s="4">
        <v>2946.39</v>
      </c>
      <c r="L3197" s="4">
        <v>1881.21</v>
      </c>
      <c r="M3197" s="1" t="str">
        <f>TEXT(Table1[[#This Row],[Order_Date]], "MMM")</f>
        <v>Dec</v>
      </c>
      <c r="N3197" s="1">
        <f>YEAR(Table1[[#This Row],[Order_Date]])</f>
        <v>2024</v>
      </c>
      <c r="O3197" s="7">
        <f>Table1[[#This Row],[Profit]]/Table1[[#This Row],[Total_Sales]]</f>
        <v>0.38967810091971161</v>
      </c>
    </row>
    <row r="3198" spans="1:15" x14ac:dyDescent="0.25">
      <c r="A3198" s="1">
        <v>3197</v>
      </c>
      <c r="B3198" s="2">
        <v>45623</v>
      </c>
      <c r="C3198" s="1" t="s">
        <v>12</v>
      </c>
      <c r="D3198" s="1" t="s">
        <v>26</v>
      </c>
      <c r="E3198" s="1" t="s">
        <v>37</v>
      </c>
      <c r="F3198" s="1" t="s">
        <v>35</v>
      </c>
      <c r="G3198" s="1">
        <v>2</v>
      </c>
      <c r="H3198" s="1">
        <v>105</v>
      </c>
      <c r="I3198" s="1">
        <v>10</v>
      </c>
      <c r="J3198" s="4">
        <v>189</v>
      </c>
      <c r="K3198" s="4">
        <v>105.14</v>
      </c>
      <c r="L3198" s="4">
        <v>83.86</v>
      </c>
      <c r="M3198" s="1" t="str">
        <f>TEXT(Table1[[#This Row],[Order_Date]], "MMM")</f>
        <v>Nov</v>
      </c>
      <c r="N3198" s="1">
        <f>YEAR(Table1[[#This Row],[Order_Date]])</f>
        <v>2024</v>
      </c>
      <c r="O3198" s="7">
        <f>Table1[[#This Row],[Profit]]/Table1[[#This Row],[Total_Sales]]</f>
        <v>0.44370370370370371</v>
      </c>
    </row>
    <row r="3199" spans="1:15" x14ac:dyDescent="0.25">
      <c r="A3199" s="1">
        <v>3198</v>
      </c>
      <c r="B3199" s="2">
        <v>45562</v>
      </c>
      <c r="C3199" s="1" t="s">
        <v>25</v>
      </c>
      <c r="D3199" s="1" t="s">
        <v>13</v>
      </c>
      <c r="E3199" s="1" t="s">
        <v>38</v>
      </c>
      <c r="F3199" s="1" t="s">
        <v>35</v>
      </c>
      <c r="G3199" s="1">
        <v>9</v>
      </c>
      <c r="H3199" s="1">
        <v>977</v>
      </c>
      <c r="I3199" s="1">
        <v>0</v>
      </c>
      <c r="J3199" s="4">
        <v>8793</v>
      </c>
      <c r="K3199" s="4">
        <v>4744.17</v>
      </c>
      <c r="L3199" s="4">
        <v>4048.83</v>
      </c>
      <c r="M3199" s="1" t="str">
        <f>TEXT(Table1[[#This Row],[Order_Date]], "MMM")</f>
        <v>Sep</v>
      </c>
      <c r="N3199" s="1">
        <f>YEAR(Table1[[#This Row],[Order_Date]])</f>
        <v>2024</v>
      </c>
      <c r="O3199" s="7">
        <f>Table1[[#This Row],[Profit]]/Table1[[#This Row],[Total_Sales]]</f>
        <v>0.46046059365404296</v>
      </c>
    </row>
    <row r="3200" spans="1:15" x14ac:dyDescent="0.25">
      <c r="A3200" s="1">
        <v>3199</v>
      </c>
      <c r="B3200" s="2">
        <v>45169</v>
      </c>
      <c r="C3200" s="1" t="s">
        <v>16</v>
      </c>
      <c r="D3200" s="1" t="s">
        <v>22</v>
      </c>
      <c r="E3200" s="1" t="s">
        <v>44</v>
      </c>
      <c r="F3200" s="1" t="s">
        <v>35</v>
      </c>
      <c r="G3200" s="1">
        <v>2</v>
      </c>
      <c r="H3200" s="1">
        <v>395</v>
      </c>
      <c r="I3200" s="1">
        <v>5</v>
      </c>
      <c r="J3200" s="4">
        <v>750.5</v>
      </c>
      <c r="K3200" s="4">
        <v>469.2</v>
      </c>
      <c r="L3200" s="4">
        <v>281.3</v>
      </c>
      <c r="M3200" s="1" t="str">
        <f>TEXT(Table1[[#This Row],[Order_Date]], "MMM")</f>
        <v>Aug</v>
      </c>
      <c r="N3200" s="1">
        <f>YEAR(Table1[[#This Row],[Order_Date]])</f>
        <v>2023</v>
      </c>
      <c r="O3200" s="7">
        <f>Table1[[#This Row],[Profit]]/Table1[[#This Row],[Total_Sales]]</f>
        <v>0.37481678880746172</v>
      </c>
    </row>
    <row r="3201" spans="1:15" x14ac:dyDescent="0.25">
      <c r="A3201" s="1">
        <v>3200</v>
      </c>
      <c r="B3201" s="2">
        <v>45039</v>
      </c>
      <c r="C3201" s="1" t="s">
        <v>19</v>
      </c>
      <c r="D3201" s="1" t="s">
        <v>32</v>
      </c>
      <c r="E3201" s="1" t="s">
        <v>41</v>
      </c>
      <c r="F3201" s="1" t="s">
        <v>15</v>
      </c>
      <c r="G3201" s="1">
        <v>5</v>
      </c>
      <c r="H3201" s="1">
        <v>111</v>
      </c>
      <c r="I3201" s="1">
        <v>10</v>
      </c>
      <c r="J3201" s="4">
        <v>499.5</v>
      </c>
      <c r="K3201" s="4">
        <v>387.73</v>
      </c>
      <c r="L3201" s="4">
        <v>111.77</v>
      </c>
      <c r="M3201" s="1" t="str">
        <f>TEXT(Table1[[#This Row],[Order_Date]], "MMM")</f>
        <v>Apr</v>
      </c>
      <c r="N3201" s="1">
        <f>YEAR(Table1[[#This Row],[Order_Date]])</f>
        <v>2023</v>
      </c>
      <c r="O3201" s="7">
        <f>Table1[[#This Row],[Profit]]/Table1[[#This Row],[Total_Sales]]</f>
        <v>0.22376376376376375</v>
      </c>
    </row>
    <row r="3202" spans="1:15" x14ac:dyDescent="0.25">
      <c r="A3202" s="1">
        <v>3201</v>
      </c>
      <c r="B3202" s="2">
        <v>45494</v>
      </c>
      <c r="C3202" s="1" t="s">
        <v>25</v>
      </c>
      <c r="D3202" s="1" t="s">
        <v>13</v>
      </c>
      <c r="E3202" s="1" t="s">
        <v>38</v>
      </c>
      <c r="F3202" s="1" t="s">
        <v>24</v>
      </c>
      <c r="G3202" s="1">
        <v>4</v>
      </c>
      <c r="H3202" s="1">
        <v>952</v>
      </c>
      <c r="I3202" s="1">
        <v>10</v>
      </c>
      <c r="J3202" s="4">
        <v>3427.2</v>
      </c>
      <c r="K3202" s="4">
        <v>2336.29</v>
      </c>
      <c r="L3202" s="4">
        <v>1090.9100000000001</v>
      </c>
      <c r="M3202" s="1" t="str">
        <f>TEXT(Table1[[#This Row],[Order_Date]], "MMM")</f>
        <v>Jul</v>
      </c>
      <c r="N3202" s="1">
        <f>YEAR(Table1[[#This Row],[Order_Date]])</f>
        <v>2024</v>
      </c>
      <c r="O3202" s="7">
        <f>Table1[[#This Row],[Profit]]/Table1[[#This Row],[Total_Sales]]</f>
        <v>0.31830940709617184</v>
      </c>
    </row>
    <row r="3203" spans="1:15" x14ac:dyDescent="0.25">
      <c r="A3203" s="1">
        <v>3202</v>
      </c>
      <c r="B3203" s="2">
        <v>45406</v>
      </c>
      <c r="C3203" s="1" t="s">
        <v>16</v>
      </c>
      <c r="D3203" s="1" t="s">
        <v>20</v>
      </c>
      <c r="E3203" s="1" t="s">
        <v>43</v>
      </c>
      <c r="F3203" s="1" t="s">
        <v>40</v>
      </c>
      <c r="G3203" s="1">
        <v>1</v>
      </c>
      <c r="H3203" s="1">
        <v>671</v>
      </c>
      <c r="I3203" s="1">
        <v>20</v>
      </c>
      <c r="J3203" s="4">
        <v>536.79999999999995</v>
      </c>
      <c r="K3203" s="4">
        <v>296.01</v>
      </c>
      <c r="L3203" s="4">
        <v>240.79</v>
      </c>
      <c r="M3203" s="1" t="str">
        <f>TEXT(Table1[[#This Row],[Order_Date]], "MMM")</f>
        <v>Apr</v>
      </c>
      <c r="N3203" s="1">
        <f>YEAR(Table1[[#This Row],[Order_Date]])</f>
        <v>2024</v>
      </c>
      <c r="O3203" s="7">
        <f>Table1[[#This Row],[Profit]]/Table1[[#This Row],[Total_Sales]]</f>
        <v>0.44856557377049183</v>
      </c>
    </row>
    <row r="3204" spans="1:15" x14ac:dyDescent="0.25">
      <c r="A3204" s="1">
        <v>3203</v>
      </c>
      <c r="B3204" s="2">
        <v>45225</v>
      </c>
      <c r="C3204" s="1" t="s">
        <v>12</v>
      </c>
      <c r="D3204" s="1" t="s">
        <v>22</v>
      </c>
      <c r="E3204" s="1" t="s">
        <v>29</v>
      </c>
      <c r="F3204" s="1" t="s">
        <v>15</v>
      </c>
      <c r="G3204" s="1">
        <v>3</v>
      </c>
      <c r="H3204" s="1">
        <v>660</v>
      </c>
      <c r="I3204" s="1">
        <v>15</v>
      </c>
      <c r="J3204" s="4">
        <v>1683</v>
      </c>
      <c r="K3204" s="4">
        <v>1183.24</v>
      </c>
      <c r="L3204" s="4">
        <v>499.76</v>
      </c>
      <c r="M3204" s="1" t="str">
        <f>TEXT(Table1[[#This Row],[Order_Date]], "MMM")</f>
        <v>Oct</v>
      </c>
      <c r="N3204" s="1">
        <f>YEAR(Table1[[#This Row],[Order_Date]])</f>
        <v>2023</v>
      </c>
      <c r="O3204" s="7">
        <f>Table1[[#This Row],[Profit]]/Table1[[#This Row],[Total_Sales]]</f>
        <v>0.29694592988710633</v>
      </c>
    </row>
    <row r="3205" spans="1:15" x14ac:dyDescent="0.25">
      <c r="A3205" s="1">
        <v>3204</v>
      </c>
      <c r="B3205" s="2">
        <v>45364</v>
      </c>
      <c r="C3205" s="1" t="s">
        <v>19</v>
      </c>
      <c r="D3205" s="1" t="s">
        <v>20</v>
      </c>
      <c r="E3205" s="1" t="s">
        <v>28</v>
      </c>
      <c r="F3205" s="1" t="s">
        <v>31</v>
      </c>
      <c r="G3205" s="1">
        <v>10</v>
      </c>
      <c r="H3205" s="1">
        <v>893</v>
      </c>
      <c r="I3205" s="1">
        <v>5</v>
      </c>
      <c r="J3205" s="4">
        <v>8483.5</v>
      </c>
      <c r="K3205" s="4">
        <v>6267.41</v>
      </c>
      <c r="L3205" s="4">
        <v>2216.09</v>
      </c>
      <c r="M3205" s="1" t="str">
        <f>TEXT(Table1[[#This Row],[Order_Date]], "MMM")</f>
        <v>Mar</v>
      </c>
      <c r="N3205" s="1">
        <f>YEAR(Table1[[#This Row],[Order_Date]])</f>
        <v>2024</v>
      </c>
      <c r="O3205" s="7">
        <f>Table1[[#This Row],[Profit]]/Table1[[#This Row],[Total_Sales]]</f>
        <v>0.26122355160016503</v>
      </c>
    </row>
    <row r="3206" spans="1:15" x14ac:dyDescent="0.25">
      <c r="A3206" s="1">
        <v>3205</v>
      </c>
      <c r="B3206" s="2">
        <v>45018</v>
      </c>
      <c r="C3206" s="1" t="s">
        <v>19</v>
      </c>
      <c r="D3206" s="1" t="s">
        <v>26</v>
      </c>
      <c r="E3206" s="1" t="s">
        <v>37</v>
      </c>
      <c r="F3206" s="1" t="s">
        <v>35</v>
      </c>
      <c r="G3206" s="1">
        <v>10</v>
      </c>
      <c r="H3206" s="1">
        <v>289</v>
      </c>
      <c r="I3206" s="1">
        <v>20</v>
      </c>
      <c r="J3206" s="4">
        <v>2312</v>
      </c>
      <c r="K3206" s="4">
        <v>1215.71</v>
      </c>
      <c r="L3206" s="4">
        <v>1096.29</v>
      </c>
      <c r="M3206" s="1" t="str">
        <f>TEXT(Table1[[#This Row],[Order_Date]], "MMM")</f>
        <v>Apr</v>
      </c>
      <c r="N3206" s="1">
        <f>YEAR(Table1[[#This Row],[Order_Date]])</f>
        <v>2023</v>
      </c>
      <c r="O3206" s="7">
        <f>Table1[[#This Row],[Profit]]/Table1[[#This Row],[Total_Sales]]</f>
        <v>0.47417387543252593</v>
      </c>
    </row>
    <row r="3207" spans="1:15" x14ac:dyDescent="0.25">
      <c r="A3207" s="1">
        <v>3206</v>
      </c>
      <c r="B3207" s="2">
        <v>45427</v>
      </c>
      <c r="C3207" s="1" t="s">
        <v>25</v>
      </c>
      <c r="D3207" s="1" t="s">
        <v>32</v>
      </c>
      <c r="E3207" s="1" t="s">
        <v>41</v>
      </c>
      <c r="F3207" s="1" t="s">
        <v>24</v>
      </c>
      <c r="G3207" s="1">
        <v>2</v>
      </c>
      <c r="H3207" s="1">
        <v>983</v>
      </c>
      <c r="I3207" s="1">
        <v>10</v>
      </c>
      <c r="J3207" s="4">
        <v>1769.4</v>
      </c>
      <c r="K3207" s="4">
        <v>1231.45</v>
      </c>
      <c r="L3207" s="4">
        <v>537.95000000000005</v>
      </c>
      <c r="M3207" s="1" t="str">
        <f>TEXT(Table1[[#This Row],[Order_Date]], "MMM")</f>
        <v>May</v>
      </c>
      <c r="N3207" s="1">
        <f>YEAR(Table1[[#This Row],[Order_Date]])</f>
        <v>2024</v>
      </c>
      <c r="O3207" s="7">
        <f>Table1[[#This Row],[Profit]]/Table1[[#This Row],[Total_Sales]]</f>
        <v>0.30402961455860744</v>
      </c>
    </row>
    <row r="3208" spans="1:15" x14ac:dyDescent="0.25">
      <c r="A3208" s="1">
        <v>3207</v>
      </c>
      <c r="B3208" s="2">
        <v>45485</v>
      </c>
      <c r="C3208" s="1" t="s">
        <v>19</v>
      </c>
      <c r="D3208" s="1" t="s">
        <v>22</v>
      </c>
      <c r="E3208" s="1" t="s">
        <v>23</v>
      </c>
      <c r="F3208" s="1" t="s">
        <v>31</v>
      </c>
      <c r="G3208" s="1">
        <v>8</v>
      </c>
      <c r="H3208" s="1">
        <v>216</v>
      </c>
      <c r="I3208" s="1">
        <v>5</v>
      </c>
      <c r="J3208" s="4">
        <v>1641.6</v>
      </c>
      <c r="K3208" s="4">
        <v>1071.72</v>
      </c>
      <c r="L3208" s="4">
        <v>569.88</v>
      </c>
      <c r="M3208" s="1" t="str">
        <f>TEXT(Table1[[#This Row],[Order_Date]], "MMM")</f>
        <v>Jul</v>
      </c>
      <c r="N3208" s="1">
        <f>YEAR(Table1[[#This Row],[Order_Date]])</f>
        <v>2024</v>
      </c>
      <c r="O3208" s="7">
        <f>Table1[[#This Row],[Profit]]/Table1[[#This Row],[Total_Sales]]</f>
        <v>0.34714912280701754</v>
      </c>
    </row>
    <row r="3209" spans="1:15" x14ac:dyDescent="0.25">
      <c r="A3209" s="1">
        <v>3208</v>
      </c>
      <c r="B3209" s="2">
        <v>45064</v>
      </c>
      <c r="C3209" s="1" t="s">
        <v>19</v>
      </c>
      <c r="D3209" s="1" t="s">
        <v>22</v>
      </c>
      <c r="E3209" s="1" t="s">
        <v>36</v>
      </c>
      <c r="F3209" s="1" t="s">
        <v>18</v>
      </c>
      <c r="G3209" s="1">
        <v>3</v>
      </c>
      <c r="H3209" s="1">
        <v>589</v>
      </c>
      <c r="I3209" s="1">
        <v>0</v>
      </c>
      <c r="J3209" s="4">
        <v>1767</v>
      </c>
      <c r="K3209" s="4">
        <v>883.73</v>
      </c>
      <c r="L3209" s="4">
        <v>883.27</v>
      </c>
      <c r="M3209" s="1" t="str">
        <f>TEXT(Table1[[#This Row],[Order_Date]], "MMM")</f>
        <v>May</v>
      </c>
      <c r="N3209" s="1">
        <f>YEAR(Table1[[#This Row],[Order_Date]])</f>
        <v>2023</v>
      </c>
      <c r="O3209" s="7">
        <f>Table1[[#This Row],[Profit]]/Table1[[#This Row],[Total_Sales]]</f>
        <v>0.49986983588002265</v>
      </c>
    </row>
    <row r="3210" spans="1:15" x14ac:dyDescent="0.25">
      <c r="A3210" s="1">
        <v>3209</v>
      </c>
      <c r="B3210" s="2">
        <v>45068</v>
      </c>
      <c r="C3210" s="1" t="s">
        <v>19</v>
      </c>
      <c r="D3210" s="1" t="s">
        <v>26</v>
      </c>
      <c r="E3210" s="1" t="s">
        <v>46</v>
      </c>
      <c r="F3210" s="1" t="s">
        <v>15</v>
      </c>
      <c r="G3210" s="1">
        <v>6</v>
      </c>
      <c r="H3210" s="1">
        <v>875</v>
      </c>
      <c r="I3210" s="1">
        <v>10</v>
      </c>
      <c r="J3210" s="4">
        <v>4725</v>
      </c>
      <c r="K3210" s="4">
        <v>2974.22</v>
      </c>
      <c r="L3210" s="4">
        <v>1750.78</v>
      </c>
      <c r="M3210" s="1" t="str">
        <f>TEXT(Table1[[#This Row],[Order_Date]], "MMM")</f>
        <v>May</v>
      </c>
      <c r="N3210" s="1">
        <f>YEAR(Table1[[#This Row],[Order_Date]])</f>
        <v>2023</v>
      </c>
      <c r="O3210" s="7">
        <f>Table1[[#This Row],[Profit]]/Table1[[#This Row],[Total_Sales]]</f>
        <v>0.37053544973544972</v>
      </c>
    </row>
    <row r="3211" spans="1:15" x14ac:dyDescent="0.25">
      <c r="A3211" s="1">
        <v>3210</v>
      </c>
      <c r="B3211" s="2">
        <v>44968</v>
      </c>
      <c r="C3211" s="1" t="s">
        <v>12</v>
      </c>
      <c r="D3211" s="1" t="s">
        <v>20</v>
      </c>
      <c r="E3211" s="1" t="s">
        <v>30</v>
      </c>
      <c r="F3211" s="1" t="s">
        <v>24</v>
      </c>
      <c r="G3211" s="1">
        <v>2</v>
      </c>
      <c r="H3211" s="1">
        <v>391</v>
      </c>
      <c r="I3211" s="1">
        <v>5</v>
      </c>
      <c r="J3211" s="4">
        <v>742.9</v>
      </c>
      <c r="K3211" s="4">
        <v>389.74</v>
      </c>
      <c r="L3211" s="4">
        <v>353.16</v>
      </c>
      <c r="M3211" s="1" t="str">
        <f>TEXT(Table1[[#This Row],[Order_Date]], "MMM")</f>
        <v>Feb</v>
      </c>
      <c r="N3211" s="1">
        <f>YEAR(Table1[[#This Row],[Order_Date]])</f>
        <v>2023</v>
      </c>
      <c r="O3211" s="7">
        <f>Table1[[#This Row],[Profit]]/Table1[[#This Row],[Total_Sales]]</f>
        <v>0.47538026652308524</v>
      </c>
    </row>
    <row r="3212" spans="1:15" x14ac:dyDescent="0.25">
      <c r="A3212" s="1">
        <v>3211</v>
      </c>
      <c r="B3212" s="2">
        <v>45188</v>
      </c>
      <c r="C3212" s="1" t="s">
        <v>25</v>
      </c>
      <c r="D3212" s="1" t="s">
        <v>20</v>
      </c>
      <c r="E3212" s="1" t="s">
        <v>21</v>
      </c>
      <c r="F3212" s="1" t="s">
        <v>24</v>
      </c>
      <c r="G3212" s="1">
        <v>3</v>
      </c>
      <c r="H3212" s="1">
        <v>446</v>
      </c>
      <c r="I3212" s="1">
        <v>20</v>
      </c>
      <c r="J3212" s="4">
        <v>1070.4000000000001</v>
      </c>
      <c r="K3212" s="4">
        <v>831.04</v>
      </c>
      <c r="L3212" s="4">
        <v>239.36</v>
      </c>
      <c r="M3212" s="1" t="str">
        <f>TEXT(Table1[[#This Row],[Order_Date]], "MMM")</f>
        <v>Sep</v>
      </c>
      <c r="N3212" s="1">
        <f>YEAR(Table1[[#This Row],[Order_Date]])</f>
        <v>2023</v>
      </c>
      <c r="O3212" s="7">
        <f>Table1[[#This Row],[Profit]]/Table1[[#This Row],[Total_Sales]]</f>
        <v>0.22361733931240657</v>
      </c>
    </row>
    <row r="3213" spans="1:15" x14ac:dyDescent="0.25">
      <c r="A3213" s="1">
        <v>3212</v>
      </c>
      <c r="B3213" s="2">
        <v>45143</v>
      </c>
      <c r="C3213" s="1" t="s">
        <v>12</v>
      </c>
      <c r="D3213" s="1" t="s">
        <v>13</v>
      </c>
      <c r="E3213" s="1" t="s">
        <v>38</v>
      </c>
      <c r="F3213" s="1" t="s">
        <v>40</v>
      </c>
      <c r="G3213" s="1">
        <v>8</v>
      </c>
      <c r="H3213" s="1">
        <v>484</v>
      </c>
      <c r="I3213" s="1">
        <v>0</v>
      </c>
      <c r="J3213" s="4">
        <v>3872</v>
      </c>
      <c r="K3213" s="4">
        <v>3080.08</v>
      </c>
      <c r="L3213" s="4">
        <v>791.92</v>
      </c>
      <c r="M3213" s="1" t="str">
        <f>TEXT(Table1[[#This Row],[Order_Date]], "MMM")</f>
        <v>Aug</v>
      </c>
      <c r="N3213" s="1">
        <f>YEAR(Table1[[#This Row],[Order_Date]])</f>
        <v>2023</v>
      </c>
      <c r="O3213" s="7">
        <f>Table1[[#This Row],[Profit]]/Table1[[#This Row],[Total_Sales]]</f>
        <v>0.20452479338842974</v>
      </c>
    </row>
    <row r="3214" spans="1:15" x14ac:dyDescent="0.25">
      <c r="A3214" s="1">
        <v>3213</v>
      </c>
      <c r="B3214" s="2">
        <v>45317</v>
      </c>
      <c r="C3214" s="1" t="s">
        <v>19</v>
      </c>
      <c r="D3214" s="1" t="s">
        <v>32</v>
      </c>
      <c r="E3214" s="1" t="s">
        <v>34</v>
      </c>
      <c r="F3214" s="1" t="s">
        <v>35</v>
      </c>
      <c r="G3214" s="1">
        <v>9</v>
      </c>
      <c r="H3214" s="1">
        <v>201</v>
      </c>
      <c r="I3214" s="1">
        <v>0</v>
      </c>
      <c r="J3214" s="4">
        <v>1809</v>
      </c>
      <c r="K3214" s="4">
        <v>1027.7</v>
      </c>
      <c r="L3214" s="4">
        <v>781.3</v>
      </c>
      <c r="M3214" s="1" t="str">
        <f>TEXT(Table1[[#This Row],[Order_Date]], "MMM")</f>
        <v>Jan</v>
      </c>
      <c r="N3214" s="1">
        <f>YEAR(Table1[[#This Row],[Order_Date]])</f>
        <v>2024</v>
      </c>
      <c r="O3214" s="7">
        <f>Table1[[#This Row],[Profit]]/Table1[[#This Row],[Total_Sales]]</f>
        <v>0.43189607517965722</v>
      </c>
    </row>
    <row r="3215" spans="1:15" x14ac:dyDescent="0.25">
      <c r="A3215" s="1">
        <v>3214</v>
      </c>
      <c r="B3215" s="2">
        <v>45530</v>
      </c>
      <c r="C3215" s="1" t="s">
        <v>25</v>
      </c>
      <c r="D3215" s="1" t="s">
        <v>13</v>
      </c>
      <c r="E3215" s="1" t="s">
        <v>14</v>
      </c>
      <c r="F3215" s="1" t="s">
        <v>24</v>
      </c>
      <c r="G3215" s="1">
        <v>9</v>
      </c>
      <c r="H3215" s="1">
        <v>392</v>
      </c>
      <c r="I3215" s="1">
        <v>10</v>
      </c>
      <c r="J3215" s="4">
        <v>3175.2</v>
      </c>
      <c r="K3215" s="4">
        <v>2027.02</v>
      </c>
      <c r="L3215" s="4">
        <v>1148.18</v>
      </c>
      <c r="M3215" s="1" t="str">
        <f>TEXT(Table1[[#This Row],[Order_Date]], "MMM")</f>
        <v>Aug</v>
      </c>
      <c r="N3215" s="1">
        <f>YEAR(Table1[[#This Row],[Order_Date]])</f>
        <v>2024</v>
      </c>
      <c r="O3215" s="7">
        <f>Table1[[#This Row],[Profit]]/Table1[[#This Row],[Total_Sales]]</f>
        <v>0.36160871756109858</v>
      </c>
    </row>
    <row r="3216" spans="1:15" x14ac:dyDescent="0.25">
      <c r="A3216" s="1">
        <v>3215</v>
      </c>
      <c r="B3216" s="2">
        <v>45362</v>
      </c>
      <c r="C3216" s="1" t="s">
        <v>12</v>
      </c>
      <c r="D3216" s="1" t="s">
        <v>26</v>
      </c>
      <c r="E3216" s="1" t="s">
        <v>42</v>
      </c>
      <c r="F3216" s="1" t="s">
        <v>24</v>
      </c>
      <c r="G3216" s="1">
        <v>9</v>
      </c>
      <c r="H3216" s="1">
        <v>225</v>
      </c>
      <c r="I3216" s="1">
        <v>15</v>
      </c>
      <c r="J3216" s="4">
        <v>1721.25</v>
      </c>
      <c r="K3216" s="4">
        <v>1149.31</v>
      </c>
      <c r="L3216" s="4">
        <v>571.94000000000005</v>
      </c>
      <c r="M3216" s="1" t="str">
        <f>TEXT(Table1[[#This Row],[Order_Date]], "MMM")</f>
        <v>Mar</v>
      </c>
      <c r="N3216" s="1">
        <f>YEAR(Table1[[#This Row],[Order_Date]])</f>
        <v>2024</v>
      </c>
      <c r="O3216" s="7">
        <f>Table1[[#This Row],[Profit]]/Table1[[#This Row],[Total_Sales]]</f>
        <v>0.33228177196804654</v>
      </c>
    </row>
    <row r="3217" spans="1:15" x14ac:dyDescent="0.25">
      <c r="A3217" s="1">
        <v>3216</v>
      </c>
      <c r="B3217" s="2">
        <v>45529</v>
      </c>
      <c r="C3217" s="1" t="s">
        <v>12</v>
      </c>
      <c r="D3217" s="1" t="s">
        <v>13</v>
      </c>
      <c r="E3217" s="1" t="s">
        <v>38</v>
      </c>
      <c r="F3217" s="1" t="s">
        <v>35</v>
      </c>
      <c r="G3217" s="1">
        <v>9</v>
      </c>
      <c r="H3217" s="1">
        <v>274</v>
      </c>
      <c r="I3217" s="1">
        <v>20</v>
      </c>
      <c r="J3217" s="4">
        <v>1972.8</v>
      </c>
      <c r="K3217" s="4">
        <v>1320.52</v>
      </c>
      <c r="L3217" s="4">
        <v>652.28</v>
      </c>
      <c r="M3217" s="1" t="str">
        <f>TEXT(Table1[[#This Row],[Order_Date]], "MMM")</f>
        <v>Aug</v>
      </c>
      <c r="N3217" s="1">
        <f>YEAR(Table1[[#This Row],[Order_Date]])</f>
        <v>2024</v>
      </c>
      <c r="O3217" s="7">
        <f>Table1[[#This Row],[Profit]]/Table1[[#This Row],[Total_Sales]]</f>
        <v>0.33063665855636659</v>
      </c>
    </row>
    <row r="3218" spans="1:15" x14ac:dyDescent="0.25">
      <c r="A3218" s="1">
        <v>3217</v>
      </c>
      <c r="B3218" s="2">
        <v>45051</v>
      </c>
      <c r="C3218" s="1" t="s">
        <v>16</v>
      </c>
      <c r="D3218" s="1" t="s">
        <v>22</v>
      </c>
      <c r="E3218" s="1" t="s">
        <v>23</v>
      </c>
      <c r="F3218" s="1" t="s">
        <v>24</v>
      </c>
      <c r="G3218" s="1">
        <v>6</v>
      </c>
      <c r="H3218" s="1">
        <v>827</v>
      </c>
      <c r="I3218" s="1">
        <v>20</v>
      </c>
      <c r="J3218" s="4">
        <v>3969.6</v>
      </c>
      <c r="K3218" s="4">
        <v>2724.95</v>
      </c>
      <c r="L3218" s="4">
        <v>1244.6500000000001</v>
      </c>
      <c r="M3218" s="1" t="str">
        <f>TEXT(Table1[[#This Row],[Order_Date]], "MMM")</f>
        <v>May</v>
      </c>
      <c r="N3218" s="1">
        <f>YEAR(Table1[[#This Row],[Order_Date]])</f>
        <v>2023</v>
      </c>
      <c r="O3218" s="7">
        <f>Table1[[#This Row],[Profit]]/Table1[[#This Row],[Total_Sales]]</f>
        <v>0.31354544538492546</v>
      </c>
    </row>
    <row r="3219" spans="1:15" x14ac:dyDescent="0.25">
      <c r="A3219" s="1">
        <v>3218</v>
      </c>
      <c r="B3219" s="2">
        <v>45160</v>
      </c>
      <c r="C3219" s="1" t="s">
        <v>12</v>
      </c>
      <c r="D3219" s="1" t="s">
        <v>13</v>
      </c>
      <c r="E3219" s="1" t="s">
        <v>38</v>
      </c>
      <c r="F3219" s="1" t="s">
        <v>40</v>
      </c>
      <c r="G3219" s="1">
        <v>8</v>
      </c>
      <c r="H3219" s="1">
        <v>104</v>
      </c>
      <c r="I3219" s="1">
        <v>0</v>
      </c>
      <c r="J3219" s="4">
        <v>832</v>
      </c>
      <c r="K3219" s="4">
        <v>451.71</v>
      </c>
      <c r="L3219" s="4">
        <v>380.29</v>
      </c>
      <c r="M3219" s="1" t="str">
        <f>TEXT(Table1[[#This Row],[Order_Date]], "MMM")</f>
        <v>Aug</v>
      </c>
      <c r="N3219" s="1">
        <f>YEAR(Table1[[#This Row],[Order_Date]])</f>
        <v>2023</v>
      </c>
      <c r="O3219" s="7">
        <f>Table1[[#This Row],[Profit]]/Table1[[#This Row],[Total_Sales]]</f>
        <v>0.45707932692307696</v>
      </c>
    </row>
    <row r="3220" spans="1:15" x14ac:dyDescent="0.25">
      <c r="A3220" s="1">
        <v>3219</v>
      </c>
      <c r="B3220" s="2">
        <v>45566</v>
      </c>
      <c r="C3220" s="1" t="s">
        <v>12</v>
      </c>
      <c r="D3220" s="1" t="s">
        <v>13</v>
      </c>
      <c r="E3220" s="1" t="s">
        <v>39</v>
      </c>
      <c r="F3220" s="1" t="s">
        <v>35</v>
      </c>
      <c r="G3220" s="1">
        <v>3</v>
      </c>
      <c r="H3220" s="1">
        <v>172</v>
      </c>
      <c r="I3220" s="1">
        <v>15</v>
      </c>
      <c r="J3220" s="4">
        <v>438.6</v>
      </c>
      <c r="K3220" s="4">
        <v>337.98</v>
      </c>
      <c r="L3220" s="4">
        <v>100.62</v>
      </c>
      <c r="M3220" s="1" t="str">
        <f>TEXT(Table1[[#This Row],[Order_Date]], "MMM")</f>
        <v>Oct</v>
      </c>
      <c r="N3220" s="1">
        <f>YEAR(Table1[[#This Row],[Order_Date]])</f>
        <v>2024</v>
      </c>
      <c r="O3220" s="7">
        <f>Table1[[#This Row],[Profit]]/Table1[[#This Row],[Total_Sales]]</f>
        <v>0.22941176470588234</v>
      </c>
    </row>
    <row r="3221" spans="1:15" x14ac:dyDescent="0.25">
      <c r="A3221" s="1">
        <v>3220</v>
      </c>
      <c r="B3221" s="2">
        <v>45358</v>
      </c>
      <c r="C3221" s="1" t="s">
        <v>16</v>
      </c>
      <c r="D3221" s="1" t="s">
        <v>13</v>
      </c>
      <c r="E3221" s="1" t="s">
        <v>14</v>
      </c>
      <c r="F3221" s="1" t="s">
        <v>18</v>
      </c>
      <c r="G3221" s="1">
        <v>8</v>
      </c>
      <c r="H3221" s="1">
        <v>56</v>
      </c>
      <c r="I3221" s="1">
        <v>0</v>
      </c>
      <c r="J3221" s="4">
        <v>448</v>
      </c>
      <c r="K3221" s="4">
        <v>253.7</v>
      </c>
      <c r="L3221" s="4">
        <v>194.3</v>
      </c>
      <c r="M3221" s="1" t="str">
        <f>TEXT(Table1[[#This Row],[Order_Date]], "MMM")</f>
        <v>Mar</v>
      </c>
      <c r="N3221" s="1">
        <f>YEAR(Table1[[#This Row],[Order_Date]])</f>
        <v>2024</v>
      </c>
      <c r="O3221" s="7">
        <f>Table1[[#This Row],[Profit]]/Table1[[#This Row],[Total_Sales]]</f>
        <v>0.43370535714285718</v>
      </c>
    </row>
    <row r="3222" spans="1:15" x14ac:dyDescent="0.25">
      <c r="A3222" s="1">
        <v>3221</v>
      </c>
      <c r="B3222" s="2">
        <v>45007</v>
      </c>
      <c r="C3222" s="1" t="s">
        <v>12</v>
      </c>
      <c r="D3222" s="1" t="s">
        <v>20</v>
      </c>
      <c r="E3222" s="1" t="s">
        <v>21</v>
      </c>
      <c r="F3222" s="1" t="s">
        <v>40</v>
      </c>
      <c r="G3222" s="1">
        <v>2</v>
      </c>
      <c r="H3222" s="1">
        <v>911</v>
      </c>
      <c r="I3222" s="1">
        <v>20</v>
      </c>
      <c r="J3222" s="4">
        <v>1457.6</v>
      </c>
      <c r="K3222" s="4">
        <v>804.02</v>
      </c>
      <c r="L3222" s="4">
        <v>653.58000000000004</v>
      </c>
      <c r="M3222" s="1" t="str">
        <f>TEXT(Table1[[#This Row],[Order_Date]], "MMM")</f>
        <v>Mar</v>
      </c>
      <c r="N3222" s="1">
        <f>YEAR(Table1[[#This Row],[Order_Date]])</f>
        <v>2023</v>
      </c>
      <c r="O3222" s="7">
        <f>Table1[[#This Row],[Profit]]/Table1[[#This Row],[Total_Sales]]</f>
        <v>0.44839462129527996</v>
      </c>
    </row>
    <row r="3223" spans="1:15" x14ac:dyDescent="0.25">
      <c r="A3223" s="1">
        <v>3222</v>
      </c>
      <c r="B3223" s="2">
        <v>45299</v>
      </c>
      <c r="C3223" s="1" t="s">
        <v>12</v>
      </c>
      <c r="D3223" s="1" t="s">
        <v>22</v>
      </c>
      <c r="E3223" s="1" t="s">
        <v>44</v>
      </c>
      <c r="F3223" s="1" t="s">
        <v>24</v>
      </c>
      <c r="G3223" s="1">
        <v>10</v>
      </c>
      <c r="H3223" s="1">
        <v>677</v>
      </c>
      <c r="I3223" s="1">
        <v>5</v>
      </c>
      <c r="J3223" s="4">
        <v>6431.5</v>
      </c>
      <c r="K3223" s="4">
        <v>3675.41</v>
      </c>
      <c r="L3223" s="4">
        <v>2756.09</v>
      </c>
      <c r="M3223" s="1" t="str">
        <f>TEXT(Table1[[#This Row],[Order_Date]], "MMM")</f>
        <v>Jan</v>
      </c>
      <c r="N3223" s="1">
        <f>YEAR(Table1[[#This Row],[Order_Date]])</f>
        <v>2024</v>
      </c>
      <c r="O3223" s="7">
        <f>Table1[[#This Row],[Profit]]/Table1[[#This Row],[Total_Sales]]</f>
        <v>0.42852989193811708</v>
      </c>
    </row>
    <row r="3224" spans="1:15" x14ac:dyDescent="0.25">
      <c r="A3224" s="1">
        <v>3223</v>
      </c>
      <c r="B3224" s="2">
        <v>45006</v>
      </c>
      <c r="C3224" s="1" t="s">
        <v>12</v>
      </c>
      <c r="D3224" s="1" t="s">
        <v>32</v>
      </c>
      <c r="E3224" s="1" t="s">
        <v>33</v>
      </c>
      <c r="F3224" s="1" t="s">
        <v>31</v>
      </c>
      <c r="G3224" s="1">
        <v>9</v>
      </c>
      <c r="H3224" s="1">
        <v>728</v>
      </c>
      <c r="I3224" s="1">
        <v>0</v>
      </c>
      <c r="J3224" s="4">
        <v>6552</v>
      </c>
      <c r="K3224" s="4">
        <v>4670.54</v>
      </c>
      <c r="L3224" s="4">
        <v>1881.46</v>
      </c>
      <c r="M3224" s="1" t="str">
        <f>TEXT(Table1[[#This Row],[Order_Date]], "MMM")</f>
        <v>Mar</v>
      </c>
      <c r="N3224" s="1">
        <f>YEAR(Table1[[#This Row],[Order_Date]])</f>
        <v>2023</v>
      </c>
      <c r="O3224" s="7">
        <f>Table1[[#This Row],[Profit]]/Table1[[#This Row],[Total_Sales]]</f>
        <v>0.28715811965811966</v>
      </c>
    </row>
    <row r="3225" spans="1:15" x14ac:dyDescent="0.25">
      <c r="A3225" s="1">
        <v>3224</v>
      </c>
      <c r="B3225" s="2">
        <v>45122</v>
      </c>
      <c r="C3225" s="1" t="s">
        <v>19</v>
      </c>
      <c r="D3225" s="1" t="s">
        <v>20</v>
      </c>
      <c r="E3225" s="1" t="s">
        <v>30</v>
      </c>
      <c r="F3225" s="1" t="s">
        <v>15</v>
      </c>
      <c r="G3225" s="1">
        <v>2</v>
      </c>
      <c r="H3225" s="1">
        <v>165</v>
      </c>
      <c r="I3225" s="1">
        <v>20</v>
      </c>
      <c r="J3225" s="4">
        <v>264</v>
      </c>
      <c r="K3225" s="4">
        <v>145.88999999999999</v>
      </c>
      <c r="L3225" s="4">
        <v>118.11</v>
      </c>
      <c r="M3225" s="1" t="str">
        <f>TEXT(Table1[[#This Row],[Order_Date]], "MMM")</f>
        <v>Jul</v>
      </c>
      <c r="N3225" s="1">
        <f>YEAR(Table1[[#This Row],[Order_Date]])</f>
        <v>2023</v>
      </c>
      <c r="O3225" s="7">
        <f>Table1[[#This Row],[Profit]]/Table1[[#This Row],[Total_Sales]]</f>
        <v>0.44738636363636364</v>
      </c>
    </row>
    <row r="3226" spans="1:15" x14ac:dyDescent="0.25">
      <c r="A3226" s="1">
        <v>3225</v>
      </c>
      <c r="B3226" s="2">
        <v>45356</v>
      </c>
      <c r="C3226" s="1" t="s">
        <v>16</v>
      </c>
      <c r="D3226" s="1" t="s">
        <v>26</v>
      </c>
      <c r="E3226" s="1" t="s">
        <v>37</v>
      </c>
      <c r="F3226" s="1" t="s">
        <v>15</v>
      </c>
      <c r="G3226" s="1">
        <v>9</v>
      </c>
      <c r="H3226" s="1">
        <v>791</v>
      </c>
      <c r="I3226" s="1">
        <v>5</v>
      </c>
      <c r="J3226" s="4">
        <v>6763.05</v>
      </c>
      <c r="K3226" s="4">
        <v>5229.6899999999996</v>
      </c>
      <c r="L3226" s="4">
        <v>1533.36</v>
      </c>
      <c r="M3226" s="1" t="str">
        <f>TEXT(Table1[[#This Row],[Order_Date]], "MMM")</f>
        <v>Mar</v>
      </c>
      <c r="N3226" s="1">
        <f>YEAR(Table1[[#This Row],[Order_Date]])</f>
        <v>2024</v>
      </c>
      <c r="O3226" s="7">
        <f>Table1[[#This Row],[Profit]]/Table1[[#This Row],[Total_Sales]]</f>
        <v>0.22672610730365736</v>
      </c>
    </row>
    <row r="3227" spans="1:15" x14ac:dyDescent="0.25">
      <c r="A3227" s="1">
        <v>3226</v>
      </c>
      <c r="B3227" s="2">
        <v>45383</v>
      </c>
      <c r="C3227" s="1" t="s">
        <v>12</v>
      </c>
      <c r="D3227" s="1" t="s">
        <v>32</v>
      </c>
      <c r="E3227" s="1" t="s">
        <v>33</v>
      </c>
      <c r="F3227" s="1" t="s">
        <v>18</v>
      </c>
      <c r="G3227" s="1">
        <v>3</v>
      </c>
      <c r="H3227" s="1">
        <v>446</v>
      </c>
      <c r="I3227" s="1">
        <v>0</v>
      </c>
      <c r="J3227" s="4">
        <v>1338</v>
      </c>
      <c r="K3227" s="4">
        <v>1030.6199999999999</v>
      </c>
      <c r="L3227" s="4">
        <v>307.38</v>
      </c>
      <c r="M3227" s="1" t="str">
        <f>TEXT(Table1[[#This Row],[Order_Date]], "MMM")</f>
        <v>Apr</v>
      </c>
      <c r="N3227" s="1">
        <f>YEAR(Table1[[#This Row],[Order_Date]])</f>
        <v>2024</v>
      </c>
      <c r="O3227" s="7">
        <f>Table1[[#This Row],[Profit]]/Table1[[#This Row],[Total_Sales]]</f>
        <v>0.22973094170403588</v>
      </c>
    </row>
    <row r="3228" spans="1:15" x14ac:dyDescent="0.25">
      <c r="A3228" s="1">
        <v>3227</v>
      </c>
      <c r="B3228" s="2">
        <v>45034</v>
      </c>
      <c r="C3228" s="1" t="s">
        <v>12</v>
      </c>
      <c r="D3228" s="1" t="s">
        <v>13</v>
      </c>
      <c r="E3228" s="1" t="s">
        <v>38</v>
      </c>
      <c r="F3228" s="1" t="s">
        <v>18</v>
      </c>
      <c r="G3228" s="1">
        <v>4</v>
      </c>
      <c r="H3228" s="1">
        <v>936</v>
      </c>
      <c r="I3228" s="1">
        <v>5</v>
      </c>
      <c r="J3228" s="4">
        <v>3556.8</v>
      </c>
      <c r="K3228" s="4">
        <v>2273.71</v>
      </c>
      <c r="L3228" s="4">
        <v>1283.0899999999999</v>
      </c>
      <c r="M3228" s="1" t="str">
        <f>TEXT(Table1[[#This Row],[Order_Date]], "MMM")</f>
        <v>Apr</v>
      </c>
      <c r="N3228" s="1">
        <f>YEAR(Table1[[#This Row],[Order_Date]])</f>
        <v>2023</v>
      </c>
      <c r="O3228" s="7">
        <f>Table1[[#This Row],[Profit]]/Table1[[#This Row],[Total_Sales]]</f>
        <v>0.36074280251911828</v>
      </c>
    </row>
    <row r="3229" spans="1:15" x14ac:dyDescent="0.25">
      <c r="A3229" s="1">
        <v>3228</v>
      </c>
      <c r="B3229" s="2">
        <v>45427</v>
      </c>
      <c r="C3229" s="1" t="s">
        <v>12</v>
      </c>
      <c r="D3229" s="1" t="s">
        <v>13</v>
      </c>
      <c r="E3229" s="1" t="s">
        <v>14</v>
      </c>
      <c r="F3229" s="1" t="s">
        <v>15</v>
      </c>
      <c r="G3229" s="1">
        <v>7</v>
      </c>
      <c r="H3229" s="1">
        <v>560</v>
      </c>
      <c r="I3229" s="1">
        <v>0</v>
      </c>
      <c r="J3229" s="4">
        <v>3920</v>
      </c>
      <c r="K3229" s="4">
        <v>2034.43</v>
      </c>
      <c r="L3229" s="4">
        <v>1885.57</v>
      </c>
      <c r="M3229" s="1" t="str">
        <f>TEXT(Table1[[#This Row],[Order_Date]], "MMM")</f>
        <v>May</v>
      </c>
      <c r="N3229" s="1">
        <f>YEAR(Table1[[#This Row],[Order_Date]])</f>
        <v>2024</v>
      </c>
      <c r="O3229" s="7">
        <f>Table1[[#This Row],[Profit]]/Table1[[#This Row],[Total_Sales]]</f>
        <v>0.48101275510204078</v>
      </c>
    </row>
    <row r="3230" spans="1:15" x14ac:dyDescent="0.25">
      <c r="A3230" s="1">
        <v>3229</v>
      </c>
      <c r="B3230" s="2">
        <v>45244</v>
      </c>
      <c r="C3230" s="1" t="s">
        <v>16</v>
      </c>
      <c r="D3230" s="1" t="s">
        <v>32</v>
      </c>
      <c r="E3230" s="1" t="s">
        <v>33</v>
      </c>
      <c r="F3230" s="1" t="s">
        <v>15</v>
      </c>
      <c r="G3230" s="1">
        <v>2</v>
      </c>
      <c r="H3230" s="1">
        <v>261</v>
      </c>
      <c r="I3230" s="1">
        <v>15</v>
      </c>
      <c r="J3230" s="4">
        <v>443.7</v>
      </c>
      <c r="K3230" s="4">
        <v>326.01</v>
      </c>
      <c r="L3230" s="4">
        <v>117.69</v>
      </c>
      <c r="M3230" s="1" t="str">
        <f>TEXT(Table1[[#This Row],[Order_Date]], "MMM")</f>
        <v>Nov</v>
      </c>
      <c r="N3230" s="1">
        <f>YEAR(Table1[[#This Row],[Order_Date]])</f>
        <v>2023</v>
      </c>
      <c r="O3230" s="7">
        <f>Table1[[#This Row],[Profit]]/Table1[[#This Row],[Total_Sales]]</f>
        <v>0.26524678837052063</v>
      </c>
    </row>
    <row r="3231" spans="1:15" x14ac:dyDescent="0.25">
      <c r="A3231" s="1">
        <v>3230</v>
      </c>
      <c r="B3231" s="2">
        <v>45503</v>
      </c>
      <c r="C3231" s="1" t="s">
        <v>16</v>
      </c>
      <c r="D3231" s="1" t="s">
        <v>13</v>
      </c>
      <c r="E3231" s="1" t="s">
        <v>17</v>
      </c>
      <c r="F3231" s="1" t="s">
        <v>24</v>
      </c>
      <c r="G3231" s="1">
        <v>4</v>
      </c>
      <c r="H3231" s="1">
        <v>452</v>
      </c>
      <c r="I3231" s="1">
        <v>0</v>
      </c>
      <c r="J3231" s="4">
        <v>1808</v>
      </c>
      <c r="K3231" s="4">
        <v>1066.1500000000001</v>
      </c>
      <c r="L3231" s="4">
        <v>741.85</v>
      </c>
      <c r="M3231" s="1" t="str">
        <f>TEXT(Table1[[#This Row],[Order_Date]], "MMM")</f>
        <v>Jul</v>
      </c>
      <c r="N3231" s="1">
        <f>YEAR(Table1[[#This Row],[Order_Date]])</f>
        <v>2024</v>
      </c>
      <c r="O3231" s="7">
        <f>Table1[[#This Row],[Profit]]/Table1[[#This Row],[Total_Sales]]</f>
        <v>0.4103152654867257</v>
      </c>
    </row>
    <row r="3232" spans="1:15" x14ac:dyDescent="0.25">
      <c r="A3232" s="1">
        <v>3231</v>
      </c>
      <c r="B3232" s="2">
        <v>45027</v>
      </c>
      <c r="C3232" s="1" t="s">
        <v>25</v>
      </c>
      <c r="D3232" s="1" t="s">
        <v>20</v>
      </c>
      <c r="E3232" s="1" t="s">
        <v>28</v>
      </c>
      <c r="F3232" s="1" t="s">
        <v>40</v>
      </c>
      <c r="G3232" s="1">
        <v>8</v>
      </c>
      <c r="H3232" s="1">
        <v>395</v>
      </c>
      <c r="I3232" s="1">
        <v>15</v>
      </c>
      <c r="J3232" s="4">
        <v>2686</v>
      </c>
      <c r="K3232" s="4">
        <v>1798.04</v>
      </c>
      <c r="L3232" s="4">
        <v>887.96</v>
      </c>
      <c r="M3232" s="1" t="str">
        <f>TEXT(Table1[[#This Row],[Order_Date]], "MMM")</f>
        <v>Apr</v>
      </c>
      <c r="N3232" s="1">
        <f>YEAR(Table1[[#This Row],[Order_Date]])</f>
        <v>2023</v>
      </c>
      <c r="O3232" s="7">
        <f>Table1[[#This Row],[Profit]]/Table1[[#This Row],[Total_Sales]]</f>
        <v>0.33058823529411768</v>
      </c>
    </row>
    <row r="3233" spans="1:15" x14ac:dyDescent="0.25">
      <c r="A3233" s="1">
        <v>3232</v>
      </c>
      <c r="B3233" s="2">
        <v>45641</v>
      </c>
      <c r="C3233" s="1" t="s">
        <v>25</v>
      </c>
      <c r="D3233" s="1" t="s">
        <v>20</v>
      </c>
      <c r="E3233" s="1" t="s">
        <v>21</v>
      </c>
      <c r="F3233" s="1" t="s">
        <v>31</v>
      </c>
      <c r="G3233" s="1">
        <v>1</v>
      </c>
      <c r="H3233" s="1">
        <v>120</v>
      </c>
      <c r="I3233" s="1">
        <v>5</v>
      </c>
      <c r="J3233" s="4">
        <v>114</v>
      </c>
      <c r="K3233" s="4">
        <v>63.81</v>
      </c>
      <c r="L3233" s="4">
        <v>50.19</v>
      </c>
      <c r="M3233" s="1" t="str">
        <f>TEXT(Table1[[#This Row],[Order_Date]], "MMM")</f>
        <v>Dec</v>
      </c>
      <c r="N3233" s="1">
        <f>YEAR(Table1[[#This Row],[Order_Date]])</f>
        <v>2024</v>
      </c>
      <c r="O3233" s="7">
        <f>Table1[[#This Row],[Profit]]/Table1[[#This Row],[Total_Sales]]</f>
        <v>0.4402631578947368</v>
      </c>
    </row>
    <row r="3234" spans="1:15" x14ac:dyDescent="0.25">
      <c r="A3234" s="1">
        <v>3233</v>
      </c>
      <c r="B3234" s="2">
        <v>45564</v>
      </c>
      <c r="C3234" s="1" t="s">
        <v>25</v>
      </c>
      <c r="D3234" s="1" t="s">
        <v>20</v>
      </c>
      <c r="E3234" s="1" t="s">
        <v>43</v>
      </c>
      <c r="F3234" s="1" t="s">
        <v>15</v>
      </c>
      <c r="G3234" s="1">
        <v>7</v>
      </c>
      <c r="H3234" s="1">
        <v>161</v>
      </c>
      <c r="I3234" s="1">
        <v>5</v>
      </c>
      <c r="J3234" s="4">
        <v>1070.6500000000001</v>
      </c>
      <c r="K3234" s="4">
        <v>645.13</v>
      </c>
      <c r="L3234" s="4">
        <v>425.52</v>
      </c>
      <c r="M3234" s="1" t="str">
        <f>TEXT(Table1[[#This Row],[Order_Date]], "MMM")</f>
        <v>Sep</v>
      </c>
      <c r="N3234" s="1">
        <f>YEAR(Table1[[#This Row],[Order_Date]])</f>
        <v>2024</v>
      </c>
      <c r="O3234" s="7">
        <f>Table1[[#This Row],[Profit]]/Table1[[#This Row],[Total_Sales]]</f>
        <v>0.3974408069864101</v>
      </c>
    </row>
    <row r="3235" spans="1:15" x14ac:dyDescent="0.25">
      <c r="A3235" s="1">
        <v>3234</v>
      </c>
      <c r="B3235" s="2">
        <v>45004</v>
      </c>
      <c r="C3235" s="1" t="s">
        <v>16</v>
      </c>
      <c r="D3235" s="1" t="s">
        <v>20</v>
      </c>
      <c r="E3235" s="1" t="s">
        <v>43</v>
      </c>
      <c r="F3235" s="1" t="s">
        <v>35</v>
      </c>
      <c r="G3235" s="1">
        <v>2</v>
      </c>
      <c r="H3235" s="1">
        <v>379</v>
      </c>
      <c r="I3235" s="1">
        <v>5</v>
      </c>
      <c r="J3235" s="4">
        <v>720.1</v>
      </c>
      <c r="K3235" s="4">
        <v>570.87</v>
      </c>
      <c r="L3235" s="4">
        <v>149.22999999999999</v>
      </c>
      <c r="M3235" s="1" t="str">
        <f>TEXT(Table1[[#This Row],[Order_Date]], "MMM")</f>
        <v>Mar</v>
      </c>
      <c r="N3235" s="1">
        <f>YEAR(Table1[[#This Row],[Order_Date]])</f>
        <v>2023</v>
      </c>
      <c r="O3235" s="7">
        <f>Table1[[#This Row],[Profit]]/Table1[[#This Row],[Total_Sales]]</f>
        <v>0.20723510623524508</v>
      </c>
    </row>
    <row r="3236" spans="1:15" x14ac:dyDescent="0.25">
      <c r="A3236" s="1">
        <v>3235</v>
      </c>
      <c r="B3236" s="2">
        <v>45030</v>
      </c>
      <c r="C3236" s="1" t="s">
        <v>25</v>
      </c>
      <c r="D3236" s="1" t="s">
        <v>13</v>
      </c>
      <c r="E3236" s="1" t="s">
        <v>14</v>
      </c>
      <c r="F3236" s="1" t="s">
        <v>15</v>
      </c>
      <c r="G3236" s="1">
        <v>7</v>
      </c>
      <c r="H3236" s="1">
        <v>649</v>
      </c>
      <c r="I3236" s="1">
        <v>10</v>
      </c>
      <c r="J3236" s="4">
        <v>4088.7</v>
      </c>
      <c r="K3236" s="4">
        <v>2543.4499999999998</v>
      </c>
      <c r="L3236" s="4">
        <v>1545.25</v>
      </c>
      <c r="M3236" s="1" t="str">
        <f>TEXT(Table1[[#This Row],[Order_Date]], "MMM")</f>
        <v>Apr</v>
      </c>
      <c r="N3236" s="1">
        <f>YEAR(Table1[[#This Row],[Order_Date]])</f>
        <v>2023</v>
      </c>
      <c r="O3236" s="7">
        <f>Table1[[#This Row],[Profit]]/Table1[[#This Row],[Total_Sales]]</f>
        <v>0.37793186098270848</v>
      </c>
    </row>
    <row r="3237" spans="1:15" x14ac:dyDescent="0.25">
      <c r="A3237" s="1">
        <v>3236</v>
      </c>
      <c r="B3237" s="2">
        <v>44968</v>
      </c>
      <c r="C3237" s="1" t="s">
        <v>16</v>
      </c>
      <c r="D3237" s="1" t="s">
        <v>26</v>
      </c>
      <c r="E3237" s="1" t="s">
        <v>27</v>
      </c>
      <c r="F3237" s="1" t="s">
        <v>40</v>
      </c>
      <c r="G3237" s="1">
        <v>2</v>
      </c>
      <c r="H3237" s="1">
        <v>786</v>
      </c>
      <c r="I3237" s="1">
        <v>5</v>
      </c>
      <c r="J3237" s="4">
        <v>1493.4</v>
      </c>
      <c r="K3237" s="4">
        <v>942.11</v>
      </c>
      <c r="L3237" s="4">
        <v>551.29</v>
      </c>
      <c r="M3237" s="1" t="str">
        <f>TEXT(Table1[[#This Row],[Order_Date]], "MMM")</f>
        <v>Feb</v>
      </c>
      <c r="N3237" s="1">
        <f>YEAR(Table1[[#This Row],[Order_Date]])</f>
        <v>2023</v>
      </c>
      <c r="O3237" s="7">
        <f>Table1[[#This Row],[Profit]]/Table1[[#This Row],[Total_Sales]]</f>
        <v>0.36915093076201949</v>
      </c>
    </row>
    <row r="3238" spans="1:15" x14ac:dyDescent="0.25">
      <c r="A3238" s="1">
        <v>3237</v>
      </c>
      <c r="B3238" s="2">
        <v>45177</v>
      </c>
      <c r="C3238" s="1" t="s">
        <v>25</v>
      </c>
      <c r="D3238" s="1" t="s">
        <v>26</v>
      </c>
      <c r="E3238" s="1" t="s">
        <v>42</v>
      </c>
      <c r="F3238" s="1" t="s">
        <v>24</v>
      </c>
      <c r="G3238" s="1">
        <v>1</v>
      </c>
      <c r="H3238" s="1">
        <v>796</v>
      </c>
      <c r="I3238" s="1">
        <v>5</v>
      </c>
      <c r="J3238" s="4">
        <v>756.2</v>
      </c>
      <c r="K3238" s="4">
        <v>419.56</v>
      </c>
      <c r="L3238" s="4">
        <v>336.64</v>
      </c>
      <c r="M3238" s="1" t="str">
        <f>TEXT(Table1[[#This Row],[Order_Date]], "MMM")</f>
        <v>Sep</v>
      </c>
      <c r="N3238" s="1">
        <f>YEAR(Table1[[#This Row],[Order_Date]])</f>
        <v>2023</v>
      </c>
      <c r="O3238" s="7">
        <f>Table1[[#This Row],[Profit]]/Table1[[#This Row],[Total_Sales]]</f>
        <v>0.44517323459402269</v>
      </c>
    </row>
    <row r="3239" spans="1:15" x14ac:dyDescent="0.25">
      <c r="A3239" s="1">
        <v>3238</v>
      </c>
      <c r="B3239" s="2">
        <v>45337</v>
      </c>
      <c r="C3239" s="1" t="s">
        <v>19</v>
      </c>
      <c r="D3239" s="1" t="s">
        <v>20</v>
      </c>
      <c r="E3239" s="1" t="s">
        <v>30</v>
      </c>
      <c r="F3239" s="1" t="s">
        <v>35</v>
      </c>
      <c r="G3239" s="1">
        <v>3</v>
      </c>
      <c r="H3239" s="1">
        <v>285</v>
      </c>
      <c r="I3239" s="1">
        <v>20</v>
      </c>
      <c r="J3239" s="4">
        <v>684</v>
      </c>
      <c r="K3239" s="4">
        <v>348.41</v>
      </c>
      <c r="L3239" s="4">
        <v>335.59</v>
      </c>
      <c r="M3239" s="1" t="str">
        <f>TEXT(Table1[[#This Row],[Order_Date]], "MMM")</f>
        <v>Feb</v>
      </c>
      <c r="N3239" s="1">
        <f>YEAR(Table1[[#This Row],[Order_Date]])</f>
        <v>2024</v>
      </c>
      <c r="O3239" s="7">
        <f>Table1[[#This Row],[Profit]]/Table1[[#This Row],[Total_Sales]]</f>
        <v>0.49062865497076019</v>
      </c>
    </row>
    <row r="3240" spans="1:15" x14ac:dyDescent="0.25">
      <c r="A3240" s="1">
        <v>3239</v>
      </c>
      <c r="B3240" s="2">
        <v>45485</v>
      </c>
      <c r="C3240" s="1" t="s">
        <v>12</v>
      </c>
      <c r="D3240" s="1" t="s">
        <v>26</v>
      </c>
      <c r="E3240" s="1" t="s">
        <v>42</v>
      </c>
      <c r="F3240" s="1" t="s">
        <v>31</v>
      </c>
      <c r="G3240" s="1">
        <v>9</v>
      </c>
      <c r="H3240" s="1">
        <v>77</v>
      </c>
      <c r="I3240" s="1">
        <v>20</v>
      </c>
      <c r="J3240" s="4">
        <v>554.4</v>
      </c>
      <c r="K3240" s="4">
        <v>396.44</v>
      </c>
      <c r="L3240" s="4">
        <v>157.96</v>
      </c>
      <c r="M3240" s="1" t="str">
        <f>TEXT(Table1[[#This Row],[Order_Date]], "MMM")</f>
        <v>Jul</v>
      </c>
      <c r="N3240" s="1">
        <f>YEAR(Table1[[#This Row],[Order_Date]])</f>
        <v>2024</v>
      </c>
      <c r="O3240" s="7">
        <f>Table1[[#This Row],[Profit]]/Table1[[#This Row],[Total_Sales]]</f>
        <v>0.28492063492063496</v>
      </c>
    </row>
    <row r="3241" spans="1:15" x14ac:dyDescent="0.25">
      <c r="A3241" s="1">
        <v>3240</v>
      </c>
      <c r="B3241" s="2">
        <v>44985</v>
      </c>
      <c r="C3241" s="1" t="s">
        <v>12</v>
      </c>
      <c r="D3241" s="1" t="s">
        <v>13</v>
      </c>
      <c r="E3241" s="1" t="s">
        <v>14</v>
      </c>
      <c r="F3241" s="1" t="s">
        <v>24</v>
      </c>
      <c r="G3241" s="1">
        <v>3</v>
      </c>
      <c r="H3241" s="1">
        <v>687</v>
      </c>
      <c r="I3241" s="1">
        <v>10</v>
      </c>
      <c r="J3241" s="4">
        <v>1854.9</v>
      </c>
      <c r="K3241" s="4">
        <v>1217.6400000000001</v>
      </c>
      <c r="L3241" s="4">
        <v>637.26</v>
      </c>
      <c r="M3241" s="1" t="str">
        <f>TEXT(Table1[[#This Row],[Order_Date]], "MMM")</f>
        <v>Feb</v>
      </c>
      <c r="N3241" s="1">
        <f>YEAR(Table1[[#This Row],[Order_Date]])</f>
        <v>2023</v>
      </c>
      <c r="O3241" s="7">
        <f>Table1[[#This Row],[Profit]]/Table1[[#This Row],[Total_Sales]]</f>
        <v>0.34355490862041077</v>
      </c>
    </row>
    <row r="3242" spans="1:15" x14ac:dyDescent="0.25">
      <c r="A3242" s="1">
        <v>3241</v>
      </c>
      <c r="B3242" s="2">
        <v>45295</v>
      </c>
      <c r="C3242" s="1" t="s">
        <v>25</v>
      </c>
      <c r="D3242" s="1" t="s">
        <v>26</v>
      </c>
      <c r="E3242" s="1" t="s">
        <v>46</v>
      </c>
      <c r="F3242" s="1" t="s">
        <v>15</v>
      </c>
      <c r="G3242" s="1">
        <v>9</v>
      </c>
      <c r="H3242" s="1">
        <v>184</v>
      </c>
      <c r="I3242" s="1">
        <v>0</v>
      </c>
      <c r="J3242" s="4">
        <v>1656</v>
      </c>
      <c r="K3242" s="4">
        <v>1277.8900000000001</v>
      </c>
      <c r="L3242" s="4">
        <v>378.11</v>
      </c>
      <c r="M3242" s="1" t="str">
        <f>TEXT(Table1[[#This Row],[Order_Date]], "MMM")</f>
        <v>Jan</v>
      </c>
      <c r="N3242" s="1">
        <f>YEAR(Table1[[#This Row],[Order_Date]])</f>
        <v>2024</v>
      </c>
      <c r="O3242" s="7">
        <f>Table1[[#This Row],[Profit]]/Table1[[#This Row],[Total_Sales]]</f>
        <v>0.22832729468599033</v>
      </c>
    </row>
    <row r="3243" spans="1:15" x14ac:dyDescent="0.25">
      <c r="A3243" s="1">
        <v>3242</v>
      </c>
      <c r="B3243" s="2">
        <v>45116</v>
      </c>
      <c r="C3243" s="1" t="s">
        <v>12</v>
      </c>
      <c r="D3243" s="1" t="s">
        <v>26</v>
      </c>
      <c r="E3243" s="1" t="s">
        <v>27</v>
      </c>
      <c r="F3243" s="1" t="s">
        <v>18</v>
      </c>
      <c r="G3243" s="1">
        <v>8</v>
      </c>
      <c r="H3243" s="1">
        <v>131</v>
      </c>
      <c r="I3243" s="1">
        <v>10</v>
      </c>
      <c r="J3243" s="4">
        <v>943.2</v>
      </c>
      <c r="K3243" s="4">
        <v>481.53</v>
      </c>
      <c r="L3243" s="4">
        <v>461.67</v>
      </c>
      <c r="M3243" s="1" t="str">
        <f>TEXT(Table1[[#This Row],[Order_Date]], "MMM")</f>
        <v>Jul</v>
      </c>
      <c r="N3243" s="1">
        <f>YEAR(Table1[[#This Row],[Order_Date]])</f>
        <v>2023</v>
      </c>
      <c r="O3243" s="7">
        <f>Table1[[#This Row],[Profit]]/Table1[[#This Row],[Total_Sales]]</f>
        <v>0.48947201017811703</v>
      </c>
    </row>
    <row r="3244" spans="1:15" x14ac:dyDescent="0.25">
      <c r="A3244" s="1">
        <v>3243</v>
      </c>
      <c r="B3244" s="2">
        <v>45504</v>
      </c>
      <c r="C3244" s="1" t="s">
        <v>12</v>
      </c>
      <c r="D3244" s="1" t="s">
        <v>26</v>
      </c>
      <c r="E3244" s="1" t="s">
        <v>27</v>
      </c>
      <c r="F3244" s="1" t="s">
        <v>24</v>
      </c>
      <c r="G3244" s="1">
        <v>5</v>
      </c>
      <c r="H3244" s="1">
        <v>881</v>
      </c>
      <c r="I3244" s="1">
        <v>0</v>
      </c>
      <c r="J3244" s="4">
        <v>4405</v>
      </c>
      <c r="K3244" s="4">
        <v>2874.78</v>
      </c>
      <c r="L3244" s="4">
        <v>1530.22</v>
      </c>
      <c r="M3244" s="1" t="str">
        <f>TEXT(Table1[[#This Row],[Order_Date]], "MMM")</f>
        <v>Jul</v>
      </c>
      <c r="N3244" s="1">
        <f>YEAR(Table1[[#This Row],[Order_Date]])</f>
        <v>2024</v>
      </c>
      <c r="O3244" s="7">
        <f>Table1[[#This Row],[Profit]]/Table1[[#This Row],[Total_Sales]]</f>
        <v>0.34738251986379115</v>
      </c>
    </row>
    <row r="3245" spans="1:15" x14ac:dyDescent="0.25">
      <c r="A3245" s="1">
        <v>3244</v>
      </c>
      <c r="B3245" s="2">
        <v>45549</v>
      </c>
      <c r="C3245" s="1" t="s">
        <v>25</v>
      </c>
      <c r="D3245" s="1" t="s">
        <v>20</v>
      </c>
      <c r="E3245" s="1" t="s">
        <v>28</v>
      </c>
      <c r="F3245" s="1" t="s">
        <v>15</v>
      </c>
      <c r="G3245" s="1">
        <v>2</v>
      </c>
      <c r="H3245" s="1">
        <v>695</v>
      </c>
      <c r="I3245" s="1">
        <v>15</v>
      </c>
      <c r="J3245" s="4">
        <v>1181.5</v>
      </c>
      <c r="K3245" s="4">
        <v>870.13</v>
      </c>
      <c r="L3245" s="4">
        <v>311.37</v>
      </c>
      <c r="M3245" s="1" t="str">
        <f>TEXT(Table1[[#This Row],[Order_Date]], "MMM")</f>
        <v>Sep</v>
      </c>
      <c r="N3245" s="1">
        <f>YEAR(Table1[[#This Row],[Order_Date]])</f>
        <v>2024</v>
      </c>
      <c r="O3245" s="7">
        <f>Table1[[#This Row],[Profit]]/Table1[[#This Row],[Total_Sales]]</f>
        <v>0.26353787558188746</v>
      </c>
    </row>
    <row r="3246" spans="1:15" x14ac:dyDescent="0.25">
      <c r="A3246" s="1">
        <v>3245</v>
      </c>
      <c r="B3246" s="2">
        <v>45041</v>
      </c>
      <c r="C3246" s="1" t="s">
        <v>16</v>
      </c>
      <c r="D3246" s="1" t="s">
        <v>20</v>
      </c>
      <c r="E3246" s="1" t="s">
        <v>43</v>
      </c>
      <c r="F3246" s="1" t="s">
        <v>31</v>
      </c>
      <c r="G3246" s="1">
        <v>1</v>
      </c>
      <c r="H3246" s="1">
        <v>358</v>
      </c>
      <c r="I3246" s="1">
        <v>0</v>
      </c>
      <c r="J3246" s="4">
        <v>358</v>
      </c>
      <c r="K3246" s="4">
        <v>277.39</v>
      </c>
      <c r="L3246" s="4">
        <v>80.61</v>
      </c>
      <c r="M3246" s="1" t="str">
        <f>TEXT(Table1[[#This Row],[Order_Date]], "MMM")</f>
        <v>Apr</v>
      </c>
      <c r="N3246" s="1">
        <f>YEAR(Table1[[#This Row],[Order_Date]])</f>
        <v>2023</v>
      </c>
      <c r="O3246" s="7">
        <f>Table1[[#This Row],[Profit]]/Table1[[#This Row],[Total_Sales]]</f>
        <v>0.22516759776536313</v>
      </c>
    </row>
    <row r="3247" spans="1:15" x14ac:dyDescent="0.25">
      <c r="A3247" s="1">
        <v>3246</v>
      </c>
      <c r="B3247" s="2">
        <v>45293</v>
      </c>
      <c r="C3247" s="1" t="s">
        <v>16</v>
      </c>
      <c r="D3247" s="1" t="s">
        <v>32</v>
      </c>
      <c r="E3247" s="1" t="s">
        <v>34</v>
      </c>
      <c r="F3247" s="1" t="s">
        <v>35</v>
      </c>
      <c r="G3247" s="1">
        <v>10</v>
      </c>
      <c r="H3247" s="1">
        <v>864</v>
      </c>
      <c r="I3247" s="1">
        <v>20</v>
      </c>
      <c r="J3247" s="4">
        <v>6912</v>
      </c>
      <c r="K3247" s="4">
        <v>5496.52</v>
      </c>
      <c r="L3247" s="4">
        <v>1415.48</v>
      </c>
      <c r="M3247" s="1" t="str">
        <f>TEXT(Table1[[#This Row],[Order_Date]], "MMM")</f>
        <v>Jan</v>
      </c>
      <c r="N3247" s="1">
        <f>YEAR(Table1[[#This Row],[Order_Date]])</f>
        <v>2024</v>
      </c>
      <c r="O3247" s="7">
        <f>Table1[[#This Row],[Profit]]/Table1[[#This Row],[Total_Sales]]</f>
        <v>0.20478587962962963</v>
      </c>
    </row>
    <row r="3248" spans="1:15" x14ac:dyDescent="0.25">
      <c r="A3248" s="1">
        <v>3247</v>
      </c>
      <c r="B3248" s="2">
        <v>45336</v>
      </c>
      <c r="C3248" s="1" t="s">
        <v>19</v>
      </c>
      <c r="D3248" s="1" t="s">
        <v>13</v>
      </c>
      <c r="E3248" s="1" t="s">
        <v>14</v>
      </c>
      <c r="F3248" s="1" t="s">
        <v>31</v>
      </c>
      <c r="G3248" s="1">
        <v>5</v>
      </c>
      <c r="H3248" s="1">
        <v>230</v>
      </c>
      <c r="I3248" s="1">
        <v>0</v>
      </c>
      <c r="J3248" s="4">
        <v>1150</v>
      </c>
      <c r="K3248" s="4">
        <v>621.12</v>
      </c>
      <c r="L3248" s="4">
        <v>528.88</v>
      </c>
      <c r="M3248" s="1" t="str">
        <f>TEXT(Table1[[#This Row],[Order_Date]], "MMM")</f>
        <v>Feb</v>
      </c>
      <c r="N3248" s="1">
        <f>YEAR(Table1[[#This Row],[Order_Date]])</f>
        <v>2024</v>
      </c>
      <c r="O3248" s="7">
        <f>Table1[[#This Row],[Profit]]/Table1[[#This Row],[Total_Sales]]</f>
        <v>0.45989565217391304</v>
      </c>
    </row>
    <row r="3249" spans="1:15" x14ac:dyDescent="0.25">
      <c r="A3249" s="1">
        <v>3248</v>
      </c>
      <c r="B3249" s="2">
        <v>45492</v>
      </c>
      <c r="C3249" s="1" t="s">
        <v>16</v>
      </c>
      <c r="D3249" s="1" t="s">
        <v>20</v>
      </c>
      <c r="E3249" s="1" t="s">
        <v>28</v>
      </c>
      <c r="F3249" s="1" t="s">
        <v>35</v>
      </c>
      <c r="G3249" s="1">
        <v>5</v>
      </c>
      <c r="H3249" s="1">
        <v>464</v>
      </c>
      <c r="I3249" s="1">
        <v>15</v>
      </c>
      <c r="J3249" s="4">
        <v>1972</v>
      </c>
      <c r="K3249" s="4">
        <v>1013.79</v>
      </c>
      <c r="L3249" s="4">
        <v>958.21</v>
      </c>
      <c r="M3249" s="1" t="str">
        <f>TEXT(Table1[[#This Row],[Order_Date]], "MMM")</f>
        <v>Jul</v>
      </c>
      <c r="N3249" s="1">
        <f>YEAR(Table1[[#This Row],[Order_Date]])</f>
        <v>2024</v>
      </c>
      <c r="O3249" s="7">
        <f>Table1[[#This Row],[Profit]]/Table1[[#This Row],[Total_Sales]]</f>
        <v>0.48590770791075055</v>
      </c>
    </row>
    <row r="3250" spans="1:15" x14ac:dyDescent="0.25">
      <c r="A3250" s="1">
        <v>3249</v>
      </c>
      <c r="B3250" s="2">
        <v>45315</v>
      </c>
      <c r="C3250" s="1" t="s">
        <v>25</v>
      </c>
      <c r="D3250" s="1" t="s">
        <v>22</v>
      </c>
      <c r="E3250" s="1" t="s">
        <v>23</v>
      </c>
      <c r="F3250" s="1" t="s">
        <v>15</v>
      </c>
      <c r="G3250" s="1">
        <v>2</v>
      </c>
      <c r="H3250" s="1">
        <v>678</v>
      </c>
      <c r="I3250" s="1">
        <v>5</v>
      </c>
      <c r="J3250" s="4">
        <v>1288.2</v>
      </c>
      <c r="K3250" s="4">
        <v>684.11</v>
      </c>
      <c r="L3250" s="4">
        <v>604.09</v>
      </c>
      <c r="M3250" s="1" t="str">
        <f>TEXT(Table1[[#This Row],[Order_Date]], "MMM")</f>
        <v>Jan</v>
      </c>
      <c r="N3250" s="1">
        <f>YEAR(Table1[[#This Row],[Order_Date]])</f>
        <v>2024</v>
      </c>
      <c r="O3250" s="7">
        <f>Table1[[#This Row],[Profit]]/Table1[[#This Row],[Total_Sales]]</f>
        <v>0.46894115820524762</v>
      </c>
    </row>
    <row r="3251" spans="1:15" x14ac:dyDescent="0.25">
      <c r="A3251" s="1">
        <v>3250</v>
      </c>
      <c r="B3251" s="2">
        <v>45454</v>
      </c>
      <c r="C3251" s="1" t="s">
        <v>19</v>
      </c>
      <c r="D3251" s="1" t="s">
        <v>22</v>
      </c>
      <c r="E3251" s="1" t="s">
        <v>36</v>
      </c>
      <c r="F3251" s="1" t="s">
        <v>24</v>
      </c>
      <c r="G3251" s="1">
        <v>10</v>
      </c>
      <c r="H3251" s="1">
        <v>236</v>
      </c>
      <c r="I3251" s="1">
        <v>5</v>
      </c>
      <c r="J3251" s="4">
        <v>2242</v>
      </c>
      <c r="K3251" s="4">
        <v>1788.27</v>
      </c>
      <c r="L3251" s="4">
        <v>453.73</v>
      </c>
      <c r="M3251" s="1" t="str">
        <f>TEXT(Table1[[#This Row],[Order_Date]], "MMM")</f>
        <v>Jun</v>
      </c>
      <c r="N3251" s="1">
        <f>YEAR(Table1[[#This Row],[Order_Date]])</f>
        <v>2024</v>
      </c>
      <c r="O3251" s="7">
        <f>Table1[[#This Row],[Profit]]/Table1[[#This Row],[Total_Sales]]</f>
        <v>0.20237734165923282</v>
      </c>
    </row>
    <row r="3252" spans="1:15" x14ac:dyDescent="0.25">
      <c r="A3252" s="1">
        <v>3251</v>
      </c>
      <c r="B3252" s="2">
        <v>45166</v>
      </c>
      <c r="C3252" s="1" t="s">
        <v>16</v>
      </c>
      <c r="D3252" s="1" t="s">
        <v>22</v>
      </c>
      <c r="E3252" s="1" t="s">
        <v>36</v>
      </c>
      <c r="F3252" s="1" t="s">
        <v>18</v>
      </c>
      <c r="G3252" s="1">
        <v>1</v>
      </c>
      <c r="H3252" s="1">
        <v>872</v>
      </c>
      <c r="I3252" s="1">
        <v>15</v>
      </c>
      <c r="J3252" s="4">
        <v>741.2</v>
      </c>
      <c r="K3252" s="4">
        <v>474.19</v>
      </c>
      <c r="L3252" s="4">
        <v>267.01</v>
      </c>
      <c r="M3252" s="1" t="str">
        <f>TEXT(Table1[[#This Row],[Order_Date]], "MMM")</f>
        <v>Aug</v>
      </c>
      <c r="N3252" s="1">
        <f>YEAR(Table1[[#This Row],[Order_Date]])</f>
        <v>2023</v>
      </c>
      <c r="O3252" s="7">
        <f>Table1[[#This Row],[Profit]]/Table1[[#This Row],[Total_Sales]]</f>
        <v>0.36024015110631408</v>
      </c>
    </row>
    <row r="3253" spans="1:15" x14ac:dyDescent="0.25">
      <c r="A3253" s="1">
        <v>3252</v>
      </c>
      <c r="B3253" s="2">
        <v>45255</v>
      </c>
      <c r="C3253" s="1" t="s">
        <v>12</v>
      </c>
      <c r="D3253" s="1" t="s">
        <v>13</v>
      </c>
      <c r="E3253" s="1" t="s">
        <v>39</v>
      </c>
      <c r="F3253" s="1" t="s">
        <v>18</v>
      </c>
      <c r="G3253" s="1">
        <v>10</v>
      </c>
      <c r="H3253" s="1">
        <v>141</v>
      </c>
      <c r="I3253" s="1">
        <v>0</v>
      </c>
      <c r="J3253" s="4">
        <v>1410</v>
      </c>
      <c r="K3253" s="4">
        <v>976.51</v>
      </c>
      <c r="L3253" s="4">
        <v>433.49</v>
      </c>
      <c r="M3253" s="1" t="str">
        <f>TEXT(Table1[[#This Row],[Order_Date]], "MMM")</f>
        <v>Nov</v>
      </c>
      <c r="N3253" s="1">
        <f>YEAR(Table1[[#This Row],[Order_Date]])</f>
        <v>2023</v>
      </c>
      <c r="O3253" s="7">
        <f>Table1[[#This Row],[Profit]]/Table1[[#This Row],[Total_Sales]]</f>
        <v>0.30743971631205674</v>
      </c>
    </row>
    <row r="3254" spans="1:15" x14ac:dyDescent="0.25">
      <c r="A3254" s="1">
        <v>3253</v>
      </c>
      <c r="B3254" s="2">
        <v>45624</v>
      </c>
      <c r="C3254" s="1" t="s">
        <v>16</v>
      </c>
      <c r="D3254" s="1" t="s">
        <v>20</v>
      </c>
      <c r="E3254" s="1" t="s">
        <v>43</v>
      </c>
      <c r="F3254" s="1" t="s">
        <v>18</v>
      </c>
      <c r="G3254" s="1">
        <v>2</v>
      </c>
      <c r="H3254" s="1">
        <v>476</v>
      </c>
      <c r="I3254" s="1">
        <v>0</v>
      </c>
      <c r="J3254" s="4">
        <v>952</v>
      </c>
      <c r="K3254" s="4">
        <v>753.57</v>
      </c>
      <c r="L3254" s="4">
        <v>198.43</v>
      </c>
      <c r="M3254" s="1" t="str">
        <f>TEXT(Table1[[#This Row],[Order_Date]], "MMM")</f>
        <v>Nov</v>
      </c>
      <c r="N3254" s="1">
        <f>YEAR(Table1[[#This Row],[Order_Date]])</f>
        <v>2024</v>
      </c>
      <c r="O3254" s="7">
        <f>Table1[[#This Row],[Profit]]/Table1[[#This Row],[Total_Sales]]</f>
        <v>0.20843487394957985</v>
      </c>
    </row>
    <row r="3255" spans="1:15" x14ac:dyDescent="0.25">
      <c r="A3255" s="1">
        <v>3254</v>
      </c>
      <c r="B3255" s="2">
        <v>45454</v>
      </c>
      <c r="C3255" s="1" t="s">
        <v>16</v>
      </c>
      <c r="D3255" s="1" t="s">
        <v>32</v>
      </c>
      <c r="E3255" s="1" t="s">
        <v>34</v>
      </c>
      <c r="F3255" s="1" t="s">
        <v>31</v>
      </c>
      <c r="G3255" s="1">
        <v>9</v>
      </c>
      <c r="H3255" s="1">
        <v>114</v>
      </c>
      <c r="I3255" s="1">
        <v>15</v>
      </c>
      <c r="J3255" s="4">
        <v>872.1</v>
      </c>
      <c r="K3255" s="4">
        <v>517.05999999999995</v>
      </c>
      <c r="L3255" s="4">
        <v>355.04</v>
      </c>
      <c r="M3255" s="1" t="str">
        <f>TEXT(Table1[[#This Row],[Order_Date]], "MMM")</f>
        <v>Jun</v>
      </c>
      <c r="N3255" s="1">
        <f>YEAR(Table1[[#This Row],[Order_Date]])</f>
        <v>2024</v>
      </c>
      <c r="O3255" s="7">
        <f>Table1[[#This Row],[Profit]]/Table1[[#This Row],[Total_Sales]]</f>
        <v>0.40710927645912165</v>
      </c>
    </row>
    <row r="3256" spans="1:15" x14ac:dyDescent="0.25">
      <c r="A3256" s="1">
        <v>3255</v>
      </c>
      <c r="B3256" s="2">
        <v>45290</v>
      </c>
      <c r="C3256" s="1" t="s">
        <v>25</v>
      </c>
      <c r="D3256" s="1" t="s">
        <v>22</v>
      </c>
      <c r="E3256" s="1" t="s">
        <v>23</v>
      </c>
      <c r="F3256" s="1" t="s">
        <v>31</v>
      </c>
      <c r="G3256" s="1">
        <v>1</v>
      </c>
      <c r="H3256" s="1">
        <v>25</v>
      </c>
      <c r="I3256" s="1">
        <v>10</v>
      </c>
      <c r="J3256" s="4">
        <v>22.5</v>
      </c>
      <c r="K3256" s="4">
        <v>15.04</v>
      </c>
      <c r="L3256" s="4">
        <v>7.46</v>
      </c>
      <c r="M3256" s="1" t="str">
        <f>TEXT(Table1[[#This Row],[Order_Date]], "MMM")</f>
        <v>Dec</v>
      </c>
      <c r="N3256" s="1">
        <f>YEAR(Table1[[#This Row],[Order_Date]])</f>
        <v>2023</v>
      </c>
      <c r="O3256" s="7">
        <f>Table1[[#This Row],[Profit]]/Table1[[#This Row],[Total_Sales]]</f>
        <v>0.33155555555555555</v>
      </c>
    </row>
    <row r="3257" spans="1:15" x14ac:dyDescent="0.25">
      <c r="A3257" s="1">
        <v>3256</v>
      </c>
      <c r="B3257" s="2">
        <v>45258</v>
      </c>
      <c r="C3257" s="1" t="s">
        <v>12</v>
      </c>
      <c r="D3257" s="1" t="s">
        <v>20</v>
      </c>
      <c r="E3257" s="1" t="s">
        <v>28</v>
      </c>
      <c r="F3257" s="1" t="s">
        <v>15</v>
      </c>
      <c r="G3257" s="1">
        <v>3</v>
      </c>
      <c r="H3257" s="1">
        <v>50</v>
      </c>
      <c r="I3257" s="1">
        <v>20</v>
      </c>
      <c r="J3257" s="4">
        <v>120</v>
      </c>
      <c r="K3257" s="4">
        <v>86.28</v>
      </c>
      <c r="L3257" s="4">
        <v>33.72</v>
      </c>
      <c r="M3257" s="1" t="str">
        <f>TEXT(Table1[[#This Row],[Order_Date]], "MMM")</f>
        <v>Nov</v>
      </c>
      <c r="N3257" s="1">
        <f>YEAR(Table1[[#This Row],[Order_Date]])</f>
        <v>2023</v>
      </c>
      <c r="O3257" s="7">
        <f>Table1[[#This Row],[Profit]]/Table1[[#This Row],[Total_Sales]]</f>
        <v>0.28099999999999997</v>
      </c>
    </row>
    <row r="3258" spans="1:15" x14ac:dyDescent="0.25">
      <c r="A3258" s="1">
        <v>3257</v>
      </c>
      <c r="B3258" s="2">
        <v>45355</v>
      </c>
      <c r="C3258" s="1" t="s">
        <v>12</v>
      </c>
      <c r="D3258" s="1" t="s">
        <v>32</v>
      </c>
      <c r="E3258" s="1" t="s">
        <v>41</v>
      </c>
      <c r="F3258" s="1" t="s">
        <v>24</v>
      </c>
      <c r="G3258" s="1">
        <v>9</v>
      </c>
      <c r="H3258" s="1">
        <v>708</v>
      </c>
      <c r="I3258" s="1">
        <v>0</v>
      </c>
      <c r="J3258" s="4">
        <v>6372</v>
      </c>
      <c r="K3258" s="4">
        <v>4225.99</v>
      </c>
      <c r="L3258" s="4">
        <v>2146.0100000000002</v>
      </c>
      <c r="M3258" s="1" t="str">
        <f>TEXT(Table1[[#This Row],[Order_Date]], "MMM")</f>
        <v>Mar</v>
      </c>
      <c r="N3258" s="1">
        <f>YEAR(Table1[[#This Row],[Order_Date]])</f>
        <v>2024</v>
      </c>
      <c r="O3258" s="7">
        <f>Table1[[#This Row],[Profit]]/Table1[[#This Row],[Total_Sales]]</f>
        <v>0.33678750784682993</v>
      </c>
    </row>
    <row r="3259" spans="1:15" x14ac:dyDescent="0.25">
      <c r="A3259" s="1">
        <v>3258</v>
      </c>
      <c r="B3259" s="2">
        <v>45368</v>
      </c>
      <c r="C3259" s="1" t="s">
        <v>12</v>
      </c>
      <c r="D3259" s="1" t="s">
        <v>26</v>
      </c>
      <c r="E3259" s="1" t="s">
        <v>37</v>
      </c>
      <c r="F3259" s="1" t="s">
        <v>31</v>
      </c>
      <c r="G3259" s="1">
        <v>4</v>
      </c>
      <c r="H3259" s="1">
        <v>924</v>
      </c>
      <c r="I3259" s="1">
        <v>15</v>
      </c>
      <c r="J3259" s="4">
        <v>3141.6</v>
      </c>
      <c r="K3259" s="4">
        <v>1581.74</v>
      </c>
      <c r="L3259" s="4">
        <v>1559.86</v>
      </c>
      <c r="M3259" s="1" t="str">
        <f>TEXT(Table1[[#This Row],[Order_Date]], "MMM")</f>
        <v>Mar</v>
      </c>
      <c r="N3259" s="1">
        <f>YEAR(Table1[[#This Row],[Order_Date]])</f>
        <v>2024</v>
      </c>
      <c r="O3259" s="7">
        <f>Table1[[#This Row],[Profit]]/Table1[[#This Row],[Total_Sales]]</f>
        <v>0.49651769798828621</v>
      </c>
    </row>
    <row r="3260" spans="1:15" x14ac:dyDescent="0.25">
      <c r="A3260" s="1">
        <v>3259</v>
      </c>
      <c r="B3260" s="2">
        <v>45061</v>
      </c>
      <c r="C3260" s="1" t="s">
        <v>12</v>
      </c>
      <c r="D3260" s="1" t="s">
        <v>26</v>
      </c>
      <c r="E3260" s="1" t="s">
        <v>42</v>
      </c>
      <c r="F3260" s="1" t="s">
        <v>31</v>
      </c>
      <c r="G3260" s="1">
        <v>8</v>
      </c>
      <c r="H3260" s="1">
        <v>885</v>
      </c>
      <c r="I3260" s="1">
        <v>15</v>
      </c>
      <c r="J3260" s="4">
        <v>6018</v>
      </c>
      <c r="K3260" s="4">
        <v>3914.1</v>
      </c>
      <c r="L3260" s="4">
        <v>2103.9</v>
      </c>
      <c r="M3260" s="1" t="str">
        <f>TEXT(Table1[[#This Row],[Order_Date]], "MMM")</f>
        <v>May</v>
      </c>
      <c r="N3260" s="1">
        <f>YEAR(Table1[[#This Row],[Order_Date]])</f>
        <v>2023</v>
      </c>
      <c r="O3260" s="7">
        <f>Table1[[#This Row],[Profit]]/Table1[[#This Row],[Total_Sales]]</f>
        <v>0.3496011964107677</v>
      </c>
    </row>
    <row r="3261" spans="1:15" x14ac:dyDescent="0.25">
      <c r="A3261" s="1">
        <v>3260</v>
      </c>
      <c r="B3261" s="2">
        <v>45021</v>
      </c>
      <c r="C3261" s="1" t="s">
        <v>12</v>
      </c>
      <c r="D3261" s="1" t="s">
        <v>13</v>
      </c>
      <c r="E3261" s="1" t="s">
        <v>14</v>
      </c>
      <c r="F3261" s="1" t="s">
        <v>15</v>
      </c>
      <c r="G3261" s="1">
        <v>9</v>
      </c>
      <c r="H3261" s="1">
        <v>558</v>
      </c>
      <c r="I3261" s="1">
        <v>20</v>
      </c>
      <c r="J3261" s="4">
        <v>4017.6</v>
      </c>
      <c r="K3261" s="4">
        <v>2536.87</v>
      </c>
      <c r="L3261" s="4">
        <v>1480.73</v>
      </c>
      <c r="M3261" s="1" t="str">
        <f>TEXT(Table1[[#This Row],[Order_Date]], "MMM")</f>
        <v>Apr</v>
      </c>
      <c r="N3261" s="1">
        <f>YEAR(Table1[[#This Row],[Order_Date]])</f>
        <v>2023</v>
      </c>
      <c r="O3261" s="7">
        <f>Table1[[#This Row],[Profit]]/Table1[[#This Row],[Total_Sales]]</f>
        <v>0.36856083233771408</v>
      </c>
    </row>
    <row r="3262" spans="1:15" x14ac:dyDescent="0.25">
      <c r="A3262" s="1">
        <v>3261</v>
      </c>
      <c r="B3262" s="2">
        <v>45530</v>
      </c>
      <c r="C3262" s="1" t="s">
        <v>19</v>
      </c>
      <c r="D3262" s="1" t="s">
        <v>20</v>
      </c>
      <c r="E3262" s="1" t="s">
        <v>28</v>
      </c>
      <c r="F3262" s="1" t="s">
        <v>31</v>
      </c>
      <c r="G3262" s="1">
        <v>1</v>
      </c>
      <c r="H3262" s="1">
        <v>752</v>
      </c>
      <c r="I3262" s="1">
        <v>10</v>
      </c>
      <c r="J3262" s="4">
        <v>676.8</v>
      </c>
      <c r="K3262" s="4">
        <v>454.49</v>
      </c>
      <c r="L3262" s="4">
        <v>222.31</v>
      </c>
      <c r="M3262" s="1" t="str">
        <f>TEXT(Table1[[#This Row],[Order_Date]], "MMM")</f>
        <v>Aug</v>
      </c>
      <c r="N3262" s="1">
        <f>YEAR(Table1[[#This Row],[Order_Date]])</f>
        <v>2024</v>
      </c>
      <c r="O3262" s="7">
        <f>Table1[[#This Row],[Profit]]/Table1[[#This Row],[Total_Sales]]</f>
        <v>0.32847222222222222</v>
      </c>
    </row>
    <row r="3263" spans="1:15" x14ac:dyDescent="0.25">
      <c r="A3263" s="1">
        <v>3262</v>
      </c>
      <c r="B3263" s="2">
        <v>44983</v>
      </c>
      <c r="C3263" s="1" t="s">
        <v>25</v>
      </c>
      <c r="D3263" s="1" t="s">
        <v>13</v>
      </c>
      <c r="E3263" s="1" t="s">
        <v>38</v>
      </c>
      <c r="F3263" s="1" t="s">
        <v>35</v>
      </c>
      <c r="G3263" s="1">
        <v>9</v>
      </c>
      <c r="H3263" s="1">
        <v>548</v>
      </c>
      <c r="I3263" s="1">
        <v>10</v>
      </c>
      <c r="J3263" s="4">
        <v>4438.8</v>
      </c>
      <c r="K3263" s="4">
        <v>3217.41</v>
      </c>
      <c r="L3263" s="4">
        <v>1221.3900000000001</v>
      </c>
      <c r="M3263" s="1" t="str">
        <f>TEXT(Table1[[#This Row],[Order_Date]], "MMM")</f>
        <v>Feb</v>
      </c>
      <c r="N3263" s="1">
        <f>YEAR(Table1[[#This Row],[Order_Date]])</f>
        <v>2023</v>
      </c>
      <c r="O3263" s="7">
        <f>Table1[[#This Row],[Profit]]/Table1[[#This Row],[Total_Sales]]</f>
        <v>0.27516220600162206</v>
      </c>
    </row>
    <row r="3264" spans="1:15" x14ac:dyDescent="0.25">
      <c r="A3264" s="1">
        <v>3263</v>
      </c>
      <c r="B3264" s="2">
        <v>45233</v>
      </c>
      <c r="C3264" s="1" t="s">
        <v>16</v>
      </c>
      <c r="D3264" s="1" t="s">
        <v>13</v>
      </c>
      <c r="E3264" s="1" t="s">
        <v>14</v>
      </c>
      <c r="F3264" s="1" t="s">
        <v>18</v>
      </c>
      <c r="G3264" s="1">
        <v>2</v>
      </c>
      <c r="H3264" s="1">
        <v>852</v>
      </c>
      <c r="I3264" s="1">
        <v>15</v>
      </c>
      <c r="J3264" s="4">
        <v>1448.4</v>
      </c>
      <c r="K3264" s="4">
        <v>790.84</v>
      </c>
      <c r="L3264" s="4">
        <v>657.56</v>
      </c>
      <c r="M3264" s="1" t="str">
        <f>TEXT(Table1[[#This Row],[Order_Date]], "MMM")</f>
        <v>Nov</v>
      </c>
      <c r="N3264" s="1">
        <f>YEAR(Table1[[#This Row],[Order_Date]])</f>
        <v>2023</v>
      </c>
      <c r="O3264" s="7">
        <f>Table1[[#This Row],[Profit]]/Table1[[#This Row],[Total_Sales]]</f>
        <v>0.45399061032863841</v>
      </c>
    </row>
    <row r="3265" spans="1:15" x14ac:dyDescent="0.25">
      <c r="A3265" s="1">
        <v>3264</v>
      </c>
      <c r="B3265" s="2">
        <v>45497</v>
      </c>
      <c r="C3265" s="1" t="s">
        <v>19</v>
      </c>
      <c r="D3265" s="1" t="s">
        <v>22</v>
      </c>
      <c r="E3265" s="1" t="s">
        <v>23</v>
      </c>
      <c r="F3265" s="1" t="s">
        <v>24</v>
      </c>
      <c r="G3265" s="1">
        <v>10</v>
      </c>
      <c r="H3265" s="1">
        <v>755</v>
      </c>
      <c r="I3265" s="1">
        <v>20</v>
      </c>
      <c r="J3265" s="4">
        <v>6040</v>
      </c>
      <c r="K3265" s="4">
        <v>4813.09</v>
      </c>
      <c r="L3265" s="4">
        <v>1226.9100000000001</v>
      </c>
      <c r="M3265" s="1" t="str">
        <f>TEXT(Table1[[#This Row],[Order_Date]], "MMM")</f>
        <v>Jul</v>
      </c>
      <c r="N3265" s="1">
        <f>YEAR(Table1[[#This Row],[Order_Date]])</f>
        <v>2024</v>
      </c>
      <c r="O3265" s="7">
        <f>Table1[[#This Row],[Profit]]/Table1[[#This Row],[Total_Sales]]</f>
        <v>0.20313079470198678</v>
      </c>
    </row>
    <row r="3266" spans="1:15" x14ac:dyDescent="0.25">
      <c r="A3266" s="1">
        <v>3265</v>
      </c>
      <c r="B3266" s="2">
        <v>45339</v>
      </c>
      <c r="C3266" s="1" t="s">
        <v>19</v>
      </c>
      <c r="D3266" s="1" t="s">
        <v>13</v>
      </c>
      <c r="E3266" s="1" t="s">
        <v>38</v>
      </c>
      <c r="F3266" s="1" t="s">
        <v>31</v>
      </c>
      <c r="G3266" s="1">
        <v>1</v>
      </c>
      <c r="H3266" s="1">
        <v>574</v>
      </c>
      <c r="I3266" s="1">
        <v>20</v>
      </c>
      <c r="J3266" s="4">
        <v>459.2</v>
      </c>
      <c r="K3266" s="4">
        <v>286.2</v>
      </c>
      <c r="L3266" s="4">
        <v>173</v>
      </c>
      <c r="M3266" s="1" t="str">
        <f>TEXT(Table1[[#This Row],[Order_Date]], "MMM")</f>
        <v>Feb</v>
      </c>
      <c r="N3266" s="1">
        <f>YEAR(Table1[[#This Row],[Order_Date]])</f>
        <v>2024</v>
      </c>
      <c r="O3266" s="7">
        <f>Table1[[#This Row],[Profit]]/Table1[[#This Row],[Total_Sales]]</f>
        <v>0.37674216027874563</v>
      </c>
    </row>
    <row r="3267" spans="1:15" x14ac:dyDescent="0.25">
      <c r="A3267" s="1">
        <v>3266</v>
      </c>
      <c r="B3267" s="2">
        <v>45208</v>
      </c>
      <c r="C3267" s="1" t="s">
        <v>12</v>
      </c>
      <c r="D3267" s="1" t="s">
        <v>22</v>
      </c>
      <c r="E3267" s="1" t="s">
        <v>36</v>
      </c>
      <c r="F3267" s="1" t="s">
        <v>31</v>
      </c>
      <c r="G3267" s="1">
        <v>6</v>
      </c>
      <c r="H3267" s="1">
        <v>970</v>
      </c>
      <c r="I3267" s="1">
        <v>20</v>
      </c>
      <c r="J3267" s="4">
        <v>4656</v>
      </c>
      <c r="K3267" s="4">
        <v>3331.56</v>
      </c>
      <c r="L3267" s="4">
        <v>1324.44</v>
      </c>
      <c r="M3267" s="1" t="str">
        <f>TEXT(Table1[[#This Row],[Order_Date]], "MMM")</f>
        <v>Oct</v>
      </c>
      <c r="N3267" s="1">
        <f>YEAR(Table1[[#This Row],[Order_Date]])</f>
        <v>2023</v>
      </c>
      <c r="O3267" s="7">
        <f>Table1[[#This Row],[Profit]]/Table1[[#This Row],[Total_Sales]]</f>
        <v>0.28445876288659794</v>
      </c>
    </row>
    <row r="3268" spans="1:15" x14ac:dyDescent="0.25">
      <c r="A3268" s="1">
        <v>3267</v>
      </c>
      <c r="B3268" s="2">
        <v>45257</v>
      </c>
      <c r="C3268" s="1" t="s">
        <v>16</v>
      </c>
      <c r="D3268" s="1" t="s">
        <v>26</v>
      </c>
      <c r="E3268" s="1" t="s">
        <v>27</v>
      </c>
      <c r="F3268" s="1" t="s">
        <v>15</v>
      </c>
      <c r="G3268" s="1">
        <v>2</v>
      </c>
      <c r="H3268" s="1">
        <v>862</v>
      </c>
      <c r="I3268" s="1">
        <v>15</v>
      </c>
      <c r="J3268" s="4">
        <v>1465.4</v>
      </c>
      <c r="K3268" s="4">
        <v>845.35</v>
      </c>
      <c r="L3268" s="4">
        <v>620.04999999999995</v>
      </c>
      <c r="M3268" s="1" t="str">
        <f>TEXT(Table1[[#This Row],[Order_Date]], "MMM")</f>
        <v>Nov</v>
      </c>
      <c r="N3268" s="1">
        <f>YEAR(Table1[[#This Row],[Order_Date]])</f>
        <v>2023</v>
      </c>
      <c r="O3268" s="7">
        <f>Table1[[#This Row],[Profit]]/Table1[[#This Row],[Total_Sales]]</f>
        <v>0.4231267913197761</v>
      </c>
    </row>
    <row r="3269" spans="1:15" x14ac:dyDescent="0.25">
      <c r="A3269" s="1">
        <v>3268</v>
      </c>
      <c r="B3269" s="2">
        <v>45096</v>
      </c>
      <c r="C3269" s="1" t="s">
        <v>25</v>
      </c>
      <c r="D3269" s="1" t="s">
        <v>26</v>
      </c>
      <c r="E3269" s="1" t="s">
        <v>42</v>
      </c>
      <c r="F3269" s="1" t="s">
        <v>35</v>
      </c>
      <c r="G3269" s="1">
        <v>4</v>
      </c>
      <c r="H3269" s="1">
        <v>592</v>
      </c>
      <c r="I3269" s="1">
        <v>20</v>
      </c>
      <c r="J3269" s="4">
        <v>1894.4</v>
      </c>
      <c r="K3269" s="4">
        <v>1280.05</v>
      </c>
      <c r="L3269" s="4">
        <v>614.35</v>
      </c>
      <c r="M3269" s="1" t="str">
        <f>TEXT(Table1[[#This Row],[Order_Date]], "MMM")</f>
        <v>Jun</v>
      </c>
      <c r="N3269" s="1">
        <f>YEAR(Table1[[#This Row],[Order_Date]])</f>
        <v>2023</v>
      </c>
      <c r="O3269" s="7">
        <f>Table1[[#This Row],[Profit]]/Table1[[#This Row],[Total_Sales]]</f>
        <v>0.32429793074324326</v>
      </c>
    </row>
    <row r="3270" spans="1:15" x14ac:dyDescent="0.25">
      <c r="A3270" s="1">
        <v>3269</v>
      </c>
      <c r="B3270" s="2">
        <v>45349</v>
      </c>
      <c r="C3270" s="1" t="s">
        <v>12</v>
      </c>
      <c r="D3270" s="1" t="s">
        <v>32</v>
      </c>
      <c r="E3270" s="1" t="s">
        <v>45</v>
      </c>
      <c r="F3270" s="1" t="s">
        <v>18</v>
      </c>
      <c r="G3270" s="1">
        <v>5</v>
      </c>
      <c r="H3270" s="1">
        <v>526</v>
      </c>
      <c r="I3270" s="1">
        <v>10</v>
      </c>
      <c r="J3270" s="4">
        <v>2367</v>
      </c>
      <c r="K3270" s="4">
        <v>1262.31</v>
      </c>
      <c r="L3270" s="4">
        <v>1104.69</v>
      </c>
      <c r="M3270" s="1" t="str">
        <f>TEXT(Table1[[#This Row],[Order_Date]], "MMM")</f>
        <v>Feb</v>
      </c>
      <c r="N3270" s="1">
        <f>YEAR(Table1[[#This Row],[Order_Date]])</f>
        <v>2024</v>
      </c>
      <c r="O3270" s="7">
        <f>Table1[[#This Row],[Profit]]/Table1[[#This Row],[Total_Sales]]</f>
        <v>0.46670468948035493</v>
      </c>
    </row>
    <row r="3271" spans="1:15" x14ac:dyDescent="0.25">
      <c r="A3271" s="1">
        <v>3270</v>
      </c>
      <c r="B3271" s="2">
        <v>45024</v>
      </c>
      <c r="C3271" s="1" t="s">
        <v>25</v>
      </c>
      <c r="D3271" s="1" t="s">
        <v>32</v>
      </c>
      <c r="E3271" s="1" t="s">
        <v>41</v>
      </c>
      <c r="F3271" s="1" t="s">
        <v>35</v>
      </c>
      <c r="G3271" s="1">
        <v>1</v>
      </c>
      <c r="H3271" s="1">
        <v>540</v>
      </c>
      <c r="I3271" s="1">
        <v>20</v>
      </c>
      <c r="J3271" s="4">
        <v>432</v>
      </c>
      <c r="K3271" s="4">
        <v>248.2</v>
      </c>
      <c r="L3271" s="4">
        <v>183.8</v>
      </c>
      <c r="M3271" s="1" t="str">
        <f>TEXT(Table1[[#This Row],[Order_Date]], "MMM")</f>
        <v>Apr</v>
      </c>
      <c r="N3271" s="1">
        <f>YEAR(Table1[[#This Row],[Order_Date]])</f>
        <v>2023</v>
      </c>
      <c r="O3271" s="7">
        <f>Table1[[#This Row],[Profit]]/Table1[[#This Row],[Total_Sales]]</f>
        <v>0.42546296296296299</v>
      </c>
    </row>
    <row r="3272" spans="1:15" x14ac:dyDescent="0.25">
      <c r="A3272" s="1">
        <v>3271</v>
      </c>
      <c r="B3272" s="2">
        <v>44962</v>
      </c>
      <c r="C3272" s="1" t="s">
        <v>25</v>
      </c>
      <c r="D3272" s="1" t="s">
        <v>22</v>
      </c>
      <c r="E3272" s="1" t="s">
        <v>36</v>
      </c>
      <c r="F3272" s="1" t="s">
        <v>24</v>
      </c>
      <c r="G3272" s="1">
        <v>10</v>
      </c>
      <c r="H3272" s="1">
        <v>884</v>
      </c>
      <c r="I3272" s="1">
        <v>5</v>
      </c>
      <c r="J3272" s="4">
        <v>8398</v>
      </c>
      <c r="K3272" s="4">
        <v>6072.66</v>
      </c>
      <c r="L3272" s="4">
        <v>2325.34</v>
      </c>
      <c r="M3272" s="1" t="str">
        <f>TEXT(Table1[[#This Row],[Order_Date]], "MMM")</f>
        <v>Feb</v>
      </c>
      <c r="N3272" s="1">
        <f>YEAR(Table1[[#This Row],[Order_Date]])</f>
        <v>2023</v>
      </c>
      <c r="O3272" s="7">
        <f>Table1[[#This Row],[Profit]]/Table1[[#This Row],[Total_Sales]]</f>
        <v>0.27689211717075496</v>
      </c>
    </row>
    <row r="3273" spans="1:15" x14ac:dyDescent="0.25">
      <c r="A3273" s="1">
        <v>3272</v>
      </c>
      <c r="B3273" s="2">
        <v>45371</v>
      </c>
      <c r="C3273" s="1" t="s">
        <v>19</v>
      </c>
      <c r="D3273" s="1" t="s">
        <v>32</v>
      </c>
      <c r="E3273" s="1" t="s">
        <v>33</v>
      </c>
      <c r="F3273" s="1" t="s">
        <v>15</v>
      </c>
      <c r="G3273" s="1">
        <v>2</v>
      </c>
      <c r="H3273" s="1">
        <v>578</v>
      </c>
      <c r="I3273" s="1">
        <v>10</v>
      </c>
      <c r="J3273" s="4">
        <v>1040.4000000000001</v>
      </c>
      <c r="K3273" s="4">
        <v>722.52</v>
      </c>
      <c r="L3273" s="4">
        <v>317.88</v>
      </c>
      <c r="M3273" s="1" t="str">
        <f>TEXT(Table1[[#This Row],[Order_Date]], "MMM")</f>
        <v>Mar</v>
      </c>
      <c r="N3273" s="1">
        <f>YEAR(Table1[[#This Row],[Order_Date]])</f>
        <v>2024</v>
      </c>
      <c r="O3273" s="7">
        <f>Table1[[#This Row],[Profit]]/Table1[[#This Row],[Total_Sales]]</f>
        <v>0.30553633217993076</v>
      </c>
    </row>
    <row r="3274" spans="1:15" x14ac:dyDescent="0.25">
      <c r="A3274" s="1">
        <v>3273</v>
      </c>
      <c r="B3274" s="2">
        <v>45470</v>
      </c>
      <c r="C3274" s="1" t="s">
        <v>16</v>
      </c>
      <c r="D3274" s="1" t="s">
        <v>26</v>
      </c>
      <c r="E3274" s="1" t="s">
        <v>37</v>
      </c>
      <c r="F3274" s="1" t="s">
        <v>35</v>
      </c>
      <c r="G3274" s="1">
        <v>4</v>
      </c>
      <c r="H3274" s="1">
        <v>878</v>
      </c>
      <c r="I3274" s="1">
        <v>15</v>
      </c>
      <c r="J3274" s="4">
        <v>2985.2</v>
      </c>
      <c r="K3274" s="4">
        <v>2309.14</v>
      </c>
      <c r="L3274" s="4">
        <v>676.06</v>
      </c>
      <c r="M3274" s="1" t="str">
        <f>TEXT(Table1[[#This Row],[Order_Date]], "MMM")</f>
        <v>Jun</v>
      </c>
      <c r="N3274" s="1">
        <f>YEAR(Table1[[#This Row],[Order_Date]])</f>
        <v>2024</v>
      </c>
      <c r="O3274" s="7">
        <f>Table1[[#This Row],[Profit]]/Table1[[#This Row],[Total_Sales]]</f>
        <v>0.22647058823529412</v>
      </c>
    </row>
    <row r="3275" spans="1:15" x14ac:dyDescent="0.25">
      <c r="A3275" s="1">
        <v>3274</v>
      </c>
      <c r="B3275" s="2">
        <v>45468</v>
      </c>
      <c r="C3275" s="1" t="s">
        <v>16</v>
      </c>
      <c r="D3275" s="1" t="s">
        <v>32</v>
      </c>
      <c r="E3275" s="1" t="s">
        <v>34</v>
      </c>
      <c r="F3275" s="1" t="s">
        <v>40</v>
      </c>
      <c r="G3275" s="1">
        <v>4</v>
      </c>
      <c r="H3275" s="1">
        <v>495</v>
      </c>
      <c r="I3275" s="1">
        <v>20</v>
      </c>
      <c r="J3275" s="4">
        <v>1584</v>
      </c>
      <c r="K3275" s="4">
        <v>1263.8599999999999</v>
      </c>
      <c r="L3275" s="4">
        <v>320.14</v>
      </c>
      <c r="M3275" s="1" t="str">
        <f>TEXT(Table1[[#This Row],[Order_Date]], "MMM")</f>
        <v>Jun</v>
      </c>
      <c r="N3275" s="1">
        <f>YEAR(Table1[[#This Row],[Order_Date]])</f>
        <v>2024</v>
      </c>
      <c r="O3275" s="7">
        <f>Table1[[#This Row],[Profit]]/Table1[[#This Row],[Total_Sales]]</f>
        <v>0.20210858585858585</v>
      </c>
    </row>
    <row r="3276" spans="1:15" x14ac:dyDescent="0.25">
      <c r="A3276" s="1">
        <v>3275</v>
      </c>
      <c r="B3276" s="2">
        <v>45499</v>
      </c>
      <c r="C3276" s="1" t="s">
        <v>25</v>
      </c>
      <c r="D3276" s="1" t="s">
        <v>32</v>
      </c>
      <c r="E3276" s="1" t="s">
        <v>45</v>
      </c>
      <c r="F3276" s="1" t="s">
        <v>35</v>
      </c>
      <c r="G3276" s="1">
        <v>5</v>
      </c>
      <c r="H3276" s="1">
        <v>103</v>
      </c>
      <c r="I3276" s="1">
        <v>0</v>
      </c>
      <c r="J3276" s="4">
        <v>515</v>
      </c>
      <c r="K3276" s="4">
        <v>342.02</v>
      </c>
      <c r="L3276" s="4">
        <v>172.98</v>
      </c>
      <c r="M3276" s="1" t="str">
        <f>TEXT(Table1[[#This Row],[Order_Date]], "MMM")</f>
        <v>Jul</v>
      </c>
      <c r="N3276" s="1">
        <f>YEAR(Table1[[#This Row],[Order_Date]])</f>
        <v>2024</v>
      </c>
      <c r="O3276" s="7">
        <f>Table1[[#This Row],[Profit]]/Table1[[#This Row],[Total_Sales]]</f>
        <v>0.33588349514563104</v>
      </c>
    </row>
    <row r="3277" spans="1:15" x14ac:dyDescent="0.25">
      <c r="A3277" s="1">
        <v>3276</v>
      </c>
      <c r="B3277" s="2">
        <v>45318</v>
      </c>
      <c r="C3277" s="1" t="s">
        <v>25</v>
      </c>
      <c r="D3277" s="1" t="s">
        <v>13</v>
      </c>
      <c r="E3277" s="1" t="s">
        <v>14</v>
      </c>
      <c r="F3277" s="1" t="s">
        <v>24</v>
      </c>
      <c r="G3277" s="1">
        <v>6</v>
      </c>
      <c r="H3277" s="1">
        <v>153</v>
      </c>
      <c r="I3277" s="1">
        <v>20</v>
      </c>
      <c r="J3277" s="4">
        <v>734.4</v>
      </c>
      <c r="K3277" s="4">
        <v>438.63</v>
      </c>
      <c r="L3277" s="4">
        <v>295.77</v>
      </c>
      <c r="M3277" s="1" t="str">
        <f>TEXT(Table1[[#This Row],[Order_Date]], "MMM")</f>
        <v>Jan</v>
      </c>
      <c r="N3277" s="1">
        <f>YEAR(Table1[[#This Row],[Order_Date]])</f>
        <v>2024</v>
      </c>
      <c r="O3277" s="7">
        <f>Table1[[#This Row],[Profit]]/Table1[[#This Row],[Total_Sales]]</f>
        <v>0.40273692810457518</v>
      </c>
    </row>
    <row r="3278" spans="1:15" x14ac:dyDescent="0.25">
      <c r="A3278" s="1">
        <v>3277</v>
      </c>
      <c r="B3278" s="2">
        <v>45098</v>
      </c>
      <c r="C3278" s="1" t="s">
        <v>19</v>
      </c>
      <c r="D3278" s="1" t="s">
        <v>22</v>
      </c>
      <c r="E3278" s="1" t="s">
        <v>29</v>
      </c>
      <c r="F3278" s="1" t="s">
        <v>35</v>
      </c>
      <c r="G3278" s="1">
        <v>9</v>
      </c>
      <c r="H3278" s="1">
        <v>878</v>
      </c>
      <c r="I3278" s="1">
        <v>0</v>
      </c>
      <c r="J3278" s="4">
        <v>7902</v>
      </c>
      <c r="K3278" s="4">
        <v>5309.7</v>
      </c>
      <c r="L3278" s="4">
        <v>2592.3000000000002</v>
      </c>
      <c r="M3278" s="1" t="str">
        <f>TEXT(Table1[[#This Row],[Order_Date]], "MMM")</f>
        <v>Jun</v>
      </c>
      <c r="N3278" s="1">
        <f>YEAR(Table1[[#This Row],[Order_Date]])</f>
        <v>2023</v>
      </c>
      <c r="O3278" s="7">
        <f>Table1[[#This Row],[Profit]]/Table1[[#This Row],[Total_Sales]]</f>
        <v>0.32805618830675781</v>
      </c>
    </row>
    <row r="3279" spans="1:15" x14ac:dyDescent="0.25">
      <c r="A3279" s="1">
        <v>3278</v>
      </c>
      <c r="B3279" s="2">
        <v>45503</v>
      </c>
      <c r="C3279" s="1" t="s">
        <v>25</v>
      </c>
      <c r="D3279" s="1" t="s">
        <v>20</v>
      </c>
      <c r="E3279" s="1" t="s">
        <v>43</v>
      </c>
      <c r="F3279" s="1" t="s">
        <v>35</v>
      </c>
      <c r="G3279" s="1">
        <v>3</v>
      </c>
      <c r="H3279" s="1">
        <v>544</v>
      </c>
      <c r="I3279" s="1">
        <v>10</v>
      </c>
      <c r="J3279" s="4">
        <v>1468.8</v>
      </c>
      <c r="K3279" s="4">
        <v>992.38</v>
      </c>
      <c r="L3279" s="4">
        <v>476.42</v>
      </c>
      <c r="M3279" s="1" t="str">
        <f>TEXT(Table1[[#This Row],[Order_Date]], "MMM")</f>
        <v>Jul</v>
      </c>
      <c r="N3279" s="1">
        <f>YEAR(Table1[[#This Row],[Order_Date]])</f>
        <v>2024</v>
      </c>
      <c r="O3279" s="7">
        <f>Table1[[#This Row],[Profit]]/Table1[[#This Row],[Total_Sales]]</f>
        <v>0.32436002178649237</v>
      </c>
    </row>
    <row r="3280" spans="1:15" x14ac:dyDescent="0.25">
      <c r="A3280" s="1">
        <v>3279</v>
      </c>
      <c r="B3280" s="2">
        <v>45018</v>
      </c>
      <c r="C3280" s="1" t="s">
        <v>19</v>
      </c>
      <c r="D3280" s="1" t="s">
        <v>32</v>
      </c>
      <c r="E3280" s="1" t="s">
        <v>33</v>
      </c>
      <c r="F3280" s="1" t="s">
        <v>35</v>
      </c>
      <c r="G3280" s="1">
        <v>10</v>
      </c>
      <c r="H3280" s="1">
        <v>303</v>
      </c>
      <c r="I3280" s="1">
        <v>20</v>
      </c>
      <c r="J3280" s="4">
        <v>2424</v>
      </c>
      <c r="K3280" s="4">
        <v>1243.3800000000001</v>
      </c>
      <c r="L3280" s="4">
        <v>1180.6199999999999</v>
      </c>
      <c r="M3280" s="1" t="str">
        <f>TEXT(Table1[[#This Row],[Order_Date]], "MMM")</f>
        <v>Apr</v>
      </c>
      <c r="N3280" s="1">
        <f>YEAR(Table1[[#This Row],[Order_Date]])</f>
        <v>2023</v>
      </c>
      <c r="O3280" s="7">
        <f>Table1[[#This Row],[Profit]]/Table1[[#This Row],[Total_Sales]]</f>
        <v>0.48705445544554449</v>
      </c>
    </row>
    <row r="3281" spans="1:15" x14ac:dyDescent="0.25">
      <c r="A3281" s="1">
        <v>3280</v>
      </c>
      <c r="B3281" s="2">
        <v>45034</v>
      </c>
      <c r="C3281" s="1" t="s">
        <v>25</v>
      </c>
      <c r="D3281" s="1" t="s">
        <v>20</v>
      </c>
      <c r="E3281" s="1" t="s">
        <v>30</v>
      </c>
      <c r="F3281" s="1" t="s">
        <v>31</v>
      </c>
      <c r="G3281" s="1">
        <v>8</v>
      </c>
      <c r="H3281" s="1">
        <v>480</v>
      </c>
      <c r="I3281" s="1">
        <v>20</v>
      </c>
      <c r="J3281" s="4">
        <v>3072</v>
      </c>
      <c r="K3281" s="4">
        <v>2200.9899999999998</v>
      </c>
      <c r="L3281" s="4">
        <v>871.01</v>
      </c>
      <c r="M3281" s="1" t="str">
        <f>TEXT(Table1[[#This Row],[Order_Date]], "MMM")</f>
        <v>Apr</v>
      </c>
      <c r="N3281" s="1">
        <f>YEAR(Table1[[#This Row],[Order_Date]])</f>
        <v>2023</v>
      </c>
      <c r="O3281" s="7">
        <f>Table1[[#This Row],[Profit]]/Table1[[#This Row],[Total_Sales]]</f>
        <v>0.28353190104166665</v>
      </c>
    </row>
    <row r="3282" spans="1:15" x14ac:dyDescent="0.25">
      <c r="A3282" s="1">
        <v>3281</v>
      </c>
      <c r="B3282" s="2">
        <v>45577</v>
      </c>
      <c r="C3282" s="1" t="s">
        <v>16</v>
      </c>
      <c r="D3282" s="1" t="s">
        <v>20</v>
      </c>
      <c r="E3282" s="1" t="s">
        <v>43</v>
      </c>
      <c r="F3282" s="1" t="s">
        <v>24</v>
      </c>
      <c r="G3282" s="1">
        <v>10</v>
      </c>
      <c r="H3282" s="1">
        <v>859</v>
      </c>
      <c r="I3282" s="1">
        <v>0</v>
      </c>
      <c r="J3282" s="4">
        <v>8590</v>
      </c>
      <c r="K3282" s="4">
        <v>4927.13</v>
      </c>
      <c r="L3282" s="4">
        <v>3662.87</v>
      </c>
      <c r="M3282" s="1" t="str">
        <f>TEXT(Table1[[#This Row],[Order_Date]], "MMM")</f>
        <v>Oct</v>
      </c>
      <c r="N3282" s="1">
        <f>YEAR(Table1[[#This Row],[Order_Date]])</f>
        <v>2024</v>
      </c>
      <c r="O3282" s="7">
        <f>Table1[[#This Row],[Profit]]/Table1[[#This Row],[Total_Sales]]</f>
        <v>0.42641094295692666</v>
      </c>
    </row>
    <row r="3283" spans="1:15" x14ac:dyDescent="0.25">
      <c r="A3283" s="1">
        <v>3282</v>
      </c>
      <c r="B3283" s="2">
        <v>45484</v>
      </c>
      <c r="C3283" s="1" t="s">
        <v>19</v>
      </c>
      <c r="D3283" s="1" t="s">
        <v>20</v>
      </c>
      <c r="E3283" s="1" t="s">
        <v>43</v>
      </c>
      <c r="F3283" s="1" t="s">
        <v>31</v>
      </c>
      <c r="G3283" s="1">
        <v>5</v>
      </c>
      <c r="H3283" s="1">
        <v>796</v>
      </c>
      <c r="I3283" s="1">
        <v>20</v>
      </c>
      <c r="J3283" s="4">
        <v>3184</v>
      </c>
      <c r="K3283" s="4">
        <v>2296.58</v>
      </c>
      <c r="L3283" s="4">
        <v>887.42</v>
      </c>
      <c r="M3283" s="1" t="str">
        <f>TEXT(Table1[[#This Row],[Order_Date]], "MMM")</f>
        <v>Jul</v>
      </c>
      <c r="N3283" s="1">
        <f>YEAR(Table1[[#This Row],[Order_Date]])</f>
        <v>2024</v>
      </c>
      <c r="O3283" s="7">
        <f>Table1[[#This Row],[Profit]]/Table1[[#This Row],[Total_Sales]]</f>
        <v>0.27871231155778892</v>
      </c>
    </row>
    <row r="3284" spans="1:15" x14ac:dyDescent="0.25">
      <c r="A3284" s="1">
        <v>3283</v>
      </c>
      <c r="B3284" s="2">
        <v>45248</v>
      </c>
      <c r="C3284" s="1" t="s">
        <v>19</v>
      </c>
      <c r="D3284" s="1" t="s">
        <v>32</v>
      </c>
      <c r="E3284" s="1" t="s">
        <v>33</v>
      </c>
      <c r="F3284" s="1" t="s">
        <v>18</v>
      </c>
      <c r="G3284" s="1">
        <v>5</v>
      </c>
      <c r="H3284" s="1">
        <v>93</v>
      </c>
      <c r="I3284" s="1">
        <v>20</v>
      </c>
      <c r="J3284" s="4">
        <v>372</v>
      </c>
      <c r="K3284" s="4">
        <v>231.15</v>
      </c>
      <c r="L3284" s="4">
        <v>140.85</v>
      </c>
      <c r="M3284" s="1" t="str">
        <f>TEXT(Table1[[#This Row],[Order_Date]], "MMM")</f>
        <v>Nov</v>
      </c>
      <c r="N3284" s="1">
        <f>YEAR(Table1[[#This Row],[Order_Date]])</f>
        <v>2023</v>
      </c>
      <c r="O3284" s="7">
        <f>Table1[[#This Row],[Profit]]/Table1[[#This Row],[Total_Sales]]</f>
        <v>0.37862903225806449</v>
      </c>
    </row>
    <row r="3285" spans="1:15" x14ac:dyDescent="0.25">
      <c r="A3285" s="1">
        <v>3284</v>
      </c>
      <c r="B3285" s="2">
        <v>45630</v>
      </c>
      <c r="C3285" s="1" t="s">
        <v>25</v>
      </c>
      <c r="D3285" s="1" t="s">
        <v>32</v>
      </c>
      <c r="E3285" s="1" t="s">
        <v>41</v>
      </c>
      <c r="F3285" s="1" t="s">
        <v>31</v>
      </c>
      <c r="G3285" s="1">
        <v>5</v>
      </c>
      <c r="H3285" s="1">
        <v>895</v>
      </c>
      <c r="I3285" s="1">
        <v>0</v>
      </c>
      <c r="J3285" s="4">
        <v>4475</v>
      </c>
      <c r="K3285" s="4">
        <v>2946.49</v>
      </c>
      <c r="L3285" s="4">
        <v>1528.51</v>
      </c>
      <c r="M3285" s="1" t="str">
        <f>TEXT(Table1[[#This Row],[Order_Date]], "MMM")</f>
        <v>Dec</v>
      </c>
      <c r="N3285" s="1">
        <f>YEAR(Table1[[#This Row],[Order_Date]])</f>
        <v>2024</v>
      </c>
      <c r="O3285" s="7">
        <f>Table1[[#This Row],[Profit]]/Table1[[#This Row],[Total_Sales]]</f>
        <v>0.34156648044692739</v>
      </c>
    </row>
    <row r="3286" spans="1:15" x14ac:dyDescent="0.25">
      <c r="A3286" s="1">
        <v>3285</v>
      </c>
      <c r="B3286" s="2">
        <v>45058</v>
      </c>
      <c r="C3286" s="1" t="s">
        <v>16</v>
      </c>
      <c r="D3286" s="1" t="s">
        <v>32</v>
      </c>
      <c r="E3286" s="1" t="s">
        <v>45</v>
      </c>
      <c r="F3286" s="1" t="s">
        <v>24</v>
      </c>
      <c r="G3286" s="1">
        <v>9</v>
      </c>
      <c r="H3286" s="1">
        <v>913</v>
      </c>
      <c r="I3286" s="1">
        <v>0</v>
      </c>
      <c r="J3286" s="4">
        <v>8217</v>
      </c>
      <c r="K3286" s="4">
        <v>5500.18</v>
      </c>
      <c r="L3286" s="4">
        <v>2716.82</v>
      </c>
      <c r="M3286" s="1" t="str">
        <f>TEXT(Table1[[#This Row],[Order_Date]], "MMM")</f>
        <v>May</v>
      </c>
      <c r="N3286" s="1">
        <f>YEAR(Table1[[#This Row],[Order_Date]])</f>
        <v>2023</v>
      </c>
      <c r="O3286" s="7">
        <f>Table1[[#This Row],[Profit]]/Table1[[#This Row],[Total_Sales]]</f>
        <v>0.33063405135694296</v>
      </c>
    </row>
    <row r="3287" spans="1:15" x14ac:dyDescent="0.25">
      <c r="A3287" s="1">
        <v>3286</v>
      </c>
      <c r="B3287" s="2">
        <v>45015</v>
      </c>
      <c r="C3287" s="1" t="s">
        <v>12</v>
      </c>
      <c r="D3287" s="1" t="s">
        <v>13</v>
      </c>
      <c r="E3287" s="1" t="s">
        <v>39</v>
      </c>
      <c r="F3287" s="1" t="s">
        <v>40</v>
      </c>
      <c r="G3287" s="1">
        <v>3</v>
      </c>
      <c r="H3287" s="1">
        <v>668</v>
      </c>
      <c r="I3287" s="1">
        <v>15</v>
      </c>
      <c r="J3287" s="4">
        <v>1703.4</v>
      </c>
      <c r="K3287" s="4">
        <v>990.32</v>
      </c>
      <c r="L3287" s="4">
        <v>713.08</v>
      </c>
      <c r="M3287" s="1" t="str">
        <f>TEXT(Table1[[#This Row],[Order_Date]], "MMM")</f>
        <v>Mar</v>
      </c>
      <c r="N3287" s="1">
        <f>YEAR(Table1[[#This Row],[Order_Date]])</f>
        <v>2023</v>
      </c>
      <c r="O3287" s="7">
        <f>Table1[[#This Row],[Profit]]/Table1[[#This Row],[Total_Sales]]</f>
        <v>0.41862158036867442</v>
      </c>
    </row>
    <row r="3288" spans="1:15" x14ac:dyDescent="0.25">
      <c r="A3288" s="1">
        <v>3287</v>
      </c>
      <c r="B3288" s="2">
        <v>45601</v>
      </c>
      <c r="C3288" s="1" t="s">
        <v>16</v>
      </c>
      <c r="D3288" s="1" t="s">
        <v>22</v>
      </c>
      <c r="E3288" s="1" t="s">
        <v>36</v>
      </c>
      <c r="F3288" s="1" t="s">
        <v>18</v>
      </c>
      <c r="G3288" s="1">
        <v>3</v>
      </c>
      <c r="H3288" s="1">
        <v>839</v>
      </c>
      <c r="I3288" s="1">
        <v>0</v>
      </c>
      <c r="J3288" s="4">
        <v>2517</v>
      </c>
      <c r="K3288" s="4">
        <v>1996.41</v>
      </c>
      <c r="L3288" s="4">
        <v>520.59</v>
      </c>
      <c r="M3288" s="1" t="str">
        <f>TEXT(Table1[[#This Row],[Order_Date]], "MMM")</f>
        <v>Nov</v>
      </c>
      <c r="N3288" s="1">
        <f>YEAR(Table1[[#This Row],[Order_Date]])</f>
        <v>2024</v>
      </c>
      <c r="O3288" s="7">
        <f>Table1[[#This Row],[Profit]]/Table1[[#This Row],[Total_Sales]]</f>
        <v>0.20682955899880812</v>
      </c>
    </row>
    <row r="3289" spans="1:15" x14ac:dyDescent="0.25">
      <c r="A3289" s="1">
        <v>3288</v>
      </c>
      <c r="B3289" s="2">
        <v>45596</v>
      </c>
      <c r="C3289" s="1" t="s">
        <v>25</v>
      </c>
      <c r="D3289" s="1" t="s">
        <v>20</v>
      </c>
      <c r="E3289" s="1" t="s">
        <v>21</v>
      </c>
      <c r="F3289" s="1" t="s">
        <v>24</v>
      </c>
      <c r="G3289" s="1">
        <v>6</v>
      </c>
      <c r="H3289" s="1">
        <v>788</v>
      </c>
      <c r="I3289" s="1">
        <v>0</v>
      </c>
      <c r="J3289" s="4">
        <v>4728</v>
      </c>
      <c r="K3289" s="4">
        <v>3426.35</v>
      </c>
      <c r="L3289" s="4">
        <v>1301.6500000000001</v>
      </c>
      <c r="M3289" s="1" t="str">
        <f>TEXT(Table1[[#This Row],[Order_Date]], "MMM")</f>
        <v>Oct</v>
      </c>
      <c r="N3289" s="1">
        <f>YEAR(Table1[[#This Row],[Order_Date]])</f>
        <v>2024</v>
      </c>
      <c r="O3289" s="7">
        <f>Table1[[#This Row],[Profit]]/Table1[[#This Row],[Total_Sales]]</f>
        <v>0.27530668358714044</v>
      </c>
    </row>
    <row r="3290" spans="1:15" x14ac:dyDescent="0.25">
      <c r="A3290" s="1">
        <v>3289</v>
      </c>
      <c r="B3290" s="2">
        <v>45249</v>
      </c>
      <c r="C3290" s="1" t="s">
        <v>12</v>
      </c>
      <c r="D3290" s="1" t="s">
        <v>26</v>
      </c>
      <c r="E3290" s="1" t="s">
        <v>46</v>
      </c>
      <c r="F3290" s="1" t="s">
        <v>40</v>
      </c>
      <c r="G3290" s="1">
        <v>9</v>
      </c>
      <c r="H3290" s="1">
        <v>722</v>
      </c>
      <c r="I3290" s="1">
        <v>10</v>
      </c>
      <c r="J3290" s="4">
        <v>5848.2</v>
      </c>
      <c r="K3290" s="4">
        <v>2949.71</v>
      </c>
      <c r="L3290" s="4">
        <v>2898.49</v>
      </c>
      <c r="M3290" s="1" t="str">
        <f>TEXT(Table1[[#This Row],[Order_Date]], "MMM")</f>
        <v>Nov</v>
      </c>
      <c r="N3290" s="1">
        <f>YEAR(Table1[[#This Row],[Order_Date]])</f>
        <v>2023</v>
      </c>
      <c r="O3290" s="7">
        <f>Table1[[#This Row],[Profit]]/Table1[[#This Row],[Total_Sales]]</f>
        <v>0.49562087479908346</v>
      </c>
    </row>
    <row r="3291" spans="1:15" x14ac:dyDescent="0.25">
      <c r="A3291" s="1">
        <v>3290</v>
      </c>
      <c r="B3291" s="2">
        <v>45034</v>
      </c>
      <c r="C3291" s="1" t="s">
        <v>16</v>
      </c>
      <c r="D3291" s="1" t="s">
        <v>20</v>
      </c>
      <c r="E3291" s="1" t="s">
        <v>28</v>
      </c>
      <c r="F3291" s="1" t="s">
        <v>31</v>
      </c>
      <c r="G3291" s="1">
        <v>3</v>
      </c>
      <c r="H3291" s="1">
        <v>325</v>
      </c>
      <c r="I3291" s="1">
        <v>15</v>
      </c>
      <c r="J3291" s="4">
        <v>828.75</v>
      </c>
      <c r="K3291" s="4">
        <v>509.8</v>
      </c>
      <c r="L3291" s="4">
        <v>318.95</v>
      </c>
      <c r="M3291" s="1" t="str">
        <f>TEXT(Table1[[#This Row],[Order_Date]], "MMM")</f>
        <v>Apr</v>
      </c>
      <c r="N3291" s="1">
        <f>YEAR(Table1[[#This Row],[Order_Date]])</f>
        <v>2023</v>
      </c>
      <c r="O3291" s="7">
        <f>Table1[[#This Row],[Profit]]/Table1[[#This Row],[Total_Sales]]</f>
        <v>0.38485671191553544</v>
      </c>
    </row>
    <row r="3292" spans="1:15" x14ac:dyDescent="0.25">
      <c r="A3292" s="1">
        <v>3291</v>
      </c>
      <c r="B3292" s="2">
        <v>45221</v>
      </c>
      <c r="C3292" s="1" t="s">
        <v>19</v>
      </c>
      <c r="D3292" s="1" t="s">
        <v>26</v>
      </c>
      <c r="E3292" s="1" t="s">
        <v>46</v>
      </c>
      <c r="F3292" s="1" t="s">
        <v>24</v>
      </c>
      <c r="G3292" s="1">
        <v>9</v>
      </c>
      <c r="H3292" s="1">
        <v>345</v>
      </c>
      <c r="I3292" s="1">
        <v>15</v>
      </c>
      <c r="J3292" s="4">
        <v>2639.25</v>
      </c>
      <c r="K3292" s="4">
        <v>1525.37</v>
      </c>
      <c r="L3292" s="4">
        <v>1113.8800000000001</v>
      </c>
      <c r="M3292" s="1" t="str">
        <f>TEXT(Table1[[#This Row],[Order_Date]], "MMM")</f>
        <v>Oct</v>
      </c>
      <c r="N3292" s="1">
        <f>YEAR(Table1[[#This Row],[Order_Date]])</f>
        <v>2023</v>
      </c>
      <c r="O3292" s="7">
        <f>Table1[[#This Row],[Profit]]/Table1[[#This Row],[Total_Sales]]</f>
        <v>0.42204414132802881</v>
      </c>
    </row>
    <row r="3293" spans="1:15" x14ac:dyDescent="0.25">
      <c r="A3293" s="1">
        <v>3292</v>
      </c>
      <c r="B3293" s="2">
        <v>44934</v>
      </c>
      <c r="C3293" s="1" t="s">
        <v>19</v>
      </c>
      <c r="D3293" s="1" t="s">
        <v>32</v>
      </c>
      <c r="E3293" s="1" t="s">
        <v>41</v>
      </c>
      <c r="F3293" s="1" t="s">
        <v>40</v>
      </c>
      <c r="G3293" s="1">
        <v>10</v>
      </c>
      <c r="H3293" s="1">
        <v>91</v>
      </c>
      <c r="I3293" s="1">
        <v>5</v>
      </c>
      <c r="J3293" s="4">
        <v>864.5</v>
      </c>
      <c r="K3293" s="4">
        <v>637.49</v>
      </c>
      <c r="L3293" s="4">
        <v>227.01</v>
      </c>
      <c r="M3293" s="1" t="str">
        <f>TEXT(Table1[[#This Row],[Order_Date]], "MMM")</f>
        <v>Jan</v>
      </c>
      <c r="N3293" s="1">
        <f>YEAR(Table1[[#This Row],[Order_Date]])</f>
        <v>2023</v>
      </c>
      <c r="O3293" s="7">
        <f>Table1[[#This Row],[Profit]]/Table1[[#This Row],[Total_Sales]]</f>
        <v>0.26259109311740891</v>
      </c>
    </row>
    <row r="3294" spans="1:15" x14ac:dyDescent="0.25">
      <c r="A3294" s="1">
        <v>3293</v>
      </c>
      <c r="B3294" s="2">
        <v>45555</v>
      </c>
      <c r="C3294" s="1" t="s">
        <v>12</v>
      </c>
      <c r="D3294" s="1" t="s">
        <v>32</v>
      </c>
      <c r="E3294" s="1" t="s">
        <v>34</v>
      </c>
      <c r="F3294" s="1" t="s">
        <v>18</v>
      </c>
      <c r="G3294" s="1">
        <v>2</v>
      </c>
      <c r="H3294" s="1">
        <v>182</v>
      </c>
      <c r="I3294" s="1">
        <v>5</v>
      </c>
      <c r="J3294" s="4">
        <v>345.8</v>
      </c>
      <c r="K3294" s="4">
        <v>174.76</v>
      </c>
      <c r="L3294" s="4">
        <v>171.04</v>
      </c>
      <c r="M3294" s="1" t="str">
        <f>TEXT(Table1[[#This Row],[Order_Date]], "MMM")</f>
        <v>Sep</v>
      </c>
      <c r="N3294" s="1">
        <f>YEAR(Table1[[#This Row],[Order_Date]])</f>
        <v>2024</v>
      </c>
      <c r="O3294" s="7">
        <f>Table1[[#This Row],[Profit]]/Table1[[#This Row],[Total_Sales]]</f>
        <v>0.49462116830537878</v>
      </c>
    </row>
    <row r="3295" spans="1:15" x14ac:dyDescent="0.25">
      <c r="A3295" s="1">
        <v>3294</v>
      </c>
      <c r="B3295" s="2">
        <v>45240</v>
      </c>
      <c r="C3295" s="1" t="s">
        <v>19</v>
      </c>
      <c r="D3295" s="1" t="s">
        <v>20</v>
      </c>
      <c r="E3295" s="1" t="s">
        <v>28</v>
      </c>
      <c r="F3295" s="1" t="s">
        <v>18</v>
      </c>
      <c r="G3295" s="1">
        <v>4</v>
      </c>
      <c r="H3295" s="1">
        <v>669</v>
      </c>
      <c r="I3295" s="1">
        <v>5</v>
      </c>
      <c r="J3295" s="4">
        <v>2542.1999999999998</v>
      </c>
      <c r="K3295" s="4">
        <v>1787.2</v>
      </c>
      <c r="L3295" s="4">
        <v>755</v>
      </c>
      <c r="M3295" s="1" t="str">
        <f>TEXT(Table1[[#This Row],[Order_Date]], "MMM")</f>
        <v>Nov</v>
      </c>
      <c r="N3295" s="1">
        <f>YEAR(Table1[[#This Row],[Order_Date]])</f>
        <v>2023</v>
      </c>
      <c r="O3295" s="7">
        <f>Table1[[#This Row],[Profit]]/Table1[[#This Row],[Total_Sales]]</f>
        <v>0.29698686177326727</v>
      </c>
    </row>
    <row r="3296" spans="1:15" x14ac:dyDescent="0.25">
      <c r="A3296" s="1">
        <v>3295</v>
      </c>
      <c r="B3296" s="2">
        <v>45645</v>
      </c>
      <c r="C3296" s="1" t="s">
        <v>19</v>
      </c>
      <c r="D3296" s="1" t="s">
        <v>20</v>
      </c>
      <c r="E3296" s="1" t="s">
        <v>21</v>
      </c>
      <c r="F3296" s="1" t="s">
        <v>15</v>
      </c>
      <c r="G3296" s="1">
        <v>5</v>
      </c>
      <c r="H3296" s="1">
        <v>792</v>
      </c>
      <c r="I3296" s="1">
        <v>15</v>
      </c>
      <c r="J3296" s="4">
        <v>3366</v>
      </c>
      <c r="K3296" s="4">
        <v>1842.62</v>
      </c>
      <c r="L3296" s="4">
        <v>1523.38</v>
      </c>
      <c r="M3296" s="1" t="str">
        <f>TEXT(Table1[[#This Row],[Order_Date]], "MMM")</f>
        <v>Dec</v>
      </c>
      <c r="N3296" s="1">
        <f>YEAR(Table1[[#This Row],[Order_Date]])</f>
        <v>2024</v>
      </c>
      <c r="O3296" s="7">
        <f>Table1[[#This Row],[Profit]]/Table1[[#This Row],[Total_Sales]]</f>
        <v>0.45257872846108144</v>
      </c>
    </row>
    <row r="3297" spans="1:15" x14ac:dyDescent="0.25">
      <c r="A3297" s="1">
        <v>3296</v>
      </c>
      <c r="B3297" s="2">
        <v>45484</v>
      </c>
      <c r="C3297" s="1" t="s">
        <v>12</v>
      </c>
      <c r="D3297" s="1" t="s">
        <v>20</v>
      </c>
      <c r="E3297" s="1" t="s">
        <v>21</v>
      </c>
      <c r="F3297" s="1" t="s">
        <v>15</v>
      </c>
      <c r="G3297" s="1">
        <v>1</v>
      </c>
      <c r="H3297" s="1">
        <v>799</v>
      </c>
      <c r="I3297" s="1">
        <v>0</v>
      </c>
      <c r="J3297" s="4">
        <v>799</v>
      </c>
      <c r="K3297" s="4">
        <v>543.29</v>
      </c>
      <c r="L3297" s="4">
        <v>255.71</v>
      </c>
      <c r="M3297" s="1" t="str">
        <f>TEXT(Table1[[#This Row],[Order_Date]], "MMM")</f>
        <v>Jul</v>
      </c>
      <c r="N3297" s="1">
        <f>YEAR(Table1[[#This Row],[Order_Date]])</f>
        <v>2024</v>
      </c>
      <c r="O3297" s="7">
        <f>Table1[[#This Row],[Profit]]/Table1[[#This Row],[Total_Sales]]</f>
        <v>0.32003754693366709</v>
      </c>
    </row>
    <row r="3298" spans="1:15" x14ac:dyDescent="0.25">
      <c r="A3298" s="1">
        <v>3297</v>
      </c>
      <c r="B3298" s="2">
        <v>45192</v>
      </c>
      <c r="C3298" s="1" t="s">
        <v>25</v>
      </c>
      <c r="D3298" s="1" t="s">
        <v>22</v>
      </c>
      <c r="E3298" s="1" t="s">
        <v>36</v>
      </c>
      <c r="F3298" s="1" t="s">
        <v>24</v>
      </c>
      <c r="G3298" s="1">
        <v>10</v>
      </c>
      <c r="H3298" s="1">
        <v>493</v>
      </c>
      <c r="I3298" s="1">
        <v>10</v>
      </c>
      <c r="J3298" s="4">
        <v>4437</v>
      </c>
      <c r="K3298" s="4">
        <v>3387.44</v>
      </c>
      <c r="L3298" s="4">
        <v>1049.56</v>
      </c>
      <c r="M3298" s="1" t="str">
        <f>TEXT(Table1[[#This Row],[Order_Date]], "MMM")</f>
        <v>Sep</v>
      </c>
      <c r="N3298" s="1">
        <f>YEAR(Table1[[#This Row],[Order_Date]])</f>
        <v>2023</v>
      </c>
      <c r="O3298" s="7">
        <f>Table1[[#This Row],[Profit]]/Table1[[#This Row],[Total_Sales]]</f>
        <v>0.23654721658778452</v>
      </c>
    </row>
    <row r="3299" spans="1:15" x14ac:dyDescent="0.25">
      <c r="A3299" s="1">
        <v>3298</v>
      </c>
      <c r="B3299" s="2">
        <v>45515</v>
      </c>
      <c r="C3299" s="1" t="s">
        <v>12</v>
      </c>
      <c r="D3299" s="1" t="s">
        <v>13</v>
      </c>
      <c r="E3299" s="1" t="s">
        <v>38</v>
      </c>
      <c r="F3299" s="1" t="s">
        <v>18</v>
      </c>
      <c r="G3299" s="1">
        <v>4</v>
      </c>
      <c r="H3299" s="1">
        <v>361</v>
      </c>
      <c r="I3299" s="1">
        <v>15</v>
      </c>
      <c r="J3299" s="4">
        <v>1227.4000000000001</v>
      </c>
      <c r="K3299" s="4">
        <v>624.98</v>
      </c>
      <c r="L3299" s="4">
        <v>602.41999999999996</v>
      </c>
      <c r="M3299" s="1" t="str">
        <f>TEXT(Table1[[#This Row],[Order_Date]], "MMM")</f>
        <v>Aug</v>
      </c>
      <c r="N3299" s="1">
        <f>YEAR(Table1[[#This Row],[Order_Date]])</f>
        <v>2024</v>
      </c>
      <c r="O3299" s="7">
        <f>Table1[[#This Row],[Profit]]/Table1[[#This Row],[Total_Sales]]</f>
        <v>0.49080984194231703</v>
      </c>
    </row>
    <row r="3300" spans="1:15" x14ac:dyDescent="0.25">
      <c r="A3300" s="1">
        <v>3299</v>
      </c>
      <c r="B3300" s="2">
        <v>45446</v>
      </c>
      <c r="C3300" s="1" t="s">
        <v>25</v>
      </c>
      <c r="D3300" s="1" t="s">
        <v>13</v>
      </c>
      <c r="E3300" s="1" t="s">
        <v>39</v>
      </c>
      <c r="F3300" s="1" t="s">
        <v>31</v>
      </c>
      <c r="G3300" s="1">
        <v>2</v>
      </c>
      <c r="H3300" s="1">
        <v>983</v>
      </c>
      <c r="I3300" s="1">
        <v>5</v>
      </c>
      <c r="J3300" s="4">
        <v>1867.7</v>
      </c>
      <c r="K3300" s="4">
        <v>1097.6600000000001</v>
      </c>
      <c r="L3300" s="4">
        <v>770.04</v>
      </c>
      <c r="M3300" s="1" t="str">
        <f>TEXT(Table1[[#This Row],[Order_Date]], "MMM")</f>
        <v>Jun</v>
      </c>
      <c r="N3300" s="1">
        <f>YEAR(Table1[[#This Row],[Order_Date]])</f>
        <v>2024</v>
      </c>
      <c r="O3300" s="7">
        <f>Table1[[#This Row],[Profit]]/Table1[[#This Row],[Total_Sales]]</f>
        <v>0.41229319483857146</v>
      </c>
    </row>
    <row r="3301" spans="1:15" x14ac:dyDescent="0.25">
      <c r="A3301" s="1">
        <v>3300</v>
      </c>
      <c r="B3301" s="2">
        <v>45283</v>
      </c>
      <c r="C3301" s="1" t="s">
        <v>16</v>
      </c>
      <c r="D3301" s="1" t="s">
        <v>22</v>
      </c>
      <c r="E3301" s="1" t="s">
        <v>23</v>
      </c>
      <c r="F3301" s="1" t="s">
        <v>24</v>
      </c>
      <c r="G3301" s="1">
        <v>5</v>
      </c>
      <c r="H3301" s="1">
        <v>223</v>
      </c>
      <c r="I3301" s="1">
        <v>5</v>
      </c>
      <c r="J3301" s="4">
        <v>1059.25</v>
      </c>
      <c r="K3301" s="4">
        <v>543.85</v>
      </c>
      <c r="L3301" s="4">
        <v>515.4</v>
      </c>
      <c r="M3301" s="1" t="str">
        <f>TEXT(Table1[[#This Row],[Order_Date]], "MMM")</f>
        <v>Dec</v>
      </c>
      <c r="N3301" s="1">
        <f>YEAR(Table1[[#This Row],[Order_Date]])</f>
        <v>2023</v>
      </c>
      <c r="O3301" s="7">
        <f>Table1[[#This Row],[Profit]]/Table1[[#This Row],[Total_Sales]]</f>
        <v>0.48657068680670285</v>
      </c>
    </row>
    <row r="3302" spans="1:15" x14ac:dyDescent="0.25">
      <c r="A3302" s="1">
        <v>3301</v>
      </c>
      <c r="B3302" s="2">
        <v>45203</v>
      </c>
      <c r="C3302" s="1" t="s">
        <v>19</v>
      </c>
      <c r="D3302" s="1" t="s">
        <v>22</v>
      </c>
      <c r="E3302" s="1" t="s">
        <v>36</v>
      </c>
      <c r="F3302" s="1" t="s">
        <v>35</v>
      </c>
      <c r="G3302" s="1">
        <v>2</v>
      </c>
      <c r="H3302" s="1">
        <v>275</v>
      </c>
      <c r="I3302" s="1">
        <v>10</v>
      </c>
      <c r="J3302" s="4">
        <v>495</v>
      </c>
      <c r="K3302" s="4">
        <v>315.02</v>
      </c>
      <c r="L3302" s="4">
        <v>179.98</v>
      </c>
      <c r="M3302" s="1" t="str">
        <f>TEXT(Table1[[#This Row],[Order_Date]], "MMM")</f>
        <v>Oct</v>
      </c>
      <c r="N3302" s="1">
        <f>YEAR(Table1[[#This Row],[Order_Date]])</f>
        <v>2023</v>
      </c>
      <c r="O3302" s="7">
        <f>Table1[[#This Row],[Profit]]/Table1[[#This Row],[Total_Sales]]</f>
        <v>0.36359595959595958</v>
      </c>
    </row>
    <row r="3303" spans="1:15" x14ac:dyDescent="0.25">
      <c r="A3303" s="1">
        <v>3302</v>
      </c>
      <c r="B3303" s="2">
        <v>44982</v>
      </c>
      <c r="C3303" s="1" t="s">
        <v>12</v>
      </c>
      <c r="D3303" s="1" t="s">
        <v>26</v>
      </c>
      <c r="E3303" s="1" t="s">
        <v>42</v>
      </c>
      <c r="F3303" s="1" t="s">
        <v>18</v>
      </c>
      <c r="G3303" s="1">
        <v>8</v>
      </c>
      <c r="H3303" s="1">
        <v>803</v>
      </c>
      <c r="I3303" s="1">
        <v>0</v>
      </c>
      <c r="J3303" s="4">
        <v>6424</v>
      </c>
      <c r="K3303" s="4">
        <v>4241.59</v>
      </c>
      <c r="L3303" s="4">
        <v>2182.41</v>
      </c>
      <c r="M3303" s="1" t="str">
        <f>TEXT(Table1[[#This Row],[Order_Date]], "MMM")</f>
        <v>Feb</v>
      </c>
      <c r="N3303" s="1">
        <f>YEAR(Table1[[#This Row],[Order_Date]])</f>
        <v>2023</v>
      </c>
      <c r="O3303" s="7">
        <f>Table1[[#This Row],[Profit]]/Table1[[#This Row],[Total_Sales]]</f>
        <v>0.33972758405977582</v>
      </c>
    </row>
    <row r="3304" spans="1:15" x14ac:dyDescent="0.25">
      <c r="A3304" s="1">
        <v>3303</v>
      </c>
      <c r="B3304" s="2">
        <v>45341</v>
      </c>
      <c r="C3304" s="1" t="s">
        <v>19</v>
      </c>
      <c r="D3304" s="1" t="s">
        <v>26</v>
      </c>
      <c r="E3304" s="1" t="s">
        <v>37</v>
      </c>
      <c r="F3304" s="1" t="s">
        <v>24</v>
      </c>
      <c r="G3304" s="1">
        <v>1</v>
      </c>
      <c r="H3304" s="1">
        <v>12</v>
      </c>
      <c r="I3304" s="1">
        <v>15</v>
      </c>
      <c r="J3304" s="4">
        <v>10.199999999999999</v>
      </c>
      <c r="K3304" s="4">
        <v>5.97</v>
      </c>
      <c r="L3304" s="4">
        <v>4.2300000000000004</v>
      </c>
      <c r="M3304" s="1" t="str">
        <f>TEXT(Table1[[#This Row],[Order_Date]], "MMM")</f>
        <v>Feb</v>
      </c>
      <c r="N3304" s="1">
        <f>YEAR(Table1[[#This Row],[Order_Date]])</f>
        <v>2024</v>
      </c>
      <c r="O3304" s="7">
        <f>Table1[[#This Row],[Profit]]/Table1[[#This Row],[Total_Sales]]</f>
        <v>0.41470588235294126</v>
      </c>
    </row>
    <row r="3305" spans="1:15" x14ac:dyDescent="0.25">
      <c r="A3305" s="1">
        <v>3304</v>
      </c>
      <c r="B3305" s="2">
        <v>45623</v>
      </c>
      <c r="C3305" s="1" t="s">
        <v>12</v>
      </c>
      <c r="D3305" s="1" t="s">
        <v>22</v>
      </c>
      <c r="E3305" s="1" t="s">
        <v>36</v>
      </c>
      <c r="F3305" s="1" t="s">
        <v>18</v>
      </c>
      <c r="G3305" s="1">
        <v>2</v>
      </c>
      <c r="H3305" s="1">
        <v>414</v>
      </c>
      <c r="I3305" s="1">
        <v>20</v>
      </c>
      <c r="J3305" s="4">
        <v>662.4</v>
      </c>
      <c r="K3305" s="4">
        <v>496.4</v>
      </c>
      <c r="L3305" s="4">
        <v>166</v>
      </c>
      <c r="M3305" s="1" t="str">
        <f>TEXT(Table1[[#This Row],[Order_Date]], "MMM")</f>
        <v>Nov</v>
      </c>
      <c r="N3305" s="1">
        <f>YEAR(Table1[[#This Row],[Order_Date]])</f>
        <v>2024</v>
      </c>
      <c r="O3305" s="7">
        <f>Table1[[#This Row],[Profit]]/Table1[[#This Row],[Total_Sales]]</f>
        <v>0.25060386473429952</v>
      </c>
    </row>
    <row r="3306" spans="1:15" x14ac:dyDescent="0.25">
      <c r="A3306" s="1">
        <v>3305</v>
      </c>
      <c r="B3306" s="2">
        <v>45086</v>
      </c>
      <c r="C3306" s="1" t="s">
        <v>19</v>
      </c>
      <c r="D3306" s="1" t="s">
        <v>32</v>
      </c>
      <c r="E3306" s="1" t="s">
        <v>34</v>
      </c>
      <c r="F3306" s="1" t="s">
        <v>18</v>
      </c>
      <c r="G3306" s="1">
        <v>3</v>
      </c>
      <c r="H3306" s="1">
        <v>397</v>
      </c>
      <c r="I3306" s="1">
        <v>0</v>
      </c>
      <c r="J3306" s="4">
        <v>1191</v>
      </c>
      <c r="K3306" s="4">
        <v>681.38</v>
      </c>
      <c r="L3306" s="4">
        <v>509.62</v>
      </c>
      <c r="M3306" s="1" t="str">
        <f>TEXT(Table1[[#This Row],[Order_Date]], "MMM")</f>
        <v>Jun</v>
      </c>
      <c r="N3306" s="1">
        <f>YEAR(Table1[[#This Row],[Order_Date]])</f>
        <v>2023</v>
      </c>
      <c r="O3306" s="7">
        <f>Table1[[#This Row],[Profit]]/Table1[[#This Row],[Total_Sales]]</f>
        <v>0.42789252728799326</v>
      </c>
    </row>
    <row r="3307" spans="1:15" x14ac:dyDescent="0.25">
      <c r="A3307" s="1">
        <v>3306</v>
      </c>
      <c r="B3307" s="2">
        <v>45372</v>
      </c>
      <c r="C3307" s="1" t="s">
        <v>16</v>
      </c>
      <c r="D3307" s="1" t="s">
        <v>26</v>
      </c>
      <c r="E3307" s="1" t="s">
        <v>46</v>
      </c>
      <c r="F3307" s="1" t="s">
        <v>31</v>
      </c>
      <c r="G3307" s="1">
        <v>7</v>
      </c>
      <c r="H3307" s="1">
        <v>676</v>
      </c>
      <c r="I3307" s="1">
        <v>10</v>
      </c>
      <c r="J3307" s="4">
        <v>4258.8</v>
      </c>
      <c r="K3307" s="4">
        <v>2794.5</v>
      </c>
      <c r="L3307" s="4">
        <v>1464.3</v>
      </c>
      <c r="M3307" s="1" t="str">
        <f>TEXT(Table1[[#This Row],[Order_Date]], "MMM")</f>
        <v>Mar</v>
      </c>
      <c r="N3307" s="1">
        <f>YEAR(Table1[[#This Row],[Order_Date]])</f>
        <v>2024</v>
      </c>
      <c r="O3307" s="7">
        <f>Table1[[#This Row],[Profit]]/Table1[[#This Row],[Total_Sales]]</f>
        <v>0.34382924767540152</v>
      </c>
    </row>
    <row r="3308" spans="1:15" x14ac:dyDescent="0.25">
      <c r="A3308" s="1">
        <v>3307</v>
      </c>
      <c r="B3308" s="2">
        <v>45538</v>
      </c>
      <c r="C3308" s="1" t="s">
        <v>12</v>
      </c>
      <c r="D3308" s="1" t="s">
        <v>22</v>
      </c>
      <c r="E3308" s="1" t="s">
        <v>23</v>
      </c>
      <c r="F3308" s="1" t="s">
        <v>24</v>
      </c>
      <c r="G3308" s="1">
        <v>2</v>
      </c>
      <c r="H3308" s="1">
        <v>315</v>
      </c>
      <c r="I3308" s="1">
        <v>5</v>
      </c>
      <c r="J3308" s="4">
        <v>598.5</v>
      </c>
      <c r="K3308" s="4">
        <v>406.52</v>
      </c>
      <c r="L3308" s="4">
        <v>191.98</v>
      </c>
      <c r="M3308" s="1" t="str">
        <f>TEXT(Table1[[#This Row],[Order_Date]], "MMM")</f>
        <v>Sep</v>
      </c>
      <c r="N3308" s="1">
        <f>YEAR(Table1[[#This Row],[Order_Date]])</f>
        <v>2024</v>
      </c>
      <c r="O3308" s="7">
        <f>Table1[[#This Row],[Profit]]/Table1[[#This Row],[Total_Sales]]</f>
        <v>0.32076858813700915</v>
      </c>
    </row>
    <row r="3309" spans="1:15" x14ac:dyDescent="0.25">
      <c r="A3309" s="1">
        <v>3308</v>
      </c>
      <c r="B3309" s="2">
        <v>44936</v>
      </c>
      <c r="C3309" s="1" t="s">
        <v>19</v>
      </c>
      <c r="D3309" s="1" t="s">
        <v>26</v>
      </c>
      <c r="E3309" s="1" t="s">
        <v>42</v>
      </c>
      <c r="F3309" s="1" t="s">
        <v>35</v>
      </c>
      <c r="G3309" s="1">
        <v>8</v>
      </c>
      <c r="H3309" s="1">
        <v>568</v>
      </c>
      <c r="I3309" s="1">
        <v>10</v>
      </c>
      <c r="J3309" s="4">
        <v>4089.6</v>
      </c>
      <c r="K3309" s="4">
        <v>2782.62</v>
      </c>
      <c r="L3309" s="4">
        <v>1306.98</v>
      </c>
      <c r="M3309" s="1" t="str">
        <f>TEXT(Table1[[#This Row],[Order_Date]], "MMM")</f>
        <v>Jan</v>
      </c>
      <c r="N3309" s="1">
        <f>YEAR(Table1[[#This Row],[Order_Date]])</f>
        <v>2023</v>
      </c>
      <c r="O3309" s="7">
        <f>Table1[[#This Row],[Profit]]/Table1[[#This Row],[Total_Sales]]</f>
        <v>0.3195862676056338</v>
      </c>
    </row>
    <row r="3310" spans="1:15" x14ac:dyDescent="0.25">
      <c r="A3310" s="1">
        <v>3309</v>
      </c>
      <c r="B3310" s="2">
        <v>45577</v>
      </c>
      <c r="C3310" s="1" t="s">
        <v>19</v>
      </c>
      <c r="D3310" s="1" t="s">
        <v>32</v>
      </c>
      <c r="E3310" s="1" t="s">
        <v>33</v>
      </c>
      <c r="F3310" s="1" t="s">
        <v>18</v>
      </c>
      <c r="G3310" s="1">
        <v>6</v>
      </c>
      <c r="H3310" s="1">
        <v>369</v>
      </c>
      <c r="I3310" s="1">
        <v>5</v>
      </c>
      <c r="J3310" s="4">
        <v>2103.3000000000002</v>
      </c>
      <c r="K3310" s="4">
        <v>1524.84</v>
      </c>
      <c r="L3310" s="4">
        <v>578.46</v>
      </c>
      <c r="M3310" s="1" t="str">
        <f>TEXT(Table1[[#This Row],[Order_Date]], "MMM")</f>
        <v>Oct</v>
      </c>
      <c r="N3310" s="1">
        <f>YEAR(Table1[[#This Row],[Order_Date]])</f>
        <v>2024</v>
      </c>
      <c r="O3310" s="7">
        <f>Table1[[#This Row],[Profit]]/Table1[[#This Row],[Total_Sales]]</f>
        <v>0.27502496077592353</v>
      </c>
    </row>
    <row r="3311" spans="1:15" x14ac:dyDescent="0.25">
      <c r="A3311" s="1">
        <v>3310</v>
      </c>
      <c r="B3311" s="2">
        <v>44959</v>
      </c>
      <c r="C3311" s="1" t="s">
        <v>19</v>
      </c>
      <c r="D3311" s="1" t="s">
        <v>32</v>
      </c>
      <c r="E3311" s="1" t="s">
        <v>45</v>
      </c>
      <c r="F3311" s="1" t="s">
        <v>35</v>
      </c>
      <c r="G3311" s="1">
        <v>3</v>
      </c>
      <c r="H3311" s="1">
        <v>872</v>
      </c>
      <c r="I3311" s="1">
        <v>10</v>
      </c>
      <c r="J3311" s="4">
        <v>2354.4</v>
      </c>
      <c r="K3311" s="4">
        <v>1596.83</v>
      </c>
      <c r="L3311" s="4">
        <v>757.57</v>
      </c>
      <c r="M3311" s="1" t="str">
        <f>TEXT(Table1[[#This Row],[Order_Date]], "MMM")</f>
        <v>Feb</v>
      </c>
      <c r="N3311" s="1">
        <f>YEAR(Table1[[#This Row],[Order_Date]])</f>
        <v>2023</v>
      </c>
      <c r="O3311" s="7">
        <f>Table1[[#This Row],[Profit]]/Table1[[#This Row],[Total_Sales]]</f>
        <v>0.32176775399252466</v>
      </c>
    </row>
    <row r="3312" spans="1:15" x14ac:dyDescent="0.25">
      <c r="A3312" s="1">
        <v>3311</v>
      </c>
      <c r="B3312" s="2">
        <v>45619</v>
      </c>
      <c r="C3312" s="1" t="s">
        <v>16</v>
      </c>
      <c r="D3312" s="1" t="s">
        <v>20</v>
      </c>
      <c r="E3312" s="1" t="s">
        <v>30</v>
      </c>
      <c r="F3312" s="1" t="s">
        <v>31</v>
      </c>
      <c r="G3312" s="1">
        <v>3</v>
      </c>
      <c r="H3312" s="1">
        <v>498</v>
      </c>
      <c r="I3312" s="1">
        <v>15</v>
      </c>
      <c r="J3312" s="4">
        <v>1269.9000000000001</v>
      </c>
      <c r="K3312" s="4">
        <v>852.89</v>
      </c>
      <c r="L3312" s="4">
        <v>417.01</v>
      </c>
      <c r="M3312" s="1" t="str">
        <f>TEXT(Table1[[#This Row],[Order_Date]], "MMM")</f>
        <v>Nov</v>
      </c>
      <c r="N3312" s="1">
        <f>YEAR(Table1[[#This Row],[Order_Date]])</f>
        <v>2024</v>
      </c>
      <c r="O3312" s="7">
        <f>Table1[[#This Row],[Profit]]/Table1[[#This Row],[Total_Sales]]</f>
        <v>0.32838018741633196</v>
      </c>
    </row>
    <row r="3313" spans="1:15" x14ac:dyDescent="0.25">
      <c r="A3313" s="1">
        <v>3312</v>
      </c>
      <c r="B3313" s="2">
        <v>45403</v>
      </c>
      <c r="C3313" s="1" t="s">
        <v>25</v>
      </c>
      <c r="D3313" s="1" t="s">
        <v>13</v>
      </c>
      <c r="E3313" s="1" t="s">
        <v>39</v>
      </c>
      <c r="F3313" s="1" t="s">
        <v>35</v>
      </c>
      <c r="G3313" s="1">
        <v>9</v>
      </c>
      <c r="H3313" s="1">
        <v>666</v>
      </c>
      <c r="I3313" s="1">
        <v>5</v>
      </c>
      <c r="J3313" s="4">
        <v>5694.3</v>
      </c>
      <c r="K3313" s="4">
        <v>4306.3999999999996</v>
      </c>
      <c r="L3313" s="4">
        <v>1387.9</v>
      </c>
      <c r="M3313" s="1" t="str">
        <f>TEXT(Table1[[#This Row],[Order_Date]], "MMM")</f>
        <v>Apr</v>
      </c>
      <c r="N3313" s="1">
        <f>YEAR(Table1[[#This Row],[Order_Date]])</f>
        <v>2024</v>
      </c>
      <c r="O3313" s="7">
        <f>Table1[[#This Row],[Profit]]/Table1[[#This Row],[Total_Sales]]</f>
        <v>0.24373496303320866</v>
      </c>
    </row>
    <row r="3314" spans="1:15" x14ac:dyDescent="0.25">
      <c r="A3314" s="1">
        <v>3313</v>
      </c>
      <c r="B3314" s="2">
        <v>45566</v>
      </c>
      <c r="C3314" s="1" t="s">
        <v>16</v>
      </c>
      <c r="D3314" s="1" t="s">
        <v>20</v>
      </c>
      <c r="E3314" s="1" t="s">
        <v>28</v>
      </c>
      <c r="F3314" s="1" t="s">
        <v>15</v>
      </c>
      <c r="G3314" s="1">
        <v>9</v>
      </c>
      <c r="H3314" s="1">
        <v>699</v>
      </c>
      <c r="I3314" s="1">
        <v>15</v>
      </c>
      <c r="J3314" s="4">
        <v>5347.35</v>
      </c>
      <c r="K3314" s="4">
        <v>2810.93</v>
      </c>
      <c r="L3314" s="4">
        <v>2536.42</v>
      </c>
      <c r="M3314" s="1" t="str">
        <f>TEXT(Table1[[#This Row],[Order_Date]], "MMM")</f>
        <v>Oct</v>
      </c>
      <c r="N3314" s="1">
        <f>YEAR(Table1[[#This Row],[Order_Date]])</f>
        <v>2024</v>
      </c>
      <c r="O3314" s="7">
        <f>Table1[[#This Row],[Profit]]/Table1[[#This Row],[Total_Sales]]</f>
        <v>0.47433214582924249</v>
      </c>
    </row>
    <row r="3315" spans="1:15" x14ac:dyDescent="0.25">
      <c r="A3315" s="1">
        <v>3314</v>
      </c>
      <c r="B3315" s="2">
        <v>45392</v>
      </c>
      <c r="C3315" s="1" t="s">
        <v>12</v>
      </c>
      <c r="D3315" s="1" t="s">
        <v>13</v>
      </c>
      <c r="E3315" s="1" t="s">
        <v>39</v>
      </c>
      <c r="F3315" s="1" t="s">
        <v>15</v>
      </c>
      <c r="G3315" s="1">
        <v>4</v>
      </c>
      <c r="H3315" s="1">
        <v>40</v>
      </c>
      <c r="I3315" s="1">
        <v>10</v>
      </c>
      <c r="J3315" s="4">
        <v>144</v>
      </c>
      <c r="K3315" s="4">
        <v>88.64</v>
      </c>
      <c r="L3315" s="4">
        <v>55.36</v>
      </c>
      <c r="M3315" s="1" t="str">
        <f>TEXT(Table1[[#This Row],[Order_Date]], "MMM")</f>
        <v>Apr</v>
      </c>
      <c r="N3315" s="1">
        <f>YEAR(Table1[[#This Row],[Order_Date]])</f>
        <v>2024</v>
      </c>
      <c r="O3315" s="7">
        <f>Table1[[#This Row],[Profit]]/Table1[[#This Row],[Total_Sales]]</f>
        <v>0.38444444444444442</v>
      </c>
    </row>
    <row r="3316" spans="1:15" x14ac:dyDescent="0.25">
      <c r="A3316" s="1">
        <v>3315</v>
      </c>
      <c r="B3316" s="2">
        <v>45610</v>
      </c>
      <c r="C3316" s="1" t="s">
        <v>19</v>
      </c>
      <c r="D3316" s="1" t="s">
        <v>20</v>
      </c>
      <c r="E3316" s="1" t="s">
        <v>43</v>
      </c>
      <c r="F3316" s="1" t="s">
        <v>35</v>
      </c>
      <c r="G3316" s="1">
        <v>9</v>
      </c>
      <c r="H3316" s="1">
        <v>861</v>
      </c>
      <c r="I3316" s="1">
        <v>5</v>
      </c>
      <c r="J3316" s="4">
        <v>7361.55</v>
      </c>
      <c r="K3316" s="4">
        <v>3955.29</v>
      </c>
      <c r="L3316" s="4">
        <v>3406.26</v>
      </c>
      <c r="M3316" s="1" t="str">
        <f>TEXT(Table1[[#This Row],[Order_Date]], "MMM")</f>
        <v>Nov</v>
      </c>
      <c r="N3316" s="1">
        <f>YEAR(Table1[[#This Row],[Order_Date]])</f>
        <v>2024</v>
      </c>
      <c r="O3316" s="7">
        <f>Table1[[#This Row],[Profit]]/Table1[[#This Row],[Total_Sales]]</f>
        <v>0.46270961957739881</v>
      </c>
    </row>
    <row r="3317" spans="1:15" x14ac:dyDescent="0.25">
      <c r="A3317" s="1">
        <v>3316</v>
      </c>
      <c r="B3317" s="2">
        <v>45187</v>
      </c>
      <c r="C3317" s="1" t="s">
        <v>25</v>
      </c>
      <c r="D3317" s="1" t="s">
        <v>20</v>
      </c>
      <c r="E3317" s="1" t="s">
        <v>43</v>
      </c>
      <c r="F3317" s="1" t="s">
        <v>40</v>
      </c>
      <c r="G3317" s="1">
        <v>8</v>
      </c>
      <c r="H3317" s="1">
        <v>28</v>
      </c>
      <c r="I3317" s="1">
        <v>20</v>
      </c>
      <c r="J3317" s="4">
        <v>179.2</v>
      </c>
      <c r="K3317" s="4">
        <v>111.01</v>
      </c>
      <c r="L3317" s="4">
        <v>68.19</v>
      </c>
      <c r="M3317" s="1" t="str">
        <f>TEXT(Table1[[#This Row],[Order_Date]], "MMM")</f>
        <v>Sep</v>
      </c>
      <c r="N3317" s="1">
        <f>YEAR(Table1[[#This Row],[Order_Date]])</f>
        <v>2023</v>
      </c>
      <c r="O3317" s="7">
        <f>Table1[[#This Row],[Profit]]/Table1[[#This Row],[Total_Sales]]</f>
        <v>0.38052455357142856</v>
      </c>
    </row>
    <row r="3318" spans="1:15" x14ac:dyDescent="0.25">
      <c r="A3318" s="1">
        <v>3317</v>
      </c>
      <c r="B3318" s="2">
        <v>44945</v>
      </c>
      <c r="C3318" s="1" t="s">
        <v>16</v>
      </c>
      <c r="D3318" s="1" t="s">
        <v>26</v>
      </c>
      <c r="E3318" s="1" t="s">
        <v>46</v>
      </c>
      <c r="F3318" s="1" t="s">
        <v>35</v>
      </c>
      <c r="G3318" s="1">
        <v>5</v>
      </c>
      <c r="H3318" s="1">
        <v>950</v>
      </c>
      <c r="I3318" s="1">
        <v>20</v>
      </c>
      <c r="J3318" s="4">
        <v>3800</v>
      </c>
      <c r="K3318" s="4">
        <v>1912.93</v>
      </c>
      <c r="L3318" s="4">
        <v>1887.07</v>
      </c>
      <c r="M3318" s="1" t="str">
        <f>TEXT(Table1[[#This Row],[Order_Date]], "MMM")</f>
        <v>Jan</v>
      </c>
      <c r="N3318" s="1">
        <f>YEAR(Table1[[#This Row],[Order_Date]])</f>
        <v>2023</v>
      </c>
      <c r="O3318" s="7">
        <f>Table1[[#This Row],[Profit]]/Table1[[#This Row],[Total_Sales]]</f>
        <v>0.49659736842105262</v>
      </c>
    </row>
    <row r="3319" spans="1:15" x14ac:dyDescent="0.25">
      <c r="A3319" s="1">
        <v>3318</v>
      </c>
      <c r="B3319" s="2">
        <v>45541</v>
      </c>
      <c r="C3319" s="1" t="s">
        <v>12</v>
      </c>
      <c r="D3319" s="1" t="s">
        <v>32</v>
      </c>
      <c r="E3319" s="1" t="s">
        <v>41</v>
      </c>
      <c r="F3319" s="1" t="s">
        <v>24</v>
      </c>
      <c r="G3319" s="1">
        <v>9</v>
      </c>
      <c r="H3319" s="1">
        <v>614</v>
      </c>
      <c r="I3319" s="1">
        <v>20</v>
      </c>
      <c r="J3319" s="4">
        <v>4420.8</v>
      </c>
      <c r="K3319" s="4">
        <v>2474.4299999999998</v>
      </c>
      <c r="L3319" s="4">
        <v>1946.37</v>
      </c>
      <c r="M3319" s="1" t="str">
        <f>TEXT(Table1[[#This Row],[Order_Date]], "MMM")</f>
        <v>Sep</v>
      </c>
      <c r="N3319" s="1">
        <f>YEAR(Table1[[#This Row],[Order_Date]])</f>
        <v>2024</v>
      </c>
      <c r="O3319" s="7">
        <f>Table1[[#This Row],[Profit]]/Table1[[#This Row],[Total_Sales]]</f>
        <v>0.44027551574375673</v>
      </c>
    </row>
    <row r="3320" spans="1:15" x14ac:dyDescent="0.25">
      <c r="A3320" s="1">
        <v>3319</v>
      </c>
      <c r="B3320" s="2">
        <v>45130</v>
      </c>
      <c r="C3320" s="1" t="s">
        <v>12</v>
      </c>
      <c r="D3320" s="1" t="s">
        <v>26</v>
      </c>
      <c r="E3320" s="1" t="s">
        <v>46</v>
      </c>
      <c r="F3320" s="1" t="s">
        <v>24</v>
      </c>
      <c r="G3320" s="1">
        <v>3</v>
      </c>
      <c r="H3320" s="1">
        <v>824</v>
      </c>
      <c r="I3320" s="1">
        <v>10</v>
      </c>
      <c r="J3320" s="4">
        <v>2224.8000000000002</v>
      </c>
      <c r="K3320" s="4">
        <v>1730.26</v>
      </c>
      <c r="L3320" s="4">
        <v>494.54</v>
      </c>
      <c r="M3320" s="1" t="str">
        <f>TEXT(Table1[[#This Row],[Order_Date]], "MMM")</f>
        <v>Jul</v>
      </c>
      <c r="N3320" s="1">
        <f>YEAR(Table1[[#This Row],[Order_Date]])</f>
        <v>2023</v>
      </c>
      <c r="O3320" s="7">
        <f>Table1[[#This Row],[Profit]]/Table1[[#This Row],[Total_Sales]]</f>
        <v>0.22228514922689679</v>
      </c>
    </row>
    <row r="3321" spans="1:15" x14ac:dyDescent="0.25">
      <c r="A3321" s="1">
        <v>3320</v>
      </c>
      <c r="B3321" s="2">
        <v>45553</v>
      </c>
      <c r="C3321" s="1" t="s">
        <v>25</v>
      </c>
      <c r="D3321" s="1" t="s">
        <v>22</v>
      </c>
      <c r="E3321" s="1" t="s">
        <v>36</v>
      </c>
      <c r="F3321" s="1" t="s">
        <v>31</v>
      </c>
      <c r="G3321" s="1">
        <v>6</v>
      </c>
      <c r="H3321" s="1">
        <v>396</v>
      </c>
      <c r="I3321" s="1">
        <v>0</v>
      </c>
      <c r="J3321" s="4">
        <v>2376</v>
      </c>
      <c r="K3321" s="4">
        <v>1412.74</v>
      </c>
      <c r="L3321" s="4">
        <v>963.26</v>
      </c>
      <c r="M3321" s="1" t="str">
        <f>TEXT(Table1[[#This Row],[Order_Date]], "MMM")</f>
        <v>Sep</v>
      </c>
      <c r="N3321" s="1">
        <f>YEAR(Table1[[#This Row],[Order_Date]])</f>
        <v>2024</v>
      </c>
      <c r="O3321" s="7">
        <f>Table1[[#This Row],[Profit]]/Table1[[#This Row],[Total_Sales]]</f>
        <v>0.40541245791245789</v>
      </c>
    </row>
    <row r="3322" spans="1:15" x14ac:dyDescent="0.25">
      <c r="A3322" s="1">
        <v>3321</v>
      </c>
      <c r="B3322" s="2">
        <v>45553</v>
      </c>
      <c r="C3322" s="1" t="s">
        <v>16</v>
      </c>
      <c r="D3322" s="1" t="s">
        <v>22</v>
      </c>
      <c r="E3322" s="1" t="s">
        <v>44</v>
      </c>
      <c r="F3322" s="1" t="s">
        <v>15</v>
      </c>
      <c r="G3322" s="1">
        <v>10</v>
      </c>
      <c r="H3322" s="1">
        <v>245</v>
      </c>
      <c r="I3322" s="1">
        <v>20</v>
      </c>
      <c r="J3322" s="4">
        <v>1960</v>
      </c>
      <c r="K3322" s="4">
        <v>1405.43</v>
      </c>
      <c r="L3322" s="4">
        <v>554.57000000000005</v>
      </c>
      <c r="M3322" s="1" t="str">
        <f>TEXT(Table1[[#This Row],[Order_Date]], "MMM")</f>
        <v>Sep</v>
      </c>
      <c r="N3322" s="1">
        <f>YEAR(Table1[[#This Row],[Order_Date]])</f>
        <v>2024</v>
      </c>
      <c r="O3322" s="7">
        <f>Table1[[#This Row],[Profit]]/Table1[[#This Row],[Total_Sales]]</f>
        <v>0.28294387755102041</v>
      </c>
    </row>
    <row r="3323" spans="1:15" x14ac:dyDescent="0.25">
      <c r="A3323" s="1">
        <v>3322</v>
      </c>
      <c r="B3323" s="2">
        <v>45615</v>
      </c>
      <c r="C3323" s="1" t="s">
        <v>25</v>
      </c>
      <c r="D3323" s="1" t="s">
        <v>26</v>
      </c>
      <c r="E3323" s="1" t="s">
        <v>42</v>
      </c>
      <c r="F3323" s="1" t="s">
        <v>35</v>
      </c>
      <c r="G3323" s="1">
        <v>3</v>
      </c>
      <c r="H3323" s="1">
        <v>632</v>
      </c>
      <c r="I3323" s="1">
        <v>5</v>
      </c>
      <c r="J3323" s="4">
        <v>1801.2</v>
      </c>
      <c r="K3323" s="4">
        <v>1254.3900000000001</v>
      </c>
      <c r="L3323" s="4">
        <v>546.80999999999995</v>
      </c>
      <c r="M3323" s="1" t="str">
        <f>TEXT(Table1[[#This Row],[Order_Date]], "MMM")</f>
        <v>Nov</v>
      </c>
      <c r="N3323" s="1">
        <f>YEAR(Table1[[#This Row],[Order_Date]])</f>
        <v>2024</v>
      </c>
      <c r="O3323" s="7">
        <f>Table1[[#This Row],[Profit]]/Table1[[#This Row],[Total_Sales]]</f>
        <v>0.30358094603597596</v>
      </c>
    </row>
    <row r="3324" spans="1:15" x14ac:dyDescent="0.25">
      <c r="A3324" s="1">
        <v>3323</v>
      </c>
      <c r="B3324" s="2">
        <v>45199</v>
      </c>
      <c r="C3324" s="1" t="s">
        <v>25</v>
      </c>
      <c r="D3324" s="1" t="s">
        <v>22</v>
      </c>
      <c r="E3324" s="1" t="s">
        <v>36</v>
      </c>
      <c r="F3324" s="1" t="s">
        <v>15</v>
      </c>
      <c r="G3324" s="1">
        <v>8</v>
      </c>
      <c r="H3324" s="1">
        <v>313</v>
      </c>
      <c r="I3324" s="1">
        <v>10</v>
      </c>
      <c r="J3324" s="4">
        <v>2253.6</v>
      </c>
      <c r="K3324" s="4">
        <v>1546.02</v>
      </c>
      <c r="L3324" s="4">
        <v>707.58</v>
      </c>
      <c r="M3324" s="1" t="str">
        <f>TEXT(Table1[[#This Row],[Order_Date]], "MMM")</f>
        <v>Sep</v>
      </c>
      <c r="N3324" s="1">
        <f>YEAR(Table1[[#This Row],[Order_Date]])</f>
        <v>2023</v>
      </c>
      <c r="O3324" s="7">
        <f>Table1[[#This Row],[Profit]]/Table1[[#This Row],[Total_Sales]]</f>
        <v>0.31397763578274762</v>
      </c>
    </row>
    <row r="3325" spans="1:15" x14ac:dyDescent="0.25">
      <c r="A3325" s="1">
        <v>3324</v>
      </c>
      <c r="B3325" s="2">
        <v>45423</v>
      </c>
      <c r="C3325" s="1" t="s">
        <v>25</v>
      </c>
      <c r="D3325" s="1" t="s">
        <v>13</v>
      </c>
      <c r="E3325" s="1" t="s">
        <v>39</v>
      </c>
      <c r="F3325" s="1" t="s">
        <v>40</v>
      </c>
      <c r="G3325" s="1">
        <v>2</v>
      </c>
      <c r="H3325" s="1">
        <v>870</v>
      </c>
      <c r="I3325" s="1">
        <v>5</v>
      </c>
      <c r="J3325" s="4">
        <v>1653</v>
      </c>
      <c r="K3325" s="4">
        <v>973.75</v>
      </c>
      <c r="L3325" s="4">
        <v>679.25</v>
      </c>
      <c r="M3325" s="1" t="str">
        <f>TEXT(Table1[[#This Row],[Order_Date]], "MMM")</f>
        <v>May</v>
      </c>
      <c r="N3325" s="1">
        <f>YEAR(Table1[[#This Row],[Order_Date]])</f>
        <v>2024</v>
      </c>
      <c r="O3325" s="7">
        <f>Table1[[#This Row],[Profit]]/Table1[[#This Row],[Total_Sales]]</f>
        <v>0.41091954022988508</v>
      </c>
    </row>
    <row r="3326" spans="1:15" x14ac:dyDescent="0.25">
      <c r="A3326" s="1">
        <v>3325</v>
      </c>
      <c r="B3326" s="2">
        <v>45276</v>
      </c>
      <c r="C3326" s="1" t="s">
        <v>12</v>
      </c>
      <c r="D3326" s="1" t="s">
        <v>13</v>
      </c>
      <c r="E3326" s="1" t="s">
        <v>14</v>
      </c>
      <c r="F3326" s="1" t="s">
        <v>15</v>
      </c>
      <c r="G3326" s="1">
        <v>4</v>
      </c>
      <c r="H3326" s="1">
        <v>484</v>
      </c>
      <c r="I3326" s="1">
        <v>0</v>
      </c>
      <c r="J3326" s="4">
        <v>1936</v>
      </c>
      <c r="K3326" s="4">
        <v>1184.07</v>
      </c>
      <c r="L3326" s="4">
        <v>751.93</v>
      </c>
      <c r="M3326" s="1" t="str">
        <f>TEXT(Table1[[#This Row],[Order_Date]], "MMM")</f>
        <v>Dec</v>
      </c>
      <c r="N3326" s="1">
        <f>YEAR(Table1[[#This Row],[Order_Date]])</f>
        <v>2023</v>
      </c>
      <c r="O3326" s="7">
        <f>Table1[[#This Row],[Profit]]/Table1[[#This Row],[Total_Sales]]</f>
        <v>0.38839359504132231</v>
      </c>
    </row>
    <row r="3327" spans="1:15" x14ac:dyDescent="0.25">
      <c r="A3327" s="1">
        <v>3326</v>
      </c>
      <c r="B3327" s="2">
        <v>45299</v>
      </c>
      <c r="C3327" s="1" t="s">
        <v>16</v>
      </c>
      <c r="D3327" s="1" t="s">
        <v>26</v>
      </c>
      <c r="E3327" s="1" t="s">
        <v>46</v>
      </c>
      <c r="F3327" s="1" t="s">
        <v>40</v>
      </c>
      <c r="G3327" s="1">
        <v>8</v>
      </c>
      <c r="H3327" s="1">
        <v>158</v>
      </c>
      <c r="I3327" s="1">
        <v>5</v>
      </c>
      <c r="J3327" s="4">
        <v>1200.8</v>
      </c>
      <c r="K3327" s="4">
        <v>697.07</v>
      </c>
      <c r="L3327" s="4">
        <v>503.73</v>
      </c>
      <c r="M3327" s="1" t="str">
        <f>TEXT(Table1[[#This Row],[Order_Date]], "MMM")</f>
        <v>Jan</v>
      </c>
      <c r="N3327" s="1">
        <f>YEAR(Table1[[#This Row],[Order_Date]])</f>
        <v>2024</v>
      </c>
      <c r="O3327" s="7">
        <f>Table1[[#This Row],[Profit]]/Table1[[#This Row],[Total_Sales]]</f>
        <v>0.4194953364423718</v>
      </c>
    </row>
    <row r="3328" spans="1:15" x14ac:dyDescent="0.25">
      <c r="A3328" s="1">
        <v>3327</v>
      </c>
      <c r="B3328" s="2">
        <v>45016</v>
      </c>
      <c r="C3328" s="1" t="s">
        <v>25</v>
      </c>
      <c r="D3328" s="1" t="s">
        <v>32</v>
      </c>
      <c r="E3328" s="1" t="s">
        <v>45</v>
      </c>
      <c r="F3328" s="1" t="s">
        <v>24</v>
      </c>
      <c r="G3328" s="1">
        <v>4</v>
      </c>
      <c r="H3328" s="1">
        <v>255</v>
      </c>
      <c r="I3328" s="1">
        <v>10</v>
      </c>
      <c r="J3328" s="4">
        <v>918</v>
      </c>
      <c r="K3328" s="4">
        <v>473.74</v>
      </c>
      <c r="L3328" s="4">
        <v>444.26</v>
      </c>
      <c r="M3328" s="1" t="str">
        <f>TEXT(Table1[[#This Row],[Order_Date]], "MMM")</f>
        <v>Mar</v>
      </c>
      <c r="N3328" s="1">
        <f>YEAR(Table1[[#This Row],[Order_Date]])</f>
        <v>2023</v>
      </c>
      <c r="O3328" s="7">
        <f>Table1[[#This Row],[Profit]]/Table1[[#This Row],[Total_Sales]]</f>
        <v>0.48394335511982572</v>
      </c>
    </row>
    <row r="3329" spans="1:15" x14ac:dyDescent="0.25">
      <c r="A3329" s="1">
        <v>3328</v>
      </c>
      <c r="B3329" s="2">
        <v>45203</v>
      </c>
      <c r="C3329" s="1" t="s">
        <v>16</v>
      </c>
      <c r="D3329" s="1" t="s">
        <v>20</v>
      </c>
      <c r="E3329" s="1" t="s">
        <v>30</v>
      </c>
      <c r="F3329" s="1" t="s">
        <v>15</v>
      </c>
      <c r="G3329" s="1">
        <v>9</v>
      </c>
      <c r="H3329" s="1">
        <v>103</v>
      </c>
      <c r="I3329" s="1">
        <v>15</v>
      </c>
      <c r="J3329" s="4">
        <v>787.95</v>
      </c>
      <c r="K3329" s="4">
        <v>437.31</v>
      </c>
      <c r="L3329" s="4">
        <v>350.64</v>
      </c>
      <c r="M3329" s="1" t="str">
        <f>TEXT(Table1[[#This Row],[Order_Date]], "MMM")</f>
        <v>Oct</v>
      </c>
      <c r="N3329" s="1">
        <f>YEAR(Table1[[#This Row],[Order_Date]])</f>
        <v>2023</v>
      </c>
      <c r="O3329" s="7">
        <f>Table1[[#This Row],[Profit]]/Table1[[#This Row],[Total_Sales]]</f>
        <v>0.44500285551113644</v>
      </c>
    </row>
    <row r="3330" spans="1:15" x14ac:dyDescent="0.25">
      <c r="A3330" s="1">
        <v>3329</v>
      </c>
      <c r="B3330" s="2">
        <v>45163</v>
      </c>
      <c r="C3330" s="1" t="s">
        <v>16</v>
      </c>
      <c r="D3330" s="1" t="s">
        <v>20</v>
      </c>
      <c r="E3330" s="1" t="s">
        <v>30</v>
      </c>
      <c r="F3330" s="1" t="s">
        <v>24</v>
      </c>
      <c r="G3330" s="1">
        <v>3</v>
      </c>
      <c r="H3330" s="1">
        <v>263</v>
      </c>
      <c r="I3330" s="1">
        <v>20</v>
      </c>
      <c r="J3330" s="4">
        <v>631.20000000000005</v>
      </c>
      <c r="K3330" s="4">
        <v>400.18</v>
      </c>
      <c r="L3330" s="4">
        <v>231.02</v>
      </c>
      <c r="M3330" s="1" t="str">
        <f>TEXT(Table1[[#This Row],[Order_Date]], "MMM")</f>
        <v>Aug</v>
      </c>
      <c r="N3330" s="1">
        <f>YEAR(Table1[[#This Row],[Order_Date]])</f>
        <v>2023</v>
      </c>
      <c r="O3330" s="7">
        <f>Table1[[#This Row],[Profit]]/Table1[[#This Row],[Total_Sales]]</f>
        <v>0.36600126742712291</v>
      </c>
    </row>
    <row r="3331" spans="1:15" x14ac:dyDescent="0.25">
      <c r="A3331" s="1">
        <v>3330</v>
      </c>
      <c r="B3331" s="2">
        <v>45209</v>
      </c>
      <c r="C3331" s="1" t="s">
        <v>12</v>
      </c>
      <c r="D3331" s="1" t="s">
        <v>26</v>
      </c>
      <c r="E3331" s="1" t="s">
        <v>42</v>
      </c>
      <c r="F3331" s="1" t="s">
        <v>15</v>
      </c>
      <c r="G3331" s="1">
        <v>3</v>
      </c>
      <c r="H3331" s="1">
        <v>847</v>
      </c>
      <c r="I3331" s="1">
        <v>5</v>
      </c>
      <c r="J3331" s="4">
        <v>2413.9499999999998</v>
      </c>
      <c r="K3331" s="4">
        <v>1492.3</v>
      </c>
      <c r="L3331" s="4">
        <v>921.65</v>
      </c>
      <c r="M3331" s="1" t="str">
        <f>TEXT(Table1[[#This Row],[Order_Date]], "MMM")</f>
        <v>Oct</v>
      </c>
      <c r="N3331" s="1">
        <f>YEAR(Table1[[#This Row],[Order_Date]])</f>
        <v>2023</v>
      </c>
      <c r="O3331" s="7">
        <f>Table1[[#This Row],[Profit]]/Table1[[#This Row],[Total_Sales]]</f>
        <v>0.38180161146668323</v>
      </c>
    </row>
    <row r="3332" spans="1:15" x14ac:dyDescent="0.25">
      <c r="A3332" s="1">
        <v>3331</v>
      </c>
      <c r="B3332" s="2">
        <v>45189</v>
      </c>
      <c r="C3332" s="1" t="s">
        <v>12</v>
      </c>
      <c r="D3332" s="1" t="s">
        <v>13</v>
      </c>
      <c r="E3332" s="1" t="s">
        <v>39</v>
      </c>
      <c r="F3332" s="1" t="s">
        <v>31</v>
      </c>
      <c r="G3332" s="1">
        <v>3</v>
      </c>
      <c r="H3332" s="1">
        <v>942</v>
      </c>
      <c r="I3332" s="1">
        <v>20</v>
      </c>
      <c r="J3332" s="4">
        <v>2260.8000000000002</v>
      </c>
      <c r="K3332" s="4">
        <v>1406.7</v>
      </c>
      <c r="L3332" s="4">
        <v>854.1</v>
      </c>
      <c r="M3332" s="1" t="str">
        <f>TEXT(Table1[[#This Row],[Order_Date]], "MMM")</f>
        <v>Sep</v>
      </c>
      <c r="N3332" s="1">
        <f>YEAR(Table1[[#This Row],[Order_Date]])</f>
        <v>2023</v>
      </c>
      <c r="O3332" s="7">
        <f>Table1[[#This Row],[Profit]]/Table1[[#This Row],[Total_Sales]]</f>
        <v>0.37778662420382164</v>
      </c>
    </row>
    <row r="3333" spans="1:15" x14ac:dyDescent="0.25">
      <c r="A3333" s="1">
        <v>3332</v>
      </c>
      <c r="B3333" s="2">
        <v>45603</v>
      </c>
      <c r="C3333" s="1" t="s">
        <v>25</v>
      </c>
      <c r="D3333" s="1" t="s">
        <v>13</v>
      </c>
      <c r="E3333" s="1" t="s">
        <v>17</v>
      </c>
      <c r="F3333" s="1" t="s">
        <v>18</v>
      </c>
      <c r="G3333" s="1">
        <v>6</v>
      </c>
      <c r="H3333" s="1">
        <v>19</v>
      </c>
      <c r="I3333" s="1">
        <v>10</v>
      </c>
      <c r="J3333" s="4">
        <v>102.6</v>
      </c>
      <c r="K3333" s="4">
        <v>61.42</v>
      </c>
      <c r="L3333" s="4">
        <v>41.18</v>
      </c>
      <c r="M3333" s="1" t="str">
        <f>TEXT(Table1[[#This Row],[Order_Date]], "MMM")</f>
        <v>Nov</v>
      </c>
      <c r="N3333" s="1">
        <f>YEAR(Table1[[#This Row],[Order_Date]])</f>
        <v>2024</v>
      </c>
      <c r="O3333" s="7">
        <f>Table1[[#This Row],[Profit]]/Table1[[#This Row],[Total_Sales]]</f>
        <v>0.40136452241715403</v>
      </c>
    </row>
    <row r="3334" spans="1:15" x14ac:dyDescent="0.25">
      <c r="A3334" s="1">
        <v>3333</v>
      </c>
      <c r="B3334" s="2">
        <v>44996</v>
      </c>
      <c r="C3334" s="1" t="s">
        <v>16</v>
      </c>
      <c r="D3334" s="1" t="s">
        <v>26</v>
      </c>
      <c r="E3334" s="1" t="s">
        <v>46</v>
      </c>
      <c r="F3334" s="1" t="s">
        <v>18</v>
      </c>
      <c r="G3334" s="1">
        <v>3</v>
      </c>
      <c r="H3334" s="1">
        <v>703</v>
      </c>
      <c r="I3334" s="1">
        <v>10</v>
      </c>
      <c r="J3334" s="4">
        <v>1898.1</v>
      </c>
      <c r="K3334" s="4">
        <v>1231.97</v>
      </c>
      <c r="L3334" s="4">
        <v>666.13</v>
      </c>
      <c r="M3334" s="1" t="str">
        <f>TEXT(Table1[[#This Row],[Order_Date]], "MMM")</f>
        <v>Mar</v>
      </c>
      <c r="N3334" s="1">
        <f>YEAR(Table1[[#This Row],[Order_Date]])</f>
        <v>2023</v>
      </c>
      <c r="O3334" s="7">
        <f>Table1[[#This Row],[Profit]]/Table1[[#This Row],[Total_Sales]]</f>
        <v>0.35094568252462993</v>
      </c>
    </row>
    <row r="3335" spans="1:15" x14ac:dyDescent="0.25">
      <c r="A3335" s="1">
        <v>3334</v>
      </c>
      <c r="B3335" s="2">
        <v>45313</v>
      </c>
      <c r="C3335" s="1" t="s">
        <v>25</v>
      </c>
      <c r="D3335" s="1" t="s">
        <v>20</v>
      </c>
      <c r="E3335" s="1" t="s">
        <v>43</v>
      </c>
      <c r="F3335" s="1" t="s">
        <v>31</v>
      </c>
      <c r="G3335" s="1">
        <v>3</v>
      </c>
      <c r="H3335" s="1">
        <v>563</v>
      </c>
      <c r="I3335" s="1">
        <v>0</v>
      </c>
      <c r="J3335" s="4">
        <v>1689</v>
      </c>
      <c r="K3335" s="4">
        <v>992.8</v>
      </c>
      <c r="L3335" s="4">
        <v>696.2</v>
      </c>
      <c r="M3335" s="1" t="str">
        <f>TEXT(Table1[[#This Row],[Order_Date]], "MMM")</f>
        <v>Jan</v>
      </c>
      <c r="N3335" s="1">
        <f>YEAR(Table1[[#This Row],[Order_Date]])</f>
        <v>2024</v>
      </c>
      <c r="O3335" s="7">
        <f>Table1[[#This Row],[Profit]]/Table1[[#This Row],[Total_Sales]]</f>
        <v>0.41219656601539373</v>
      </c>
    </row>
    <row r="3336" spans="1:15" x14ac:dyDescent="0.25">
      <c r="A3336" s="1">
        <v>3335</v>
      </c>
      <c r="B3336" s="2">
        <v>45641</v>
      </c>
      <c r="C3336" s="1" t="s">
        <v>16</v>
      </c>
      <c r="D3336" s="1" t="s">
        <v>20</v>
      </c>
      <c r="E3336" s="1" t="s">
        <v>43</v>
      </c>
      <c r="F3336" s="1" t="s">
        <v>18</v>
      </c>
      <c r="G3336" s="1">
        <v>4</v>
      </c>
      <c r="H3336" s="1">
        <v>616</v>
      </c>
      <c r="I3336" s="1">
        <v>0</v>
      </c>
      <c r="J3336" s="4">
        <v>2464</v>
      </c>
      <c r="K3336" s="4">
        <v>1476.04</v>
      </c>
      <c r="L3336" s="4">
        <v>987.96</v>
      </c>
      <c r="M3336" s="1" t="str">
        <f>TEXT(Table1[[#This Row],[Order_Date]], "MMM")</f>
        <v>Dec</v>
      </c>
      <c r="N3336" s="1">
        <f>YEAR(Table1[[#This Row],[Order_Date]])</f>
        <v>2024</v>
      </c>
      <c r="O3336" s="7">
        <f>Table1[[#This Row],[Profit]]/Table1[[#This Row],[Total_Sales]]</f>
        <v>0.40095779220779221</v>
      </c>
    </row>
    <row r="3337" spans="1:15" x14ac:dyDescent="0.25">
      <c r="A3337" s="1">
        <v>3336</v>
      </c>
      <c r="B3337" s="2">
        <v>45037</v>
      </c>
      <c r="C3337" s="1" t="s">
        <v>12</v>
      </c>
      <c r="D3337" s="1" t="s">
        <v>26</v>
      </c>
      <c r="E3337" s="1" t="s">
        <v>37</v>
      </c>
      <c r="F3337" s="1" t="s">
        <v>24</v>
      </c>
      <c r="G3337" s="1">
        <v>8</v>
      </c>
      <c r="H3337" s="1">
        <v>378</v>
      </c>
      <c r="I3337" s="1">
        <v>20</v>
      </c>
      <c r="J3337" s="4">
        <v>2419.1999999999998</v>
      </c>
      <c r="K3337" s="4">
        <v>1826.82</v>
      </c>
      <c r="L3337" s="4">
        <v>592.38</v>
      </c>
      <c r="M3337" s="1" t="str">
        <f>TEXT(Table1[[#This Row],[Order_Date]], "MMM")</f>
        <v>Apr</v>
      </c>
      <c r="N3337" s="1">
        <f>YEAR(Table1[[#This Row],[Order_Date]])</f>
        <v>2023</v>
      </c>
      <c r="O3337" s="7">
        <f>Table1[[#This Row],[Profit]]/Table1[[#This Row],[Total_Sales]]</f>
        <v>0.24486607142857145</v>
      </c>
    </row>
    <row r="3338" spans="1:15" x14ac:dyDescent="0.25">
      <c r="A3338" s="1">
        <v>3337</v>
      </c>
      <c r="B3338" s="2">
        <v>45026</v>
      </c>
      <c r="C3338" s="1" t="s">
        <v>16</v>
      </c>
      <c r="D3338" s="1" t="s">
        <v>26</v>
      </c>
      <c r="E3338" s="1" t="s">
        <v>37</v>
      </c>
      <c r="F3338" s="1" t="s">
        <v>35</v>
      </c>
      <c r="G3338" s="1">
        <v>2</v>
      </c>
      <c r="H3338" s="1">
        <v>553</v>
      </c>
      <c r="I3338" s="1">
        <v>15</v>
      </c>
      <c r="J3338" s="4">
        <v>940.1</v>
      </c>
      <c r="K3338" s="4">
        <v>479.12</v>
      </c>
      <c r="L3338" s="4">
        <v>460.98</v>
      </c>
      <c r="M3338" s="1" t="str">
        <f>TEXT(Table1[[#This Row],[Order_Date]], "MMM")</f>
        <v>Apr</v>
      </c>
      <c r="N3338" s="1">
        <f>YEAR(Table1[[#This Row],[Order_Date]])</f>
        <v>2023</v>
      </c>
      <c r="O3338" s="7">
        <f>Table1[[#This Row],[Profit]]/Table1[[#This Row],[Total_Sales]]</f>
        <v>0.49035209020316989</v>
      </c>
    </row>
    <row r="3339" spans="1:15" x14ac:dyDescent="0.25">
      <c r="A3339" s="1">
        <v>3338</v>
      </c>
      <c r="B3339" s="2">
        <v>45214</v>
      </c>
      <c r="C3339" s="1" t="s">
        <v>19</v>
      </c>
      <c r="D3339" s="1" t="s">
        <v>32</v>
      </c>
      <c r="E3339" s="1" t="s">
        <v>33</v>
      </c>
      <c r="F3339" s="1" t="s">
        <v>35</v>
      </c>
      <c r="G3339" s="1">
        <v>6</v>
      </c>
      <c r="H3339" s="1">
        <v>103</v>
      </c>
      <c r="I3339" s="1">
        <v>10</v>
      </c>
      <c r="J3339" s="4">
        <v>556.20000000000005</v>
      </c>
      <c r="K3339" s="4">
        <v>347.66</v>
      </c>
      <c r="L3339" s="4">
        <v>208.54</v>
      </c>
      <c r="M3339" s="1" t="str">
        <f>TEXT(Table1[[#This Row],[Order_Date]], "MMM")</f>
        <v>Oct</v>
      </c>
      <c r="N3339" s="1">
        <f>YEAR(Table1[[#This Row],[Order_Date]])</f>
        <v>2023</v>
      </c>
      <c r="O3339" s="7">
        <f>Table1[[#This Row],[Profit]]/Table1[[#This Row],[Total_Sales]]</f>
        <v>0.37493707299532536</v>
      </c>
    </row>
    <row r="3340" spans="1:15" x14ac:dyDescent="0.25">
      <c r="A3340" s="1">
        <v>3339</v>
      </c>
      <c r="B3340" s="2">
        <v>45521</v>
      </c>
      <c r="C3340" s="1" t="s">
        <v>25</v>
      </c>
      <c r="D3340" s="1" t="s">
        <v>22</v>
      </c>
      <c r="E3340" s="1" t="s">
        <v>44</v>
      </c>
      <c r="F3340" s="1" t="s">
        <v>15</v>
      </c>
      <c r="G3340" s="1">
        <v>1</v>
      </c>
      <c r="H3340" s="1">
        <v>140</v>
      </c>
      <c r="I3340" s="1">
        <v>10</v>
      </c>
      <c r="J3340" s="4">
        <v>126</v>
      </c>
      <c r="K3340" s="4">
        <v>88.47</v>
      </c>
      <c r="L3340" s="4">
        <v>37.53</v>
      </c>
      <c r="M3340" s="1" t="str">
        <f>TEXT(Table1[[#This Row],[Order_Date]], "MMM")</f>
        <v>Aug</v>
      </c>
      <c r="N3340" s="1">
        <f>YEAR(Table1[[#This Row],[Order_Date]])</f>
        <v>2024</v>
      </c>
      <c r="O3340" s="7">
        <f>Table1[[#This Row],[Profit]]/Table1[[#This Row],[Total_Sales]]</f>
        <v>0.29785714285714288</v>
      </c>
    </row>
    <row r="3341" spans="1:15" x14ac:dyDescent="0.25">
      <c r="A3341" s="1">
        <v>3340</v>
      </c>
      <c r="B3341" s="2">
        <v>45233</v>
      </c>
      <c r="C3341" s="1" t="s">
        <v>25</v>
      </c>
      <c r="D3341" s="1" t="s">
        <v>20</v>
      </c>
      <c r="E3341" s="1" t="s">
        <v>30</v>
      </c>
      <c r="F3341" s="1" t="s">
        <v>24</v>
      </c>
      <c r="G3341" s="1">
        <v>4</v>
      </c>
      <c r="H3341" s="1">
        <v>630</v>
      </c>
      <c r="I3341" s="1">
        <v>5</v>
      </c>
      <c r="J3341" s="4">
        <v>2394</v>
      </c>
      <c r="K3341" s="4">
        <v>1738.65</v>
      </c>
      <c r="L3341" s="4">
        <v>655.35</v>
      </c>
      <c r="M3341" s="1" t="str">
        <f>TEXT(Table1[[#This Row],[Order_Date]], "MMM")</f>
        <v>Nov</v>
      </c>
      <c r="N3341" s="1">
        <f>YEAR(Table1[[#This Row],[Order_Date]])</f>
        <v>2023</v>
      </c>
      <c r="O3341" s="7">
        <f>Table1[[#This Row],[Profit]]/Table1[[#This Row],[Total_Sales]]</f>
        <v>0.27374686716791979</v>
      </c>
    </row>
    <row r="3342" spans="1:15" x14ac:dyDescent="0.25">
      <c r="A3342" s="1">
        <v>3341</v>
      </c>
      <c r="B3342" s="2">
        <v>44999</v>
      </c>
      <c r="C3342" s="1" t="s">
        <v>12</v>
      </c>
      <c r="D3342" s="1" t="s">
        <v>13</v>
      </c>
      <c r="E3342" s="1" t="s">
        <v>14</v>
      </c>
      <c r="F3342" s="1" t="s">
        <v>35</v>
      </c>
      <c r="G3342" s="1">
        <v>6</v>
      </c>
      <c r="H3342" s="1">
        <v>924</v>
      </c>
      <c r="I3342" s="1">
        <v>10</v>
      </c>
      <c r="J3342" s="4">
        <v>4989.6000000000004</v>
      </c>
      <c r="K3342" s="4">
        <v>2994.8</v>
      </c>
      <c r="L3342" s="4">
        <v>1994.8</v>
      </c>
      <c r="M3342" s="1" t="str">
        <f>TEXT(Table1[[#This Row],[Order_Date]], "MMM")</f>
        <v>Mar</v>
      </c>
      <c r="N3342" s="1">
        <f>YEAR(Table1[[#This Row],[Order_Date]])</f>
        <v>2023</v>
      </c>
      <c r="O3342" s="7">
        <f>Table1[[#This Row],[Profit]]/Table1[[#This Row],[Total_Sales]]</f>
        <v>0.39979156645823311</v>
      </c>
    </row>
    <row r="3343" spans="1:15" x14ac:dyDescent="0.25">
      <c r="A3343" s="1">
        <v>3342</v>
      </c>
      <c r="B3343" s="2">
        <v>45618</v>
      </c>
      <c r="C3343" s="1" t="s">
        <v>19</v>
      </c>
      <c r="D3343" s="1" t="s">
        <v>26</v>
      </c>
      <c r="E3343" s="1" t="s">
        <v>42</v>
      </c>
      <c r="F3343" s="1" t="s">
        <v>15</v>
      </c>
      <c r="G3343" s="1">
        <v>9</v>
      </c>
      <c r="H3343" s="1">
        <v>396</v>
      </c>
      <c r="I3343" s="1">
        <v>15</v>
      </c>
      <c r="J3343" s="4">
        <v>3029.4</v>
      </c>
      <c r="K3343" s="4">
        <v>2353.4299999999998</v>
      </c>
      <c r="L3343" s="4">
        <v>675.97</v>
      </c>
      <c r="M3343" s="1" t="str">
        <f>TEXT(Table1[[#This Row],[Order_Date]], "MMM")</f>
        <v>Nov</v>
      </c>
      <c r="N3343" s="1">
        <f>YEAR(Table1[[#This Row],[Order_Date]])</f>
        <v>2024</v>
      </c>
      <c r="O3343" s="7">
        <f>Table1[[#This Row],[Profit]]/Table1[[#This Row],[Total_Sales]]</f>
        <v>0.22313659470522215</v>
      </c>
    </row>
    <row r="3344" spans="1:15" x14ac:dyDescent="0.25">
      <c r="A3344" s="1">
        <v>3343</v>
      </c>
      <c r="B3344" s="2">
        <v>45364</v>
      </c>
      <c r="C3344" s="1" t="s">
        <v>19</v>
      </c>
      <c r="D3344" s="1" t="s">
        <v>32</v>
      </c>
      <c r="E3344" s="1" t="s">
        <v>33</v>
      </c>
      <c r="F3344" s="1" t="s">
        <v>31</v>
      </c>
      <c r="G3344" s="1">
        <v>3</v>
      </c>
      <c r="H3344" s="1">
        <v>770</v>
      </c>
      <c r="I3344" s="1">
        <v>5</v>
      </c>
      <c r="J3344" s="4">
        <v>2194.5</v>
      </c>
      <c r="K3344" s="4">
        <v>1111.9100000000001</v>
      </c>
      <c r="L3344" s="4">
        <v>1082.5899999999999</v>
      </c>
      <c r="M3344" s="1" t="str">
        <f>TEXT(Table1[[#This Row],[Order_Date]], "MMM")</f>
        <v>Mar</v>
      </c>
      <c r="N3344" s="1">
        <f>YEAR(Table1[[#This Row],[Order_Date]])</f>
        <v>2024</v>
      </c>
      <c r="O3344" s="7">
        <f>Table1[[#This Row],[Profit]]/Table1[[#This Row],[Total_Sales]]</f>
        <v>0.49331966279334699</v>
      </c>
    </row>
    <row r="3345" spans="1:15" x14ac:dyDescent="0.25">
      <c r="A3345" s="1">
        <v>3344</v>
      </c>
      <c r="B3345" s="2">
        <v>45525</v>
      </c>
      <c r="C3345" s="1" t="s">
        <v>19</v>
      </c>
      <c r="D3345" s="1" t="s">
        <v>32</v>
      </c>
      <c r="E3345" s="1" t="s">
        <v>41</v>
      </c>
      <c r="F3345" s="1" t="s">
        <v>24</v>
      </c>
      <c r="G3345" s="1">
        <v>7</v>
      </c>
      <c r="H3345" s="1">
        <v>801</v>
      </c>
      <c r="I3345" s="1">
        <v>20</v>
      </c>
      <c r="J3345" s="4">
        <v>4485.6000000000004</v>
      </c>
      <c r="K3345" s="4">
        <v>2261.71</v>
      </c>
      <c r="L3345" s="4">
        <v>2223.89</v>
      </c>
      <c r="M3345" s="1" t="str">
        <f>TEXT(Table1[[#This Row],[Order_Date]], "MMM")</f>
        <v>Aug</v>
      </c>
      <c r="N3345" s="1">
        <f>YEAR(Table1[[#This Row],[Order_Date]])</f>
        <v>2024</v>
      </c>
      <c r="O3345" s="7">
        <f>Table1[[#This Row],[Profit]]/Table1[[#This Row],[Total_Sales]]</f>
        <v>0.49578428749777059</v>
      </c>
    </row>
    <row r="3346" spans="1:15" x14ac:dyDescent="0.25">
      <c r="A3346" s="1">
        <v>3345</v>
      </c>
      <c r="B3346" s="2">
        <v>45346</v>
      </c>
      <c r="C3346" s="1" t="s">
        <v>12</v>
      </c>
      <c r="D3346" s="1" t="s">
        <v>13</v>
      </c>
      <c r="E3346" s="1" t="s">
        <v>14</v>
      </c>
      <c r="F3346" s="1" t="s">
        <v>40</v>
      </c>
      <c r="G3346" s="1">
        <v>5</v>
      </c>
      <c r="H3346" s="1">
        <v>429</v>
      </c>
      <c r="I3346" s="1">
        <v>15</v>
      </c>
      <c r="J3346" s="4">
        <v>1823.25</v>
      </c>
      <c r="K3346" s="4">
        <v>1075.55</v>
      </c>
      <c r="L3346" s="4">
        <v>747.7</v>
      </c>
      <c r="M3346" s="1" t="str">
        <f>TEXT(Table1[[#This Row],[Order_Date]], "MMM")</f>
        <v>Feb</v>
      </c>
      <c r="N3346" s="1">
        <f>YEAR(Table1[[#This Row],[Order_Date]])</f>
        <v>2024</v>
      </c>
      <c r="O3346" s="7">
        <f>Table1[[#This Row],[Profit]]/Table1[[#This Row],[Total_Sales]]</f>
        <v>0.41009186891539834</v>
      </c>
    </row>
    <row r="3347" spans="1:15" x14ac:dyDescent="0.25">
      <c r="A3347" s="1">
        <v>3346</v>
      </c>
      <c r="B3347" s="2">
        <v>45336</v>
      </c>
      <c r="C3347" s="1" t="s">
        <v>16</v>
      </c>
      <c r="D3347" s="1" t="s">
        <v>13</v>
      </c>
      <c r="E3347" s="1" t="s">
        <v>17</v>
      </c>
      <c r="F3347" s="1" t="s">
        <v>24</v>
      </c>
      <c r="G3347" s="1">
        <v>8</v>
      </c>
      <c r="H3347" s="1">
        <v>803</v>
      </c>
      <c r="I3347" s="1">
        <v>0</v>
      </c>
      <c r="J3347" s="4">
        <v>6424</v>
      </c>
      <c r="K3347" s="4">
        <v>3969.26</v>
      </c>
      <c r="L3347" s="4">
        <v>2454.7399999999998</v>
      </c>
      <c r="M3347" s="1" t="str">
        <f>TEXT(Table1[[#This Row],[Order_Date]], "MMM")</f>
        <v>Feb</v>
      </c>
      <c r="N3347" s="1">
        <f>YEAR(Table1[[#This Row],[Order_Date]])</f>
        <v>2024</v>
      </c>
      <c r="O3347" s="7">
        <f>Table1[[#This Row],[Profit]]/Table1[[#This Row],[Total_Sales]]</f>
        <v>0.38212017434620171</v>
      </c>
    </row>
    <row r="3348" spans="1:15" x14ac:dyDescent="0.25">
      <c r="A3348" s="1">
        <v>3347</v>
      </c>
      <c r="B3348" s="2">
        <v>44982</v>
      </c>
      <c r="C3348" s="1" t="s">
        <v>12</v>
      </c>
      <c r="D3348" s="1" t="s">
        <v>20</v>
      </c>
      <c r="E3348" s="1" t="s">
        <v>30</v>
      </c>
      <c r="F3348" s="1" t="s">
        <v>35</v>
      </c>
      <c r="G3348" s="1">
        <v>8</v>
      </c>
      <c r="H3348" s="1">
        <v>360</v>
      </c>
      <c r="I3348" s="1">
        <v>0</v>
      </c>
      <c r="J3348" s="4">
        <v>2880</v>
      </c>
      <c r="K3348" s="4">
        <v>1539.26</v>
      </c>
      <c r="L3348" s="4">
        <v>1340.74</v>
      </c>
      <c r="M3348" s="1" t="str">
        <f>TEXT(Table1[[#This Row],[Order_Date]], "MMM")</f>
        <v>Feb</v>
      </c>
      <c r="N3348" s="1">
        <f>YEAR(Table1[[#This Row],[Order_Date]])</f>
        <v>2023</v>
      </c>
      <c r="O3348" s="7">
        <f>Table1[[#This Row],[Profit]]/Table1[[#This Row],[Total_Sales]]</f>
        <v>0.46553472222222225</v>
      </c>
    </row>
    <row r="3349" spans="1:15" x14ac:dyDescent="0.25">
      <c r="A3349" s="1">
        <v>3348</v>
      </c>
      <c r="B3349" s="2">
        <v>44932</v>
      </c>
      <c r="C3349" s="1" t="s">
        <v>19</v>
      </c>
      <c r="D3349" s="1" t="s">
        <v>13</v>
      </c>
      <c r="E3349" s="1" t="s">
        <v>17</v>
      </c>
      <c r="F3349" s="1" t="s">
        <v>35</v>
      </c>
      <c r="G3349" s="1">
        <v>9</v>
      </c>
      <c r="H3349" s="1">
        <v>26</v>
      </c>
      <c r="I3349" s="1">
        <v>15</v>
      </c>
      <c r="J3349" s="4">
        <v>198.9</v>
      </c>
      <c r="K3349" s="4">
        <v>134.32</v>
      </c>
      <c r="L3349" s="4">
        <v>64.58</v>
      </c>
      <c r="M3349" s="1" t="str">
        <f>TEXT(Table1[[#This Row],[Order_Date]], "MMM")</f>
        <v>Jan</v>
      </c>
      <c r="N3349" s="1">
        <f>YEAR(Table1[[#This Row],[Order_Date]])</f>
        <v>2023</v>
      </c>
      <c r="O3349" s="7">
        <f>Table1[[#This Row],[Profit]]/Table1[[#This Row],[Total_Sales]]</f>
        <v>0.32468577174459523</v>
      </c>
    </row>
    <row r="3350" spans="1:15" x14ac:dyDescent="0.25">
      <c r="A3350" s="1">
        <v>3349</v>
      </c>
      <c r="B3350" s="2">
        <v>45622</v>
      </c>
      <c r="C3350" s="1" t="s">
        <v>12</v>
      </c>
      <c r="D3350" s="1" t="s">
        <v>32</v>
      </c>
      <c r="E3350" s="1" t="s">
        <v>33</v>
      </c>
      <c r="F3350" s="1" t="s">
        <v>24</v>
      </c>
      <c r="G3350" s="1">
        <v>7</v>
      </c>
      <c r="H3350" s="1">
        <v>874</v>
      </c>
      <c r="I3350" s="1">
        <v>10</v>
      </c>
      <c r="J3350" s="4">
        <v>5506.2</v>
      </c>
      <c r="K3350" s="4">
        <v>3797.24</v>
      </c>
      <c r="L3350" s="4">
        <v>1708.96</v>
      </c>
      <c r="M3350" s="1" t="str">
        <f>TEXT(Table1[[#This Row],[Order_Date]], "MMM")</f>
        <v>Nov</v>
      </c>
      <c r="N3350" s="1">
        <f>YEAR(Table1[[#This Row],[Order_Date]])</f>
        <v>2024</v>
      </c>
      <c r="O3350" s="7">
        <f>Table1[[#This Row],[Profit]]/Table1[[#This Row],[Total_Sales]]</f>
        <v>0.31037012821909848</v>
      </c>
    </row>
    <row r="3351" spans="1:15" x14ac:dyDescent="0.25">
      <c r="A3351" s="1">
        <v>3350</v>
      </c>
      <c r="B3351" s="2">
        <v>45457</v>
      </c>
      <c r="C3351" s="1" t="s">
        <v>25</v>
      </c>
      <c r="D3351" s="1" t="s">
        <v>13</v>
      </c>
      <c r="E3351" s="1" t="s">
        <v>39</v>
      </c>
      <c r="F3351" s="1" t="s">
        <v>35</v>
      </c>
      <c r="G3351" s="1">
        <v>4</v>
      </c>
      <c r="H3351" s="1">
        <v>900</v>
      </c>
      <c r="I3351" s="1">
        <v>0</v>
      </c>
      <c r="J3351" s="4">
        <v>3600</v>
      </c>
      <c r="K3351" s="4">
        <v>2140.83</v>
      </c>
      <c r="L3351" s="4">
        <v>1459.17</v>
      </c>
      <c r="M3351" s="1" t="str">
        <f>TEXT(Table1[[#This Row],[Order_Date]], "MMM")</f>
        <v>Jun</v>
      </c>
      <c r="N3351" s="1">
        <f>YEAR(Table1[[#This Row],[Order_Date]])</f>
        <v>2024</v>
      </c>
      <c r="O3351" s="7">
        <f>Table1[[#This Row],[Profit]]/Table1[[#This Row],[Total_Sales]]</f>
        <v>0.40532500000000005</v>
      </c>
    </row>
    <row r="3352" spans="1:15" x14ac:dyDescent="0.25">
      <c r="A3352" s="1">
        <v>3351</v>
      </c>
      <c r="B3352" s="2">
        <v>45542</v>
      </c>
      <c r="C3352" s="1" t="s">
        <v>25</v>
      </c>
      <c r="D3352" s="1" t="s">
        <v>20</v>
      </c>
      <c r="E3352" s="1" t="s">
        <v>28</v>
      </c>
      <c r="F3352" s="1" t="s">
        <v>40</v>
      </c>
      <c r="G3352" s="1">
        <v>8</v>
      </c>
      <c r="H3352" s="1">
        <v>399</v>
      </c>
      <c r="I3352" s="1">
        <v>20</v>
      </c>
      <c r="J3352" s="4">
        <v>2553.6</v>
      </c>
      <c r="K3352" s="4">
        <v>1533.11</v>
      </c>
      <c r="L3352" s="4">
        <v>1020.49</v>
      </c>
      <c r="M3352" s="1" t="str">
        <f>TEXT(Table1[[#This Row],[Order_Date]], "MMM")</f>
        <v>Sep</v>
      </c>
      <c r="N3352" s="1">
        <f>YEAR(Table1[[#This Row],[Order_Date]])</f>
        <v>2024</v>
      </c>
      <c r="O3352" s="7">
        <f>Table1[[#This Row],[Profit]]/Table1[[#This Row],[Total_Sales]]</f>
        <v>0.39962797619047619</v>
      </c>
    </row>
    <row r="3353" spans="1:15" x14ac:dyDescent="0.25">
      <c r="A3353" s="1">
        <v>3352</v>
      </c>
      <c r="B3353" s="2">
        <v>45118</v>
      </c>
      <c r="C3353" s="1" t="s">
        <v>25</v>
      </c>
      <c r="D3353" s="1" t="s">
        <v>32</v>
      </c>
      <c r="E3353" s="1" t="s">
        <v>34</v>
      </c>
      <c r="F3353" s="1" t="s">
        <v>31</v>
      </c>
      <c r="G3353" s="1">
        <v>8</v>
      </c>
      <c r="H3353" s="1">
        <v>189</v>
      </c>
      <c r="I3353" s="1">
        <v>15</v>
      </c>
      <c r="J3353" s="4">
        <v>1285.2</v>
      </c>
      <c r="K3353" s="4">
        <v>886.24</v>
      </c>
      <c r="L3353" s="4">
        <v>398.96</v>
      </c>
      <c r="M3353" s="1" t="str">
        <f>TEXT(Table1[[#This Row],[Order_Date]], "MMM")</f>
        <v>Jul</v>
      </c>
      <c r="N3353" s="1">
        <f>YEAR(Table1[[#This Row],[Order_Date]])</f>
        <v>2023</v>
      </c>
      <c r="O3353" s="7">
        <f>Table1[[#This Row],[Profit]]/Table1[[#This Row],[Total_Sales]]</f>
        <v>0.31042639277933393</v>
      </c>
    </row>
    <row r="3354" spans="1:15" x14ac:dyDescent="0.25">
      <c r="A3354" s="1">
        <v>3353</v>
      </c>
      <c r="B3354" s="2">
        <v>45284</v>
      </c>
      <c r="C3354" s="1" t="s">
        <v>16</v>
      </c>
      <c r="D3354" s="1" t="s">
        <v>13</v>
      </c>
      <c r="E3354" s="1" t="s">
        <v>14</v>
      </c>
      <c r="F3354" s="1" t="s">
        <v>35</v>
      </c>
      <c r="G3354" s="1">
        <v>10</v>
      </c>
      <c r="H3354" s="1">
        <v>410</v>
      </c>
      <c r="I3354" s="1">
        <v>10</v>
      </c>
      <c r="J3354" s="4">
        <v>3690</v>
      </c>
      <c r="K3354" s="4">
        <v>2336.66</v>
      </c>
      <c r="L3354" s="4">
        <v>1353.34</v>
      </c>
      <c r="M3354" s="1" t="str">
        <f>TEXT(Table1[[#This Row],[Order_Date]], "MMM")</f>
        <v>Dec</v>
      </c>
      <c r="N3354" s="1">
        <f>YEAR(Table1[[#This Row],[Order_Date]])</f>
        <v>2023</v>
      </c>
      <c r="O3354" s="7">
        <f>Table1[[#This Row],[Profit]]/Table1[[#This Row],[Total_Sales]]</f>
        <v>0.36675880758807589</v>
      </c>
    </row>
    <row r="3355" spans="1:15" x14ac:dyDescent="0.25">
      <c r="A3355" s="1">
        <v>3354</v>
      </c>
      <c r="B3355" s="2">
        <v>45578</v>
      </c>
      <c r="C3355" s="1" t="s">
        <v>19</v>
      </c>
      <c r="D3355" s="1" t="s">
        <v>13</v>
      </c>
      <c r="E3355" s="1" t="s">
        <v>38</v>
      </c>
      <c r="F3355" s="1" t="s">
        <v>15</v>
      </c>
      <c r="G3355" s="1">
        <v>6</v>
      </c>
      <c r="H3355" s="1">
        <v>818</v>
      </c>
      <c r="I3355" s="1">
        <v>10</v>
      </c>
      <c r="J3355" s="4">
        <v>4417.2</v>
      </c>
      <c r="K3355" s="4">
        <v>3105.7</v>
      </c>
      <c r="L3355" s="4">
        <v>1311.5</v>
      </c>
      <c r="M3355" s="1" t="str">
        <f>TEXT(Table1[[#This Row],[Order_Date]], "MMM")</f>
        <v>Oct</v>
      </c>
      <c r="N3355" s="1">
        <f>YEAR(Table1[[#This Row],[Order_Date]])</f>
        <v>2024</v>
      </c>
      <c r="O3355" s="7">
        <f>Table1[[#This Row],[Profit]]/Table1[[#This Row],[Total_Sales]]</f>
        <v>0.29690754324006158</v>
      </c>
    </row>
    <row r="3356" spans="1:15" x14ac:dyDescent="0.25">
      <c r="A3356" s="1">
        <v>3355</v>
      </c>
      <c r="B3356" s="2">
        <v>45512</v>
      </c>
      <c r="C3356" s="1" t="s">
        <v>25</v>
      </c>
      <c r="D3356" s="1" t="s">
        <v>22</v>
      </c>
      <c r="E3356" s="1" t="s">
        <v>29</v>
      </c>
      <c r="F3356" s="1" t="s">
        <v>18</v>
      </c>
      <c r="G3356" s="1">
        <v>9</v>
      </c>
      <c r="H3356" s="1">
        <v>263</v>
      </c>
      <c r="I3356" s="1">
        <v>5</v>
      </c>
      <c r="J3356" s="4">
        <v>2248.65</v>
      </c>
      <c r="K3356" s="4">
        <v>1765.32</v>
      </c>
      <c r="L3356" s="4">
        <v>483.33</v>
      </c>
      <c r="M3356" s="1" t="str">
        <f>TEXT(Table1[[#This Row],[Order_Date]], "MMM")</f>
        <v>Aug</v>
      </c>
      <c r="N3356" s="1">
        <f>YEAR(Table1[[#This Row],[Order_Date]])</f>
        <v>2024</v>
      </c>
      <c r="O3356" s="7">
        <f>Table1[[#This Row],[Profit]]/Table1[[#This Row],[Total_Sales]]</f>
        <v>0.21494229871256085</v>
      </c>
    </row>
    <row r="3357" spans="1:15" x14ac:dyDescent="0.25">
      <c r="A3357" s="1">
        <v>3356</v>
      </c>
      <c r="B3357" s="2">
        <v>45218</v>
      </c>
      <c r="C3357" s="1" t="s">
        <v>12</v>
      </c>
      <c r="D3357" s="1" t="s">
        <v>22</v>
      </c>
      <c r="E3357" s="1" t="s">
        <v>29</v>
      </c>
      <c r="F3357" s="1" t="s">
        <v>40</v>
      </c>
      <c r="G3357" s="1">
        <v>10</v>
      </c>
      <c r="H3357" s="1">
        <v>114</v>
      </c>
      <c r="I3357" s="1">
        <v>15</v>
      </c>
      <c r="J3357" s="4">
        <v>969</v>
      </c>
      <c r="K3357" s="4">
        <v>494.04</v>
      </c>
      <c r="L3357" s="4">
        <v>474.96</v>
      </c>
      <c r="M3357" s="1" t="str">
        <f>TEXT(Table1[[#This Row],[Order_Date]], "MMM")</f>
        <v>Oct</v>
      </c>
      <c r="N3357" s="1">
        <f>YEAR(Table1[[#This Row],[Order_Date]])</f>
        <v>2023</v>
      </c>
      <c r="O3357" s="7">
        <f>Table1[[#This Row],[Profit]]/Table1[[#This Row],[Total_Sales]]</f>
        <v>0.49015479876160989</v>
      </c>
    </row>
    <row r="3358" spans="1:15" x14ac:dyDescent="0.25">
      <c r="A3358" s="1">
        <v>3357</v>
      </c>
      <c r="B3358" s="2">
        <v>45495</v>
      </c>
      <c r="C3358" s="1" t="s">
        <v>16</v>
      </c>
      <c r="D3358" s="1" t="s">
        <v>22</v>
      </c>
      <c r="E3358" s="1" t="s">
        <v>36</v>
      </c>
      <c r="F3358" s="1" t="s">
        <v>35</v>
      </c>
      <c r="G3358" s="1">
        <v>8</v>
      </c>
      <c r="H3358" s="1">
        <v>35</v>
      </c>
      <c r="I3358" s="1">
        <v>5</v>
      </c>
      <c r="J3358" s="4">
        <v>266</v>
      </c>
      <c r="K3358" s="4">
        <v>211.73</v>
      </c>
      <c r="L3358" s="4">
        <v>54.27</v>
      </c>
      <c r="M3358" s="1" t="str">
        <f>TEXT(Table1[[#This Row],[Order_Date]], "MMM")</f>
        <v>Jul</v>
      </c>
      <c r="N3358" s="1">
        <f>YEAR(Table1[[#This Row],[Order_Date]])</f>
        <v>2024</v>
      </c>
      <c r="O3358" s="7">
        <f>Table1[[#This Row],[Profit]]/Table1[[#This Row],[Total_Sales]]</f>
        <v>0.20402255639097747</v>
      </c>
    </row>
    <row r="3359" spans="1:15" x14ac:dyDescent="0.25">
      <c r="A3359" s="1">
        <v>3358</v>
      </c>
      <c r="B3359" s="2">
        <v>45122</v>
      </c>
      <c r="C3359" s="1" t="s">
        <v>16</v>
      </c>
      <c r="D3359" s="1" t="s">
        <v>13</v>
      </c>
      <c r="E3359" s="1" t="s">
        <v>14</v>
      </c>
      <c r="F3359" s="1" t="s">
        <v>18</v>
      </c>
      <c r="G3359" s="1">
        <v>3</v>
      </c>
      <c r="H3359" s="1">
        <v>696</v>
      </c>
      <c r="I3359" s="1">
        <v>0</v>
      </c>
      <c r="J3359" s="4">
        <v>2088</v>
      </c>
      <c r="K3359" s="4">
        <v>1218.0999999999999</v>
      </c>
      <c r="L3359" s="4">
        <v>869.9</v>
      </c>
      <c r="M3359" s="1" t="str">
        <f>TEXT(Table1[[#This Row],[Order_Date]], "MMM")</f>
        <v>Jul</v>
      </c>
      <c r="N3359" s="1">
        <f>YEAR(Table1[[#This Row],[Order_Date]])</f>
        <v>2023</v>
      </c>
      <c r="O3359" s="7">
        <f>Table1[[#This Row],[Profit]]/Table1[[#This Row],[Total_Sales]]</f>
        <v>0.41661877394636015</v>
      </c>
    </row>
    <row r="3360" spans="1:15" x14ac:dyDescent="0.25">
      <c r="A3360" s="1">
        <v>3359</v>
      </c>
      <c r="B3360" s="2">
        <v>45319</v>
      </c>
      <c r="C3360" s="1" t="s">
        <v>16</v>
      </c>
      <c r="D3360" s="1" t="s">
        <v>32</v>
      </c>
      <c r="E3360" s="1" t="s">
        <v>33</v>
      </c>
      <c r="F3360" s="1" t="s">
        <v>15</v>
      </c>
      <c r="G3360" s="1">
        <v>4</v>
      </c>
      <c r="H3360" s="1">
        <v>89</v>
      </c>
      <c r="I3360" s="1">
        <v>20</v>
      </c>
      <c r="J3360" s="4">
        <v>284.8</v>
      </c>
      <c r="K3360" s="4">
        <v>165.41</v>
      </c>
      <c r="L3360" s="4">
        <v>119.39</v>
      </c>
      <c r="M3360" s="1" t="str">
        <f>TEXT(Table1[[#This Row],[Order_Date]], "MMM")</f>
        <v>Jan</v>
      </c>
      <c r="N3360" s="1">
        <f>YEAR(Table1[[#This Row],[Order_Date]])</f>
        <v>2024</v>
      </c>
      <c r="O3360" s="7">
        <f>Table1[[#This Row],[Profit]]/Table1[[#This Row],[Total_Sales]]</f>
        <v>0.41920646067415729</v>
      </c>
    </row>
    <row r="3361" spans="1:15" x14ac:dyDescent="0.25">
      <c r="A3361" s="1">
        <v>3360</v>
      </c>
      <c r="B3361" s="2">
        <v>45620</v>
      </c>
      <c r="C3361" s="1" t="s">
        <v>16</v>
      </c>
      <c r="D3361" s="1" t="s">
        <v>32</v>
      </c>
      <c r="E3361" s="1" t="s">
        <v>41</v>
      </c>
      <c r="F3361" s="1" t="s">
        <v>24</v>
      </c>
      <c r="G3361" s="1">
        <v>4</v>
      </c>
      <c r="H3361" s="1">
        <v>482</v>
      </c>
      <c r="I3361" s="1">
        <v>15</v>
      </c>
      <c r="J3361" s="4">
        <v>1638.8</v>
      </c>
      <c r="K3361" s="4">
        <v>973.85</v>
      </c>
      <c r="L3361" s="4">
        <v>664.95</v>
      </c>
      <c r="M3361" s="1" t="str">
        <f>TEXT(Table1[[#This Row],[Order_Date]], "MMM")</f>
        <v>Nov</v>
      </c>
      <c r="N3361" s="1">
        <f>YEAR(Table1[[#This Row],[Order_Date]])</f>
        <v>2024</v>
      </c>
      <c r="O3361" s="7">
        <f>Table1[[#This Row],[Profit]]/Table1[[#This Row],[Total_Sales]]</f>
        <v>0.40575421039785214</v>
      </c>
    </row>
    <row r="3362" spans="1:15" x14ac:dyDescent="0.25">
      <c r="A3362" s="1">
        <v>3361</v>
      </c>
      <c r="B3362" s="2">
        <v>45407</v>
      </c>
      <c r="C3362" s="1" t="s">
        <v>19</v>
      </c>
      <c r="D3362" s="1" t="s">
        <v>22</v>
      </c>
      <c r="E3362" s="1" t="s">
        <v>23</v>
      </c>
      <c r="F3362" s="1" t="s">
        <v>40</v>
      </c>
      <c r="G3362" s="1">
        <v>3</v>
      </c>
      <c r="H3362" s="1">
        <v>428</v>
      </c>
      <c r="I3362" s="1">
        <v>10</v>
      </c>
      <c r="J3362" s="4">
        <v>1155.5999999999999</v>
      </c>
      <c r="K3362" s="4">
        <v>700.02</v>
      </c>
      <c r="L3362" s="4">
        <v>455.58</v>
      </c>
      <c r="M3362" s="1" t="str">
        <f>TEXT(Table1[[#This Row],[Order_Date]], "MMM")</f>
        <v>Apr</v>
      </c>
      <c r="N3362" s="1">
        <f>YEAR(Table1[[#This Row],[Order_Date]])</f>
        <v>2024</v>
      </c>
      <c r="O3362" s="7">
        <f>Table1[[#This Row],[Profit]]/Table1[[#This Row],[Total_Sales]]</f>
        <v>0.39423676012461062</v>
      </c>
    </row>
    <row r="3363" spans="1:15" x14ac:dyDescent="0.25">
      <c r="A3363" s="1">
        <v>3362</v>
      </c>
      <c r="B3363" s="2">
        <v>45372</v>
      </c>
      <c r="C3363" s="1" t="s">
        <v>16</v>
      </c>
      <c r="D3363" s="1" t="s">
        <v>32</v>
      </c>
      <c r="E3363" s="1" t="s">
        <v>33</v>
      </c>
      <c r="F3363" s="1" t="s">
        <v>18</v>
      </c>
      <c r="G3363" s="1">
        <v>5</v>
      </c>
      <c r="H3363" s="1">
        <v>381</v>
      </c>
      <c r="I3363" s="1">
        <v>5</v>
      </c>
      <c r="J3363" s="4">
        <v>1809.75</v>
      </c>
      <c r="K3363" s="4">
        <v>1379.15</v>
      </c>
      <c r="L3363" s="4">
        <v>430.6</v>
      </c>
      <c r="M3363" s="1" t="str">
        <f>TEXT(Table1[[#This Row],[Order_Date]], "MMM")</f>
        <v>Mar</v>
      </c>
      <c r="N3363" s="1">
        <f>YEAR(Table1[[#This Row],[Order_Date]])</f>
        <v>2024</v>
      </c>
      <c r="O3363" s="7">
        <f>Table1[[#This Row],[Profit]]/Table1[[#This Row],[Total_Sales]]</f>
        <v>0.23793341621770964</v>
      </c>
    </row>
    <row r="3364" spans="1:15" x14ac:dyDescent="0.25">
      <c r="A3364" s="1">
        <v>3363</v>
      </c>
      <c r="B3364" s="2">
        <v>45290</v>
      </c>
      <c r="C3364" s="1" t="s">
        <v>12</v>
      </c>
      <c r="D3364" s="1" t="s">
        <v>22</v>
      </c>
      <c r="E3364" s="1" t="s">
        <v>44</v>
      </c>
      <c r="F3364" s="1" t="s">
        <v>40</v>
      </c>
      <c r="G3364" s="1">
        <v>3</v>
      </c>
      <c r="H3364" s="1">
        <v>22</v>
      </c>
      <c r="I3364" s="1">
        <v>10</v>
      </c>
      <c r="J3364" s="4">
        <v>59.4</v>
      </c>
      <c r="K3364" s="4">
        <v>37.1</v>
      </c>
      <c r="L3364" s="4">
        <v>22.3</v>
      </c>
      <c r="M3364" s="1" t="str">
        <f>TEXT(Table1[[#This Row],[Order_Date]], "MMM")</f>
        <v>Dec</v>
      </c>
      <c r="N3364" s="1">
        <f>YEAR(Table1[[#This Row],[Order_Date]])</f>
        <v>2023</v>
      </c>
      <c r="O3364" s="7">
        <f>Table1[[#This Row],[Profit]]/Table1[[#This Row],[Total_Sales]]</f>
        <v>0.37542087542087543</v>
      </c>
    </row>
    <row r="3365" spans="1:15" x14ac:dyDescent="0.25">
      <c r="A3365" s="1">
        <v>3364</v>
      </c>
      <c r="B3365" s="2">
        <v>45088</v>
      </c>
      <c r="C3365" s="1" t="s">
        <v>19</v>
      </c>
      <c r="D3365" s="1" t="s">
        <v>26</v>
      </c>
      <c r="E3365" s="1" t="s">
        <v>37</v>
      </c>
      <c r="F3365" s="1" t="s">
        <v>35</v>
      </c>
      <c r="G3365" s="1">
        <v>6</v>
      </c>
      <c r="H3365" s="1">
        <v>491</v>
      </c>
      <c r="I3365" s="1">
        <v>0</v>
      </c>
      <c r="J3365" s="4">
        <v>2946</v>
      </c>
      <c r="K3365" s="4">
        <v>2213.77</v>
      </c>
      <c r="L3365" s="4">
        <v>732.23</v>
      </c>
      <c r="M3365" s="1" t="str">
        <f>TEXT(Table1[[#This Row],[Order_Date]], "MMM")</f>
        <v>Jun</v>
      </c>
      <c r="N3365" s="1">
        <f>YEAR(Table1[[#This Row],[Order_Date]])</f>
        <v>2023</v>
      </c>
      <c r="O3365" s="7">
        <f>Table1[[#This Row],[Profit]]/Table1[[#This Row],[Total_Sales]]</f>
        <v>0.24855057705363204</v>
      </c>
    </row>
    <row r="3366" spans="1:15" x14ac:dyDescent="0.25">
      <c r="A3366" s="1">
        <v>3365</v>
      </c>
      <c r="B3366" s="2">
        <v>45409</v>
      </c>
      <c r="C3366" s="1" t="s">
        <v>16</v>
      </c>
      <c r="D3366" s="1" t="s">
        <v>22</v>
      </c>
      <c r="E3366" s="1" t="s">
        <v>44</v>
      </c>
      <c r="F3366" s="1" t="s">
        <v>35</v>
      </c>
      <c r="G3366" s="1">
        <v>8</v>
      </c>
      <c r="H3366" s="1">
        <v>491</v>
      </c>
      <c r="I3366" s="1">
        <v>15</v>
      </c>
      <c r="J3366" s="4">
        <v>3338.8</v>
      </c>
      <c r="K3366" s="4">
        <v>2511.5500000000002</v>
      </c>
      <c r="L3366" s="4">
        <v>827.25</v>
      </c>
      <c r="M3366" s="1" t="str">
        <f>TEXT(Table1[[#This Row],[Order_Date]], "MMM")</f>
        <v>Apr</v>
      </c>
      <c r="N3366" s="1">
        <f>YEAR(Table1[[#This Row],[Order_Date]])</f>
        <v>2024</v>
      </c>
      <c r="O3366" s="7">
        <f>Table1[[#This Row],[Profit]]/Table1[[#This Row],[Total_Sales]]</f>
        <v>0.24776865939858631</v>
      </c>
    </row>
    <row r="3367" spans="1:15" x14ac:dyDescent="0.25">
      <c r="A3367" s="1">
        <v>3366</v>
      </c>
      <c r="B3367" s="2">
        <v>44949</v>
      </c>
      <c r="C3367" s="1" t="s">
        <v>25</v>
      </c>
      <c r="D3367" s="1" t="s">
        <v>20</v>
      </c>
      <c r="E3367" s="1" t="s">
        <v>43</v>
      </c>
      <c r="F3367" s="1" t="s">
        <v>31</v>
      </c>
      <c r="G3367" s="1">
        <v>5</v>
      </c>
      <c r="H3367" s="1">
        <v>831</v>
      </c>
      <c r="I3367" s="1">
        <v>15</v>
      </c>
      <c r="J3367" s="4">
        <v>3531.75</v>
      </c>
      <c r="K3367" s="4">
        <v>2544.81</v>
      </c>
      <c r="L3367" s="4">
        <v>986.94</v>
      </c>
      <c r="M3367" s="1" t="str">
        <f>TEXT(Table1[[#This Row],[Order_Date]], "MMM")</f>
        <v>Jan</v>
      </c>
      <c r="N3367" s="1">
        <f>YEAR(Table1[[#This Row],[Order_Date]])</f>
        <v>2023</v>
      </c>
      <c r="O3367" s="7">
        <f>Table1[[#This Row],[Profit]]/Table1[[#This Row],[Total_Sales]]</f>
        <v>0.27944786578891484</v>
      </c>
    </row>
    <row r="3368" spans="1:15" x14ac:dyDescent="0.25">
      <c r="A3368" s="1">
        <v>3367</v>
      </c>
      <c r="B3368" s="2">
        <v>45140</v>
      </c>
      <c r="C3368" s="1" t="s">
        <v>12</v>
      </c>
      <c r="D3368" s="1" t="s">
        <v>26</v>
      </c>
      <c r="E3368" s="1" t="s">
        <v>46</v>
      </c>
      <c r="F3368" s="1" t="s">
        <v>35</v>
      </c>
      <c r="G3368" s="1">
        <v>8</v>
      </c>
      <c r="H3368" s="1">
        <v>310</v>
      </c>
      <c r="I3368" s="1">
        <v>0</v>
      </c>
      <c r="J3368" s="4">
        <v>2480</v>
      </c>
      <c r="K3368" s="4">
        <v>1265.3499999999999</v>
      </c>
      <c r="L3368" s="4">
        <v>1214.6500000000001</v>
      </c>
      <c r="M3368" s="1" t="str">
        <f>TEXT(Table1[[#This Row],[Order_Date]], "MMM")</f>
        <v>Aug</v>
      </c>
      <c r="N3368" s="1">
        <f>YEAR(Table1[[#This Row],[Order_Date]])</f>
        <v>2023</v>
      </c>
      <c r="O3368" s="7">
        <f>Table1[[#This Row],[Profit]]/Table1[[#This Row],[Total_Sales]]</f>
        <v>0.48977822580645164</v>
      </c>
    </row>
    <row r="3369" spans="1:15" x14ac:dyDescent="0.25">
      <c r="A3369" s="1">
        <v>3368</v>
      </c>
      <c r="B3369" s="2">
        <v>45224</v>
      </c>
      <c r="C3369" s="1" t="s">
        <v>16</v>
      </c>
      <c r="D3369" s="1" t="s">
        <v>32</v>
      </c>
      <c r="E3369" s="1" t="s">
        <v>33</v>
      </c>
      <c r="F3369" s="1" t="s">
        <v>31</v>
      </c>
      <c r="G3369" s="1">
        <v>4</v>
      </c>
      <c r="H3369" s="1">
        <v>995</v>
      </c>
      <c r="I3369" s="1">
        <v>15</v>
      </c>
      <c r="J3369" s="4">
        <v>3383</v>
      </c>
      <c r="K3369" s="4">
        <v>2001.11</v>
      </c>
      <c r="L3369" s="4">
        <v>1381.89</v>
      </c>
      <c r="M3369" s="1" t="str">
        <f>TEXT(Table1[[#This Row],[Order_Date]], "MMM")</f>
        <v>Oct</v>
      </c>
      <c r="N3369" s="1">
        <f>YEAR(Table1[[#This Row],[Order_Date]])</f>
        <v>2023</v>
      </c>
      <c r="O3369" s="7">
        <f>Table1[[#This Row],[Profit]]/Table1[[#This Row],[Total_Sales]]</f>
        <v>0.40848063848655042</v>
      </c>
    </row>
    <row r="3370" spans="1:15" x14ac:dyDescent="0.25">
      <c r="A3370" s="1">
        <v>3369</v>
      </c>
      <c r="B3370" s="2">
        <v>45511</v>
      </c>
      <c r="C3370" s="1" t="s">
        <v>25</v>
      </c>
      <c r="D3370" s="1" t="s">
        <v>26</v>
      </c>
      <c r="E3370" s="1" t="s">
        <v>46</v>
      </c>
      <c r="F3370" s="1" t="s">
        <v>15</v>
      </c>
      <c r="G3370" s="1">
        <v>1</v>
      </c>
      <c r="H3370" s="1">
        <v>615</v>
      </c>
      <c r="I3370" s="1">
        <v>15</v>
      </c>
      <c r="J3370" s="4">
        <v>522.75</v>
      </c>
      <c r="K3370" s="4">
        <v>318.64999999999998</v>
      </c>
      <c r="L3370" s="4">
        <v>204.1</v>
      </c>
      <c r="M3370" s="1" t="str">
        <f>TEXT(Table1[[#This Row],[Order_Date]], "MMM")</f>
        <v>Aug</v>
      </c>
      <c r="N3370" s="1">
        <f>YEAR(Table1[[#This Row],[Order_Date]])</f>
        <v>2024</v>
      </c>
      <c r="O3370" s="7">
        <f>Table1[[#This Row],[Profit]]/Table1[[#This Row],[Total_Sales]]</f>
        <v>0.39043519846963176</v>
      </c>
    </row>
    <row r="3371" spans="1:15" x14ac:dyDescent="0.25">
      <c r="A3371" s="1">
        <v>3370</v>
      </c>
      <c r="B3371" s="2">
        <v>45639</v>
      </c>
      <c r="C3371" s="1" t="s">
        <v>12</v>
      </c>
      <c r="D3371" s="1" t="s">
        <v>32</v>
      </c>
      <c r="E3371" s="1" t="s">
        <v>45</v>
      </c>
      <c r="F3371" s="1" t="s">
        <v>40</v>
      </c>
      <c r="G3371" s="1">
        <v>8</v>
      </c>
      <c r="H3371" s="1">
        <v>546</v>
      </c>
      <c r="I3371" s="1">
        <v>20</v>
      </c>
      <c r="J3371" s="4">
        <v>3494.4</v>
      </c>
      <c r="K3371" s="4">
        <v>2687.04</v>
      </c>
      <c r="L3371" s="4">
        <v>807.36</v>
      </c>
      <c r="M3371" s="1" t="str">
        <f>TEXT(Table1[[#This Row],[Order_Date]], "MMM")</f>
        <v>Dec</v>
      </c>
      <c r="N3371" s="1">
        <f>YEAR(Table1[[#This Row],[Order_Date]])</f>
        <v>2024</v>
      </c>
      <c r="O3371" s="7">
        <f>Table1[[#This Row],[Profit]]/Table1[[#This Row],[Total_Sales]]</f>
        <v>0.23104395604395603</v>
      </c>
    </row>
    <row r="3372" spans="1:15" x14ac:dyDescent="0.25">
      <c r="A3372" s="1">
        <v>3371</v>
      </c>
      <c r="B3372" s="2">
        <v>45639</v>
      </c>
      <c r="C3372" s="1" t="s">
        <v>25</v>
      </c>
      <c r="D3372" s="1" t="s">
        <v>22</v>
      </c>
      <c r="E3372" s="1" t="s">
        <v>29</v>
      </c>
      <c r="F3372" s="1" t="s">
        <v>31</v>
      </c>
      <c r="G3372" s="1">
        <v>2</v>
      </c>
      <c r="H3372" s="1">
        <v>283</v>
      </c>
      <c r="I3372" s="1">
        <v>15</v>
      </c>
      <c r="J3372" s="4">
        <v>481.1</v>
      </c>
      <c r="K3372" s="4">
        <v>292.86</v>
      </c>
      <c r="L3372" s="4">
        <v>188.24</v>
      </c>
      <c r="M3372" s="1" t="str">
        <f>TEXT(Table1[[#This Row],[Order_Date]], "MMM")</f>
        <v>Dec</v>
      </c>
      <c r="N3372" s="1">
        <f>YEAR(Table1[[#This Row],[Order_Date]])</f>
        <v>2024</v>
      </c>
      <c r="O3372" s="7">
        <f>Table1[[#This Row],[Profit]]/Table1[[#This Row],[Total_Sales]]</f>
        <v>0.39127000623570984</v>
      </c>
    </row>
    <row r="3373" spans="1:15" x14ac:dyDescent="0.25">
      <c r="A3373" s="1">
        <v>3372</v>
      </c>
      <c r="B3373" s="2">
        <v>45532</v>
      </c>
      <c r="C3373" s="1" t="s">
        <v>19</v>
      </c>
      <c r="D3373" s="1" t="s">
        <v>32</v>
      </c>
      <c r="E3373" s="1" t="s">
        <v>33</v>
      </c>
      <c r="F3373" s="1" t="s">
        <v>31</v>
      </c>
      <c r="G3373" s="1">
        <v>4</v>
      </c>
      <c r="H3373" s="1">
        <v>684</v>
      </c>
      <c r="I3373" s="1">
        <v>5</v>
      </c>
      <c r="J3373" s="4">
        <v>2599.1999999999998</v>
      </c>
      <c r="K3373" s="4">
        <v>1933.55</v>
      </c>
      <c r="L3373" s="4">
        <v>665.65</v>
      </c>
      <c r="M3373" s="1" t="str">
        <f>TEXT(Table1[[#This Row],[Order_Date]], "MMM")</f>
        <v>Aug</v>
      </c>
      <c r="N3373" s="1">
        <f>YEAR(Table1[[#This Row],[Order_Date]])</f>
        <v>2024</v>
      </c>
      <c r="O3373" s="7">
        <f>Table1[[#This Row],[Profit]]/Table1[[#This Row],[Total_Sales]]</f>
        <v>0.2560980301631271</v>
      </c>
    </row>
    <row r="3374" spans="1:15" x14ac:dyDescent="0.25">
      <c r="A3374" s="1">
        <v>3373</v>
      </c>
      <c r="B3374" s="2">
        <v>44990</v>
      </c>
      <c r="C3374" s="1" t="s">
        <v>25</v>
      </c>
      <c r="D3374" s="1" t="s">
        <v>20</v>
      </c>
      <c r="E3374" s="1" t="s">
        <v>21</v>
      </c>
      <c r="F3374" s="1" t="s">
        <v>18</v>
      </c>
      <c r="G3374" s="1">
        <v>8</v>
      </c>
      <c r="H3374" s="1">
        <v>490</v>
      </c>
      <c r="I3374" s="1">
        <v>20</v>
      </c>
      <c r="J3374" s="4">
        <v>3136</v>
      </c>
      <c r="K3374" s="4">
        <v>1635.69</v>
      </c>
      <c r="L3374" s="4">
        <v>1500.31</v>
      </c>
      <c r="M3374" s="1" t="str">
        <f>TEXT(Table1[[#This Row],[Order_Date]], "MMM")</f>
        <v>Mar</v>
      </c>
      <c r="N3374" s="1">
        <f>YEAR(Table1[[#This Row],[Order_Date]])</f>
        <v>2023</v>
      </c>
      <c r="O3374" s="7">
        <f>Table1[[#This Row],[Profit]]/Table1[[#This Row],[Total_Sales]]</f>
        <v>0.47841517857142857</v>
      </c>
    </row>
    <row r="3375" spans="1:15" x14ac:dyDescent="0.25">
      <c r="A3375" s="1">
        <v>3374</v>
      </c>
      <c r="B3375" s="2">
        <v>45153</v>
      </c>
      <c r="C3375" s="1" t="s">
        <v>19</v>
      </c>
      <c r="D3375" s="1" t="s">
        <v>26</v>
      </c>
      <c r="E3375" s="1" t="s">
        <v>46</v>
      </c>
      <c r="F3375" s="1" t="s">
        <v>31</v>
      </c>
      <c r="G3375" s="1">
        <v>9</v>
      </c>
      <c r="H3375" s="1">
        <v>516</v>
      </c>
      <c r="I3375" s="1">
        <v>5</v>
      </c>
      <c r="J3375" s="4">
        <v>4411.8</v>
      </c>
      <c r="K3375" s="4">
        <v>2324.87</v>
      </c>
      <c r="L3375" s="4">
        <v>2086.9299999999998</v>
      </c>
      <c r="M3375" s="1" t="str">
        <f>TEXT(Table1[[#This Row],[Order_Date]], "MMM")</f>
        <v>Aug</v>
      </c>
      <c r="N3375" s="1">
        <f>YEAR(Table1[[#This Row],[Order_Date]])</f>
        <v>2023</v>
      </c>
      <c r="O3375" s="7">
        <f>Table1[[#This Row],[Profit]]/Table1[[#This Row],[Total_Sales]]</f>
        <v>0.47303368239720744</v>
      </c>
    </row>
    <row r="3376" spans="1:15" x14ac:dyDescent="0.25">
      <c r="A3376" s="1">
        <v>3375</v>
      </c>
      <c r="B3376" s="2">
        <v>44937</v>
      </c>
      <c r="C3376" s="1" t="s">
        <v>19</v>
      </c>
      <c r="D3376" s="1" t="s">
        <v>26</v>
      </c>
      <c r="E3376" s="1" t="s">
        <v>37</v>
      </c>
      <c r="F3376" s="1" t="s">
        <v>15</v>
      </c>
      <c r="G3376" s="1">
        <v>3</v>
      </c>
      <c r="H3376" s="1">
        <v>878</v>
      </c>
      <c r="I3376" s="1">
        <v>5</v>
      </c>
      <c r="J3376" s="4">
        <v>2502.3000000000002</v>
      </c>
      <c r="K3376" s="4">
        <v>1559.38</v>
      </c>
      <c r="L3376" s="4">
        <v>942.92</v>
      </c>
      <c r="M3376" s="1" t="str">
        <f>TEXT(Table1[[#This Row],[Order_Date]], "MMM")</f>
        <v>Jan</v>
      </c>
      <c r="N3376" s="1">
        <f>YEAR(Table1[[#This Row],[Order_Date]])</f>
        <v>2023</v>
      </c>
      <c r="O3376" s="7">
        <f>Table1[[#This Row],[Profit]]/Table1[[#This Row],[Total_Sales]]</f>
        <v>0.3768213243815689</v>
      </c>
    </row>
    <row r="3377" spans="1:15" x14ac:dyDescent="0.25">
      <c r="A3377" s="1">
        <v>3376</v>
      </c>
      <c r="B3377" s="2">
        <v>45225</v>
      </c>
      <c r="C3377" s="1" t="s">
        <v>19</v>
      </c>
      <c r="D3377" s="1" t="s">
        <v>20</v>
      </c>
      <c r="E3377" s="1" t="s">
        <v>30</v>
      </c>
      <c r="F3377" s="1" t="s">
        <v>18</v>
      </c>
      <c r="G3377" s="1">
        <v>6</v>
      </c>
      <c r="H3377" s="1">
        <v>660</v>
      </c>
      <c r="I3377" s="1">
        <v>20</v>
      </c>
      <c r="J3377" s="4">
        <v>3168</v>
      </c>
      <c r="K3377" s="4">
        <v>1728.36</v>
      </c>
      <c r="L3377" s="4">
        <v>1439.64</v>
      </c>
      <c r="M3377" s="1" t="str">
        <f>TEXT(Table1[[#This Row],[Order_Date]], "MMM")</f>
        <v>Oct</v>
      </c>
      <c r="N3377" s="1">
        <f>YEAR(Table1[[#This Row],[Order_Date]])</f>
        <v>2023</v>
      </c>
      <c r="O3377" s="7">
        <f>Table1[[#This Row],[Profit]]/Table1[[#This Row],[Total_Sales]]</f>
        <v>0.45443181818181821</v>
      </c>
    </row>
    <row r="3378" spans="1:15" x14ac:dyDescent="0.25">
      <c r="A3378" s="1">
        <v>3377</v>
      </c>
      <c r="B3378" s="2">
        <v>45506</v>
      </c>
      <c r="C3378" s="1" t="s">
        <v>12</v>
      </c>
      <c r="D3378" s="1" t="s">
        <v>32</v>
      </c>
      <c r="E3378" s="1" t="s">
        <v>33</v>
      </c>
      <c r="F3378" s="1" t="s">
        <v>31</v>
      </c>
      <c r="G3378" s="1">
        <v>10</v>
      </c>
      <c r="H3378" s="1">
        <v>809</v>
      </c>
      <c r="I3378" s="1">
        <v>20</v>
      </c>
      <c r="J3378" s="4">
        <v>6472</v>
      </c>
      <c r="K3378" s="4">
        <v>4821.95</v>
      </c>
      <c r="L3378" s="4">
        <v>1650.05</v>
      </c>
      <c r="M3378" s="1" t="str">
        <f>TEXT(Table1[[#This Row],[Order_Date]], "MMM")</f>
        <v>Aug</v>
      </c>
      <c r="N3378" s="1">
        <f>YEAR(Table1[[#This Row],[Order_Date]])</f>
        <v>2024</v>
      </c>
      <c r="O3378" s="7">
        <f>Table1[[#This Row],[Profit]]/Table1[[#This Row],[Total_Sales]]</f>
        <v>0.25495210135970331</v>
      </c>
    </row>
    <row r="3379" spans="1:15" x14ac:dyDescent="0.25">
      <c r="A3379" s="1">
        <v>3378</v>
      </c>
      <c r="B3379" s="2">
        <v>45332</v>
      </c>
      <c r="C3379" s="1" t="s">
        <v>19</v>
      </c>
      <c r="D3379" s="1" t="s">
        <v>13</v>
      </c>
      <c r="E3379" s="1" t="s">
        <v>14</v>
      </c>
      <c r="F3379" s="1" t="s">
        <v>40</v>
      </c>
      <c r="G3379" s="1">
        <v>9</v>
      </c>
      <c r="H3379" s="1">
        <v>629</v>
      </c>
      <c r="I3379" s="1">
        <v>0</v>
      </c>
      <c r="J3379" s="4">
        <v>5661</v>
      </c>
      <c r="K3379" s="4">
        <v>4047.33</v>
      </c>
      <c r="L3379" s="4">
        <v>1613.67</v>
      </c>
      <c r="M3379" s="1" t="str">
        <f>TEXT(Table1[[#This Row],[Order_Date]], "MMM")</f>
        <v>Feb</v>
      </c>
      <c r="N3379" s="1">
        <f>YEAR(Table1[[#This Row],[Order_Date]])</f>
        <v>2024</v>
      </c>
      <c r="O3379" s="7">
        <f>Table1[[#This Row],[Profit]]/Table1[[#This Row],[Total_Sales]]</f>
        <v>0.2850503444621092</v>
      </c>
    </row>
    <row r="3380" spans="1:15" x14ac:dyDescent="0.25">
      <c r="A3380" s="1">
        <v>3379</v>
      </c>
      <c r="B3380" s="2">
        <v>45239</v>
      </c>
      <c r="C3380" s="1" t="s">
        <v>19</v>
      </c>
      <c r="D3380" s="1" t="s">
        <v>20</v>
      </c>
      <c r="E3380" s="1" t="s">
        <v>43</v>
      </c>
      <c r="F3380" s="1" t="s">
        <v>18</v>
      </c>
      <c r="G3380" s="1">
        <v>7</v>
      </c>
      <c r="H3380" s="1">
        <v>256</v>
      </c>
      <c r="I3380" s="1">
        <v>0</v>
      </c>
      <c r="J3380" s="4">
        <v>1792</v>
      </c>
      <c r="K3380" s="4">
        <v>1229.1400000000001</v>
      </c>
      <c r="L3380" s="4">
        <v>562.86</v>
      </c>
      <c r="M3380" s="1" t="str">
        <f>TEXT(Table1[[#This Row],[Order_Date]], "MMM")</f>
        <v>Nov</v>
      </c>
      <c r="N3380" s="1">
        <f>YEAR(Table1[[#This Row],[Order_Date]])</f>
        <v>2023</v>
      </c>
      <c r="O3380" s="7">
        <f>Table1[[#This Row],[Profit]]/Table1[[#This Row],[Total_Sales]]</f>
        <v>0.31409598214285717</v>
      </c>
    </row>
    <row r="3381" spans="1:15" x14ac:dyDescent="0.25">
      <c r="A3381" s="1">
        <v>3380</v>
      </c>
      <c r="B3381" s="2">
        <v>45566</v>
      </c>
      <c r="C3381" s="1" t="s">
        <v>25</v>
      </c>
      <c r="D3381" s="1" t="s">
        <v>26</v>
      </c>
      <c r="E3381" s="1" t="s">
        <v>46</v>
      </c>
      <c r="F3381" s="1" t="s">
        <v>18</v>
      </c>
      <c r="G3381" s="1">
        <v>9</v>
      </c>
      <c r="H3381" s="1">
        <v>289</v>
      </c>
      <c r="I3381" s="1">
        <v>20</v>
      </c>
      <c r="J3381" s="4">
        <v>2080.8000000000002</v>
      </c>
      <c r="K3381" s="4">
        <v>1160.3699999999999</v>
      </c>
      <c r="L3381" s="4">
        <v>920.43</v>
      </c>
      <c r="M3381" s="1" t="str">
        <f>TEXT(Table1[[#This Row],[Order_Date]], "MMM")</f>
        <v>Oct</v>
      </c>
      <c r="N3381" s="1">
        <f>YEAR(Table1[[#This Row],[Order_Date]])</f>
        <v>2024</v>
      </c>
      <c r="O3381" s="7">
        <f>Table1[[#This Row],[Profit]]/Table1[[#This Row],[Total_Sales]]</f>
        <v>0.44234429065743941</v>
      </c>
    </row>
    <row r="3382" spans="1:15" x14ac:dyDescent="0.25">
      <c r="A3382" s="1">
        <v>3381</v>
      </c>
      <c r="B3382" s="2">
        <v>44962</v>
      </c>
      <c r="C3382" s="1" t="s">
        <v>16</v>
      </c>
      <c r="D3382" s="1" t="s">
        <v>26</v>
      </c>
      <c r="E3382" s="1" t="s">
        <v>46</v>
      </c>
      <c r="F3382" s="1" t="s">
        <v>40</v>
      </c>
      <c r="G3382" s="1">
        <v>3</v>
      </c>
      <c r="H3382" s="1">
        <v>397</v>
      </c>
      <c r="I3382" s="1">
        <v>20</v>
      </c>
      <c r="J3382" s="4">
        <v>952.8</v>
      </c>
      <c r="K3382" s="4">
        <v>592.6</v>
      </c>
      <c r="L3382" s="4">
        <v>360.2</v>
      </c>
      <c r="M3382" s="1" t="str">
        <f>TEXT(Table1[[#This Row],[Order_Date]], "MMM")</f>
        <v>Feb</v>
      </c>
      <c r="N3382" s="1">
        <f>YEAR(Table1[[#This Row],[Order_Date]])</f>
        <v>2023</v>
      </c>
      <c r="O3382" s="7">
        <f>Table1[[#This Row],[Profit]]/Table1[[#This Row],[Total_Sales]]</f>
        <v>0.37804366078925272</v>
      </c>
    </row>
    <row r="3383" spans="1:15" x14ac:dyDescent="0.25">
      <c r="A3383" s="1">
        <v>3382</v>
      </c>
      <c r="B3383" s="2">
        <v>45468</v>
      </c>
      <c r="C3383" s="1" t="s">
        <v>16</v>
      </c>
      <c r="D3383" s="1" t="s">
        <v>13</v>
      </c>
      <c r="E3383" s="1" t="s">
        <v>17</v>
      </c>
      <c r="F3383" s="1" t="s">
        <v>18</v>
      </c>
      <c r="G3383" s="1">
        <v>6</v>
      </c>
      <c r="H3383" s="1">
        <v>696</v>
      </c>
      <c r="I3383" s="1">
        <v>0</v>
      </c>
      <c r="J3383" s="4">
        <v>4176</v>
      </c>
      <c r="K3383" s="4">
        <v>2750.03</v>
      </c>
      <c r="L3383" s="4">
        <v>1425.97</v>
      </c>
      <c r="M3383" s="1" t="str">
        <f>TEXT(Table1[[#This Row],[Order_Date]], "MMM")</f>
        <v>Jun</v>
      </c>
      <c r="N3383" s="1">
        <f>YEAR(Table1[[#This Row],[Order_Date]])</f>
        <v>2024</v>
      </c>
      <c r="O3383" s="7">
        <f>Table1[[#This Row],[Profit]]/Table1[[#This Row],[Total_Sales]]</f>
        <v>0.34146791187739467</v>
      </c>
    </row>
    <row r="3384" spans="1:15" x14ac:dyDescent="0.25">
      <c r="A3384" s="1">
        <v>3383</v>
      </c>
      <c r="B3384" s="2">
        <v>45309</v>
      </c>
      <c r="C3384" s="1" t="s">
        <v>16</v>
      </c>
      <c r="D3384" s="1" t="s">
        <v>26</v>
      </c>
      <c r="E3384" s="1" t="s">
        <v>37</v>
      </c>
      <c r="F3384" s="1" t="s">
        <v>40</v>
      </c>
      <c r="G3384" s="1">
        <v>4</v>
      </c>
      <c r="H3384" s="1">
        <v>473</v>
      </c>
      <c r="I3384" s="1">
        <v>15</v>
      </c>
      <c r="J3384" s="4">
        <v>1608.2</v>
      </c>
      <c r="K3384" s="4">
        <v>1166.67</v>
      </c>
      <c r="L3384" s="4">
        <v>441.53</v>
      </c>
      <c r="M3384" s="1" t="str">
        <f>TEXT(Table1[[#This Row],[Order_Date]], "MMM")</f>
        <v>Jan</v>
      </c>
      <c r="N3384" s="1">
        <f>YEAR(Table1[[#This Row],[Order_Date]])</f>
        <v>2024</v>
      </c>
      <c r="O3384" s="7">
        <f>Table1[[#This Row],[Profit]]/Table1[[#This Row],[Total_Sales]]</f>
        <v>0.27454918542469842</v>
      </c>
    </row>
    <row r="3385" spans="1:15" x14ac:dyDescent="0.25">
      <c r="A3385" s="1">
        <v>3384</v>
      </c>
      <c r="B3385" s="2">
        <v>45296</v>
      </c>
      <c r="C3385" s="1" t="s">
        <v>19</v>
      </c>
      <c r="D3385" s="1" t="s">
        <v>32</v>
      </c>
      <c r="E3385" s="1" t="s">
        <v>33</v>
      </c>
      <c r="F3385" s="1" t="s">
        <v>15</v>
      </c>
      <c r="G3385" s="1">
        <v>7</v>
      </c>
      <c r="H3385" s="1">
        <v>937</v>
      </c>
      <c r="I3385" s="1">
        <v>10</v>
      </c>
      <c r="J3385" s="4">
        <v>5903.1</v>
      </c>
      <c r="K3385" s="4">
        <v>3715.51</v>
      </c>
      <c r="L3385" s="4">
        <v>2187.59</v>
      </c>
      <c r="M3385" s="1" t="str">
        <f>TEXT(Table1[[#This Row],[Order_Date]], "MMM")</f>
        <v>Jan</v>
      </c>
      <c r="N3385" s="1">
        <f>YEAR(Table1[[#This Row],[Order_Date]])</f>
        <v>2024</v>
      </c>
      <c r="O3385" s="7">
        <f>Table1[[#This Row],[Profit]]/Table1[[#This Row],[Total_Sales]]</f>
        <v>0.37058325286713761</v>
      </c>
    </row>
    <row r="3386" spans="1:15" x14ac:dyDescent="0.25">
      <c r="A3386" s="1">
        <v>3385</v>
      </c>
      <c r="B3386" s="2">
        <v>45223</v>
      </c>
      <c r="C3386" s="1" t="s">
        <v>25</v>
      </c>
      <c r="D3386" s="1" t="s">
        <v>13</v>
      </c>
      <c r="E3386" s="1" t="s">
        <v>14</v>
      </c>
      <c r="F3386" s="1" t="s">
        <v>31</v>
      </c>
      <c r="G3386" s="1">
        <v>5</v>
      </c>
      <c r="H3386" s="1">
        <v>536</v>
      </c>
      <c r="I3386" s="1">
        <v>0</v>
      </c>
      <c r="J3386" s="4">
        <v>2680</v>
      </c>
      <c r="K3386" s="4">
        <v>1777.83</v>
      </c>
      <c r="L3386" s="4">
        <v>902.17</v>
      </c>
      <c r="M3386" s="1" t="str">
        <f>TEXT(Table1[[#This Row],[Order_Date]], "MMM")</f>
        <v>Oct</v>
      </c>
      <c r="N3386" s="1">
        <f>YEAR(Table1[[#This Row],[Order_Date]])</f>
        <v>2023</v>
      </c>
      <c r="O3386" s="7">
        <f>Table1[[#This Row],[Profit]]/Table1[[#This Row],[Total_Sales]]</f>
        <v>0.33663059701492537</v>
      </c>
    </row>
    <row r="3387" spans="1:15" x14ac:dyDescent="0.25">
      <c r="A3387" s="1">
        <v>3386</v>
      </c>
      <c r="B3387" s="2">
        <v>45654</v>
      </c>
      <c r="C3387" s="1" t="s">
        <v>16</v>
      </c>
      <c r="D3387" s="1" t="s">
        <v>13</v>
      </c>
      <c r="E3387" s="1" t="s">
        <v>14</v>
      </c>
      <c r="F3387" s="1" t="s">
        <v>35</v>
      </c>
      <c r="G3387" s="1">
        <v>10</v>
      </c>
      <c r="H3387" s="1">
        <v>948</v>
      </c>
      <c r="I3387" s="1">
        <v>5</v>
      </c>
      <c r="J3387" s="4">
        <v>9006</v>
      </c>
      <c r="K3387" s="4">
        <v>4871.24</v>
      </c>
      <c r="L3387" s="4">
        <v>4134.76</v>
      </c>
      <c r="M3387" s="1" t="str">
        <f>TEXT(Table1[[#This Row],[Order_Date]], "MMM")</f>
        <v>Dec</v>
      </c>
      <c r="N3387" s="1">
        <f>YEAR(Table1[[#This Row],[Order_Date]])</f>
        <v>2024</v>
      </c>
      <c r="O3387" s="7">
        <f>Table1[[#This Row],[Profit]]/Table1[[#This Row],[Total_Sales]]</f>
        <v>0.45911170330890522</v>
      </c>
    </row>
    <row r="3388" spans="1:15" x14ac:dyDescent="0.25">
      <c r="A3388" s="1">
        <v>3387</v>
      </c>
      <c r="B3388" s="2">
        <v>45582</v>
      </c>
      <c r="C3388" s="1" t="s">
        <v>19</v>
      </c>
      <c r="D3388" s="1" t="s">
        <v>22</v>
      </c>
      <c r="E3388" s="1" t="s">
        <v>29</v>
      </c>
      <c r="F3388" s="1" t="s">
        <v>31</v>
      </c>
      <c r="G3388" s="1">
        <v>8</v>
      </c>
      <c r="H3388" s="1">
        <v>899</v>
      </c>
      <c r="I3388" s="1">
        <v>15</v>
      </c>
      <c r="J3388" s="4">
        <v>6113.2</v>
      </c>
      <c r="K3388" s="4">
        <v>4873.6400000000003</v>
      </c>
      <c r="L3388" s="4">
        <v>1239.56</v>
      </c>
      <c r="M3388" s="1" t="str">
        <f>TEXT(Table1[[#This Row],[Order_Date]], "MMM")</f>
        <v>Oct</v>
      </c>
      <c r="N3388" s="1">
        <f>YEAR(Table1[[#This Row],[Order_Date]])</f>
        <v>2024</v>
      </c>
      <c r="O3388" s="7">
        <f>Table1[[#This Row],[Profit]]/Table1[[#This Row],[Total_Sales]]</f>
        <v>0.20276778119479161</v>
      </c>
    </row>
    <row r="3389" spans="1:15" x14ac:dyDescent="0.25">
      <c r="A3389" s="1">
        <v>3388</v>
      </c>
      <c r="B3389" s="2">
        <v>45634</v>
      </c>
      <c r="C3389" s="1" t="s">
        <v>19</v>
      </c>
      <c r="D3389" s="1" t="s">
        <v>26</v>
      </c>
      <c r="E3389" s="1" t="s">
        <v>46</v>
      </c>
      <c r="F3389" s="1" t="s">
        <v>35</v>
      </c>
      <c r="G3389" s="1">
        <v>4</v>
      </c>
      <c r="H3389" s="1">
        <v>103</v>
      </c>
      <c r="I3389" s="1">
        <v>10</v>
      </c>
      <c r="J3389" s="4">
        <v>370.8</v>
      </c>
      <c r="K3389" s="4">
        <v>193.45</v>
      </c>
      <c r="L3389" s="4">
        <v>177.35</v>
      </c>
      <c r="M3389" s="1" t="str">
        <f>TEXT(Table1[[#This Row],[Order_Date]], "MMM")</f>
        <v>Dec</v>
      </c>
      <c r="N3389" s="1">
        <f>YEAR(Table1[[#This Row],[Order_Date]])</f>
        <v>2024</v>
      </c>
      <c r="O3389" s="7">
        <f>Table1[[#This Row],[Profit]]/Table1[[#This Row],[Total_Sales]]</f>
        <v>0.47829018338727075</v>
      </c>
    </row>
    <row r="3390" spans="1:15" x14ac:dyDescent="0.25">
      <c r="A3390" s="1">
        <v>3389</v>
      </c>
      <c r="B3390" s="2">
        <v>45326</v>
      </c>
      <c r="C3390" s="1" t="s">
        <v>16</v>
      </c>
      <c r="D3390" s="1" t="s">
        <v>20</v>
      </c>
      <c r="E3390" s="1" t="s">
        <v>30</v>
      </c>
      <c r="F3390" s="1" t="s">
        <v>31</v>
      </c>
      <c r="G3390" s="1">
        <v>4</v>
      </c>
      <c r="H3390" s="1">
        <v>577</v>
      </c>
      <c r="I3390" s="1">
        <v>10</v>
      </c>
      <c r="J3390" s="4">
        <v>2077.1999999999998</v>
      </c>
      <c r="K3390" s="4">
        <v>1374.79</v>
      </c>
      <c r="L3390" s="4">
        <v>702.41</v>
      </c>
      <c r="M3390" s="1" t="str">
        <f>TEXT(Table1[[#This Row],[Order_Date]], "MMM")</f>
        <v>Feb</v>
      </c>
      <c r="N3390" s="1">
        <f>YEAR(Table1[[#This Row],[Order_Date]])</f>
        <v>2024</v>
      </c>
      <c r="O3390" s="7">
        <f>Table1[[#This Row],[Profit]]/Table1[[#This Row],[Total_Sales]]</f>
        <v>0.33815232043134991</v>
      </c>
    </row>
    <row r="3391" spans="1:15" x14ac:dyDescent="0.25">
      <c r="A3391" s="1">
        <v>3390</v>
      </c>
      <c r="B3391" s="2">
        <v>45433</v>
      </c>
      <c r="C3391" s="1" t="s">
        <v>12</v>
      </c>
      <c r="D3391" s="1" t="s">
        <v>20</v>
      </c>
      <c r="E3391" s="1" t="s">
        <v>30</v>
      </c>
      <c r="F3391" s="1" t="s">
        <v>24</v>
      </c>
      <c r="G3391" s="1">
        <v>9</v>
      </c>
      <c r="H3391" s="1">
        <v>143</v>
      </c>
      <c r="I3391" s="1">
        <v>0</v>
      </c>
      <c r="J3391" s="4">
        <v>1287</v>
      </c>
      <c r="K3391" s="4">
        <v>723.68</v>
      </c>
      <c r="L3391" s="4">
        <v>563.32000000000005</v>
      </c>
      <c r="M3391" s="1" t="str">
        <f>TEXT(Table1[[#This Row],[Order_Date]], "MMM")</f>
        <v>May</v>
      </c>
      <c r="N3391" s="1">
        <f>YEAR(Table1[[#This Row],[Order_Date]])</f>
        <v>2024</v>
      </c>
      <c r="O3391" s="7">
        <f>Table1[[#This Row],[Profit]]/Table1[[#This Row],[Total_Sales]]</f>
        <v>0.43770007770007774</v>
      </c>
    </row>
    <row r="3392" spans="1:15" x14ac:dyDescent="0.25">
      <c r="A3392" s="1">
        <v>3391</v>
      </c>
      <c r="B3392" s="2">
        <v>45205</v>
      </c>
      <c r="C3392" s="1" t="s">
        <v>12</v>
      </c>
      <c r="D3392" s="1" t="s">
        <v>32</v>
      </c>
      <c r="E3392" s="1" t="s">
        <v>41</v>
      </c>
      <c r="F3392" s="1" t="s">
        <v>40</v>
      </c>
      <c r="G3392" s="1">
        <v>3</v>
      </c>
      <c r="H3392" s="1">
        <v>840</v>
      </c>
      <c r="I3392" s="1">
        <v>15</v>
      </c>
      <c r="J3392" s="4">
        <v>2142</v>
      </c>
      <c r="K3392" s="4">
        <v>1266.6199999999999</v>
      </c>
      <c r="L3392" s="4">
        <v>875.38</v>
      </c>
      <c r="M3392" s="1" t="str">
        <f>TEXT(Table1[[#This Row],[Order_Date]], "MMM")</f>
        <v>Oct</v>
      </c>
      <c r="N3392" s="1">
        <f>YEAR(Table1[[#This Row],[Order_Date]])</f>
        <v>2023</v>
      </c>
      <c r="O3392" s="7">
        <f>Table1[[#This Row],[Profit]]/Table1[[#This Row],[Total_Sales]]</f>
        <v>0.40867413632119515</v>
      </c>
    </row>
    <row r="3393" spans="1:15" x14ac:dyDescent="0.25">
      <c r="A3393" s="1">
        <v>3392</v>
      </c>
      <c r="B3393" s="2">
        <v>45013</v>
      </c>
      <c r="C3393" s="1" t="s">
        <v>16</v>
      </c>
      <c r="D3393" s="1" t="s">
        <v>26</v>
      </c>
      <c r="E3393" s="1" t="s">
        <v>37</v>
      </c>
      <c r="F3393" s="1" t="s">
        <v>18</v>
      </c>
      <c r="G3393" s="1">
        <v>9</v>
      </c>
      <c r="H3393" s="1">
        <v>395</v>
      </c>
      <c r="I3393" s="1">
        <v>20</v>
      </c>
      <c r="J3393" s="4">
        <v>2844</v>
      </c>
      <c r="K3393" s="4">
        <v>1590.38</v>
      </c>
      <c r="L3393" s="4">
        <v>1253.6199999999999</v>
      </c>
      <c r="M3393" s="1" t="str">
        <f>TEXT(Table1[[#This Row],[Order_Date]], "MMM")</f>
        <v>Mar</v>
      </c>
      <c r="N3393" s="1">
        <f>YEAR(Table1[[#This Row],[Order_Date]])</f>
        <v>2023</v>
      </c>
      <c r="O3393" s="7">
        <f>Table1[[#This Row],[Profit]]/Table1[[#This Row],[Total_Sales]]</f>
        <v>0.44079465541490853</v>
      </c>
    </row>
    <row r="3394" spans="1:15" x14ac:dyDescent="0.25">
      <c r="A3394" s="1">
        <v>3393</v>
      </c>
      <c r="B3394" s="2">
        <v>45009</v>
      </c>
      <c r="C3394" s="1" t="s">
        <v>19</v>
      </c>
      <c r="D3394" s="1" t="s">
        <v>26</v>
      </c>
      <c r="E3394" s="1" t="s">
        <v>42</v>
      </c>
      <c r="F3394" s="1" t="s">
        <v>15</v>
      </c>
      <c r="G3394" s="1">
        <v>3</v>
      </c>
      <c r="H3394" s="1">
        <v>708</v>
      </c>
      <c r="I3394" s="1">
        <v>10</v>
      </c>
      <c r="J3394" s="4">
        <v>1911.6</v>
      </c>
      <c r="K3394" s="4">
        <v>1388.05</v>
      </c>
      <c r="L3394" s="4">
        <v>523.54999999999995</v>
      </c>
      <c r="M3394" s="1" t="str">
        <f>TEXT(Table1[[#This Row],[Order_Date]], "MMM")</f>
        <v>Mar</v>
      </c>
      <c r="N3394" s="1">
        <f>YEAR(Table1[[#This Row],[Order_Date]])</f>
        <v>2023</v>
      </c>
      <c r="O3394" s="7">
        <f>Table1[[#This Row],[Profit]]/Table1[[#This Row],[Total_Sales]]</f>
        <v>0.27388051893701609</v>
      </c>
    </row>
    <row r="3395" spans="1:15" x14ac:dyDescent="0.25">
      <c r="A3395" s="1">
        <v>3394</v>
      </c>
      <c r="B3395" s="2">
        <v>45340</v>
      </c>
      <c r="C3395" s="1" t="s">
        <v>12</v>
      </c>
      <c r="D3395" s="1" t="s">
        <v>32</v>
      </c>
      <c r="E3395" s="1" t="s">
        <v>33</v>
      </c>
      <c r="F3395" s="1" t="s">
        <v>31</v>
      </c>
      <c r="G3395" s="1">
        <v>6</v>
      </c>
      <c r="H3395" s="1">
        <v>41</v>
      </c>
      <c r="I3395" s="1">
        <v>10</v>
      </c>
      <c r="J3395" s="4">
        <v>221.4</v>
      </c>
      <c r="K3395" s="4">
        <v>165.54</v>
      </c>
      <c r="L3395" s="4">
        <v>55.86</v>
      </c>
      <c r="M3395" s="1" t="str">
        <f>TEXT(Table1[[#This Row],[Order_Date]], "MMM")</f>
        <v>Feb</v>
      </c>
      <c r="N3395" s="1">
        <f>YEAR(Table1[[#This Row],[Order_Date]])</f>
        <v>2024</v>
      </c>
      <c r="O3395" s="7">
        <f>Table1[[#This Row],[Profit]]/Table1[[#This Row],[Total_Sales]]</f>
        <v>0.25230352303523035</v>
      </c>
    </row>
    <row r="3396" spans="1:15" x14ac:dyDescent="0.25">
      <c r="A3396" s="1">
        <v>3395</v>
      </c>
      <c r="B3396" s="2">
        <v>45611</v>
      </c>
      <c r="C3396" s="1" t="s">
        <v>16</v>
      </c>
      <c r="D3396" s="1" t="s">
        <v>32</v>
      </c>
      <c r="E3396" s="1" t="s">
        <v>34</v>
      </c>
      <c r="F3396" s="1" t="s">
        <v>24</v>
      </c>
      <c r="G3396" s="1">
        <v>10</v>
      </c>
      <c r="H3396" s="1">
        <v>578</v>
      </c>
      <c r="I3396" s="1">
        <v>5</v>
      </c>
      <c r="J3396" s="4">
        <v>5491</v>
      </c>
      <c r="K3396" s="4">
        <v>4360.57</v>
      </c>
      <c r="L3396" s="4">
        <v>1130.43</v>
      </c>
      <c r="M3396" s="1" t="str">
        <f>TEXT(Table1[[#This Row],[Order_Date]], "MMM")</f>
        <v>Nov</v>
      </c>
      <c r="N3396" s="1">
        <f>YEAR(Table1[[#This Row],[Order_Date]])</f>
        <v>2024</v>
      </c>
      <c r="O3396" s="7">
        <f>Table1[[#This Row],[Profit]]/Table1[[#This Row],[Total_Sales]]</f>
        <v>0.20586960480786742</v>
      </c>
    </row>
    <row r="3397" spans="1:15" x14ac:dyDescent="0.25">
      <c r="A3397" s="1">
        <v>3396</v>
      </c>
      <c r="B3397" s="2">
        <v>45230</v>
      </c>
      <c r="C3397" s="1" t="s">
        <v>12</v>
      </c>
      <c r="D3397" s="1" t="s">
        <v>20</v>
      </c>
      <c r="E3397" s="1" t="s">
        <v>28</v>
      </c>
      <c r="F3397" s="1" t="s">
        <v>18</v>
      </c>
      <c r="G3397" s="1">
        <v>1</v>
      </c>
      <c r="H3397" s="1">
        <v>181</v>
      </c>
      <c r="I3397" s="1">
        <v>5</v>
      </c>
      <c r="J3397" s="4">
        <v>171.95</v>
      </c>
      <c r="K3397" s="4">
        <v>100.06</v>
      </c>
      <c r="L3397" s="4">
        <v>71.89</v>
      </c>
      <c r="M3397" s="1" t="str">
        <f>TEXT(Table1[[#This Row],[Order_Date]], "MMM")</f>
        <v>Oct</v>
      </c>
      <c r="N3397" s="1">
        <f>YEAR(Table1[[#This Row],[Order_Date]])</f>
        <v>2023</v>
      </c>
      <c r="O3397" s="7">
        <f>Table1[[#This Row],[Profit]]/Table1[[#This Row],[Total_Sales]]</f>
        <v>0.41808665309683052</v>
      </c>
    </row>
    <row r="3398" spans="1:15" x14ac:dyDescent="0.25">
      <c r="A3398" s="1">
        <v>3397</v>
      </c>
      <c r="B3398" s="2">
        <v>45049</v>
      </c>
      <c r="C3398" s="1" t="s">
        <v>12</v>
      </c>
      <c r="D3398" s="1" t="s">
        <v>22</v>
      </c>
      <c r="E3398" s="1" t="s">
        <v>29</v>
      </c>
      <c r="F3398" s="1" t="s">
        <v>31</v>
      </c>
      <c r="G3398" s="1">
        <v>5</v>
      </c>
      <c r="H3398" s="1">
        <v>985</v>
      </c>
      <c r="I3398" s="1">
        <v>20</v>
      </c>
      <c r="J3398" s="4">
        <v>3940</v>
      </c>
      <c r="K3398" s="4">
        <v>2140.29</v>
      </c>
      <c r="L3398" s="4">
        <v>1799.71</v>
      </c>
      <c r="M3398" s="1" t="str">
        <f>TEXT(Table1[[#This Row],[Order_Date]], "MMM")</f>
        <v>May</v>
      </c>
      <c r="N3398" s="1">
        <f>YEAR(Table1[[#This Row],[Order_Date]])</f>
        <v>2023</v>
      </c>
      <c r="O3398" s="7">
        <f>Table1[[#This Row],[Profit]]/Table1[[#This Row],[Total_Sales]]</f>
        <v>0.4567791878172589</v>
      </c>
    </row>
    <row r="3399" spans="1:15" x14ac:dyDescent="0.25">
      <c r="A3399" s="1">
        <v>3398</v>
      </c>
      <c r="B3399" s="2">
        <v>45652</v>
      </c>
      <c r="C3399" s="1" t="s">
        <v>12</v>
      </c>
      <c r="D3399" s="1" t="s">
        <v>13</v>
      </c>
      <c r="E3399" s="1" t="s">
        <v>17</v>
      </c>
      <c r="F3399" s="1" t="s">
        <v>15</v>
      </c>
      <c r="G3399" s="1">
        <v>3</v>
      </c>
      <c r="H3399" s="1">
        <v>18</v>
      </c>
      <c r="I3399" s="1">
        <v>20</v>
      </c>
      <c r="J3399" s="4">
        <v>43.2</v>
      </c>
      <c r="K3399" s="4">
        <v>28.4</v>
      </c>
      <c r="L3399" s="4">
        <v>14.8</v>
      </c>
      <c r="M3399" s="1" t="str">
        <f>TEXT(Table1[[#This Row],[Order_Date]], "MMM")</f>
        <v>Dec</v>
      </c>
      <c r="N3399" s="1">
        <f>YEAR(Table1[[#This Row],[Order_Date]])</f>
        <v>2024</v>
      </c>
      <c r="O3399" s="7">
        <f>Table1[[#This Row],[Profit]]/Table1[[#This Row],[Total_Sales]]</f>
        <v>0.34259259259259256</v>
      </c>
    </row>
    <row r="3400" spans="1:15" x14ac:dyDescent="0.25">
      <c r="A3400" s="1">
        <v>3399</v>
      </c>
      <c r="B3400" s="2">
        <v>45652</v>
      </c>
      <c r="C3400" s="1" t="s">
        <v>12</v>
      </c>
      <c r="D3400" s="1" t="s">
        <v>22</v>
      </c>
      <c r="E3400" s="1" t="s">
        <v>29</v>
      </c>
      <c r="F3400" s="1" t="s">
        <v>15</v>
      </c>
      <c r="G3400" s="1">
        <v>5</v>
      </c>
      <c r="H3400" s="1">
        <v>100</v>
      </c>
      <c r="I3400" s="1">
        <v>5</v>
      </c>
      <c r="J3400" s="4">
        <v>475</v>
      </c>
      <c r="K3400" s="4">
        <v>291.47000000000003</v>
      </c>
      <c r="L3400" s="4">
        <v>183.53</v>
      </c>
      <c r="M3400" s="1" t="str">
        <f>TEXT(Table1[[#This Row],[Order_Date]], "MMM")</f>
        <v>Dec</v>
      </c>
      <c r="N3400" s="1">
        <f>YEAR(Table1[[#This Row],[Order_Date]])</f>
        <v>2024</v>
      </c>
      <c r="O3400" s="7">
        <f>Table1[[#This Row],[Profit]]/Table1[[#This Row],[Total_Sales]]</f>
        <v>0.38637894736842104</v>
      </c>
    </row>
    <row r="3401" spans="1:15" x14ac:dyDescent="0.25">
      <c r="A3401" s="1">
        <v>3400</v>
      </c>
      <c r="B3401" s="2">
        <v>45293</v>
      </c>
      <c r="C3401" s="1" t="s">
        <v>16</v>
      </c>
      <c r="D3401" s="1" t="s">
        <v>26</v>
      </c>
      <c r="E3401" s="1" t="s">
        <v>27</v>
      </c>
      <c r="F3401" s="1" t="s">
        <v>24</v>
      </c>
      <c r="G3401" s="1">
        <v>7</v>
      </c>
      <c r="H3401" s="1">
        <v>419</v>
      </c>
      <c r="I3401" s="1">
        <v>0</v>
      </c>
      <c r="J3401" s="4">
        <v>2933</v>
      </c>
      <c r="K3401" s="4">
        <v>1900.54</v>
      </c>
      <c r="L3401" s="4">
        <v>1032.46</v>
      </c>
      <c r="M3401" s="1" t="str">
        <f>TEXT(Table1[[#This Row],[Order_Date]], "MMM")</f>
        <v>Jan</v>
      </c>
      <c r="N3401" s="1">
        <f>YEAR(Table1[[#This Row],[Order_Date]])</f>
        <v>2024</v>
      </c>
      <c r="O3401" s="7">
        <f>Table1[[#This Row],[Profit]]/Table1[[#This Row],[Total_Sales]]</f>
        <v>0.35201500170473921</v>
      </c>
    </row>
    <row r="3402" spans="1:15" x14ac:dyDescent="0.25">
      <c r="A3402" s="1">
        <v>3401</v>
      </c>
      <c r="B3402" s="2">
        <v>45196</v>
      </c>
      <c r="C3402" s="1" t="s">
        <v>12</v>
      </c>
      <c r="D3402" s="1" t="s">
        <v>22</v>
      </c>
      <c r="E3402" s="1" t="s">
        <v>36</v>
      </c>
      <c r="F3402" s="1" t="s">
        <v>31</v>
      </c>
      <c r="G3402" s="1">
        <v>9</v>
      </c>
      <c r="H3402" s="1">
        <v>393</v>
      </c>
      <c r="I3402" s="1">
        <v>10</v>
      </c>
      <c r="J3402" s="4">
        <v>3183.3</v>
      </c>
      <c r="K3402" s="4">
        <v>2016.88</v>
      </c>
      <c r="L3402" s="4">
        <v>1166.42</v>
      </c>
      <c r="M3402" s="1" t="str">
        <f>TEXT(Table1[[#This Row],[Order_Date]], "MMM")</f>
        <v>Sep</v>
      </c>
      <c r="N3402" s="1">
        <f>YEAR(Table1[[#This Row],[Order_Date]])</f>
        <v>2023</v>
      </c>
      <c r="O3402" s="7">
        <f>Table1[[#This Row],[Profit]]/Table1[[#This Row],[Total_Sales]]</f>
        <v>0.36641849652875946</v>
      </c>
    </row>
    <row r="3403" spans="1:15" x14ac:dyDescent="0.25">
      <c r="A3403" s="1">
        <v>3402</v>
      </c>
      <c r="B3403" s="2">
        <v>45255</v>
      </c>
      <c r="C3403" s="1" t="s">
        <v>16</v>
      </c>
      <c r="D3403" s="1" t="s">
        <v>13</v>
      </c>
      <c r="E3403" s="1" t="s">
        <v>39</v>
      </c>
      <c r="F3403" s="1" t="s">
        <v>40</v>
      </c>
      <c r="G3403" s="1">
        <v>9</v>
      </c>
      <c r="H3403" s="1">
        <v>889</v>
      </c>
      <c r="I3403" s="1">
        <v>15</v>
      </c>
      <c r="J3403" s="4">
        <v>6800.85</v>
      </c>
      <c r="K3403" s="4">
        <v>4525.57</v>
      </c>
      <c r="L3403" s="4">
        <v>2275.2800000000002</v>
      </c>
      <c r="M3403" s="1" t="str">
        <f>TEXT(Table1[[#This Row],[Order_Date]], "MMM")</f>
        <v>Nov</v>
      </c>
      <c r="N3403" s="1">
        <f>YEAR(Table1[[#This Row],[Order_Date]])</f>
        <v>2023</v>
      </c>
      <c r="O3403" s="7">
        <f>Table1[[#This Row],[Profit]]/Table1[[#This Row],[Total_Sales]]</f>
        <v>0.33455818022747158</v>
      </c>
    </row>
    <row r="3404" spans="1:15" x14ac:dyDescent="0.25">
      <c r="A3404" s="1">
        <v>3403</v>
      </c>
      <c r="B3404" s="2">
        <v>45118</v>
      </c>
      <c r="C3404" s="1" t="s">
        <v>12</v>
      </c>
      <c r="D3404" s="1" t="s">
        <v>22</v>
      </c>
      <c r="E3404" s="1" t="s">
        <v>29</v>
      </c>
      <c r="F3404" s="1" t="s">
        <v>18</v>
      </c>
      <c r="G3404" s="1">
        <v>5</v>
      </c>
      <c r="H3404" s="1">
        <v>225</v>
      </c>
      <c r="I3404" s="1">
        <v>0</v>
      </c>
      <c r="J3404" s="4">
        <v>1125</v>
      </c>
      <c r="K3404" s="4">
        <v>738.14</v>
      </c>
      <c r="L3404" s="4">
        <v>386.86</v>
      </c>
      <c r="M3404" s="1" t="str">
        <f>TEXT(Table1[[#This Row],[Order_Date]], "MMM")</f>
        <v>Jul</v>
      </c>
      <c r="N3404" s="1">
        <f>YEAR(Table1[[#This Row],[Order_Date]])</f>
        <v>2023</v>
      </c>
      <c r="O3404" s="7">
        <f>Table1[[#This Row],[Profit]]/Table1[[#This Row],[Total_Sales]]</f>
        <v>0.34387555555555555</v>
      </c>
    </row>
    <row r="3405" spans="1:15" x14ac:dyDescent="0.25">
      <c r="A3405" s="1">
        <v>3404</v>
      </c>
      <c r="B3405" s="2">
        <v>45058</v>
      </c>
      <c r="C3405" s="1" t="s">
        <v>19</v>
      </c>
      <c r="D3405" s="1" t="s">
        <v>13</v>
      </c>
      <c r="E3405" s="1" t="s">
        <v>38</v>
      </c>
      <c r="F3405" s="1" t="s">
        <v>35</v>
      </c>
      <c r="G3405" s="1">
        <v>1</v>
      </c>
      <c r="H3405" s="1">
        <v>554</v>
      </c>
      <c r="I3405" s="1">
        <v>15</v>
      </c>
      <c r="J3405" s="4">
        <v>470.9</v>
      </c>
      <c r="K3405" s="4">
        <v>345.44</v>
      </c>
      <c r="L3405" s="4">
        <v>125.46</v>
      </c>
      <c r="M3405" s="1" t="str">
        <f>TEXT(Table1[[#This Row],[Order_Date]], "MMM")</f>
        <v>May</v>
      </c>
      <c r="N3405" s="1">
        <f>YEAR(Table1[[#This Row],[Order_Date]])</f>
        <v>2023</v>
      </c>
      <c r="O3405" s="7">
        <f>Table1[[#This Row],[Profit]]/Table1[[#This Row],[Total_Sales]]</f>
        <v>0.2664259927797834</v>
      </c>
    </row>
    <row r="3406" spans="1:15" x14ac:dyDescent="0.25">
      <c r="A3406" s="1">
        <v>3405</v>
      </c>
      <c r="B3406" s="2">
        <v>45265</v>
      </c>
      <c r="C3406" s="1" t="s">
        <v>19</v>
      </c>
      <c r="D3406" s="1" t="s">
        <v>32</v>
      </c>
      <c r="E3406" s="1" t="s">
        <v>33</v>
      </c>
      <c r="F3406" s="1" t="s">
        <v>24</v>
      </c>
      <c r="G3406" s="1">
        <v>7</v>
      </c>
      <c r="H3406" s="1">
        <v>280</v>
      </c>
      <c r="I3406" s="1">
        <v>20</v>
      </c>
      <c r="J3406" s="4">
        <v>1568</v>
      </c>
      <c r="K3406" s="4">
        <v>1009.89</v>
      </c>
      <c r="L3406" s="4">
        <v>558.11</v>
      </c>
      <c r="M3406" s="1" t="str">
        <f>TEXT(Table1[[#This Row],[Order_Date]], "MMM")</f>
        <v>Dec</v>
      </c>
      <c r="N3406" s="1">
        <f>YEAR(Table1[[#This Row],[Order_Date]])</f>
        <v>2023</v>
      </c>
      <c r="O3406" s="7">
        <f>Table1[[#This Row],[Profit]]/Table1[[#This Row],[Total_Sales]]</f>
        <v>0.35593750000000002</v>
      </c>
    </row>
    <row r="3407" spans="1:15" x14ac:dyDescent="0.25">
      <c r="A3407" s="1">
        <v>3406</v>
      </c>
      <c r="B3407" s="2">
        <v>44992</v>
      </c>
      <c r="C3407" s="1" t="s">
        <v>16</v>
      </c>
      <c r="D3407" s="1" t="s">
        <v>13</v>
      </c>
      <c r="E3407" s="1" t="s">
        <v>14</v>
      </c>
      <c r="F3407" s="1" t="s">
        <v>40</v>
      </c>
      <c r="G3407" s="1">
        <v>9</v>
      </c>
      <c r="H3407" s="1">
        <v>473</v>
      </c>
      <c r="I3407" s="1">
        <v>5</v>
      </c>
      <c r="J3407" s="4">
        <v>4044.15</v>
      </c>
      <c r="K3407" s="4">
        <v>3149.33</v>
      </c>
      <c r="L3407" s="4">
        <v>894.82</v>
      </c>
      <c r="M3407" s="1" t="str">
        <f>TEXT(Table1[[#This Row],[Order_Date]], "MMM")</f>
        <v>Mar</v>
      </c>
      <c r="N3407" s="1">
        <f>YEAR(Table1[[#This Row],[Order_Date]])</f>
        <v>2023</v>
      </c>
      <c r="O3407" s="7">
        <f>Table1[[#This Row],[Profit]]/Table1[[#This Row],[Total_Sales]]</f>
        <v>0.2212628117156881</v>
      </c>
    </row>
    <row r="3408" spans="1:15" x14ac:dyDescent="0.25">
      <c r="A3408" s="1">
        <v>3407</v>
      </c>
      <c r="B3408" s="2">
        <v>45293</v>
      </c>
      <c r="C3408" s="1" t="s">
        <v>12</v>
      </c>
      <c r="D3408" s="1" t="s">
        <v>13</v>
      </c>
      <c r="E3408" s="1" t="s">
        <v>38</v>
      </c>
      <c r="F3408" s="1" t="s">
        <v>31</v>
      </c>
      <c r="G3408" s="1">
        <v>5</v>
      </c>
      <c r="H3408" s="1">
        <v>731</v>
      </c>
      <c r="I3408" s="1">
        <v>5</v>
      </c>
      <c r="J3408" s="4">
        <v>3472.25</v>
      </c>
      <c r="K3408" s="4">
        <v>2662.66</v>
      </c>
      <c r="L3408" s="4">
        <v>809.59</v>
      </c>
      <c r="M3408" s="1" t="str">
        <f>TEXT(Table1[[#This Row],[Order_Date]], "MMM")</f>
        <v>Jan</v>
      </c>
      <c r="N3408" s="1">
        <f>YEAR(Table1[[#This Row],[Order_Date]])</f>
        <v>2024</v>
      </c>
      <c r="O3408" s="7">
        <f>Table1[[#This Row],[Profit]]/Table1[[#This Row],[Total_Sales]]</f>
        <v>0.23316005471956225</v>
      </c>
    </row>
    <row r="3409" spans="1:15" x14ac:dyDescent="0.25">
      <c r="A3409" s="1">
        <v>3408</v>
      </c>
      <c r="B3409" s="2">
        <v>45482</v>
      </c>
      <c r="C3409" s="1" t="s">
        <v>19</v>
      </c>
      <c r="D3409" s="1" t="s">
        <v>20</v>
      </c>
      <c r="E3409" s="1" t="s">
        <v>28</v>
      </c>
      <c r="F3409" s="1" t="s">
        <v>31</v>
      </c>
      <c r="G3409" s="1">
        <v>10</v>
      </c>
      <c r="H3409" s="1">
        <v>390</v>
      </c>
      <c r="I3409" s="1">
        <v>0</v>
      </c>
      <c r="J3409" s="4">
        <v>3900</v>
      </c>
      <c r="K3409" s="4">
        <v>2429.06</v>
      </c>
      <c r="L3409" s="4">
        <v>1470.94</v>
      </c>
      <c r="M3409" s="1" t="str">
        <f>TEXT(Table1[[#This Row],[Order_Date]], "MMM")</f>
        <v>Jul</v>
      </c>
      <c r="N3409" s="1">
        <f>YEAR(Table1[[#This Row],[Order_Date]])</f>
        <v>2024</v>
      </c>
      <c r="O3409" s="7">
        <f>Table1[[#This Row],[Profit]]/Table1[[#This Row],[Total_Sales]]</f>
        <v>0.3771641025641026</v>
      </c>
    </row>
    <row r="3410" spans="1:15" x14ac:dyDescent="0.25">
      <c r="A3410" s="1">
        <v>3409</v>
      </c>
      <c r="B3410" s="2">
        <v>45293</v>
      </c>
      <c r="C3410" s="1" t="s">
        <v>25</v>
      </c>
      <c r="D3410" s="1" t="s">
        <v>13</v>
      </c>
      <c r="E3410" s="1" t="s">
        <v>17</v>
      </c>
      <c r="F3410" s="1" t="s">
        <v>31</v>
      </c>
      <c r="G3410" s="1">
        <v>1</v>
      </c>
      <c r="H3410" s="1">
        <v>858</v>
      </c>
      <c r="I3410" s="1">
        <v>10</v>
      </c>
      <c r="J3410" s="4">
        <v>772.2</v>
      </c>
      <c r="K3410" s="4">
        <v>447.62</v>
      </c>
      <c r="L3410" s="4">
        <v>324.58</v>
      </c>
      <c r="M3410" s="1" t="str">
        <f>TEXT(Table1[[#This Row],[Order_Date]], "MMM")</f>
        <v>Jan</v>
      </c>
      <c r="N3410" s="1">
        <f>YEAR(Table1[[#This Row],[Order_Date]])</f>
        <v>2024</v>
      </c>
      <c r="O3410" s="7">
        <f>Table1[[#This Row],[Profit]]/Table1[[#This Row],[Total_Sales]]</f>
        <v>0.42033152033152027</v>
      </c>
    </row>
    <row r="3411" spans="1:15" x14ac:dyDescent="0.25">
      <c r="A3411" s="1">
        <v>3410</v>
      </c>
      <c r="B3411" s="2">
        <v>45228</v>
      </c>
      <c r="C3411" s="1" t="s">
        <v>12</v>
      </c>
      <c r="D3411" s="1" t="s">
        <v>26</v>
      </c>
      <c r="E3411" s="1" t="s">
        <v>46</v>
      </c>
      <c r="F3411" s="1" t="s">
        <v>40</v>
      </c>
      <c r="G3411" s="1">
        <v>8</v>
      </c>
      <c r="H3411" s="1">
        <v>758</v>
      </c>
      <c r="I3411" s="1">
        <v>10</v>
      </c>
      <c r="J3411" s="4">
        <v>5457.6</v>
      </c>
      <c r="K3411" s="4">
        <v>3051.34</v>
      </c>
      <c r="L3411" s="4">
        <v>2406.2600000000002</v>
      </c>
      <c r="M3411" s="1" t="str">
        <f>TEXT(Table1[[#This Row],[Order_Date]], "MMM")</f>
        <v>Oct</v>
      </c>
      <c r="N3411" s="1">
        <f>YEAR(Table1[[#This Row],[Order_Date]])</f>
        <v>2023</v>
      </c>
      <c r="O3411" s="7">
        <f>Table1[[#This Row],[Profit]]/Table1[[#This Row],[Total_Sales]]</f>
        <v>0.44090076223981239</v>
      </c>
    </row>
    <row r="3412" spans="1:15" x14ac:dyDescent="0.25">
      <c r="A3412" s="1">
        <v>3411</v>
      </c>
      <c r="B3412" s="2">
        <v>45220</v>
      </c>
      <c r="C3412" s="1" t="s">
        <v>12</v>
      </c>
      <c r="D3412" s="1" t="s">
        <v>20</v>
      </c>
      <c r="E3412" s="1" t="s">
        <v>30</v>
      </c>
      <c r="F3412" s="1" t="s">
        <v>35</v>
      </c>
      <c r="G3412" s="1">
        <v>10</v>
      </c>
      <c r="H3412" s="1">
        <v>154</v>
      </c>
      <c r="I3412" s="1">
        <v>0</v>
      </c>
      <c r="J3412" s="4">
        <v>1540</v>
      </c>
      <c r="K3412" s="4">
        <v>1127.47</v>
      </c>
      <c r="L3412" s="4">
        <v>412.53</v>
      </c>
      <c r="M3412" s="1" t="str">
        <f>TEXT(Table1[[#This Row],[Order_Date]], "MMM")</f>
        <v>Oct</v>
      </c>
      <c r="N3412" s="1">
        <f>YEAR(Table1[[#This Row],[Order_Date]])</f>
        <v>2023</v>
      </c>
      <c r="O3412" s="7">
        <f>Table1[[#This Row],[Profit]]/Table1[[#This Row],[Total_Sales]]</f>
        <v>0.26787662337662338</v>
      </c>
    </row>
    <row r="3413" spans="1:15" x14ac:dyDescent="0.25">
      <c r="A3413" s="1">
        <v>3412</v>
      </c>
      <c r="B3413" s="2">
        <v>44995</v>
      </c>
      <c r="C3413" s="1" t="s">
        <v>16</v>
      </c>
      <c r="D3413" s="1" t="s">
        <v>22</v>
      </c>
      <c r="E3413" s="1" t="s">
        <v>36</v>
      </c>
      <c r="F3413" s="1" t="s">
        <v>18</v>
      </c>
      <c r="G3413" s="1">
        <v>7</v>
      </c>
      <c r="H3413" s="1">
        <v>388</v>
      </c>
      <c r="I3413" s="1">
        <v>20</v>
      </c>
      <c r="J3413" s="4">
        <v>2172.8000000000002</v>
      </c>
      <c r="K3413" s="4">
        <v>1350.11</v>
      </c>
      <c r="L3413" s="4">
        <v>822.69</v>
      </c>
      <c r="M3413" s="1" t="str">
        <f>TEXT(Table1[[#This Row],[Order_Date]], "MMM")</f>
        <v>Mar</v>
      </c>
      <c r="N3413" s="1">
        <f>YEAR(Table1[[#This Row],[Order_Date]])</f>
        <v>2023</v>
      </c>
      <c r="O3413" s="7">
        <f>Table1[[#This Row],[Profit]]/Table1[[#This Row],[Total_Sales]]</f>
        <v>0.3786312592047128</v>
      </c>
    </row>
    <row r="3414" spans="1:15" x14ac:dyDescent="0.25">
      <c r="A3414" s="1">
        <v>3413</v>
      </c>
      <c r="B3414" s="2">
        <v>45124</v>
      </c>
      <c r="C3414" s="1" t="s">
        <v>12</v>
      </c>
      <c r="D3414" s="1" t="s">
        <v>20</v>
      </c>
      <c r="E3414" s="1" t="s">
        <v>28</v>
      </c>
      <c r="F3414" s="1" t="s">
        <v>31</v>
      </c>
      <c r="G3414" s="1">
        <v>3</v>
      </c>
      <c r="H3414" s="1">
        <v>668</v>
      </c>
      <c r="I3414" s="1">
        <v>15</v>
      </c>
      <c r="J3414" s="4">
        <v>1703.4</v>
      </c>
      <c r="K3414" s="4">
        <v>1227.95</v>
      </c>
      <c r="L3414" s="4">
        <v>475.45</v>
      </c>
      <c r="M3414" s="1" t="str">
        <f>TEXT(Table1[[#This Row],[Order_Date]], "MMM")</f>
        <v>Jul</v>
      </c>
      <c r="N3414" s="1">
        <f>YEAR(Table1[[#This Row],[Order_Date]])</f>
        <v>2023</v>
      </c>
      <c r="O3414" s="7">
        <f>Table1[[#This Row],[Profit]]/Table1[[#This Row],[Total_Sales]]</f>
        <v>0.27911823411999526</v>
      </c>
    </row>
    <row r="3415" spans="1:15" x14ac:dyDescent="0.25">
      <c r="A3415" s="1">
        <v>3414</v>
      </c>
      <c r="B3415" s="2">
        <v>45333</v>
      </c>
      <c r="C3415" s="1" t="s">
        <v>16</v>
      </c>
      <c r="D3415" s="1" t="s">
        <v>26</v>
      </c>
      <c r="E3415" s="1" t="s">
        <v>46</v>
      </c>
      <c r="F3415" s="1" t="s">
        <v>40</v>
      </c>
      <c r="G3415" s="1">
        <v>10</v>
      </c>
      <c r="H3415" s="1">
        <v>935</v>
      </c>
      <c r="I3415" s="1">
        <v>15</v>
      </c>
      <c r="J3415" s="4">
        <v>7947.5</v>
      </c>
      <c r="K3415" s="4">
        <v>5202.9799999999996</v>
      </c>
      <c r="L3415" s="4">
        <v>2744.52</v>
      </c>
      <c r="M3415" s="1" t="str">
        <f>TEXT(Table1[[#This Row],[Order_Date]], "MMM")</f>
        <v>Feb</v>
      </c>
      <c r="N3415" s="1">
        <f>YEAR(Table1[[#This Row],[Order_Date]])</f>
        <v>2024</v>
      </c>
      <c r="O3415" s="7">
        <f>Table1[[#This Row],[Profit]]/Table1[[#This Row],[Total_Sales]]</f>
        <v>0.34533123623781065</v>
      </c>
    </row>
    <row r="3416" spans="1:15" x14ac:dyDescent="0.25">
      <c r="A3416" s="1">
        <v>3415</v>
      </c>
      <c r="B3416" s="2">
        <v>45251</v>
      </c>
      <c r="C3416" s="1" t="s">
        <v>16</v>
      </c>
      <c r="D3416" s="1" t="s">
        <v>20</v>
      </c>
      <c r="E3416" s="1" t="s">
        <v>43</v>
      </c>
      <c r="F3416" s="1" t="s">
        <v>40</v>
      </c>
      <c r="G3416" s="1">
        <v>7</v>
      </c>
      <c r="H3416" s="1">
        <v>516</v>
      </c>
      <c r="I3416" s="1">
        <v>5</v>
      </c>
      <c r="J3416" s="4">
        <v>3431.4</v>
      </c>
      <c r="K3416" s="4">
        <v>1937.1</v>
      </c>
      <c r="L3416" s="4">
        <v>1494.3</v>
      </c>
      <c r="M3416" s="1" t="str">
        <f>TEXT(Table1[[#This Row],[Order_Date]], "MMM")</f>
        <v>Nov</v>
      </c>
      <c r="N3416" s="1">
        <f>YEAR(Table1[[#This Row],[Order_Date]])</f>
        <v>2023</v>
      </c>
      <c r="O3416" s="7">
        <f>Table1[[#This Row],[Profit]]/Table1[[#This Row],[Total_Sales]]</f>
        <v>0.43547823045987061</v>
      </c>
    </row>
    <row r="3417" spans="1:15" x14ac:dyDescent="0.25">
      <c r="A3417" s="1">
        <v>3416</v>
      </c>
      <c r="B3417" s="2">
        <v>45001</v>
      </c>
      <c r="C3417" s="1" t="s">
        <v>25</v>
      </c>
      <c r="D3417" s="1" t="s">
        <v>20</v>
      </c>
      <c r="E3417" s="1" t="s">
        <v>28</v>
      </c>
      <c r="F3417" s="1" t="s">
        <v>15</v>
      </c>
      <c r="G3417" s="1">
        <v>9</v>
      </c>
      <c r="H3417" s="1">
        <v>679</v>
      </c>
      <c r="I3417" s="1">
        <v>5</v>
      </c>
      <c r="J3417" s="4">
        <v>5805.45</v>
      </c>
      <c r="K3417" s="4">
        <v>4028.22</v>
      </c>
      <c r="L3417" s="4">
        <v>1777.23</v>
      </c>
      <c r="M3417" s="1" t="str">
        <f>TEXT(Table1[[#This Row],[Order_Date]], "MMM")</f>
        <v>Mar</v>
      </c>
      <c r="N3417" s="1">
        <f>YEAR(Table1[[#This Row],[Order_Date]])</f>
        <v>2023</v>
      </c>
      <c r="O3417" s="7">
        <f>Table1[[#This Row],[Profit]]/Table1[[#This Row],[Total_Sales]]</f>
        <v>0.30613130765056973</v>
      </c>
    </row>
    <row r="3418" spans="1:15" x14ac:dyDescent="0.25">
      <c r="A3418" s="1">
        <v>3417</v>
      </c>
      <c r="B3418" s="2">
        <v>45452</v>
      </c>
      <c r="C3418" s="1" t="s">
        <v>19</v>
      </c>
      <c r="D3418" s="1" t="s">
        <v>26</v>
      </c>
      <c r="E3418" s="1" t="s">
        <v>27</v>
      </c>
      <c r="F3418" s="1" t="s">
        <v>31</v>
      </c>
      <c r="G3418" s="1">
        <v>3</v>
      </c>
      <c r="H3418" s="1">
        <v>260</v>
      </c>
      <c r="I3418" s="1">
        <v>5</v>
      </c>
      <c r="J3418" s="4">
        <v>741</v>
      </c>
      <c r="K3418" s="4">
        <v>550</v>
      </c>
      <c r="L3418" s="4">
        <v>191</v>
      </c>
      <c r="M3418" s="1" t="str">
        <f>TEXT(Table1[[#This Row],[Order_Date]], "MMM")</f>
        <v>Jun</v>
      </c>
      <c r="N3418" s="1">
        <f>YEAR(Table1[[#This Row],[Order_Date]])</f>
        <v>2024</v>
      </c>
      <c r="O3418" s="7">
        <f>Table1[[#This Row],[Profit]]/Table1[[#This Row],[Total_Sales]]</f>
        <v>0.25775978407557354</v>
      </c>
    </row>
    <row r="3419" spans="1:15" x14ac:dyDescent="0.25">
      <c r="A3419" s="1">
        <v>3418</v>
      </c>
      <c r="B3419" s="2">
        <v>45061</v>
      </c>
      <c r="C3419" s="1" t="s">
        <v>12</v>
      </c>
      <c r="D3419" s="1" t="s">
        <v>26</v>
      </c>
      <c r="E3419" s="1" t="s">
        <v>27</v>
      </c>
      <c r="F3419" s="1" t="s">
        <v>35</v>
      </c>
      <c r="G3419" s="1">
        <v>1</v>
      </c>
      <c r="H3419" s="1">
        <v>264</v>
      </c>
      <c r="I3419" s="1">
        <v>5</v>
      </c>
      <c r="J3419" s="4">
        <v>250.8</v>
      </c>
      <c r="K3419" s="4">
        <v>181.16</v>
      </c>
      <c r="L3419" s="4">
        <v>69.64</v>
      </c>
      <c r="M3419" s="1" t="str">
        <f>TEXT(Table1[[#This Row],[Order_Date]], "MMM")</f>
        <v>May</v>
      </c>
      <c r="N3419" s="1">
        <f>YEAR(Table1[[#This Row],[Order_Date]])</f>
        <v>2023</v>
      </c>
      <c r="O3419" s="7">
        <f>Table1[[#This Row],[Profit]]/Table1[[#This Row],[Total_Sales]]</f>
        <v>0.27767145135566185</v>
      </c>
    </row>
    <row r="3420" spans="1:15" x14ac:dyDescent="0.25">
      <c r="A3420" s="1">
        <v>3419</v>
      </c>
      <c r="B3420" s="2">
        <v>45316</v>
      </c>
      <c r="C3420" s="1" t="s">
        <v>25</v>
      </c>
      <c r="D3420" s="1" t="s">
        <v>32</v>
      </c>
      <c r="E3420" s="1" t="s">
        <v>41</v>
      </c>
      <c r="F3420" s="1" t="s">
        <v>31</v>
      </c>
      <c r="G3420" s="1">
        <v>1</v>
      </c>
      <c r="H3420" s="1">
        <v>828</v>
      </c>
      <c r="I3420" s="1">
        <v>15</v>
      </c>
      <c r="J3420" s="4">
        <v>703.8</v>
      </c>
      <c r="K3420" s="4">
        <v>420.28</v>
      </c>
      <c r="L3420" s="4">
        <v>283.52</v>
      </c>
      <c r="M3420" s="1" t="str">
        <f>TEXT(Table1[[#This Row],[Order_Date]], "MMM")</f>
        <v>Jan</v>
      </c>
      <c r="N3420" s="1">
        <f>YEAR(Table1[[#This Row],[Order_Date]])</f>
        <v>2024</v>
      </c>
      <c r="O3420" s="7">
        <f>Table1[[#This Row],[Profit]]/Table1[[#This Row],[Total_Sales]]</f>
        <v>0.40284171639670363</v>
      </c>
    </row>
    <row r="3421" spans="1:15" x14ac:dyDescent="0.25">
      <c r="A3421" s="1">
        <v>3420</v>
      </c>
      <c r="B3421" s="2">
        <v>45512</v>
      </c>
      <c r="C3421" s="1" t="s">
        <v>16</v>
      </c>
      <c r="D3421" s="1" t="s">
        <v>13</v>
      </c>
      <c r="E3421" s="1" t="s">
        <v>17</v>
      </c>
      <c r="F3421" s="1" t="s">
        <v>15</v>
      </c>
      <c r="G3421" s="1">
        <v>8</v>
      </c>
      <c r="H3421" s="1">
        <v>999</v>
      </c>
      <c r="I3421" s="1">
        <v>20</v>
      </c>
      <c r="J3421" s="4">
        <v>6393.6</v>
      </c>
      <c r="K3421" s="4">
        <v>4396.99</v>
      </c>
      <c r="L3421" s="4">
        <v>1996.61</v>
      </c>
      <c r="M3421" s="1" t="str">
        <f>TEXT(Table1[[#This Row],[Order_Date]], "MMM")</f>
        <v>Aug</v>
      </c>
      <c r="N3421" s="1">
        <f>YEAR(Table1[[#This Row],[Order_Date]])</f>
        <v>2024</v>
      </c>
      <c r="O3421" s="7">
        <f>Table1[[#This Row],[Profit]]/Table1[[#This Row],[Total_Sales]]</f>
        <v>0.31228259509509504</v>
      </c>
    </row>
    <row r="3422" spans="1:15" x14ac:dyDescent="0.25">
      <c r="A3422" s="1">
        <v>3421</v>
      </c>
      <c r="B3422" s="2">
        <v>45001</v>
      </c>
      <c r="C3422" s="1" t="s">
        <v>16</v>
      </c>
      <c r="D3422" s="1" t="s">
        <v>32</v>
      </c>
      <c r="E3422" s="1" t="s">
        <v>45</v>
      </c>
      <c r="F3422" s="1" t="s">
        <v>35</v>
      </c>
      <c r="G3422" s="1">
        <v>5</v>
      </c>
      <c r="H3422" s="1">
        <v>281</v>
      </c>
      <c r="I3422" s="1">
        <v>5</v>
      </c>
      <c r="J3422" s="4">
        <v>1334.75</v>
      </c>
      <c r="K3422" s="4">
        <v>907.98</v>
      </c>
      <c r="L3422" s="4">
        <v>426.77</v>
      </c>
      <c r="M3422" s="1" t="str">
        <f>TEXT(Table1[[#This Row],[Order_Date]], "MMM")</f>
        <v>Mar</v>
      </c>
      <c r="N3422" s="1">
        <f>YEAR(Table1[[#This Row],[Order_Date]])</f>
        <v>2023</v>
      </c>
      <c r="O3422" s="7">
        <f>Table1[[#This Row],[Profit]]/Table1[[#This Row],[Total_Sales]]</f>
        <v>0.31973777861022662</v>
      </c>
    </row>
    <row r="3423" spans="1:15" x14ac:dyDescent="0.25">
      <c r="A3423" s="1">
        <v>3422</v>
      </c>
      <c r="B3423" s="2">
        <v>45203</v>
      </c>
      <c r="C3423" s="1" t="s">
        <v>12</v>
      </c>
      <c r="D3423" s="1" t="s">
        <v>32</v>
      </c>
      <c r="E3423" s="1" t="s">
        <v>34</v>
      </c>
      <c r="F3423" s="1" t="s">
        <v>24</v>
      </c>
      <c r="G3423" s="1">
        <v>6</v>
      </c>
      <c r="H3423" s="1">
        <v>912</v>
      </c>
      <c r="I3423" s="1">
        <v>10</v>
      </c>
      <c r="J3423" s="4">
        <v>4924.8</v>
      </c>
      <c r="K3423" s="4">
        <v>2800.26</v>
      </c>
      <c r="L3423" s="4">
        <v>2124.54</v>
      </c>
      <c r="M3423" s="1" t="str">
        <f>TEXT(Table1[[#This Row],[Order_Date]], "MMM")</f>
        <v>Oct</v>
      </c>
      <c r="N3423" s="1">
        <f>YEAR(Table1[[#This Row],[Order_Date]])</f>
        <v>2023</v>
      </c>
      <c r="O3423" s="7">
        <f>Table1[[#This Row],[Profit]]/Table1[[#This Row],[Total_Sales]]</f>
        <v>0.43139619883040936</v>
      </c>
    </row>
    <row r="3424" spans="1:15" x14ac:dyDescent="0.25">
      <c r="A3424" s="1">
        <v>3423</v>
      </c>
      <c r="B3424" s="2">
        <v>45415</v>
      </c>
      <c r="C3424" s="1" t="s">
        <v>16</v>
      </c>
      <c r="D3424" s="1" t="s">
        <v>22</v>
      </c>
      <c r="E3424" s="1" t="s">
        <v>29</v>
      </c>
      <c r="F3424" s="1" t="s">
        <v>18</v>
      </c>
      <c r="G3424" s="1">
        <v>9</v>
      </c>
      <c r="H3424" s="1">
        <v>75</v>
      </c>
      <c r="I3424" s="1">
        <v>5</v>
      </c>
      <c r="J3424" s="4">
        <v>641.25</v>
      </c>
      <c r="K3424" s="4">
        <v>460.26</v>
      </c>
      <c r="L3424" s="4">
        <v>180.99</v>
      </c>
      <c r="M3424" s="1" t="str">
        <f>TEXT(Table1[[#This Row],[Order_Date]], "MMM")</f>
        <v>May</v>
      </c>
      <c r="N3424" s="1">
        <f>YEAR(Table1[[#This Row],[Order_Date]])</f>
        <v>2024</v>
      </c>
      <c r="O3424" s="7">
        <f>Table1[[#This Row],[Profit]]/Table1[[#This Row],[Total_Sales]]</f>
        <v>0.28224561403508774</v>
      </c>
    </row>
    <row r="3425" spans="1:15" x14ac:dyDescent="0.25">
      <c r="A3425" s="1">
        <v>3424</v>
      </c>
      <c r="B3425" s="2">
        <v>45342</v>
      </c>
      <c r="C3425" s="1" t="s">
        <v>19</v>
      </c>
      <c r="D3425" s="1" t="s">
        <v>13</v>
      </c>
      <c r="E3425" s="1" t="s">
        <v>39</v>
      </c>
      <c r="F3425" s="1" t="s">
        <v>35</v>
      </c>
      <c r="G3425" s="1">
        <v>4</v>
      </c>
      <c r="H3425" s="1">
        <v>619</v>
      </c>
      <c r="I3425" s="1">
        <v>10</v>
      </c>
      <c r="J3425" s="4">
        <v>2228.4</v>
      </c>
      <c r="K3425" s="4">
        <v>1379</v>
      </c>
      <c r="L3425" s="4">
        <v>849.4</v>
      </c>
      <c r="M3425" s="1" t="str">
        <f>TEXT(Table1[[#This Row],[Order_Date]], "MMM")</f>
        <v>Feb</v>
      </c>
      <c r="N3425" s="1">
        <f>YEAR(Table1[[#This Row],[Order_Date]])</f>
        <v>2024</v>
      </c>
      <c r="O3425" s="7">
        <f>Table1[[#This Row],[Profit]]/Table1[[#This Row],[Total_Sales]]</f>
        <v>0.38117034643690539</v>
      </c>
    </row>
    <row r="3426" spans="1:15" x14ac:dyDescent="0.25">
      <c r="A3426" s="1">
        <v>3425</v>
      </c>
      <c r="B3426" s="2">
        <v>44966</v>
      </c>
      <c r="C3426" s="1" t="s">
        <v>19</v>
      </c>
      <c r="D3426" s="1" t="s">
        <v>13</v>
      </c>
      <c r="E3426" s="1" t="s">
        <v>39</v>
      </c>
      <c r="F3426" s="1" t="s">
        <v>35</v>
      </c>
      <c r="G3426" s="1">
        <v>10</v>
      </c>
      <c r="H3426" s="1">
        <v>452</v>
      </c>
      <c r="I3426" s="1">
        <v>0</v>
      </c>
      <c r="J3426" s="4">
        <v>4520</v>
      </c>
      <c r="K3426" s="4">
        <v>3285.37</v>
      </c>
      <c r="L3426" s="4">
        <v>1234.6300000000001</v>
      </c>
      <c r="M3426" s="1" t="str">
        <f>TEXT(Table1[[#This Row],[Order_Date]], "MMM")</f>
        <v>Feb</v>
      </c>
      <c r="N3426" s="1">
        <f>YEAR(Table1[[#This Row],[Order_Date]])</f>
        <v>2023</v>
      </c>
      <c r="O3426" s="7">
        <f>Table1[[#This Row],[Profit]]/Table1[[#This Row],[Total_Sales]]</f>
        <v>0.27314823008849559</v>
      </c>
    </row>
    <row r="3427" spans="1:15" x14ac:dyDescent="0.25">
      <c r="A3427" s="1">
        <v>3426</v>
      </c>
      <c r="B3427" s="2">
        <v>45644</v>
      </c>
      <c r="C3427" s="1" t="s">
        <v>19</v>
      </c>
      <c r="D3427" s="1" t="s">
        <v>32</v>
      </c>
      <c r="E3427" s="1" t="s">
        <v>34</v>
      </c>
      <c r="F3427" s="1" t="s">
        <v>35</v>
      </c>
      <c r="G3427" s="1">
        <v>1</v>
      </c>
      <c r="H3427" s="1">
        <v>246</v>
      </c>
      <c r="I3427" s="1">
        <v>0</v>
      </c>
      <c r="J3427" s="4">
        <v>246</v>
      </c>
      <c r="K3427" s="4">
        <v>137.62</v>
      </c>
      <c r="L3427" s="4">
        <v>108.38</v>
      </c>
      <c r="M3427" s="1" t="str">
        <f>TEXT(Table1[[#This Row],[Order_Date]], "MMM")</f>
        <v>Dec</v>
      </c>
      <c r="N3427" s="1">
        <f>YEAR(Table1[[#This Row],[Order_Date]])</f>
        <v>2024</v>
      </c>
      <c r="O3427" s="7">
        <f>Table1[[#This Row],[Profit]]/Table1[[#This Row],[Total_Sales]]</f>
        <v>0.44056910569105689</v>
      </c>
    </row>
    <row r="3428" spans="1:15" x14ac:dyDescent="0.25">
      <c r="A3428" s="1">
        <v>3427</v>
      </c>
      <c r="B3428" s="2">
        <v>45127</v>
      </c>
      <c r="C3428" s="1" t="s">
        <v>19</v>
      </c>
      <c r="D3428" s="1" t="s">
        <v>32</v>
      </c>
      <c r="E3428" s="1" t="s">
        <v>45</v>
      </c>
      <c r="F3428" s="1" t="s">
        <v>35</v>
      </c>
      <c r="G3428" s="1">
        <v>1</v>
      </c>
      <c r="H3428" s="1">
        <v>69</v>
      </c>
      <c r="I3428" s="1">
        <v>20</v>
      </c>
      <c r="J3428" s="4">
        <v>55.2</v>
      </c>
      <c r="K3428" s="4">
        <v>43.74</v>
      </c>
      <c r="L3428" s="4">
        <v>11.46</v>
      </c>
      <c r="M3428" s="1" t="str">
        <f>TEXT(Table1[[#This Row],[Order_Date]], "MMM")</f>
        <v>Jul</v>
      </c>
      <c r="N3428" s="1">
        <f>YEAR(Table1[[#This Row],[Order_Date]])</f>
        <v>2023</v>
      </c>
      <c r="O3428" s="7">
        <f>Table1[[#This Row],[Profit]]/Table1[[#This Row],[Total_Sales]]</f>
        <v>0.20760869565217391</v>
      </c>
    </row>
    <row r="3429" spans="1:15" x14ac:dyDescent="0.25">
      <c r="A3429" s="1">
        <v>3428</v>
      </c>
      <c r="B3429" s="2">
        <v>45042</v>
      </c>
      <c r="C3429" s="1" t="s">
        <v>12</v>
      </c>
      <c r="D3429" s="1" t="s">
        <v>13</v>
      </c>
      <c r="E3429" s="1" t="s">
        <v>39</v>
      </c>
      <c r="F3429" s="1" t="s">
        <v>31</v>
      </c>
      <c r="G3429" s="1">
        <v>10</v>
      </c>
      <c r="H3429" s="1">
        <v>962</v>
      </c>
      <c r="I3429" s="1">
        <v>20</v>
      </c>
      <c r="J3429" s="4">
        <v>7696</v>
      </c>
      <c r="K3429" s="4">
        <v>5705.65</v>
      </c>
      <c r="L3429" s="4">
        <v>1990.35</v>
      </c>
      <c r="M3429" s="1" t="str">
        <f>TEXT(Table1[[#This Row],[Order_Date]], "MMM")</f>
        <v>Apr</v>
      </c>
      <c r="N3429" s="1">
        <f>YEAR(Table1[[#This Row],[Order_Date]])</f>
        <v>2023</v>
      </c>
      <c r="O3429" s="7">
        <f>Table1[[#This Row],[Profit]]/Table1[[#This Row],[Total_Sales]]</f>
        <v>0.25862136174636174</v>
      </c>
    </row>
    <row r="3430" spans="1:15" x14ac:dyDescent="0.25">
      <c r="A3430" s="1">
        <v>3429</v>
      </c>
      <c r="B3430" s="2">
        <v>45464</v>
      </c>
      <c r="C3430" s="1" t="s">
        <v>25</v>
      </c>
      <c r="D3430" s="1" t="s">
        <v>26</v>
      </c>
      <c r="E3430" s="1" t="s">
        <v>42</v>
      </c>
      <c r="F3430" s="1" t="s">
        <v>40</v>
      </c>
      <c r="G3430" s="1">
        <v>7</v>
      </c>
      <c r="H3430" s="1">
        <v>732</v>
      </c>
      <c r="I3430" s="1">
        <v>5</v>
      </c>
      <c r="J3430" s="4">
        <v>4867.8</v>
      </c>
      <c r="K3430" s="4">
        <v>3517.73</v>
      </c>
      <c r="L3430" s="4">
        <v>1350.07</v>
      </c>
      <c r="M3430" s="1" t="str">
        <f>TEXT(Table1[[#This Row],[Order_Date]], "MMM")</f>
        <v>Jun</v>
      </c>
      <c r="N3430" s="1">
        <f>YEAR(Table1[[#This Row],[Order_Date]])</f>
        <v>2024</v>
      </c>
      <c r="O3430" s="7">
        <f>Table1[[#This Row],[Profit]]/Table1[[#This Row],[Total_Sales]]</f>
        <v>0.27734705616500266</v>
      </c>
    </row>
    <row r="3431" spans="1:15" x14ac:dyDescent="0.25">
      <c r="A3431" s="1">
        <v>3430</v>
      </c>
      <c r="B3431" s="2">
        <v>45576</v>
      </c>
      <c r="C3431" s="1" t="s">
        <v>16</v>
      </c>
      <c r="D3431" s="1" t="s">
        <v>20</v>
      </c>
      <c r="E3431" s="1" t="s">
        <v>28</v>
      </c>
      <c r="F3431" s="1" t="s">
        <v>24</v>
      </c>
      <c r="G3431" s="1">
        <v>7</v>
      </c>
      <c r="H3431" s="1">
        <v>18</v>
      </c>
      <c r="I3431" s="1">
        <v>20</v>
      </c>
      <c r="J3431" s="4">
        <v>100.8</v>
      </c>
      <c r="K3431" s="4">
        <v>68.34</v>
      </c>
      <c r="L3431" s="4">
        <v>32.46</v>
      </c>
      <c r="M3431" s="1" t="str">
        <f>TEXT(Table1[[#This Row],[Order_Date]], "MMM")</f>
        <v>Oct</v>
      </c>
      <c r="N3431" s="1">
        <f>YEAR(Table1[[#This Row],[Order_Date]])</f>
        <v>2024</v>
      </c>
      <c r="O3431" s="7">
        <f>Table1[[#This Row],[Profit]]/Table1[[#This Row],[Total_Sales]]</f>
        <v>0.32202380952380955</v>
      </c>
    </row>
    <row r="3432" spans="1:15" x14ac:dyDescent="0.25">
      <c r="A3432" s="1">
        <v>3431</v>
      </c>
      <c r="B3432" s="2">
        <v>44972</v>
      </c>
      <c r="C3432" s="1" t="s">
        <v>16</v>
      </c>
      <c r="D3432" s="1" t="s">
        <v>20</v>
      </c>
      <c r="E3432" s="1" t="s">
        <v>21</v>
      </c>
      <c r="F3432" s="1" t="s">
        <v>35</v>
      </c>
      <c r="G3432" s="1">
        <v>9</v>
      </c>
      <c r="H3432" s="1">
        <v>886</v>
      </c>
      <c r="I3432" s="1">
        <v>15</v>
      </c>
      <c r="J3432" s="4">
        <v>6777.9</v>
      </c>
      <c r="K3432" s="4">
        <v>3826.12</v>
      </c>
      <c r="L3432" s="4">
        <v>2951.78</v>
      </c>
      <c r="M3432" s="1" t="str">
        <f>TEXT(Table1[[#This Row],[Order_Date]], "MMM")</f>
        <v>Feb</v>
      </c>
      <c r="N3432" s="1">
        <f>YEAR(Table1[[#This Row],[Order_Date]])</f>
        <v>2023</v>
      </c>
      <c r="O3432" s="7">
        <f>Table1[[#This Row],[Profit]]/Table1[[#This Row],[Total_Sales]]</f>
        <v>0.43550067129937009</v>
      </c>
    </row>
    <row r="3433" spans="1:15" x14ac:dyDescent="0.25">
      <c r="A3433" s="1">
        <v>3432</v>
      </c>
      <c r="B3433" s="2">
        <v>45468</v>
      </c>
      <c r="C3433" s="1" t="s">
        <v>16</v>
      </c>
      <c r="D3433" s="1" t="s">
        <v>13</v>
      </c>
      <c r="E3433" s="1" t="s">
        <v>38</v>
      </c>
      <c r="F3433" s="1" t="s">
        <v>15</v>
      </c>
      <c r="G3433" s="1">
        <v>1</v>
      </c>
      <c r="H3433" s="1">
        <v>302</v>
      </c>
      <c r="I3433" s="1">
        <v>20</v>
      </c>
      <c r="J3433" s="4">
        <v>241.6</v>
      </c>
      <c r="K3433" s="4">
        <v>166.91</v>
      </c>
      <c r="L3433" s="4">
        <v>74.69</v>
      </c>
      <c r="M3433" s="1" t="str">
        <f>TEXT(Table1[[#This Row],[Order_Date]], "MMM")</f>
        <v>Jun</v>
      </c>
      <c r="N3433" s="1">
        <f>YEAR(Table1[[#This Row],[Order_Date]])</f>
        <v>2024</v>
      </c>
      <c r="O3433" s="7">
        <f>Table1[[#This Row],[Profit]]/Table1[[#This Row],[Total_Sales]]</f>
        <v>0.30914735099337748</v>
      </c>
    </row>
    <row r="3434" spans="1:15" x14ac:dyDescent="0.25">
      <c r="A3434" s="1">
        <v>3433</v>
      </c>
      <c r="B3434" s="2">
        <v>45286</v>
      </c>
      <c r="C3434" s="1" t="s">
        <v>19</v>
      </c>
      <c r="D3434" s="1" t="s">
        <v>22</v>
      </c>
      <c r="E3434" s="1" t="s">
        <v>29</v>
      </c>
      <c r="F3434" s="1" t="s">
        <v>31</v>
      </c>
      <c r="G3434" s="1">
        <v>1</v>
      </c>
      <c r="H3434" s="1">
        <v>423</v>
      </c>
      <c r="I3434" s="1">
        <v>15</v>
      </c>
      <c r="J3434" s="4">
        <v>359.55</v>
      </c>
      <c r="K3434" s="4">
        <v>275.44</v>
      </c>
      <c r="L3434" s="4">
        <v>84.11</v>
      </c>
      <c r="M3434" s="1" t="str">
        <f>TEXT(Table1[[#This Row],[Order_Date]], "MMM")</f>
        <v>Dec</v>
      </c>
      <c r="N3434" s="1">
        <f>YEAR(Table1[[#This Row],[Order_Date]])</f>
        <v>2023</v>
      </c>
      <c r="O3434" s="7">
        <f>Table1[[#This Row],[Profit]]/Table1[[#This Row],[Total_Sales]]</f>
        <v>0.23393130301766096</v>
      </c>
    </row>
    <row r="3435" spans="1:15" x14ac:dyDescent="0.25">
      <c r="A3435" s="1">
        <v>3434</v>
      </c>
      <c r="B3435" s="2">
        <v>45210</v>
      </c>
      <c r="C3435" s="1" t="s">
        <v>12</v>
      </c>
      <c r="D3435" s="1" t="s">
        <v>22</v>
      </c>
      <c r="E3435" s="1" t="s">
        <v>36</v>
      </c>
      <c r="F3435" s="1" t="s">
        <v>24</v>
      </c>
      <c r="G3435" s="1">
        <v>2</v>
      </c>
      <c r="H3435" s="1">
        <v>299</v>
      </c>
      <c r="I3435" s="1">
        <v>15</v>
      </c>
      <c r="J3435" s="4">
        <v>508.3</v>
      </c>
      <c r="K3435" s="4">
        <v>310.83</v>
      </c>
      <c r="L3435" s="4">
        <v>197.47</v>
      </c>
      <c r="M3435" s="1" t="str">
        <f>TEXT(Table1[[#This Row],[Order_Date]], "MMM")</f>
        <v>Oct</v>
      </c>
      <c r="N3435" s="1">
        <f>YEAR(Table1[[#This Row],[Order_Date]])</f>
        <v>2023</v>
      </c>
      <c r="O3435" s="7">
        <f>Table1[[#This Row],[Profit]]/Table1[[#This Row],[Total_Sales]]</f>
        <v>0.38849104859335037</v>
      </c>
    </row>
    <row r="3436" spans="1:15" x14ac:dyDescent="0.25">
      <c r="A3436" s="1">
        <v>3435</v>
      </c>
      <c r="B3436" s="2">
        <v>45307</v>
      </c>
      <c r="C3436" s="1" t="s">
        <v>25</v>
      </c>
      <c r="D3436" s="1" t="s">
        <v>20</v>
      </c>
      <c r="E3436" s="1" t="s">
        <v>30</v>
      </c>
      <c r="F3436" s="1" t="s">
        <v>18</v>
      </c>
      <c r="G3436" s="1">
        <v>2</v>
      </c>
      <c r="H3436" s="1">
        <v>688</v>
      </c>
      <c r="I3436" s="1">
        <v>10</v>
      </c>
      <c r="J3436" s="4">
        <v>1238.4000000000001</v>
      </c>
      <c r="K3436" s="4">
        <v>788.18</v>
      </c>
      <c r="L3436" s="4">
        <v>450.22</v>
      </c>
      <c r="M3436" s="1" t="str">
        <f>TEXT(Table1[[#This Row],[Order_Date]], "MMM")</f>
        <v>Jan</v>
      </c>
      <c r="N3436" s="1">
        <f>YEAR(Table1[[#This Row],[Order_Date]])</f>
        <v>2024</v>
      </c>
      <c r="O3436" s="7">
        <f>Table1[[#This Row],[Profit]]/Table1[[#This Row],[Total_Sales]]</f>
        <v>0.36354974160206716</v>
      </c>
    </row>
    <row r="3437" spans="1:15" x14ac:dyDescent="0.25">
      <c r="A3437" s="1">
        <v>3436</v>
      </c>
      <c r="B3437" s="2">
        <v>45013</v>
      </c>
      <c r="C3437" s="1" t="s">
        <v>25</v>
      </c>
      <c r="D3437" s="1" t="s">
        <v>20</v>
      </c>
      <c r="E3437" s="1" t="s">
        <v>21</v>
      </c>
      <c r="F3437" s="1" t="s">
        <v>40</v>
      </c>
      <c r="G3437" s="1">
        <v>2</v>
      </c>
      <c r="H3437" s="1">
        <v>806</v>
      </c>
      <c r="I3437" s="1">
        <v>15</v>
      </c>
      <c r="J3437" s="4">
        <v>1370.2</v>
      </c>
      <c r="K3437" s="4">
        <v>1043.73</v>
      </c>
      <c r="L3437" s="4">
        <v>326.47000000000003</v>
      </c>
      <c r="M3437" s="1" t="str">
        <f>TEXT(Table1[[#This Row],[Order_Date]], "MMM")</f>
        <v>Mar</v>
      </c>
      <c r="N3437" s="1">
        <f>YEAR(Table1[[#This Row],[Order_Date]])</f>
        <v>2023</v>
      </c>
      <c r="O3437" s="7">
        <f>Table1[[#This Row],[Profit]]/Table1[[#This Row],[Total_Sales]]</f>
        <v>0.23826448693621372</v>
      </c>
    </row>
    <row r="3438" spans="1:15" x14ac:dyDescent="0.25">
      <c r="A3438" s="1">
        <v>3437</v>
      </c>
      <c r="B3438" s="2">
        <v>45626</v>
      </c>
      <c r="C3438" s="1" t="s">
        <v>19</v>
      </c>
      <c r="D3438" s="1" t="s">
        <v>32</v>
      </c>
      <c r="E3438" s="1" t="s">
        <v>41</v>
      </c>
      <c r="F3438" s="1" t="s">
        <v>24</v>
      </c>
      <c r="G3438" s="1">
        <v>4</v>
      </c>
      <c r="H3438" s="1">
        <v>311</v>
      </c>
      <c r="I3438" s="1">
        <v>0</v>
      </c>
      <c r="J3438" s="4">
        <v>1244</v>
      </c>
      <c r="K3438" s="4">
        <v>766.97</v>
      </c>
      <c r="L3438" s="4">
        <v>477.03</v>
      </c>
      <c r="M3438" s="1" t="str">
        <f>TEXT(Table1[[#This Row],[Order_Date]], "MMM")</f>
        <v>Nov</v>
      </c>
      <c r="N3438" s="1">
        <f>YEAR(Table1[[#This Row],[Order_Date]])</f>
        <v>2024</v>
      </c>
      <c r="O3438" s="7">
        <f>Table1[[#This Row],[Profit]]/Table1[[#This Row],[Total_Sales]]</f>
        <v>0.38346463022508037</v>
      </c>
    </row>
    <row r="3439" spans="1:15" x14ac:dyDescent="0.25">
      <c r="A3439" s="1">
        <v>3438</v>
      </c>
      <c r="B3439" s="2">
        <v>45213</v>
      </c>
      <c r="C3439" s="1" t="s">
        <v>19</v>
      </c>
      <c r="D3439" s="1" t="s">
        <v>22</v>
      </c>
      <c r="E3439" s="1" t="s">
        <v>29</v>
      </c>
      <c r="F3439" s="1" t="s">
        <v>31</v>
      </c>
      <c r="G3439" s="1">
        <v>7</v>
      </c>
      <c r="H3439" s="1">
        <v>364</v>
      </c>
      <c r="I3439" s="1">
        <v>15</v>
      </c>
      <c r="J3439" s="4">
        <v>2165.8000000000002</v>
      </c>
      <c r="K3439" s="4">
        <v>1329.61</v>
      </c>
      <c r="L3439" s="4">
        <v>836.19</v>
      </c>
      <c r="M3439" s="1" t="str">
        <f>TEXT(Table1[[#This Row],[Order_Date]], "MMM")</f>
        <v>Oct</v>
      </c>
      <c r="N3439" s="1">
        <f>YEAR(Table1[[#This Row],[Order_Date]])</f>
        <v>2023</v>
      </c>
      <c r="O3439" s="7">
        <f>Table1[[#This Row],[Profit]]/Table1[[#This Row],[Total_Sales]]</f>
        <v>0.3860882814664327</v>
      </c>
    </row>
    <row r="3440" spans="1:15" x14ac:dyDescent="0.25">
      <c r="A3440" s="1">
        <v>3439</v>
      </c>
      <c r="B3440" s="2">
        <v>45301</v>
      </c>
      <c r="C3440" s="1" t="s">
        <v>12</v>
      </c>
      <c r="D3440" s="1" t="s">
        <v>26</v>
      </c>
      <c r="E3440" s="1" t="s">
        <v>37</v>
      </c>
      <c r="F3440" s="1" t="s">
        <v>40</v>
      </c>
      <c r="G3440" s="1">
        <v>5</v>
      </c>
      <c r="H3440" s="1">
        <v>861</v>
      </c>
      <c r="I3440" s="1">
        <v>10</v>
      </c>
      <c r="J3440" s="4">
        <v>3874.5</v>
      </c>
      <c r="K3440" s="4">
        <v>2818.96</v>
      </c>
      <c r="L3440" s="4">
        <v>1055.54</v>
      </c>
      <c r="M3440" s="1" t="str">
        <f>TEXT(Table1[[#This Row],[Order_Date]], "MMM")</f>
        <v>Jan</v>
      </c>
      <c r="N3440" s="1">
        <f>YEAR(Table1[[#This Row],[Order_Date]])</f>
        <v>2024</v>
      </c>
      <c r="O3440" s="7">
        <f>Table1[[#This Row],[Profit]]/Table1[[#This Row],[Total_Sales]]</f>
        <v>0.27243257194476705</v>
      </c>
    </row>
    <row r="3441" spans="1:15" x14ac:dyDescent="0.25">
      <c r="A3441" s="1">
        <v>3440</v>
      </c>
      <c r="B3441" s="2">
        <v>45442</v>
      </c>
      <c r="C3441" s="1" t="s">
        <v>16</v>
      </c>
      <c r="D3441" s="1" t="s">
        <v>22</v>
      </c>
      <c r="E3441" s="1" t="s">
        <v>29</v>
      </c>
      <c r="F3441" s="1" t="s">
        <v>24</v>
      </c>
      <c r="G3441" s="1">
        <v>5</v>
      </c>
      <c r="H3441" s="1">
        <v>263</v>
      </c>
      <c r="I3441" s="1">
        <v>15</v>
      </c>
      <c r="J3441" s="4">
        <v>1117.75</v>
      </c>
      <c r="K3441" s="4">
        <v>598.52</v>
      </c>
      <c r="L3441" s="4">
        <v>519.23</v>
      </c>
      <c r="M3441" s="1" t="str">
        <f>TEXT(Table1[[#This Row],[Order_Date]], "MMM")</f>
        <v>May</v>
      </c>
      <c r="N3441" s="1">
        <f>YEAR(Table1[[#This Row],[Order_Date]])</f>
        <v>2024</v>
      </c>
      <c r="O3441" s="7">
        <f>Table1[[#This Row],[Profit]]/Table1[[#This Row],[Total_Sales]]</f>
        <v>0.46453142473719528</v>
      </c>
    </row>
    <row r="3442" spans="1:15" x14ac:dyDescent="0.25">
      <c r="A3442" s="1">
        <v>3441</v>
      </c>
      <c r="B3442" s="2">
        <v>45077</v>
      </c>
      <c r="C3442" s="1" t="s">
        <v>25</v>
      </c>
      <c r="D3442" s="1" t="s">
        <v>22</v>
      </c>
      <c r="E3442" s="1" t="s">
        <v>36</v>
      </c>
      <c r="F3442" s="1" t="s">
        <v>31</v>
      </c>
      <c r="G3442" s="1">
        <v>6</v>
      </c>
      <c r="H3442" s="1">
        <v>749</v>
      </c>
      <c r="I3442" s="1">
        <v>20</v>
      </c>
      <c r="J3442" s="4">
        <v>3595.2</v>
      </c>
      <c r="K3442" s="4">
        <v>2097.17</v>
      </c>
      <c r="L3442" s="4">
        <v>1498.03</v>
      </c>
      <c r="M3442" s="1" t="str">
        <f>TEXT(Table1[[#This Row],[Order_Date]], "MMM")</f>
        <v>May</v>
      </c>
      <c r="N3442" s="1">
        <f>YEAR(Table1[[#This Row],[Order_Date]])</f>
        <v>2023</v>
      </c>
      <c r="O3442" s="7">
        <f>Table1[[#This Row],[Profit]]/Table1[[#This Row],[Total_Sales]]</f>
        <v>0.41667501112594574</v>
      </c>
    </row>
    <row r="3443" spans="1:15" x14ac:dyDescent="0.25">
      <c r="A3443" s="1">
        <v>3442</v>
      </c>
      <c r="B3443" s="2">
        <v>45067</v>
      </c>
      <c r="C3443" s="1" t="s">
        <v>16</v>
      </c>
      <c r="D3443" s="1" t="s">
        <v>22</v>
      </c>
      <c r="E3443" s="1" t="s">
        <v>36</v>
      </c>
      <c r="F3443" s="1" t="s">
        <v>40</v>
      </c>
      <c r="G3443" s="1">
        <v>7</v>
      </c>
      <c r="H3443" s="1">
        <v>746</v>
      </c>
      <c r="I3443" s="1">
        <v>10</v>
      </c>
      <c r="J3443" s="4">
        <v>4699.8</v>
      </c>
      <c r="K3443" s="4">
        <v>2751.65</v>
      </c>
      <c r="L3443" s="4">
        <v>1948.15</v>
      </c>
      <c r="M3443" s="1" t="str">
        <f>TEXT(Table1[[#This Row],[Order_Date]], "MMM")</f>
        <v>May</v>
      </c>
      <c r="N3443" s="1">
        <f>YEAR(Table1[[#This Row],[Order_Date]])</f>
        <v>2023</v>
      </c>
      <c r="O3443" s="7">
        <f>Table1[[#This Row],[Profit]]/Table1[[#This Row],[Total_Sales]]</f>
        <v>0.41451763904847017</v>
      </c>
    </row>
    <row r="3444" spans="1:15" x14ac:dyDescent="0.25">
      <c r="A3444" s="1">
        <v>3443</v>
      </c>
      <c r="B3444" s="2">
        <v>44938</v>
      </c>
      <c r="C3444" s="1" t="s">
        <v>25</v>
      </c>
      <c r="D3444" s="1" t="s">
        <v>22</v>
      </c>
      <c r="E3444" s="1" t="s">
        <v>29</v>
      </c>
      <c r="F3444" s="1" t="s">
        <v>40</v>
      </c>
      <c r="G3444" s="1">
        <v>4</v>
      </c>
      <c r="H3444" s="1">
        <v>362</v>
      </c>
      <c r="I3444" s="1">
        <v>0</v>
      </c>
      <c r="J3444" s="4">
        <v>1448</v>
      </c>
      <c r="K3444" s="4">
        <v>1097.53</v>
      </c>
      <c r="L3444" s="4">
        <v>350.47</v>
      </c>
      <c r="M3444" s="1" t="str">
        <f>TEXT(Table1[[#This Row],[Order_Date]], "MMM")</f>
        <v>Jan</v>
      </c>
      <c r="N3444" s="1">
        <f>YEAR(Table1[[#This Row],[Order_Date]])</f>
        <v>2023</v>
      </c>
      <c r="O3444" s="7">
        <f>Table1[[#This Row],[Profit]]/Table1[[#This Row],[Total_Sales]]</f>
        <v>0.24203729281767958</v>
      </c>
    </row>
    <row r="3445" spans="1:15" x14ac:dyDescent="0.25">
      <c r="A3445" s="1">
        <v>3444</v>
      </c>
      <c r="B3445" s="2">
        <v>45396</v>
      </c>
      <c r="C3445" s="1" t="s">
        <v>12</v>
      </c>
      <c r="D3445" s="1" t="s">
        <v>32</v>
      </c>
      <c r="E3445" s="1" t="s">
        <v>45</v>
      </c>
      <c r="F3445" s="1" t="s">
        <v>18</v>
      </c>
      <c r="G3445" s="1">
        <v>8</v>
      </c>
      <c r="H3445" s="1">
        <v>161</v>
      </c>
      <c r="I3445" s="1">
        <v>5</v>
      </c>
      <c r="J3445" s="4">
        <v>1223.5999999999999</v>
      </c>
      <c r="K3445" s="4">
        <v>758.68</v>
      </c>
      <c r="L3445" s="4">
        <v>464.92</v>
      </c>
      <c r="M3445" s="1" t="str">
        <f>TEXT(Table1[[#This Row],[Order_Date]], "MMM")</f>
        <v>Apr</v>
      </c>
      <c r="N3445" s="1">
        <f>YEAR(Table1[[#This Row],[Order_Date]])</f>
        <v>2024</v>
      </c>
      <c r="O3445" s="7">
        <f>Table1[[#This Row],[Profit]]/Table1[[#This Row],[Total_Sales]]</f>
        <v>0.3799607714939523</v>
      </c>
    </row>
    <row r="3446" spans="1:15" x14ac:dyDescent="0.25">
      <c r="A3446" s="1">
        <v>3445</v>
      </c>
      <c r="B3446" s="2">
        <v>45207</v>
      </c>
      <c r="C3446" s="1" t="s">
        <v>19</v>
      </c>
      <c r="D3446" s="1" t="s">
        <v>22</v>
      </c>
      <c r="E3446" s="1" t="s">
        <v>23</v>
      </c>
      <c r="F3446" s="1" t="s">
        <v>35</v>
      </c>
      <c r="G3446" s="1">
        <v>2</v>
      </c>
      <c r="H3446" s="1">
        <v>612</v>
      </c>
      <c r="I3446" s="1">
        <v>10</v>
      </c>
      <c r="J3446" s="4">
        <v>1101.5999999999999</v>
      </c>
      <c r="K3446" s="4">
        <v>783.14</v>
      </c>
      <c r="L3446" s="4">
        <v>318.45999999999998</v>
      </c>
      <c r="M3446" s="1" t="str">
        <f>TEXT(Table1[[#This Row],[Order_Date]], "MMM")</f>
        <v>Oct</v>
      </c>
      <c r="N3446" s="1">
        <f>YEAR(Table1[[#This Row],[Order_Date]])</f>
        <v>2023</v>
      </c>
      <c r="O3446" s="7">
        <f>Table1[[#This Row],[Profit]]/Table1[[#This Row],[Total_Sales]]</f>
        <v>0.28908859840232387</v>
      </c>
    </row>
    <row r="3447" spans="1:15" x14ac:dyDescent="0.25">
      <c r="A3447" s="1">
        <v>3446</v>
      </c>
      <c r="B3447" s="2">
        <v>45619</v>
      </c>
      <c r="C3447" s="1" t="s">
        <v>12</v>
      </c>
      <c r="D3447" s="1" t="s">
        <v>20</v>
      </c>
      <c r="E3447" s="1" t="s">
        <v>21</v>
      </c>
      <c r="F3447" s="1" t="s">
        <v>15</v>
      </c>
      <c r="G3447" s="1">
        <v>2</v>
      </c>
      <c r="H3447" s="1">
        <v>432</v>
      </c>
      <c r="I3447" s="1">
        <v>0</v>
      </c>
      <c r="J3447" s="4">
        <v>864</v>
      </c>
      <c r="K3447" s="4">
        <v>443.6</v>
      </c>
      <c r="L3447" s="4">
        <v>420.4</v>
      </c>
      <c r="M3447" s="1" t="str">
        <f>TEXT(Table1[[#This Row],[Order_Date]], "MMM")</f>
        <v>Nov</v>
      </c>
      <c r="N3447" s="1">
        <f>YEAR(Table1[[#This Row],[Order_Date]])</f>
        <v>2024</v>
      </c>
      <c r="O3447" s="7">
        <f>Table1[[#This Row],[Profit]]/Table1[[#This Row],[Total_Sales]]</f>
        <v>0.48657407407407405</v>
      </c>
    </row>
    <row r="3448" spans="1:15" x14ac:dyDescent="0.25">
      <c r="A3448" s="1">
        <v>3447</v>
      </c>
      <c r="B3448" s="2">
        <v>45292</v>
      </c>
      <c r="C3448" s="1" t="s">
        <v>16</v>
      </c>
      <c r="D3448" s="1" t="s">
        <v>20</v>
      </c>
      <c r="E3448" s="1" t="s">
        <v>21</v>
      </c>
      <c r="F3448" s="1" t="s">
        <v>18</v>
      </c>
      <c r="G3448" s="1">
        <v>7</v>
      </c>
      <c r="H3448" s="1">
        <v>86</v>
      </c>
      <c r="I3448" s="1">
        <v>0</v>
      </c>
      <c r="J3448" s="4">
        <v>602</v>
      </c>
      <c r="K3448" s="4">
        <v>380.05</v>
      </c>
      <c r="L3448" s="4">
        <v>221.95</v>
      </c>
      <c r="M3448" s="1" t="str">
        <f>TEXT(Table1[[#This Row],[Order_Date]], "MMM")</f>
        <v>Jan</v>
      </c>
      <c r="N3448" s="1">
        <f>YEAR(Table1[[#This Row],[Order_Date]])</f>
        <v>2024</v>
      </c>
      <c r="O3448" s="7">
        <f>Table1[[#This Row],[Profit]]/Table1[[#This Row],[Total_Sales]]</f>
        <v>0.36868770764119602</v>
      </c>
    </row>
    <row r="3449" spans="1:15" x14ac:dyDescent="0.25">
      <c r="A3449" s="1">
        <v>3448</v>
      </c>
      <c r="B3449" s="2">
        <v>45614</v>
      </c>
      <c r="C3449" s="1" t="s">
        <v>16</v>
      </c>
      <c r="D3449" s="1" t="s">
        <v>20</v>
      </c>
      <c r="E3449" s="1" t="s">
        <v>30</v>
      </c>
      <c r="F3449" s="1" t="s">
        <v>31</v>
      </c>
      <c r="G3449" s="1">
        <v>7</v>
      </c>
      <c r="H3449" s="1">
        <v>198</v>
      </c>
      <c r="I3449" s="1">
        <v>0</v>
      </c>
      <c r="J3449" s="4">
        <v>1386</v>
      </c>
      <c r="K3449" s="4">
        <v>1102.24</v>
      </c>
      <c r="L3449" s="4">
        <v>283.76</v>
      </c>
      <c r="M3449" s="1" t="str">
        <f>TEXT(Table1[[#This Row],[Order_Date]], "MMM")</f>
        <v>Nov</v>
      </c>
      <c r="N3449" s="1">
        <f>YEAR(Table1[[#This Row],[Order_Date]])</f>
        <v>2024</v>
      </c>
      <c r="O3449" s="7">
        <f>Table1[[#This Row],[Profit]]/Table1[[#This Row],[Total_Sales]]</f>
        <v>0.20473304473304474</v>
      </c>
    </row>
    <row r="3450" spans="1:15" x14ac:dyDescent="0.25">
      <c r="A3450" s="1">
        <v>3449</v>
      </c>
      <c r="B3450" s="2">
        <v>45044</v>
      </c>
      <c r="C3450" s="1" t="s">
        <v>16</v>
      </c>
      <c r="D3450" s="1" t="s">
        <v>26</v>
      </c>
      <c r="E3450" s="1" t="s">
        <v>27</v>
      </c>
      <c r="F3450" s="1" t="s">
        <v>35</v>
      </c>
      <c r="G3450" s="1">
        <v>5</v>
      </c>
      <c r="H3450" s="1">
        <v>37</v>
      </c>
      <c r="I3450" s="1">
        <v>20</v>
      </c>
      <c r="J3450" s="4">
        <v>148</v>
      </c>
      <c r="K3450" s="4">
        <v>103.37</v>
      </c>
      <c r="L3450" s="4">
        <v>44.63</v>
      </c>
      <c r="M3450" s="1" t="str">
        <f>TEXT(Table1[[#This Row],[Order_Date]], "MMM")</f>
        <v>Apr</v>
      </c>
      <c r="N3450" s="1">
        <f>YEAR(Table1[[#This Row],[Order_Date]])</f>
        <v>2023</v>
      </c>
      <c r="O3450" s="7">
        <f>Table1[[#This Row],[Profit]]/Table1[[#This Row],[Total_Sales]]</f>
        <v>0.30155405405405405</v>
      </c>
    </row>
    <row r="3451" spans="1:15" x14ac:dyDescent="0.25">
      <c r="A3451" s="1">
        <v>3450</v>
      </c>
      <c r="B3451" s="2">
        <v>45292</v>
      </c>
      <c r="C3451" s="1" t="s">
        <v>16</v>
      </c>
      <c r="D3451" s="1" t="s">
        <v>20</v>
      </c>
      <c r="E3451" s="1" t="s">
        <v>30</v>
      </c>
      <c r="F3451" s="1" t="s">
        <v>18</v>
      </c>
      <c r="G3451" s="1">
        <v>6</v>
      </c>
      <c r="H3451" s="1">
        <v>363</v>
      </c>
      <c r="I3451" s="1">
        <v>5</v>
      </c>
      <c r="J3451" s="4">
        <v>2069.1</v>
      </c>
      <c r="K3451" s="4">
        <v>1414.96</v>
      </c>
      <c r="L3451" s="4">
        <v>654.14</v>
      </c>
      <c r="M3451" s="1" t="str">
        <f>TEXT(Table1[[#This Row],[Order_Date]], "MMM")</f>
        <v>Jan</v>
      </c>
      <c r="N3451" s="1">
        <f>YEAR(Table1[[#This Row],[Order_Date]])</f>
        <v>2024</v>
      </c>
      <c r="O3451" s="7">
        <f>Table1[[#This Row],[Profit]]/Table1[[#This Row],[Total_Sales]]</f>
        <v>0.31614711710405491</v>
      </c>
    </row>
    <row r="3452" spans="1:15" x14ac:dyDescent="0.25">
      <c r="A3452" s="1">
        <v>3451</v>
      </c>
      <c r="B3452" s="2">
        <v>45103</v>
      </c>
      <c r="C3452" s="1" t="s">
        <v>16</v>
      </c>
      <c r="D3452" s="1" t="s">
        <v>32</v>
      </c>
      <c r="E3452" s="1" t="s">
        <v>45</v>
      </c>
      <c r="F3452" s="1" t="s">
        <v>15</v>
      </c>
      <c r="G3452" s="1">
        <v>1</v>
      </c>
      <c r="H3452" s="1">
        <v>485</v>
      </c>
      <c r="I3452" s="1">
        <v>10</v>
      </c>
      <c r="J3452" s="4">
        <v>436.5</v>
      </c>
      <c r="K3452" s="4">
        <v>333.52</v>
      </c>
      <c r="L3452" s="4">
        <v>102.98</v>
      </c>
      <c r="M3452" s="1" t="str">
        <f>TEXT(Table1[[#This Row],[Order_Date]], "MMM")</f>
        <v>Jun</v>
      </c>
      <c r="N3452" s="1">
        <f>YEAR(Table1[[#This Row],[Order_Date]])</f>
        <v>2023</v>
      </c>
      <c r="O3452" s="7">
        <f>Table1[[#This Row],[Profit]]/Table1[[#This Row],[Total_Sales]]</f>
        <v>0.23592210767468499</v>
      </c>
    </row>
    <row r="3453" spans="1:15" x14ac:dyDescent="0.25">
      <c r="A3453" s="1">
        <v>3452</v>
      </c>
      <c r="B3453" s="2">
        <v>45339</v>
      </c>
      <c r="C3453" s="1" t="s">
        <v>16</v>
      </c>
      <c r="D3453" s="1" t="s">
        <v>13</v>
      </c>
      <c r="E3453" s="1" t="s">
        <v>38</v>
      </c>
      <c r="F3453" s="1" t="s">
        <v>24</v>
      </c>
      <c r="G3453" s="1">
        <v>6</v>
      </c>
      <c r="H3453" s="1">
        <v>867</v>
      </c>
      <c r="I3453" s="1">
        <v>10</v>
      </c>
      <c r="J3453" s="4">
        <v>4681.8</v>
      </c>
      <c r="K3453" s="4">
        <v>2715.53</v>
      </c>
      <c r="L3453" s="4">
        <v>1966.27</v>
      </c>
      <c r="M3453" s="1" t="str">
        <f>TEXT(Table1[[#This Row],[Order_Date]], "MMM")</f>
        <v>Feb</v>
      </c>
      <c r="N3453" s="1">
        <f>YEAR(Table1[[#This Row],[Order_Date]])</f>
        <v>2024</v>
      </c>
      <c r="O3453" s="7">
        <f>Table1[[#This Row],[Profit]]/Table1[[#This Row],[Total_Sales]]</f>
        <v>0.41998163099662522</v>
      </c>
    </row>
    <row r="3454" spans="1:15" x14ac:dyDescent="0.25">
      <c r="A3454" s="1">
        <v>3453</v>
      </c>
      <c r="B3454" s="2">
        <v>45434</v>
      </c>
      <c r="C3454" s="1" t="s">
        <v>19</v>
      </c>
      <c r="D3454" s="1" t="s">
        <v>20</v>
      </c>
      <c r="E3454" s="1" t="s">
        <v>43</v>
      </c>
      <c r="F3454" s="1" t="s">
        <v>35</v>
      </c>
      <c r="G3454" s="1">
        <v>2</v>
      </c>
      <c r="H3454" s="1">
        <v>167</v>
      </c>
      <c r="I3454" s="1">
        <v>20</v>
      </c>
      <c r="J3454" s="4">
        <v>267.2</v>
      </c>
      <c r="K3454" s="4">
        <v>191.72</v>
      </c>
      <c r="L3454" s="4">
        <v>75.48</v>
      </c>
      <c r="M3454" s="1" t="str">
        <f>TEXT(Table1[[#This Row],[Order_Date]], "MMM")</f>
        <v>May</v>
      </c>
      <c r="N3454" s="1">
        <f>YEAR(Table1[[#This Row],[Order_Date]])</f>
        <v>2024</v>
      </c>
      <c r="O3454" s="7">
        <f>Table1[[#This Row],[Profit]]/Table1[[#This Row],[Total_Sales]]</f>
        <v>0.28248502994011981</v>
      </c>
    </row>
    <row r="3455" spans="1:15" x14ac:dyDescent="0.25">
      <c r="A3455" s="1">
        <v>3454</v>
      </c>
      <c r="B3455" s="2">
        <v>45102</v>
      </c>
      <c r="C3455" s="1" t="s">
        <v>12</v>
      </c>
      <c r="D3455" s="1" t="s">
        <v>22</v>
      </c>
      <c r="E3455" s="1" t="s">
        <v>44</v>
      </c>
      <c r="F3455" s="1" t="s">
        <v>31</v>
      </c>
      <c r="G3455" s="1">
        <v>5</v>
      </c>
      <c r="H3455" s="1">
        <v>451</v>
      </c>
      <c r="I3455" s="1">
        <v>5</v>
      </c>
      <c r="J3455" s="4">
        <v>2142.25</v>
      </c>
      <c r="K3455" s="4">
        <v>1657.53</v>
      </c>
      <c r="L3455" s="4">
        <v>484.72</v>
      </c>
      <c r="M3455" s="1" t="str">
        <f>TEXT(Table1[[#This Row],[Order_Date]], "MMM")</f>
        <v>Jun</v>
      </c>
      <c r="N3455" s="1">
        <f>YEAR(Table1[[#This Row],[Order_Date]])</f>
        <v>2023</v>
      </c>
      <c r="O3455" s="7">
        <f>Table1[[#This Row],[Profit]]/Table1[[#This Row],[Total_Sales]]</f>
        <v>0.22626677558641617</v>
      </c>
    </row>
    <row r="3456" spans="1:15" x14ac:dyDescent="0.25">
      <c r="A3456" s="1">
        <v>3455</v>
      </c>
      <c r="B3456" s="2">
        <v>45470</v>
      </c>
      <c r="C3456" s="1" t="s">
        <v>25</v>
      </c>
      <c r="D3456" s="1" t="s">
        <v>13</v>
      </c>
      <c r="E3456" s="1" t="s">
        <v>39</v>
      </c>
      <c r="F3456" s="1" t="s">
        <v>15</v>
      </c>
      <c r="G3456" s="1">
        <v>1</v>
      </c>
      <c r="H3456" s="1">
        <v>511</v>
      </c>
      <c r="I3456" s="1">
        <v>15</v>
      </c>
      <c r="J3456" s="4">
        <v>434.35</v>
      </c>
      <c r="K3456" s="4">
        <v>259.72000000000003</v>
      </c>
      <c r="L3456" s="4">
        <v>174.63</v>
      </c>
      <c r="M3456" s="1" t="str">
        <f>TEXT(Table1[[#This Row],[Order_Date]], "MMM")</f>
        <v>Jun</v>
      </c>
      <c r="N3456" s="1">
        <f>YEAR(Table1[[#This Row],[Order_Date]])</f>
        <v>2024</v>
      </c>
      <c r="O3456" s="7">
        <f>Table1[[#This Row],[Profit]]/Table1[[#This Row],[Total_Sales]]</f>
        <v>0.4020490387935996</v>
      </c>
    </row>
    <row r="3457" spans="1:15" x14ac:dyDescent="0.25">
      <c r="A3457" s="1">
        <v>3456</v>
      </c>
      <c r="B3457" s="2">
        <v>45279</v>
      </c>
      <c r="C3457" s="1" t="s">
        <v>19</v>
      </c>
      <c r="D3457" s="1" t="s">
        <v>22</v>
      </c>
      <c r="E3457" s="1" t="s">
        <v>44</v>
      </c>
      <c r="F3457" s="1" t="s">
        <v>40</v>
      </c>
      <c r="G3457" s="1">
        <v>8</v>
      </c>
      <c r="H3457" s="1">
        <v>669</v>
      </c>
      <c r="I3457" s="1">
        <v>0</v>
      </c>
      <c r="J3457" s="4">
        <v>5352</v>
      </c>
      <c r="K3457" s="4">
        <v>3134.93</v>
      </c>
      <c r="L3457" s="4">
        <v>2217.0700000000002</v>
      </c>
      <c r="M3457" s="1" t="str">
        <f>TEXT(Table1[[#This Row],[Order_Date]], "MMM")</f>
        <v>Dec</v>
      </c>
      <c r="N3457" s="1">
        <f>YEAR(Table1[[#This Row],[Order_Date]])</f>
        <v>2023</v>
      </c>
      <c r="O3457" s="7">
        <f>Table1[[#This Row],[Profit]]/Table1[[#This Row],[Total_Sales]]</f>
        <v>0.41425074738415546</v>
      </c>
    </row>
    <row r="3458" spans="1:15" x14ac:dyDescent="0.25">
      <c r="A3458" s="1">
        <v>3457</v>
      </c>
      <c r="B3458" s="2">
        <v>45103</v>
      </c>
      <c r="C3458" s="1" t="s">
        <v>12</v>
      </c>
      <c r="D3458" s="1" t="s">
        <v>22</v>
      </c>
      <c r="E3458" s="1" t="s">
        <v>36</v>
      </c>
      <c r="F3458" s="1" t="s">
        <v>24</v>
      </c>
      <c r="G3458" s="1">
        <v>8</v>
      </c>
      <c r="H3458" s="1">
        <v>81</v>
      </c>
      <c r="I3458" s="1">
        <v>10</v>
      </c>
      <c r="J3458" s="4">
        <v>583.20000000000005</v>
      </c>
      <c r="K3458" s="4">
        <v>440.33</v>
      </c>
      <c r="L3458" s="4">
        <v>142.87</v>
      </c>
      <c r="M3458" s="1" t="str">
        <f>TEXT(Table1[[#This Row],[Order_Date]], "MMM")</f>
        <v>Jun</v>
      </c>
      <c r="N3458" s="1">
        <f>YEAR(Table1[[#This Row],[Order_Date]])</f>
        <v>2023</v>
      </c>
      <c r="O3458" s="7">
        <f>Table1[[#This Row],[Profit]]/Table1[[#This Row],[Total_Sales]]</f>
        <v>0.24497599451303154</v>
      </c>
    </row>
    <row r="3459" spans="1:15" x14ac:dyDescent="0.25">
      <c r="A3459" s="1">
        <v>3458</v>
      </c>
      <c r="B3459" s="2">
        <v>45566</v>
      </c>
      <c r="C3459" s="1" t="s">
        <v>19</v>
      </c>
      <c r="D3459" s="1" t="s">
        <v>26</v>
      </c>
      <c r="E3459" s="1" t="s">
        <v>37</v>
      </c>
      <c r="F3459" s="1" t="s">
        <v>18</v>
      </c>
      <c r="G3459" s="1">
        <v>3</v>
      </c>
      <c r="H3459" s="1">
        <v>189</v>
      </c>
      <c r="I3459" s="1">
        <v>15</v>
      </c>
      <c r="J3459" s="4">
        <v>481.95</v>
      </c>
      <c r="K3459" s="4">
        <v>349.55</v>
      </c>
      <c r="L3459" s="4">
        <v>132.4</v>
      </c>
      <c r="M3459" s="1" t="str">
        <f>TEXT(Table1[[#This Row],[Order_Date]], "MMM")</f>
        <v>Oct</v>
      </c>
      <c r="N3459" s="1">
        <f>YEAR(Table1[[#This Row],[Order_Date]])</f>
        <v>2024</v>
      </c>
      <c r="O3459" s="7">
        <f>Table1[[#This Row],[Profit]]/Table1[[#This Row],[Total_Sales]]</f>
        <v>0.27471729432513747</v>
      </c>
    </row>
    <row r="3460" spans="1:15" x14ac:dyDescent="0.25">
      <c r="A3460" s="1">
        <v>3459</v>
      </c>
      <c r="B3460" s="2">
        <v>45361</v>
      </c>
      <c r="C3460" s="1" t="s">
        <v>12</v>
      </c>
      <c r="D3460" s="1" t="s">
        <v>22</v>
      </c>
      <c r="E3460" s="1" t="s">
        <v>29</v>
      </c>
      <c r="F3460" s="1" t="s">
        <v>40</v>
      </c>
      <c r="G3460" s="1">
        <v>3</v>
      </c>
      <c r="H3460" s="1">
        <v>393</v>
      </c>
      <c r="I3460" s="1">
        <v>0</v>
      </c>
      <c r="J3460" s="4">
        <v>1179</v>
      </c>
      <c r="K3460" s="4">
        <v>894.72</v>
      </c>
      <c r="L3460" s="4">
        <v>284.27999999999997</v>
      </c>
      <c r="M3460" s="1" t="str">
        <f>TEXT(Table1[[#This Row],[Order_Date]], "MMM")</f>
        <v>Mar</v>
      </c>
      <c r="N3460" s="1">
        <f>YEAR(Table1[[#This Row],[Order_Date]])</f>
        <v>2024</v>
      </c>
      <c r="O3460" s="7">
        <f>Table1[[#This Row],[Profit]]/Table1[[#This Row],[Total_Sales]]</f>
        <v>0.24111959287531803</v>
      </c>
    </row>
    <row r="3461" spans="1:15" x14ac:dyDescent="0.25">
      <c r="A3461" s="1">
        <v>3460</v>
      </c>
      <c r="B3461" s="2">
        <v>45590</v>
      </c>
      <c r="C3461" s="1" t="s">
        <v>16</v>
      </c>
      <c r="D3461" s="1" t="s">
        <v>32</v>
      </c>
      <c r="E3461" s="1" t="s">
        <v>45</v>
      </c>
      <c r="F3461" s="1" t="s">
        <v>31</v>
      </c>
      <c r="G3461" s="1">
        <v>1</v>
      </c>
      <c r="H3461" s="1">
        <v>332</v>
      </c>
      <c r="I3461" s="1">
        <v>10</v>
      </c>
      <c r="J3461" s="4">
        <v>298.8</v>
      </c>
      <c r="K3461" s="4">
        <v>222.76</v>
      </c>
      <c r="L3461" s="4">
        <v>76.040000000000006</v>
      </c>
      <c r="M3461" s="1" t="str">
        <f>TEXT(Table1[[#This Row],[Order_Date]], "MMM")</f>
        <v>Oct</v>
      </c>
      <c r="N3461" s="1">
        <f>YEAR(Table1[[#This Row],[Order_Date]])</f>
        <v>2024</v>
      </c>
      <c r="O3461" s="7">
        <f>Table1[[#This Row],[Profit]]/Table1[[#This Row],[Total_Sales]]</f>
        <v>0.25448460508701476</v>
      </c>
    </row>
    <row r="3462" spans="1:15" x14ac:dyDescent="0.25">
      <c r="A3462" s="1">
        <v>3461</v>
      </c>
      <c r="B3462" s="2">
        <v>45510</v>
      </c>
      <c r="C3462" s="1" t="s">
        <v>25</v>
      </c>
      <c r="D3462" s="1" t="s">
        <v>22</v>
      </c>
      <c r="E3462" s="1" t="s">
        <v>36</v>
      </c>
      <c r="F3462" s="1" t="s">
        <v>40</v>
      </c>
      <c r="G3462" s="1">
        <v>1</v>
      </c>
      <c r="H3462" s="1">
        <v>764</v>
      </c>
      <c r="I3462" s="1">
        <v>20</v>
      </c>
      <c r="J3462" s="4">
        <v>611.20000000000005</v>
      </c>
      <c r="K3462" s="4">
        <v>359.83</v>
      </c>
      <c r="L3462" s="4">
        <v>251.37</v>
      </c>
      <c r="M3462" s="1" t="str">
        <f>TEXT(Table1[[#This Row],[Order_Date]], "MMM")</f>
        <v>Aug</v>
      </c>
      <c r="N3462" s="1">
        <f>YEAR(Table1[[#This Row],[Order_Date]])</f>
        <v>2024</v>
      </c>
      <c r="O3462" s="7">
        <f>Table1[[#This Row],[Profit]]/Table1[[#This Row],[Total_Sales]]</f>
        <v>0.41127290575916226</v>
      </c>
    </row>
    <row r="3463" spans="1:15" x14ac:dyDescent="0.25">
      <c r="A3463" s="1">
        <v>3462</v>
      </c>
      <c r="B3463" s="2">
        <v>45327</v>
      </c>
      <c r="C3463" s="1" t="s">
        <v>19</v>
      </c>
      <c r="D3463" s="1" t="s">
        <v>26</v>
      </c>
      <c r="E3463" s="1" t="s">
        <v>46</v>
      </c>
      <c r="F3463" s="1" t="s">
        <v>24</v>
      </c>
      <c r="G3463" s="1">
        <v>6</v>
      </c>
      <c r="H3463" s="1">
        <v>952</v>
      </c>
      <c r="I3463" s="1">
        <v>15</v>
      </c>
      <c r="J3463" s="4">
        <v>4855.2</v>
      </c>
      <c r="K3463" s="4">
        <v>3732.96</v>
      </c>
      <c r="L3463" s="4">
        <v>1122.24</v>
      </c>
      <c r="M3463" s="1" t="str">
        <f>TEXT(Table1[[#This Row],[Order_Date]], "MMM")</f>
        <v>Feb</v>
      </c>
      <c r="N3463" s="1">
        <f>YEAR(Table1[[#This Row],[Order_Date]])</f>
        <v>2024</v>
      </c>
      <c r="O3463" s="7">
        <f>Table1[[#This Row],[Profit]]/Table1[[#This Row],[Total_Sales]]</f>
        <v>0.23114186851211074</v>
      </c>
    </row>
    <row r="3464" spans="1:15" x14ac:dyDescent="0.25">
      <c r="A3464" s="1">
        <v>3463</v>
      </c>
      <c r="B3464" s="2">
        <v>44992</v>
      </c>
      <c r="C3464" s="1" t="s">
        <v>19</v>
      </c>
      <c r="D3464" s="1" t="s">
        <v>22</v>
      </c>
      <c r="E3464" s="1" t="s">
        <v>36</v>
      </c>
      <c r="F3464" s="1" t="s">
        <v>15</v>
      </c>
      <c r="G3464" s="1">
        <v>3</v>
      </c>
      <c r="H3464" s="1">
        <v>931</v>
      </c>
      <c r="I3464" s="1">
        <v>15</v>
      </c>
      <c r="J3464" s="4">
        <v>2374.0500000000002</v>
      </c>
      <c r="K3464" s="4">
        <v>1674.09</v>
      </c>
      <c r="L3464" s="4">
        <v>699.96</v>
      </c>
      <c r="M3464" s="1" t="str">
        <f>TEXT(Table1[[#This Row],[Order_Date]], "MMM")</f>
        <v>Mar</v>
      </c>
      <c r="N3464" s="1">
        <f>YEAR(Table1[[#This Row],[Order_Date]])</f>
        <v>2023</v>
      </c>
      <c r="O3464" s="7">
        <f>Table1[[#This Row],[Profit]]/Table1[[#This Row],[Total_Sales]]</f>
        <v>0.29483793517406964</v>
      </c>
    </row>
    <row r="3465" spans="1:15" x14ac:dyDescent="0.25">
      <c r="A3465" s="1">
        <v>3464</v>
      </c>
      <c r="B3465" s="2">
        <v>45195</v>
      </c>
      <c r="C3465" s="1" t="s">
        <v>19</v>
      </c>
      <c r="D3465" s="1" t="s">
        <v>32</v>
      </c>
      <c r="E3465" s="1" t="s">
        <v>33</v>
      </c>
      <c r="F3465" s="1" t="s">
        <v>15</v>
      </c>
      <c r="G3465" s="1">
        <v>1</v>
      </c>
      <c r="H3465" s="1">
        <v>649</v>
      </c>
      <c r="I3465" s="1">
        <v>5</v>
      </c>
      <c r="J3465" s="4">
        <v>616.54999999999995</v>
      </c>
      <c r="K3465" s="4">
        <v>433.76</v>
      </c>
      <c r="L3465" s="4">
        <v>182.79</v>
      </c>
      <c r="M3465" s="1" t="str">
        <f>TEXT(Table1[[#This Row],[Order_Date]], "MMM")</f>
        <v>Sep</v>
      </c>
      <c r="N3465" s="1">
        <f>YEAR(Table1[[#This Row],[Order_Date]])</f>
        <v>2023</v>
      </c>
      <c r="O3465" s="7">
        <f>Table1[[#This Row],[Profit]]/Table1[[#This Row],[Total_Sales]]</f>
        <v>0.29647230557132431</v>
      </c>
    </row>
    <row r="3466" spans="1:15" x14ac:dyDescent="0.25">
      <c r="A3466" s="1">
        <v>3465</v>
      </c>
      <c r="B3466" s="2">
        <v>45150</v>
      </c>
      <c r="C3466" s="1" t="s">
        <v>12</v>
      </c>
      <c r="D3466" s="1" t="s">
        <v>26</v>
      </c>
      <c r="E3466" s="1" t="s">
        <v>46</v>
      </c>
      <c r="F3466" s="1" t="s">
        <v>18</v>
      </c>
      <c r="G3466" s="1">
        <v>1</v>
      </c>
      <c r="H3466" s="1">
        <v>268</v>
      </c>
      <c r="I3466" s="1">
        <v>5</v>
      </c>
      <c r="J3466" s="4">
        <v>254.6</v>
      </c>
      <c r="K3466" s="4">
        <v>144.72999999999999</v>
      </c>
      <c r="L3466" s="4">
        <v>109.87</v>
      </c>
      <c r="M3466" s="1" t="str">
        <f>TEXT(Table1[[#This Row],[Order_Date]], "MMM")</f>
        <v>Aug</v>
      </c>
      <c r="N3466" s="1">
        <f>YEAR(Table1[[#This Row],[Order_Date]])</f>
        <v>2023</v>
      </c>
      <c r="O3466" s="7">
        <f>Table1[[#This Row],[Profit]]/Table1[[#This Row],[Total_Sales]]</f>
        <v>0.43153967007069916</v>
      </c>
    </row>
    <row r="3467" spans="1:15" x14ac:dyDescent="0.25">
      <c r="A3467" s="1">
        <v>3466</v>
      </c>
      <c r="B3467" s="2">
        <v>45501</v>
      </c>
      <c r="C3467" s="1" t="s">
        <v>25</v>
      </c>
      <c r="D3467" s="1" t="s">
        <v>20</v>
      </c>
      <c r="E3467" s="1" t="s">
        <v>21</v>
      </c>
      <c r="F3467" s="1" t="s">
        <v>18</v>
      </c>
      <c r="G3467" s="1">
        <v>2</v>
      </c>
      <c r="H3467" s="1">
        <v>569</v>
      </c>
      <c r="I3467" s="1">
        <v>15</v>
      </c>
      <c r="J3467" s="4">
        <v>967.3</v>
      </c>
      <c r="K3467" s="4">
        <v>648.09</v>
      </c>
      <c r="L3467" s="4">
        <v>319.20999999999998</v>
      </c>
      <c r="M3467" s="1" t="str">
        <f>TEXT(Table1[[#This Row],[Order_Date]], "MMM")</f>
        <v>Jul</v>
      </c>
      <c r="N3467" s="1">
        <f>YEAR(Table1[[#This Row],[Order_Date]])</f>
        <v>2024</v>
      </c>
      <c r="O3467" s="7">
        <f>Table1[[#This Row],[Profit]]/Table1[[#This Row],[Total_Sales]]</f>
        <v>0.33000103380543783</v>
      </c>
    </row>
    <row r="3468" spans="1:15" x14ac:dyDescent="0.25">
      <c r="A3468" s="1">
        <v>3467</v>
      </c>
      <c r="B3468" s="2">
        <v>44982</v>
      </c>
      <c r="C3468" s="1" t="s">
        <v>16</v>
      </c>
      <c r="D3468" s="1" t="s">
        <v>32</v>
      </c>
      <c r="E3468" s="1" t="s">
        <v>33</v>
      </c>
      <c r="F3468" s="1" t="s">
        <v>15</v>
      </c>
      <c r="G3468" s="1">
        <v>6</v>
      </c>
      <c r="H3468" s="1">
        <v>982</v>
      </c>
      <c r="I3468" s="1">
        <v>5</v>
      </c>
      <c r="J3468" s="4">
        <v>5597.4</v>
      </c>
      <c r="K3468" s="4">
        <v>2899.96</v>
      </c>
      <c r="L3468" s="4">
        <v>2697.44</v>
      </c>
      <c r="M3468" s="1" t="str">
        <f>TEXT(Table1[[#This Row],[Order_Date]], "MMM")</f>
        <v>Feb</v>
      </c>
      <c r="N3468" s="1">
        <f>YEAR(Table1[[#This Row],[Order_Date]])</f>
        <v>2023</v>
      </c>
      <c r="O3468" s="7">
        <f>Table1[[#This Row],[Profit]]/Table1[[#This Row],[Total_Sales]]</f>
        <v>0.48190945796262552</v>
      </c>
    </row>
    <row r="3469" spans="1:15" x14ac:dyDescent="0.25">
      <c r="A3469" s="1">
        <v>3468</v>
      </c>
      <c r="B3469" s="2">
        <v>45049</v>
      </c>
      <c r="C3469" s="1" t="s">
        <v>25</v>
      </c>
      <c r="D3469" s="1" t="s">
        <v>32</v>
      </c>
      <c r="E3469" s="1" t="s">
        <v>33</v>
      </c>
      <c r="F3469" s="1" t="s">
        <v>35</v>
      </c>
      <c r="G3469" s="1">
        <v>1</v>
      </c>
      <c r="H3469" s="1">
        <v>172</v>
      </c>
      <c r="I3469" s="1">
        <v>20</v>
      </c>
      <c r="J3469" s="4">
        <v>137.6</v>
      </c>
      <c r="K3469" s="4">
        <v>92.24</v>
      </c>
      <c r="L3469" s="4">
        <v>45.36</v>
      </c>
      <c r="M3469" s="1" t="str">
        <f>TEXT(Table1[[#This Row],[Order_Date]], "MMM")</f>
        <v>May</v>
      </c>
      <c r="N3469" s="1">
        <f>YEAR(Table1[[#This Row],[Order_Date]])</f>
        <v>2023</v>
      </c>
      <c r="O3469" s="7">
        <f>Table1[[#This Row],[Profit]]/Table1[[#This Row],[Total_Sales]]</f>
        <v>0.32965116279069767</v>
      </c>
    </row>
    <row r="3470" spans="1:15" x14ac:dyDescent="0.25">
      <c r="A3470" s="1">
        <v>3469</v>
      </c>
      <c r="B3470" s="2">
        <v>45347</v>
      </c>
      <c r="C3470" s="1" t="s">
        <v>12</v>
      </c>
      <c r="D3470" s="1" t="s">
        <v>32</v>
      </c>
      <c r="E3470" s="1" t="s">
        <v>34</v>
      </c>
      <c r="F3470" s="1" t="s">
        <v>35</v>
      </c>
      <c r="G3470" s="1">
        <v>5</v>
      </c>
      <c r="H3470" s="1">
        <v>795</v>
      </c>
      <c r="I3470" s="1">
        <v>20</v>
      </c>
      <c r="J3470" s="4">
        <v>3180</v>
      </c>
      <c r="K3470" s="4">
        <v>2051.02</v>
      </c>
      <c r="L3470" s="4">
        <v>1128.98</v>
      </c>
      <c r="M3470" s="1" t="str">
        <f>TEXT(Table1[[#This Row],[Order_Date]], "MMM")</f>
        <v>Feb</v>
      </c>
      <c r="N3470" s="1">
        <f>YEAR(Table1[[#This Row],[Order_Date]])</f>
        <v>2024</v>
      </c>
      <c r="O3470" s="7">
        <f>Table1[[#This Row],[Profit]]/Table1[[#This Row],[Total_Sales]]</f>
        <v>0.35502515723270439</v>
      </c>
    </row>
    <row r="3471" spans="1:15" x14ac:dyDescent="0.25">
      <c r="A3471" s="1">
        <v>3470</v>
      </c>
      <c r="B3471" s="2">
        <v>45561</v>
      </c>
      <c r="C3471" s="1" t="s">
        <v>16</v>
      </c>
      <c r="D3471" s="1" t="s">
        <v>20</v>
      </c>
      <c r="E3471" s="1" t="s">
        <v>21</v>
      </c>
      <c r="F3471" s="1" t="s">
        <v>15</v>
      </c>
      <c r="G3471" s="1">
        <v>3</v>
      </c>
      <c r="H3471" s="1">
        <v>740</v>
      </c>
      <c r="I3471" s="1">
        <v>15</v>
      </c>
      <c r="J3471" s="4">
        <v>1887</v>
      </c>
      <c r="K3471" s="4">
        <v>1362.58</v>
      </c>
      <c r="L3471" s="4">
        <v>524.41999999999996</v>
      </c>
      <c r="M3471" s="1" t="str">
        <f>TEXT(Table1[[#This Row],[Order_Date]], "MMM")</f>
        <v>Sep</v>
      </c>
      <c r="N3471" s="1">
        <f>YEAR(Table1[[#This Row],[Order_Date]])</f>
        <v>2024</v>
      </c>
      <c r="O3471" s="7">
        <f>Table1[[#This Row],[Profit]]/Table1[[#This Row],[Total_Sales]]</f>
        <v>0.27791202967673556</v>
      </c>
    </row>
    <row r="3472" spans="1:15" x14ac:dyDescent="0.25">
      <c r="A3472" s="1">
        <v>3471</v>
      </c>
      <c r="B3472" s="2">
        <v>45192</v>
      </c>
      <c r="C3472" s="1" t="s">
        <v>25</v>
      </c>
      <c r="D3472" s="1" t="s">
        <v>13</v>
      </c>
      <c r="E3472" s="1" t="s">
        <v>17</v>
      </c>
      <c r="F3472" s="1" t="s">
        <v>15</v>
      </c>
      <c r="G3472" s="1">
        <v>4</v>
      </c>
      <c r="H3472" s="1">
        <v>128</v>
      </c>
      <c r="I3472" s="1">
        <v>10</v>
      </c>
      <c r="J3472" s="4">
        <v>460.8</v>
      </c>
      <c r="K3472" s="4">
        <v>367.52</v>
      </c>
      <c r="L3472" s="4">
        <v>93.28</v>
      </c>
      <c r="M3472" s="1" t="str">
        <f>TEXT(Table1[[#This Row],[Order_Date]], "MMM")</f>
        <v>Sep</v>
      </c>
      <c r="N3472" s="1">
        <f>YEAR(Table1[[#This Row],[Order_Date]])</f>
        <v>2023</v>
      </c>
      <c r="O3472" s="7">
        <f>Table1[[#This Row],[Profit]]/Table1[[#This Row],[Total_Sales]]</f>
        <v>0.20243055555555556</v>
      </c>
    </row>
    <row r="3473" spans="1:15" x14ac:dyDescent="0.25">
      <c r="A3473" s="1">
        <v>3472</v>
      </c>
      <c r="B3473" s="2">
        <v>45216</v>
      </c>
      <c r="C3473" s="1" t="s">
        <v>19</v>
      </c>
      <c r="D3473" s="1" t="s">
        <v>26</v>
      </c>
      <c r="E3473" s="1" t="s">
        <v>37</v>
      </c>
      <c r="F3473" s="1" t="s">
        <v>40</v>
      </c>
      <c r="G3473" s="1">
        <v>10</v>
      </c>
      <c r="H3473" s="1">
        <v>392</v>
      </c>
      <c r="I3473" s="1">
        <v>5</v>
      </c>
      <c r="J3473" s="4">
        <v>3724</v>
      </c>
      <c r="K3473" s="4">
        <v>2281.4499999999998</v>
      </c>
      <c r="L3473" s="4">
        <v>1442.55</v>
      </c>
      <c r="M3473" s="1" t="str">
        <f>TEXT(Table1[[#This Row],[Order_Date]], "MMM")</f>
        <v>Oct</v>
      </c>
      <c r="N3473" s="1">
        <f>YEAR(Table1[[#This Row],[Order_Date]])</f>
        <v>2023</v>
      </c>
      <c r="O3473" s="7">
        <f>Table1[[#This Row],[Profit]]/Table1[[#This Row],[Total_Sales]]</f>
        <v>0.38736573576799138</v>
      </c>
    </row>
    <row r="3474" spans="1:15" x14ac:dyDescent="0.25">
      <c r="A3474" s="1">
        <v>3473</v>
      </c>
      <c r="B3474" s="2">
        <v>45179</v>
      </c>
      <c r="C3474" s="1" t="s">
        <v>16</v>
      </c>
      <c r="D3474" s="1" t="s">
        <v>13</v>
      </c>
      <c r="E3474" s="1" t="s">
        <v>14</v>
      </c>
      <c r="F3474" s="1" t="s">
        <v>24</v>
      </c>
      <c r="G3474" s="1">
        <v>3</v>
      </c>
      <c r="H3474" s="1">
        <v>827</v>
      </c>
      <c r="I3474" s="1">
        <v>10</v>
      </c>
      <c r="J3474" s="4">
        <v>2232.9</v>
      </c>
      <c r="K3474" s="4">
        <v>1358.32</v>
      </c>
      <c r="L3474" s="4">
        <v>874.58</v>
      </c>
      <c r="M3474" s="1" t="str">
        <f>TEXT(Table1[[#This Row],[Order_Date]], "MMM")</f>
        <v>Sep</v>
      </c>
      <c r="N3474" s="1">
        <f>YEAR(Table1[[#This Row],[Order_Date]])</f>
        <v>2023</v>
      </c>
      <c r="O3474" s="7">
        <f>Table1[[#This Row],[Profit]]/Table1[[#This Row],[Total_Sales]]</f>
        <v>0.39167898248913968</v>
      </c>
    </row>
    <row r="3475" spans="1:15" x14ac:dyDescent="0.25">
      <c r="A3475" s="1">
        <v>3474</v>
      </c>
      <c r="B3475" s="2">
        <v>45050</v>
      </c>
      <c r="C3475" s="1" t="s">
        <v>25</v>
      </c>
      <c r="D3475" s="1" t="s">
        <v>20</v>
      </c>
      <c r="E3475" s="1" t="s">
        <v>21</v>
      </c>
      <c r="F3475" s="1" t="s">
        <v>31</v>
      </c>
      <c r="G3475" s="1">
        <v>3</v>
      </c>
      <c r="H3475" s="1">
        <v>251</v>
      </c>
      <c r="I3475" s="1">
        <v>10</v>
      </c>
      <c r="J3475" s="4">
        <v>677.7</v>
      </c>
      <c r="K3475" s="4">
        <v>467.63</v>
      </c>
      <c r="L3475" s="4">
        <v>210.07</v>
      </c>
      <c r="M3475" s="1" t="str">
        <f>TEXT(Table1[[#This Row],[Order_Date]], "MMM")</f>
        <v>May</v>
      </c>
      <c r="N3475" s="1">
        <f>YEAR(Table1[[#This Row],[Order_Date]])</f>
        <v>2023</v>
      </c>
      <c r="O3475" s="7">
        <f>Table1[[#This Row],[Profit]]/Table1[[#This Row],[Total_Sales]]</f>
        <v>0.30997491515419801</v>
      </c>
    </row>
    <row r="3476" spans="1:15" x14ac:dyDescent="0.25">
      <c r="A3476" s="1">
        <v>3475</v>
      </c>
      <c r="B3476" s="2">
        <v>45545</v>
      </c>
      <c r="C3476" s="1" t="s">
        <v>12</v>
      </c>
      <c r="D3476" s="1" t="s">
        <v>22</v>
      </c>
      <c r="E3476" s="1" t="s">
        <v>36</v>
      </c>
      <c r="F3476" s="1" t="s">
        <v>31</v>
      </c>
      <c r="G3476" s="1">
        <v>5</v>
      </c>
      <c r="H3476" s="1">
        <v>191</v>
      </c>
      <c r="I3476" s="1">
        <v>0</v>
      </c>
      <c r="J3476" s="4">
        <v>955</v>
      </c>
      <c r="K3476" s="4">
        <v>489</v>
      </c>
      <c r="L3476" s="4">
        <v>466</v>
      </c>
      <c r="M3476" s="1" t="str">
        <f>TEXT(Table1[[#This Row],[Order_Date]], "MMM")</f>
        <v>Sep</v>
      </c>
      <c r="N3476" s="1">
        <f>YEAR(Table1[[#This Row],[Order_Date]])</f>
        <v>2024</v>
      </c>
      <c r="O3476" s="7">
        <f>Table1[[#This Row],[Profit]]/Table1[[#This Row],[Total_Sales]]</f>
        <v>0.48795811518324606</v>
      </c>
    </row>
    <row r="3477" spans="1:15" x14ac:dyDescent="0.25">
      <c r="A3477" s="1">
        <v>3476</v>
      </c>
      <c r="B3477" s="2">
        <v>45102</v>
      </c>
      <c r="C3477" s="1" t="s">
        <v>16</v>
      </c>
      <c r="D3477" s="1" t="s">
        <v>32</v>
      </c>
      <c r="E3477" s="1" t="s">
        <v>34</v>
      </c>
      <c r="F3477" s="1" t="s">
        <v>31</v>
      </c>
      <c r="G3477" s="1">
        <v>2</v>
      </c>
      <c r="H3477" s="1">
        <v>762</v>
      </c>
      <c r="I3477" s="1">
        <v>15</v>
      </c>
      <c r="J3477" s="4">
        <v>1295.4000000000001</v>
      </c>
      <c r="K3477" s="4">
        <v>1017.69</v>
      </c>
      <c r="L3477" s="4">
        <v>277.70999999999998</v>
      </c>
      <c r="M3477" s="1" t="str">
        <f>TEXT(Table1[[#This Row],[Order_Date]], "MMM")</f>
        <v>Jun</v>
      </c>
      <c r="N3477" s="1">
        <f>YEAR(Table1[[#This Row],[Order_Date]])</f>
        <v>2023</v>
      </c>
      <c r="O3477" s="7">
        <f>Table1[[#This Row],[Profit]]/Table1[[#This Row],[Total_Sales]]</f>
        <v>0.21438165817508104</v>
      </c>
    </row>
    <row r="3478" spans="1:15" x14ac:dyDescent="0.25">
      <c r="A3478" s="1">
        <v>3477</v>
      </c>
      <c r="B3478" s="2">
        <v>45360</v>
      </c>
      <c r="C3478" s="1" t="s">
        <v>12</v>
      </c>
      <c r="D3478" s="1" t="s">
        <v>32</v>
      </c>
      <c r="E3478" s="1" t="s">
        <v>33</v>
      </c>
      <c r="F3478" s="1" t="s">
        <v>24</v>
      </c>
      <c r="G3478" s="1">
        <v>5</v>
      </c>
      <c r="H3478" s="1">
        <v>86</v>
      </c>
      <c r="I3478" s="1">
        <v>15</v>
      </c>
      <c r="J3478" s="4">
        <v>365.5</v>
      </c>
      <c r="K3478" s="4">
        <v>240.74</v>
      </c>
      <c r="L3478" s="4">
        <v>124.76</v>
      </c>
      <c r="M3478" s="1" t="str">
        <f>TEXT(Table1[[#This Row],[Order_Date]], "MMM")</f>
        <v>Mar</v>
      </c>
      <c r="N3478" s="1">
        <f>YEAR(Table1[[#This Row],[Order_Date]])</f>
        <v>2024</v>
      </c>
      <c r="O3478" s="7">
        <f>Table1[[#This Row],[Profit]]/Table1[[#This Row],[Total_Sales]]</f>
        <v>0.34134062927496583</v>
      </c>
    </row>
    <row r="3479" spans="1:15" x14ac:dyDescent="0.25">
      <c r="A3479" s="1">
        <v>3478</v>
      </c>
      <c r="B3479" s="2">
        <v>45589</v>
      </c>
      <c r="C3479" s="1" t="s">
        <v>16</v>
      </c>
      <c r="D3479" s="1" t="s">
        <v>13</v>
      </c>
      <c r="E3479" s="1" t="s">
        <v>17</v>
      </c>
      <c r="F3479" s="1" t="s">
        <v>31</v>
      </c>
      <c r="G3479" s="1">
        <v>2</v>
      </c>
      <c r="H3479" s="1">
        <v>892</v>
      </c>
      <c r="I3479" s="1">
        <v>10</v>
      </c>
      <c r="J3479" s="4">
        <v>1605.6</v>
      </c>
      <c r="K3479" s="4">
        <v>1062.21</v>
      </c>
      <c r="L3479" s="4">
        <v>543.39</v>
      </c>
      <c r="M3479" s="1" t="str">
        <f>TEXT(Table1[[#This Row],[Order_Date]], "MMM")</f>
        <v>Oct</v>
      </c>
      <c r="N3479" s="1">
        <f>YEAR(Table1[[#This Row],[Order_Date]])</f>
        <v>2024</v>
      </c>
      <c r="O3479" s="7">
        <f>Table1[[#This Row],[Profit]]/Table1[[#This Row],[Total_Sales]]</f>
        <v>0.3384342301943199</v>
      </c>
    </row>
    <row r="3480" spans="1:15" x14ac:dyDescent="0.25">
      <c r="A3480" s="1">
        <v>3479</v>
      </c>
      <c r="B3480" s="2">
        <v>44954</v>
      </c>
      <c r="C3480" s="1" t="s">
        <v>12</v>
      </c>
      <c r="D3480" s="1" t="s">
        <v>20</v>
      </c>
      <c r="E3480" s="1" t="s">
        <v>30</v>
      </c>
      <c r="F3480" s="1" t="s">
        <v>15</v>
      </c>
      <c r="G3480" s="1">
        <v>3</v>
      </c>
      <c r="H3480" s="1">
        <v>435</v>
      </c>
      <c r="I3480" s="1">
        <v>20</v>
      </c>
      <c r="J3480" s="4">
        <v>1044</v>
      </c>
      <c r="K3480" s="4">
        <v>778.38</v>
      </c>
      <c r="L3480" s="4">
        <v>265.62</v>
      </c>
      <c r="M3480" s="1" t="str">
        <f>TEXT(Table1[[#This Row],[Order_Date]], "MMM")</f>
        <v>Jan</v>
      </c>
      <c r="N3480" s="1">
        <f>YEAR(Table1[[#This Row],[Order_Date]])</f>
        <v>2023</v>
      </c>
      <c r="O3480" s="7">
        <f>Table1[[#This Row],[Profit]]/Table1[[#This Row],[Total_Sales]]</f>
        <v>0.25442528735632186</v>
      </c>
    </row>
    <row r="3481" spans="1:15" x14ac:dyDescent="0.25">
      <c r="A3481" s="1">
        <v>3480</v>
      </c>
      <c r="B3481" s="2">
        <v>45537</v>
      </c>
      <c r="C3481" s="1" t="s">
        <v>25</v>
      </c>
      <c r="D3481" s="1" t="s">
        <v>13</v>
      </c>
      <c r="E3481" s="1" t="s">
        <v>38</v>
      </c>
      <c r="F3481" s="1" t="s">
        <v>35</v>
      </c>
      <c r="G3481" s="1">
        <v>6</v>
      </c>
      <c r="H3481" s="1">
        <v>360</v>
      </c>
      <c r="I3481" s="1">
        <v>10</v>
      </c>
      <c r="J3481" s="4">
        <v>1944</v>
      </c>
      <c r="K3481" s="4">
        <v>1536.85</v>
      </c>
      <c r="L3481" s="4">
        <v>407.15</v>
      </c>
      <c r="M3481" s="1" t="str">
        <f>TEXT(Table1[[#This Row],[Order_Date]], "MMM")</f>
        <v>Sep</v>
      </c>
      <c r="N3481" s="1">
        <f>YEAR(Table1[[#This Row],[Order_Date]])</f>
        <v>2024</v>
      </c>
      <c r="O3481" s="7">
        <f>Table1[[#This Row],[Profit]]/Table1[[#This Row],[Total_Sales]]</f>
        <v>0.20943930041152262</v>
      </c>
    </row>
    <row r="3482" spans="1:15" x14ac:dyDescent="0.25">
      <c r="A3482" s="1">
        <v>3481</v>
      </c>
      <c r="B3482" s="2">
        <v>45269</v>
      </c>
      <c r="C3482" s="1" t="s">
        <v>19</v>
      </c>
      <c r="D3482" s="1" t="s">
        <v>26</v>
      </c>
      <c r="E3482" s="1" t="s">
        <v>27</v>
      </c>
      <c r="F3482" s="1" t="s">
        <v>35</v>
      </c>
      <c r="G3482" s="1">
        <v>5</v>
      </c>
      <c r="H3482" s="1">
        <v>852</v>
      </c>
      <c r="I3482" s="1">
        <v>5</v>
      </c>
      <c r="J3482" s="4">
        <v>4047</v>
      </c>
      <c r="K3482" s="4">
        <v>2439.85</v>
      </c>
      <c r="L3482" s="4">
        <v>1607.15</v>
      </c>
      <c r="M3482" s="1" t="str">
        <f>TEXT(Table1[[#This Row],[Order_Date]], "MMM")</f>
        <v>Dec</v>
      </c>
      <c r="N3482" s="1">
        <f>YEAR(Table1[[#This Row],[Order_Date]])</f>
        <v>2023</v>
      </c>
      <c r="O3482" s="7">
        <f>Table1[[#This Row],[Profit]]/Table1[[#This Row],[Total_Sales]]</f>
        <v>0.39712132443785525</v>
      </c>
    </row>
    <row r="3483" spans="1:15" x14ac:dyDescent="0.25">
      <c r="A3483" s="1">
        <v>3482</v>
      </c>
      <c r="B3483" s="2">
        <v>45104</v>
      </c>
      <c r="C3483" s="1" t="s">
        <v>12</v>
      </c>
      <c r="D3483" s="1" t="s">
        <v>22</v>
      </c>
      <c r="E3483" s="1" t="s">
        <v>29</v>
      </c>
      <c r="F3483" s="1" t="s">
        <v>15</v>
      </c>
      <c r="G3483" s="1">
        <v>1</v>
      </c>
      <c r="H3483" s="1">
        <v>782</v>
      </c>
      <c r="I3483" s="1">
        <v>0</v>
      </c>
      <c r="J3483" s="4">
        <v>782</v>
      </c>
      <c r="K3483" s="4">
        <v>601.73</v>
      </c>
      <c r="L3483" s="4">
        <v>180.27</v>
      </c>
      <c r="M3483" s="1" t="str">
        <f>TEXT(Table1[[#This Row],[Order_Date]], "MMM")</f>
        <v>Jun</v>
      </c>
      <c r="N3483" s="1">
        <f>YEAR(Table1[[#This Row],[Order_Date]])</f>
        <v>2023</v>
      </c>
      <c r="O3483" s="7">
        <f>Table1[[#This Row],[Profit]]/Table1[[#This Row],[Total_Sales]]</f>
        <v>0.23052429667519184</v>
      </c>
    </row>
    <row r="3484" spans="1:15" x14ac:dyDescent="0.25">
      <c r="A3484" s="1">
        <v>3483</v>
      </c>
      <c r="B3484" s="2">
        <v>45644</v>
      </c>
      <c r="C3484" s="1" t="s">
        <v>16</v>
      </c>
      <c r="D3484" s="1" t="s">
        <v>32</v>
      </c>
      <c r="E3484" s="1" t="s">
        <v>34</v>
      </c>
      <c r="F3484" s="1" t="s">
        <v>24</v>
      </c>
      <c r="G3484" s="1">
        <v>7</v>
      </c>
      <c r="H3484" s="1">
        <v>726</v>
      </c>
      <c r="I3484" s="1">
        <v>10</v>
      </c>
      <c r="J3484" s="4">
        <v>4573.8</v>
      </c>
      <c r="K3484" s="4">
        <v>3614.95</v>
      </c>
      <c r="L3484" s="4">
        <v>958.85</v>
      </c>
      <c r="M3484" s="1" t="str">
        <f>TEXT(Table1[[#This Row],[Order_Date]], "MMM")</f>
        <v>Dec</v>
      </c>
      <c r="N3484" s="1">
        <f>YEAR(Table1[[#This Row],[Order_Date]])</f>
        <v>2024</v>
      </c>
      <c r="O3484" s="7">
        <f>Table1[[#This Row],[Profit]]/Table1[[#This Row],[Total_Sales]]</f>
        <v>0.20963968691241419</v>
      </c>
    </row>
    <row r="3485" spans="1:15" x14ac:dyDescent="0.25">
      <c r="A3485" s="1">
        <v>3484</v>
      </c>
      <c r="B3485" s="2">
        <v>45285</v>
      </c>
      <c r="C3485" s="1" t="s">
        <v>19</v>
      </c>
      <c r="D3485" s="1" t="s">
        <v>32</v>
      </c>
      <c r="E3485" s="1" t="s">
        <v>33</v>
      </c>
      <c r="F3485" s="1" t="s">
        <v>40</v>
      </c>
      <c r="G3485" s="1">
        <v>5</v>
      </c>
      <c r="H3485" s="1">
        <v>245</v>
      </c>
      <c r="I3485" s="1">
        <v>15</v>
      </c>
      <c r="J3485" s="4">
        <v>1041.25</v>
      </c>
      <c r="K3485" s="4">
        <v>661.14</v>
      </c>
      <c r="L3485" s="4">
        <v>380.11</v>
      </c>
      <c r="M3485" s="1" t="str">
        <f>TEXT(Table1[[#This Row],[Order_Date]], "MMM")</f>
        <v>Dec</v>
      </c>
      <c r="N3485" s="1">
        <f>YEAR(Table1[[#This Row],[Order_Date]])</f>
        <v>2023</v>
      </c>
      <c r="O3485" s="7">
        <f>Table1[[#This Row],[Profit]]/Table1[[#This Row],[Total_Sales]]</f>
        <v>0.3650516206482593</v>
      </c>
    </row>
    <row r="3486" spans="1:15" x14ac:dyDescent="0.25">
      <c r="A3486" s="1">
        <v>3485</v>
      </c>
      <c r="B3486" s="2">
        <v>45213</v>
      </c>
      <c r="C3486" s="1" t="s">
        <v>25</v>
      </c>
      <c r="D3486" s="1" t="s">
        <v>32</v>
      </c>
      <c r="E3486" s="1" t="s">
        <v>41</v>
      </c>
      <c r="F3486" s="1" t="s">
        <v>31</v>
      </c>
      <c r="G3486" s="1">
        <v>10</v>
      </c>
      <c r="H3486" s="1">
        <v>329</v>
      </c>
      <c r="I3486" s="1">
        <v>20</v>
      </c>
      <c r="J3486" s="4">
        <v>2632</v>
      </c>
      <c r="K3486" s="4">
        <v>1441.41</v>
      </c>
      <c r="L3486" s="4">
        <v>1190.5899999999999</v>
      </c>
      <c r="M3486" s="1" t="str">
        <f>TEXT(Table1[[#This Row],[Order_Date]], "MMM")</f>
        <v>Oct</v>
      </c>
      <c r="N3486" s="1">
        <f>YEAR(Table1[[#This Row],[Order_Date]])</f>
        <v>2023</v>
      </c>
      <c r="O3486" s="7">
        <f>Table1[[#This Row],[Profit]]/Table1[[#This Row],[Total_Sales]]</f>
        <v>0.45235182370820665</v>
      </c>
    </row>
    <row r="3487" spans="1:15" x14ac:dyDescent="0.25">
      <c r="A3487" s="1">
        <v>3486</v>
      </c>
      <c r="B3487" s="2">
        <v>45643</v>
      </c>
      <c r="C3487" s="1" t="s">
        <v>12</v>
      </c>
      <c r="D3487" s="1" t="s">
        <v>32</v>
      </c>
      <c r="E3487" s="1" t="s">
        <v>45</v>
      </c>
      <c r="F3487" s="1" t="s">
        <v>31</v>
      </c>
      <c r="G3487" s="1">
        <v>5</v>
      </c>
      <c r="H3487" s="1">
        <v>479</v>
      </c>
      <c r="I3487" s="1">
        <v>20</v>
      </c>
      <c r="J3487" s="4">
        <v>1916</v>
      </c>
      <c r="K3487" s="4">
        <v>1396.71</v>
      </c>
      <c r="L3487" s="4">
        <v>519.29</v>
      </c>
      <c r="M3487" s="1" t="str">
        <f>TEXT(Table1[[#This Row],[Order_Date]], "MMM")</f>
        <v>Dec</v>
      </c>
      <c r="N3487" s="1">
        <f>YEAR(Table1[[#This Row],[Order_Date]])</f>
        <v>2024</v>
      </c>
      <c r="O3487" s="7">
        <f>Table1[[#This Row],[Profit]]/Table1[[#This Row],[Total_Sales]]</f>
        <v>0.27102818371607512</v>
      </c>
    </row>
    <row r="3488" spans="1:15" x14ac:dyDescent="0.25">
      <c r="A3488" s="1">
        <v>3487</v>
      </c>
      <c r="B3488" s="2">
        <v>45084</v>
      </c>
      <c r="C3488" s="1" t="s">
        <v>25</v>
      </c>
      <c r="D3488" s="1" t="s">
        <v>13</v>
      </c>
      <c r="E3488" s="1" t="s">
        <v>39</v>
      </c>
      <c r="F3488" s="1" t="s">
        <v>40</v>
      </c>
      <c r="G3488" s="1">
        <v>7</v>
      </c>
      <c r="H3488" s="1">
        <v>238</v>
      </c>
      <c r="I3488" s="1">
        <v>5</v>
      </c>
      <c r="J3488" s="4">
        <v>1582.7</v>
      </c>
      <c r="K3488" s="4">
        <v>927.95</v>
      </c>
      <c r="L3488" s="4">
        <v>654.75</v>
      </c>
      <c r="M3488" s="1" t="str">
        <f>TEXT(Table1[[#This Row],[Order_Date]], "MMM")</f>
        <v>Jun</v>
      </c>
      <c r="N3488" s="1">
        <f>YEAR(Table1[[#This Row],[Order_Date]])</f>
        <v>2023</v>
      </c>
      <c r="O3488" s="7">
        <f>Table1[[#This Row],[Profit]]/Table1[[#This Row],[Total_Sales]]</f>
        <v>0.41369179250647625</v>
      </c>
    </row>
    <row r="3489" spans="1:15" x14ac:dyDescent="0.25">
      <c r="A3489" s="1">
        <v>3488</v>
      </c>
      <c r="B3489" s="2">
        <v>45298</v>
      </c>
      <c r="C3489" s="1" t="s">
        <v>25</v>
      </c>
      <c r="D3489" s="1" t="s">
        <v>20</v>
      </c>
      <c r="E3489" s="1" t="s">
        <v>30</v>
      </c>
      <c r="F3489" s="1" t="s">
        <v>40</v>
      </c>
      <c r="G3489" s="1">
        <v>10</v>
      </c>
      <c r="H3489" s="1">
        <v>33</v>
      </c>
      <c r="I3489" s="1">
        <v>10</v>
      </c>
      <c r="J3489" s="4">
        <v>297</v>
      </c>
      <c r="K3489" s="4">
        <v>165.5</v>
      </c>
      <c r="L3489" s="4">
        <v>131.5</v>
      </c>
      <c r="M3489" s="1" t="str">
        <f>TEXT(Table1[[#This Row],[Order_Date]], "MMM")</f>
        <v>Jan</v>
      </c>
      <c r="N3489" s="1">
        <f>YEAR(Table1[[#This Row],[Order_Date]])</f>
        <v>2024</v>
      </c>
      <c r="O3489" s="7">
        <f>Table1[[#This Row],[Profit]]/Table1[[#This Row],[Total_Sales]]</f>
        <v>0.44276094276094274</v>
      </c>
    </row>
    <row r="3490" spans="1:15" x14ac:dyDescent="0.25">
      <c r="A3490" s="1">
        <v>3489</v>
      </c>
      <c r="B3490" s="2">
        <v>45529</v>
      </c>
      <c r="C3490" s="1" t="s">
        <v>16</v>
      </c>
      <c r="D3490" s="1" t="s">
        <v>20</v>
      </c>
      <c r="E3490" s="1" t="s">
        <v>28</v>
      </c>
      <c r="F3490" s="1" t="s">
        <v>31</v>
      </c>
      <c r="G3490" s="1">
        <v>8</v>
      </c>
      <c r="H3490" s="1">
        <v>85</v>
      </c>
      <c r="I3490" s="1">
        <v>0</v>
      </c>
      <c r="J3490" s="4">
        <v>680</v>
      </c>
      <c r="K3490" s="4">
        <v>429.51</v>
      </c>
      <c r="L3490" s="4">
        <v>250.49</v>
      </c>
      <c r="M3490" s="1" t="str">
        <f>TEXT(Table1[[#This Row],[Order_Date]], "MMM")</f>
        <v>Aug</v>
      </c>
      <c r="N3490" s="1">
        <f>YEAR(Table1[[#This Row],[Order_Date]])</f>
        <v>2024</v>
      </c>
      <c r="O3490" s="7">
        <f>Table1[[#This Row],[Profit]]/Table1[[#This Row],[Total_Sales]]</f>
        <v>0.36836764705882352</v>
      </c>
    </row>
    <row r="3491" spans="1:15" x14ac:dyDescent="0.25">
      <c r="A3491" s="1">
        <v>3490</v>
      </c>
      <c r="B3491" s="2">
        <v>45394</v>
      </c>
      <c r="C3491" s="1" t="s">
        <v>25</v>
      </c>
      <c r="D3491" s="1" t="s">
        <v>26</v>
      </c>
      <c r="E3491" s="1" t="s">
        <v>27</v>
      </c>
      <c r="F3491" s="1" t="s">
        <v>35</v>
      </c>
      <c r="G3491" s="1">
        <v>6</v>
      </c>
      <c r="H3491" s="1">
        <v>470</v>
      </c>
      <c r="I3491" s="1">
        <v>0</v>
      </c>
      <c r="J3491" s="4">
        <v>2820</v>
      </c>
      <c r="K3491" s="4">
        <v>1580.03</v>
      </c>
      <c r="L3491" s="4">
        <v>1239.97</v>
      </c>
      <c r="M3491" s="1" t="str">
        <f>TEXT(Table1[[#This Row],[Order_Date]], "MMM")</f>
        <v>Apr</v>
      </c>
      <c r="N3491" s="1">
        <f>YEAR(Table1[[#This Row],[Order_Date]])</f>
        <v>2024</v>
      </c>
      <c r="O3491" s="7">
        <f>Table1[[#This Row],[Profit]]/Table1[[#This Row],[Total_Sales]]</f>
        <v>0.43970567375886527</v>
      </c>
    </row>
    <row r="3492" spans="1:15" x14ac:dyDescent="0.25">
      <c r="A3492" s="1">
        <v>3491</v>
      </c>
      <c r="B3492" s="2">
        <v>45606</v>
      </c>
      <c r="C3492" s="1" t="s">
        <v>19</v>
      </c>
      <c r="D3492" s="1" t="s">
        <v>20</v>
      </c>
      <c r="E3492" s="1" t="s">
        <v>43</v>
      </c>
      <c r="F3492" s="1" t="s">
        <v>35</v>
      </c>
      <c r="G3492" s="1">
        <v>1</v>
      </c>
      <c r="H3492" s="1">
        <v>330</v>
      </c>
      <c r="I3492" s="1">
        <v>20</v>
      </c>
      <c r="J3492" s="4">
        <v>264</v>
      </c>
      <c r="K3492" s="4">
        <v>138.12</v>
      </c>
      <c r="L3492" s="4">
        <v>125.88</v>
      </c>
      <c r="M3492" s="1" t="str">
        <f>TEXT(Table1[[#This Row],[Order_Date]], "MMM")</f>
        <v>Nov</v>
      </c>
      <c r="N3492" s="1">
        <f>YEAR(Table1[[#This Row],[Order_Date]])</f>
        <v>2024</v>
      </c>
      <c r="O3492" s="7">
        <f>Table1[[#This Row],[Profit]]/Table1[[#This Row],[Total_Sales]]</f>
        <v>0.47681818181818181</v>
      </c>
    </row>
    <row r="3493" spans="1:15" x14ac:dyDescent="0.25">
      <c r="A3493" s="1">
        <v>3492</v>
      </c>
      <c r="B3493" s="2">
        <v>45287</v>
      </c>
      <c r="C3493" s="1" t="s">
        <v>25</v>
      </c>
      <c r="D3493" s="1" t="s">
        <v>22</v>
      </c>
      <c r="E3493" s="1" t="s">
        <v>23</v>
      </c>
      <c r="F3493" s="1" t="s">
        <v>31</v>
      </c>
      <c r="G3493" s="1">
        <v>4</v>
      </c>
      <c r="H3493" s="1">
        <v>616</v>
      </c>
      <c r="I3493" s="1">
        <v>10</v>
      </c>
      <c r="J3493" s="4">
        <v>2217.6</v>
      </c>
      <c r="K3493" s="4">
        <v>1666.29</v>
      </c>
      <c r="L3493" s="4">
        <v>551.30999999999995</v>
      </c>
      <c r="M3493" s="1" t="str">
        <f>TEXT(Table1[[#This Row],[Order_Date]], "MMM")</f>
        <v>Dec</v>
      </c>
      <c r="N3493" s="1">
        <f>YEAR(Table1[[#This Row],[Order_Date]])</f>
        <v>2023</v>
      </c>
      <c r="O3493" s="7">
        <f>Table1[[#This Row],[Profit]]/Table1[[#This Row],[Total_Sales]]</f>
        <v>0.24860660173160171</v>
      </c>
    </row>
    <row r="3494" spans="1:15" x14ac:dyDescent="0.25">
      <c r="A3494" s="1">
        <v>3493</v>
      </c>
      <c r="B3494" s="2">
        <v>45510</v>
      </c>
      <c r="C3494" s="1" t="s">
        <v>16</v>
      </c>
      <c r="D3494" s="1" t="s">
        <v>32</v>
      </c>
      <c r="E3494" s="1" t="s">
        <v>41</v>
      </c>
      <c r="F3494" s="1" t="s">
        <v>15</v>
      </c>
      <c r="G3494" s="1">
        <v>10</v>
      </c>
      <c r="H3494" s="1">
        <v>784</v>
      </c>
      <c r="I3494" s="1">
        <v>10</v>
      </c>
      <c r="J3494" s="4">
        <v>7056</v>
      </c>
      <c r="K3494" s="4">
        <v>5541.51</v>
      </c>
      <c r="L3494" s="4">
        <v>1514.49</v>
      </c>
      <c r="M3494" s="1" t="str">
        <f>TEXT(Table1[[#This Row],[Order_Date]], "MMM")</f>
        <v>Aug</v>
      </c>
      <c r="N3494" s="1">
        <f>YEAR(Table1[[#This Row],[Order_Date]])</f>
        <v>2024</v>
      </c>
      <c r="O3494" s="7">
        <f>Table1[[#This Row],[Profit]]/Table1[[#This Row],[Total_Sales]]</f>
        <v>0.21463860544217686</v>
      </c>
    </row>
    <row r="3495" spans="1:15" x14ac:dyDescent="0.25">
      <c r="A3495" s="1">
        <v>3494</v>
      </c>
      <c r="B3495" s="2">
        <v>45022</v>
      </c>
      <c r="C3495" s="1" t="s">
        <v>25</v>
      </c>
      <c r="D3495" s="1" t="s">
        <v>26</v>
      </c>
      <c r="E3495" s="1" t="s">
        <v>37</v>
      </c>
      <c r="F3495" s="1" t="s">
        <v>15</v>
      </c>
      <c r="G3495" s="1">
        <v>9</v>
      </c>
      <c r="H3495" s="1">
        <v>763</v>
      </c>
      <c r="I3495" s="1">
        <v>15</v>
      </c>
      <c r="J3495" s="4">
        <v>5836.95</v>
      </c>
      <c r="K3495" s="4">
        <v>3542.21</v>
      </c>
      <c r="L3495" s="4">
        <v>2294.7399999999998</v>
      </c>
      <c r="M3495" s="1" t="str">
        <f>TEXT(Table1[[#This Row],[Order_Date]], "MMM")</f>
        <v>Apr</v>
      </c>
      <c r="N3495" s="1">
        <f>YEAR(Table1[[#This Row],[Order_Date]])</f>
        <v>2023</v>
      </c>
      <c r="O3495" s="7">
        <f>Table1[[#This Row],[Profit]]/Table1[[#This Row],[Total_Sales]]</f>
        <v>0.39314025304311323</v>
      </c>
    </row>
    <row r="3496" spans="1:15" x14ac:dyDescent="0.25">
      <c r="A3496" s="1">
        <v>3495</v>
      </c>
      <c r="B3496" s="2">
        <v>45376</v>
      </c>
      <c r="C3496" s="1" t="s">
        <v>19</v>
      </c>
      <c r="D3496" s="1" t="s">
        <v>20</v>
      </c>
      <c r="E3496" s="1" t="s">
        <v>21</v>
      </c>
      <c r="F3496" s="1" t="s">
        <v>24</v>
      </c>
      <c r="G3496" s="1">
        <v>6</v>
      </c>
      <c r="H3496" s="1">
        <v>792</v>
      </c>
      <c r="I3496" s="1">
        <v>15</v>
      </c>
      <c r="J3496" s="4">
        <v>4039.2</v>
      </c>
      <c r="K3496" s="4">
        <v>2762.5</v>
      </c>
      <c r="L3496" s="4">
        <v>1276.7</v>
      </c>
      <c r="M3496" s="1" t="str">
        <f>TEXT(Table1[[#This Row],[Order_Date]], "MMM")</f>
        <v>Mar</v>
      </c>
      <c r="N3496" s="1">
        <f>YEAR(Table1[[#This Row],[Order_Date]])</f>
        <v>2024</v>
      </c>
      <c r="O3496" s="7">
        <f>Table1[[#This Row],[Profit]]/Table1[[#This Row],[Total_Sales]]</f>
        <v>0.31607744107744112</v>
      </c>
    </row>
    <row r="3497" spans="1:15" x14ac:dyDescent="0.25">
      <c r="A3497" s="1">
        <v>3496</v>
      </c>
      <c r="B3497" s="2">
        <v>45348</v>
      </c>
      <c r="C3497" s="1" t="s">
        <v>16</v>
      </c>
      <c r="D3497" s="1" t="s">
        <v>22</v>
      </c>
      <c r="E3497" s="1" t="s">
        <v>36</v>
      </c>
      <c r="F3497" s="1" t="s">
        <v>35</v>
      </c>
      <c r="G3497" s="1">
        <v>5</v>
      </c>
      <c r="H3497" s="1">
        <v>985</v>
      </c>
      <c r="I3497" s="1">
        <v>20</v>
      </c>
      <c r="J3497" s="4">
        <v>3940</v>
      </c>
      <c r="K3497" s="4">
        <v>2169.2199999999998</v>
      </c>
      <c r="L3497" s="4">
        <v>1770.78</v>
      </c>
      <c r="M3497" s="1" t="str">
        <f>TEXT(Table1[[#This Row],[Order_Date]], "MMM")</f>
        <v>Feb</v>
      </c>
      <c r="N3497" s="1">
        <f>YEAR(Table1[[#This Row],[Order_Date]])</f>
        <v>2024</v>
      </c>
      <c r="O3497" s="7">
        <f>Table1[[#This Row],[Profit]]/Table1[[#This Row],[Total_Sales]]</f>
        <v>0.44943654822335027</v>
      </c>
    </row>
    <row r="3498" spans="1:15" x14ac:dyDescent="0.25">
      <c r="A3498" s="1">
        <v>3497</v>
      </c>
      <c r="B3498" s="2">
        <v>45569</v>
      </c>
      <c r="C3498" s="1" t="s">
        <v>12</v>
      </c>
      <c r="D3498" s="1" t="s">
        <v>13</v>
      </c>
      <c r="E3498" s="1" t="s">
        <v>14</v>
      </c>
      <c r="F3498" s="1" t="s">
        <v>18</v>
      </c>
      <c r="G3498" s="1">
        <v>4</v>
      </c>
      <c r="H3498" s="1">
        <v>563</v>
      </c>
      <c r="I3498" s="1">
        <v>15</v>
      </c>
      <c r="J3498" s="4">
        <v>1914.2</v>
      </c>
      <c r="K3498" s="4">
        <v>1167.67</v>
      </c>
      <c r="L3498" s="4">
        <v>746.53</v>
      </c>
      <c r="M3498" s="1" t="str">
        <f>TEXT(Table1[[#This Row],[Order_Date]], "MMM")</f>
        <v>Oct</v>
      </c>
      <c r="N3498" s="1">
        <f>YEAR(Table1[[#This Row],[Order_Date]])</f>
        <v>2024</v>
      </c>
      <c r="O3498" s="7">
        <f>Table1[[#This Row],[Profit]]/Table1[[#This Row],[Total_Sales]]</f>
        <v>0.3899958207083899</v>
      </c>
    </row>
    <row r="3499" spans="1:15" x14ac:dyDescent="0.25">
      <c r="A3499" s="1">
        <v>3498</v>
      </c>
      <c r="B3499" s="2">
        <v>45268</v>
      </c>
      <c r="C3499" s="1" t="s">
        <v>12</v>
      </c>
      <c r="D3499" s="1" t="s">
        <v>20</v>
      </c>
      <c r="E3499" s="1" t="s">
        <v>43</v>
      </c>
      <c r="F3499" s="1" t="s">
        <v>40</v>
      </c>
      <c r="G3499" s="1">
        <v>6</v>
      </c>
      <c r="H3499" s="1">
        <v>717</v>
      </c>
      <c r="I3499" s="1">
        <v>0</v>
      </c>
      <c r="J3499" s="4">
        <v>4302</v>
      </c>
      <c r="K3499" s="4">
        <v>3397.78</v>
      </c>
      <c r="L3499" s="4">
        <v>904.22</v>
      </c>
      <c r="M3499" s="1" t="str">
        <f>TEXT(Table1[[#This Row],[Order_Date]], "MMM")</f>
        <v>Dec</v>
      </c>
      <c r="N3499" s="1">
        <f>YEAR(Table1[[#This Row],[Order_Date]])</f>
        <v>2023</v>
      </c>
      <c r="O3499" s="7">
        <f>Table1[[#This Row],[Profit]]/Table1[[#This Row],[Total_Sales]]</f>
        <v>0.21018596001859602</v>
      </c>
    </row>
    <row r="3500" spans="1:15" x14ac:dyDescent="0.25">
      <c r="A3500" s="1">
        <v>3499</v>
      </c>
      <c r="B3500" s="2">
        <v>45484</v>
      </c>
      <c r="C3500" s="1" t="s">
        <v>19</v>
      </c>
      <c r="D3500" s="1" t="s">
        <v>22</v>
      </c>
      <c r="E3500" s="1" t="s">
        <v>29</v>
      </c>
      <c r="F3500" s="1" t="s">
        <v>18</v>
      </c>
      <c r="G3500" s="1">
        <v>9</v>
      </c>
      <c r="H3500" s="1">
        <v>138</v>
      </c>
      <c r="I3500" s="1">
        <v>20</v>
      </c>
      <c r="J3500" s="4">
        <v>993.6</v>
      </c>
      <c r="K3500" s="4">
        <v>535.87</v>
      </c>
      <c r="L3500" s="4">
        <v>457.73</v>
      </c>
      <c r="M3500" s="1" t="str">
        <f>TEXT(Table1[[#This Row],[Order_Date]], "MMM")</f>
        <v>Jul</v>
      </c>
      <c r="N3500" s="1">
        <f>YEAR(Table1[[#This Row],[Order_Date]])</f>
        <v>2024</v>
      </c>
      <c r="O3500" s="7">
        <f>Table1[[#This Row],[Profit]]/Table1[[#This Row],[Total_Sales]]</f>
        <v>0.46067834138486313</v>
      </c>
    </row>
    <row r="3501" spans="1:15" x14ac:dyDescent="0.25">
      <c r="A3501" s="1">
        <v>3500</v>
      </c>
      <c r="B3501" s="2">
        <v>45583</v>
      </c>
      <c r="C3501" s="1" t="s">
        <v>16</v>
      </c>
      <c r="D3501" s="1" t="s">
        <v>20</v>
      </c>
      <c r="E3501" s="1" t="s">
        <v>43</v>
      </c>
      <c r="F3501" s="1" t="s">
        <v>31</v>
      </c>
      <c r="G3501" s="1">
        <v>6</v>
      </c>
      <c r="H3501" s="1">
        <v>608</v>
      </c>
      <c r="I3501" s="1">
        <v>0</v>
      </c>
      <c r="J3501" s="4">
        <v>3648</v>
      </c>
      <c r="K3501" s="4">
        <v>2139.87</v>
      </c>
      <c r="L3501" s="4">
        <v>1508.13</v>
      </c>
      <c r="M3501" s="1" t="str">
        <f>TEXT(Table1[[#This Row],[Order_Date]], "MMM")</f>
        <v>Oct</v>
      </c>
      <c r="N3501" s="1">
        <f>YEAR(Table1[[#This Row],[Order_Date]])</f>
        <v>2024</v>
      </c>
      <c r="O3501" s="7">
        <f>Table1[[#This Row],[Profit]]/Table1[[#This Row],[Total_Sales]]</f>
        <v>0.41341282894736847</v>
      </c>
    </row>
    <row r="3502" spans="1:15" x14ac:dyDescent="0.25">
      <c r="A3502" s="1">
        <v>3501</v>
      </c>
      <c r="B3502" s="2">
        <v>44946</v>
      </c>
      <c r="C3502" s="1" t="s">
        <v>16</v>
      </c>
      <c r="D3502" s="1" t="s">
        <v>26</v>
      </c>
      <c r="E3502" s="1" t="s">
        <v>46</v>
      </c>
      <c r="F3502" s="1" t="s">
        <v>40</v>
      </c>
      <c r="G3502" s="1">
        <v>1</v>
      </c>
      <c r="H3502" s="1">
        <v>172</v>
      </c>
      <c r="I3502" s="1">
        <v>20</v>
      </c>
      <c r="J3502" s="4">
        <v>137.6</v>
      </c>
      <c r="K3502" s="4">
        <v>80.010000000000005</v>
      </c>
      <c r="L3502" s="4">
        <v>57.59</v>
      </c>
      <c r="M3502" s="1" t="str">
        <f>TEXT(Table1[[#This Row],[Order_Date]], "MMM")</f>
        <v>Jan</v>
      </c>
      <c r="N3502" s="1">
        <f>YEAR(Table1[[#This Row],[Order_Date]])</f>
        <v>2023</v>
      </c>
      <c r="O3502" s="7">
        <f>Table1[[#This Row],[Profit]]/Table1[[#This Row],[Total_Sales]]</f>
        <v>0.41853197674418607</v>
      </c>
    </row>
    <row r="3503" spans="1:15" x14ac:dyDescent="0.25">
      <c r="A3503" s="1">
        <v>3502</v>
      </c>
      <c r="B3503" s="2">
        <v>45276</v>
      </c>
      <c r="C3503" s="1" t="s">
        <v>19</v>
      </c>
      <c r="D3503" s="1" t="s">
        <v>20</v>
      </c>
      <c r="E3503" s="1" t="s">
        <v>30</v>
      </c>
      <c r="F3503" s="1" t="s">
        <v>40</v>
      </c>
      <c r="G3503" s="1">
        <v>2</v>
      </c>
      <c r="H3503" s="1">
        <v>639</v>
      </c>
      <c r="I3503" s="1">
        <v>5</v>
      </c>
      <c r="J3503" s="4">
        <v>1214.0999999999999</v>
      </c>
      <c r="K3503" s="4">
        <v>953.15</v>
      </c>
      <c r="L3503" s="4">
        <v>260.95</v>
      </c>
      <c r="M3503" s="1" t="str">
        <f>TEXT(Table1[[#This Row],[Order_Date]], "MMM")</f>
        <v>Dec</v>
      </c>
      <c r="N3503" s="1">
        <f>YEAR(Table1[[#This Row],[Order_Date]])</f>
        <v>2023</v>
      </c>
      <c r="O3503" s="7">
        <f>Table1[[#This Row],[Profit]]/Table1[[#This Row],[Total_Sales]]</f>
        <v>0.21493287208631909</v>
      </c>
    </row>
    <row r="3504" spans="1:15" x14ac:dyDescent="0.25">
      <c r="A3504" s="1">
        <v>3503</v>
      </c>
      <c r="B3504" s="2">
        <v>45543</v>
      </c>
      <c r="C3504" s="1" t="s">
        <v>16</v>
      </c>
      <c r="D3504" s="1" t="s">
        <v>13</v>
      </c>
      <c r="E3504" s="1" t="s">
        <v>14</v>
      </c>
      <c r="F3504" s="1" t="s">
        <v>24</v>
      </c>
      <c r="G3504" s="1">
        <v>7</v>
      </c>
      <c r="H3504" s="1">
        <v>992</v>
      </c>
      <c r="I3504" s="1">
        <v>0</v>
      </c>
      <c r="J3504" s="4">
        <v>6944</v>
      </c>
      <c r="K3504" s="4">
        <v>3765.47</v>
      </c>
      <c r="L3504" s="4">
        <v>3178.53</v>
      </c>
      <c r="M3504" s="1" t="str">
        <f>TEXT(Table1[[#This Row],[Order_Date]], "MMM")</f>
        <v>Sep</v>
      </c>
      <c r="N3504" s="1">
        <f>YEAR(Table1[[#This Row],[Order_Date]])</f>
        <v>2024</v>
      </c>
      <c r="O3504" s="7">
        <f>Table1[[#This Row],[Profit]]/Table1[[#This Row],[Total_Sales]]</f>
        <v>0.45773761520737333</v>
      </c>
    </row>
    <row r="3505" spans="1:15" x14ac:dyDescent="0.25">
      <c r="A3505" s="1">
        <v>3504</v>
      </c>
      <c r="B3505" s="2">
        <v>45188</v>
      </c>
      <c r="C3505" s="1" t="s">
        <v>25</v>
      </c>
      <c r="D3505" s="1" t="s">
        <v>32</v>
      </c>
      <c r="E3505" s="1" t="s">
        <v>33</v>
      </c>
      <c r="F3505" s="1" t="s">
        <v>24</v>
      </c>
      <c r="G3505" s="1">
        <v>4</v>
      </c>
      <c r="H3505" s="1">
        <v>130</v>
      </c>
      <c r="I3505" s="1">
        <v>10</v>
      </c>
      <c r="J3505" s="4">
        <v>468</v>
      </c>
      <c r="K3505" s="4">
        <v>371.23</v>
      </c>
      <c r="L3505" s="4">
        <v>96.77</v>
      </c>
      <c r="M3505" s="1" t="str">
        <f>TEXT(Table1[[#This Row],[Order_Date]], "MMM")</f>
        <v>Sep</v>
      </c>
      <c r="N3505" s="1">
        <f>YEAR(Table1[[#This Row],[Order_Date]])</f>
        <v>2023</v>
      </c>
      <c r="O3505" s="7">
        <f>Table1[[#This Row],[Profit]]/Table1[[#This Row],[Total_Sales]]</f>
        <v>0.20677350427350427</v>
      </c>
    </row>
    <row r="3506" spans="1:15" x14ac:dyDescent="0.25">
      <c r="A3506" s="1">
        <v>3505</v>
      </c>
      <c r="B3506" s="2">
        <v>45185</v>
      </c>
      <c r="C3506" s="1" t="s">
        <v>16</v>
      </c>
      <c r="D3506" s="1" t="s">
        <v>32</v>
      </c>
      <c r="E3506" s="1" t="s">
        <v>33</v>
      </c>
      <c r="F3506" s="1" t="s">
        <v>24</v>
      </c>
      <c r="G3506" s="1">
        <v>7</v>
      </c>
      <c r="H3506" s="1">
        <v>39</v>
      </c>
      <c r="I3506" s="1">
        <v>5</v>
      </c>
      <c r="J3506" s="4">
        <v>259.35000000000002</v>
      </c>
      <c r="K3506" s="4">
        <v>192.91</v>
      </c>
      <c r="L3506" s="4">
        <v>66.44</v>
      </c>
      <c r="M3506" s="1" t="str">
        <f>TEXT(Table1[[#This Row],[Order_Date]], "MMM")</f>
        <v>Sep</v>
      </c>
      <c r="N3506" s="1">
        <f>YEAR(Table1[[#This Row],[Order_Date]])</f>
        <v>2023</v>
      </c>
      <c r="O3506" s="7">
        <f>Table1[[#This Row],[Profit]]/Table1[[#This Row],[Total_Sales]]</f>
        <v>0.25617890881048772</v>
      </c>
    </row>
    <row r="3507" spans="1:15" x14ac:dyDescent="0.25">
      <c r="A3507" s="1">
        <v>3506</v>
      </c>
      <c r="B3507" s="2">
        <v>45144</v>
      </c>
      <c r="C3507" s="1" t="s">
        <v>12</v>
      </c>
      <c r="D3507" s="1" t="s">
        <v>32</v>
      </c>
      <c r="E3507" s="1" t="s">
        <v>41</v>
      </c>
      <c r="F3507" s="1" t="s">
        <v>40</v>
      </c>
      <c r="G3507" s="1">
        <v>7</v>
      </c>
      <c r="H3507" s="1">
        <v>868</v>
      </c>
      <c r="I3507" s="1">
        <v>5</v>
      </c>
      <c r="J3507" s="4">
        <v>5772.2</v>
      </c>
      <c r="K3507" s="4">
        <v>3648.08</v>
      </c>
      <c r="L3507" s="4">
        <v>2124.12</v>
      </c>
      <c r="M3507" s="1" t="str">
        <f>TEXT(Table1[[#This Row],[Order_Date]], "MMM")</f>
        <v>Aug</v>
      </c>
      <c r="N3507" s="1">
        <f>YEAR(Table1[[#This Row],[Order_Date]])</f>
        <v>2023</v>
      </c>
      <c r="O3507" s="7">
        <f>Table1[[#This Row],[Profit]]/Table1[[#This Row],[Total_Sales]]</f>
        <v>0.36799140708915146</v>
      </c>
    </row>
    <row r="3508" spans="1:15" x14ac:dyDescent="0.25">
      <c r="A3508" s="1">
        <v>3507</v>
      </c>
      <c r="B3508" s="2">
        <v>45113</v>
      </c>
      <c r="C3508" s="1" t="s">
        <v>16</v>
      </c>
      <c r="D3508" s="1" t="s">
        <v>13</v>
      </c>
      <c r="E3508" s="1" t="s">
        <v>39</v>
      </c>
      <c r="F3508" s="1" t="s">
        <v>18</v>
      </c>
      <c r="G3508" s="1">
        <v>4</v>
      </c>
      <c r="H3508" s="1">
        <v>480</v>
      </c>
      <c r="I3508" s="1">
        <v>0</v>
      </c>
      <c r="J3508" s="4">
        <v>1920</v>
      </c>
      <c r="K3508" s="4">
        <v>1276.47</v>
      </c>
      <c r="L3508" s="4">
        <v>643.53</v>
      </c>
      <c r="M3508" s="1" t="str">
        <f>TEXT(Table1[[#This Row],[Order_Date]], "MMM")</f>
        <v>Jul</v>
      </c>
      <c r="N3508" s="1">
        <f>YEAR(Table1[[#This Row],[Order_Date]])</f>
        <v>2023</v>
      </c>
      <c r="O3508" s="7">
        <f>Table1[[#This Row],[Profit]]/Table1[[#This Row],[Total_Sales]]</f>
        <v>0.33517187500000001</v>
      </c>
    </row>
    <row r="3509" spans="1:15" x14ac:dyDescent="0.25">
      <c r="A3509" s="1">
        <v>3508</v>
      </c>
      <c r="B3509" s="2">
        <v>45365</v>
      </c>
      <c r="C3509" s="1" t="s">
        <v>25</v>
      </c>
      <c r="D3509" s="1" t="s">
        <v>20</v>
      </c>
      <c r="E3509" s="1" t="s">
        <v>21</v>
      </c>
      <c r="F3509" s="1" t="s">
        <v>15</v>
      </c>
      <c r="G3509" s="1">
        <v>6</v>
      </c>
      <c r="H3509" s="1">
        <v>76</v>
      </c>
      <c r="I3509" s="1">
        <v>20</v>
      </c>
      <c r="J3509" s="4">
        <v>364.8</v>
      </c>
      <c r="K3509" s="4">
        <v>277.32</v>
      </c>
      <c r="L3509" s="4">
        <v>87.48</v>
      </c>
      <c r="M3509" s="1" t="str">
        <f>TEXT(Table1[[#This Row],[Order_Date]], "MMM")</f>
        <v>Mar</v>
      </c>
      <c r="N3509" s="1">
        <f>YEAR(Table1[[#This Row],[Order_Date]])</f>
        <v>2024</v>
      </c>
      <c r="O3509" s="7">
        <f>Table1[[#This Row],[Profit]]/Table1[[#This Row],[Total_Sales]]</f>
        <v>0.23980263157894738</v>
      </c>
    </row>
    <row r="3510" spans="1:15" x14ac:dyDescent="0.25">
      <c r="A3510" s="1">
        <v>3509</v>
      </c>
      <c r="B3510" s="2">
        <v>45327</v>
      </c>
      <c r="C3510" s="1" t="s">
        <v>12</v>
      </c>
      <c r="D3510" s="1" t="s">
        <v>26</v>
      </c>
      <c r="E3510" s="1" t="s">
        <v>27</v>
      </c>
      <c r="F3510" s="1" t="s">
        <v>15</v>
      </c>
      <c r="G3510" s="1">
        <v>8</v>
      </c>
      <c r="H3510" s="1">
        <v>201</v>
      </c>
      <c r="I3510" s="1">
        <v>20</v>
      </c>
      <c r="J3510" s="4">
        <v>1286.4000000000001</v>
      </c>
      <c r="K3510" s="4">
        <v>843.79</v>
      </c>
      <c r="L3510" s="4">
        <v>442.61</v>
      </c>
      <c r="M3510" s="1" t="str">
        <f>TEXT(Table1[[#This Row],[Order_Date]], "MMM")</f>
        <v>Feb</v>
      </c>
      <c r="N3510" s="1">
        <f>YEAR(Table1[[#This Row],[Order_Date]])</f>
        <v>2024</v>
      </c>
      <c r="O3510" s="7">
        <f>Table1[[#This Row],[Profit]]/Table1[[#This Row],[Total_Sales]]</f>
        <v>0.34406871890547264</v>
      </c>
    </row>
    <row r="3511" spans="1:15" x14ac:dyDescent="0.25">
      <c r="A3511" s="1">
        <v>3510</v>
      </c>
      <c r="B3511" s="2">
        <v>45124</v>
      </c>
      <c r="C3511" s="1" t="s">
        <v>16</v>
      </c>
      <c r="D3511" s="1" t="s">
        <v>32</v>
      </c>
      <c r="E3511" s="1" t="s">
        <v>41</v>
      </c>
      <c r="F3511" s="1" t="s">
        <v>24</v>
      </c>
      <c r="G3511" s="1">
        <v>6</v>
      </c>
      <c r="H3511" s="1">
        <v>283</v>
      </c>
      <c r="I3511" s="1">
        <v>10</v>
      </c>
      <c r="J3511" s="4">
        <v>1528.2</v>
      </c>
      <c r="K3511" s="4">
        <v>1126.25</v>
      </c>
      <c r="L3511" s="4">
        <v>401.95</v>
      </c>
      <c r="M3511" s="1" t="str">
        <f>TEXT(Table1[[#This Row],[Order_Date]], "MMM")</f>
        <v>Jul</v>
      </c>
      <c r="N3511" s="1">
        <f>YEAR(Table1[[#This Row],[Order_Date]])</f>
        <v>2023</v>
      </c>
      <c r="O3511" s="7">
        <f>Table1[[#This Row],[Profit]]/Table1[[#This Row],[Total_Sales]]</f>
        <v>0.26302185577803949</v>
      </c>
    </row>
    <row r="3512" spans="1:15" x14ac:dyDescent="0.25">
      <c r="A3512" s="1">
        <v>3511</v>
      </c>
      <c r="B3512" s="2">
        <v>45087</v>
      </c>
      <c r="C3512" s="1" t="s">
        <v>19</v>
      </c>
      <c r="D3512" s="1" t="s">
        <v>32</v>
      </c>
      <c r="E3512" s="1" t="s">
        <v>34</v>
      </c>
      <c r="F3512" s="1" t="s">
        <v>15</v>
      </c>
      <c r="G3512" s="1">
        <v>3</v>
      </c>
      <c r="H3512" s="1">
        <v>514</v>
      </c>
      <c r="I3512" s="1">
        <v>15</v>
      </c>
      <c r="J3512" s="4">
        <v>1310.7</v>
      </c>
      <c r="K3512" s="4">
        <v>757.52</v>
      </c>
      <c r="L3512" s="4">
        <v>553.17999999999995</v>
      </c>
      <c r="M3512" s="1" t="str">
        <f>TEXT(Table1[[#This Row],[Order_Date]], "MMM")</f>
        <v>Jun</v>
      </c>
      <c r="N3512" s="1">
        <f>YEAR(Table1[[#This Row],[Order_Date]])</f>
        <v>2023</v>
      </c>
      <c r="O3512" s="7">
        <f>Table1[[#This Row],[Profit]]/Table1[[#This Row],[Total_Sales]]</f>
        <v>0.42204928664072627</v>
      </c>
    </row>
    <row r="3513" spans="1:15" x14ac:dyDescent="0.25">
      <c r="A3513" s="1">
        <v>3512</v>
      </c>
      <c r="B3513" s="2">
        <v>45406</v>
      </c>
      <c r="C3513" s="1" t="s">
        <v>12</v>
      </c>
      <c r="D3513" s="1" t="s">
        <v>22</v>
      </c>
      <c r="E3513" s="1" t="s">
        <v>29</v>
      </c>
      <c r="F3513" s="1" t="s">
        <v>31</v>
      </c>
      <c r="G3513" s="1">
        <v>5</v>
      </c>
      <c r="H3513" s="1">
        <v>390</v>
      </c>
      <c r="I3513" s="1">
        <v>20</v>
      </c>
      <c r="J3513" s="4">
        <v>1560</v>
      </c>
      <c r="K3513" s="4">
        <v>843.2</v>
      </c>
      <c r="L3513" s="4">
        <v>716.8</v>
      </c>
      <c r="M3513" s="1" t="str">
        <f>TEXT(Table1[[#This Row],[Order_Date]], "MMM")</f>
        <v>Apr</v>
      </c>
      <c r="N3513" s="1">
        <f>YEAR(Table1[[#This Row],[Order_Date]])</f>
        <v>2024</v>
      </c>
      <c r="O3513" s="7">
        <f>Table1[[#This Row],[Profit]]/Table1[[#This Row],[Total_Sales]]</f>
        <v>0.45948717948717943</v>
      </c>
    </row>
    <row r="3514" spans="1:15" x14ac:dyDescent="0.25">
      <c r="A3514" s="1">
        <v>3513</v>
      </c>
      <c r="B3514" s="2">
        <v>45486</v>
      </c>
      <c r="C3514" s="1" t="s">
        <v>16</v>
      </c>
      <c r="D3514" s="1" t="s">
        <v>22</v>
      </c>
      <c r="E3514" s="1" t="s">
        <v>44</v>
      </c>
      <c r="F3514" s="1" t="s">
        <v>24</v>
      </c>
      <c r="G3514" s="1">
        <v>7</v>
      </c>
      <c r="H3514" s="1">
        <v>768</v>
      </c>
      <c r="I3514" s="1">
        <v>15</v>
      </c>
      <c r="J3514" s="4">
        <v>4569.6000000000004</v>
      </c>
      <c r="K3514" s="4">
        <v>3521.97</v>
      </c>
      <c r="L3514" s="4">
        <v>1047.6300000000001</v>
      </c>
      <c r="M3514" s="1" t="str">
        <f>TEXT(Table1[[#This Row],[Order_Date]], "MMM")</f>
        <v>Jul</v>
      </c>
      <c r="N3514" s="1">
        <f>YEAR(Table1[[#This Row],[Order_Date]])</f>
        <v>2024</v>
      </c>
      <c r="O3514" s="7">
        <f>Table1[[#This Row],[Profit]]/Table1[[#This Row],[Total_Sales]]</f>
        <v>0.22926076680672269</v>
      </c>
    </row>
    <row r="3515" spans="1:15" x14ac:dyDescent="0.25">
      <c r="A3515" s="1">
        <v>3514</v>
      </c>
      <c r="B3515" s="2">
        <v>45324</v>
      </c>
      <c r="C3515" s="1" t="s">
        <v>16</v>
      </c>
      <c r="D3515" s="1" t="s">
        <v>13</v>
      </c>
      <c r="E3515" s="1" t="s">
        <v>38</v>
      </c>
      <c r="F3515" s="1" t="s">
        <v>40</v>
      </c>
      <c r="G3515" s="1">
        <v>9</v>
      </c>
      <c r="H3515" s="1">
        <v>976</v>
      </c>
      <c r="I3515" s="1">
        <v>5</v>
      </c>
      <c r="J3515" s="4">
        <v>8344.7999999999993</v>
      </c>
      <c r="K3515" s="4">
        <v>5154.05</v>
      </c>
      <c r="L3515" s="4">
        <v>3190.75</v>
      </c>
      <c r="M3515" s="1" t="str">
        <f>TEXT(Table1[[#This Row],[Order_Date]], "MMM")</f>
        <v>Feb</v>
      </c>
      <c r="N3515" s="1">
        <f>YEAR(Table1[[#This Row],[Order_Date]])</f>
        <v>2024</v>
      </c>
      <c r="O3515" s="7">
        <f>Table1[[#This Row],[Profit]]/Table1[[#This Row],[Total_Sales]]</f>
        <v>0.38236386731856969</v>
      </c>
    </row>
    <row r="3516" spans="1:15" x14ac:dyDescent="0.25">
      <c r="A3516" s="1">
        <v>3515</v>
      </c>
      <c r="B3516" s="2">
        <v>45248</v>
      </c>
      <c r="C3516" s="1" t="s">
        <v>16</v>
      </c>
      <c r="D3516" s="1" t="s">
        <v>26</v>
      </c>
      <c r="E3516" s="1" t="s">
        <v>37</v>
      </c>
      <c r="F3516" s="1" t="s">
        <v>18</v>
      </c>
      <c r="G3516" s="1">
        <v>2</v>
      </c>
      <c r="H3516" s="1">
        <v>360</v>
      </c>
      <c r="I3516" s="1">
        <v>10</v>
      </c>
      <c r="J3516" s="4">
        <v>648</v>
      </c>
      <c r="K3516" s="4">
        <v>374.29</v>
      </c>
      <c r="L3516" s="4">
        <v>273.70999999999998</v>
      </c>
      <c r="M3516" s="1" t="str">
        <f>TEXT(Table1[[#This Row],[Order_Date]], "MMM")</f>
        <v>Nov</v>
      </c>
      <c r="N3516" s="1">
        <f>YEAR(Table1[[#This Row],[Order_Date]])</f>
        <v>2023</v>
      </c>
      <c r="O3516" s="7">
        <f>Table1[[#This Row],[Profit]]/Table1[[#This Row],[Total_Sales]]</f>
        <v>0.42239197530864192</v>
      </c>
    </row>
    <row r="3517" spans="1:15" x14ac:dyDescent="0.25">
      <c r="A3517" s="1">
        <v>3516</v>
      </c>
      <c r="B3517" s="2">
        <v>44940</v>
      </c>
      <c r="C3517" s="1" t="s">
        <v>12</v>
      </c>
      <c r="D3517" s="1" t="s">
        <v>26</v>
      </c>
      <c r="E3517" s="1" t="s">
        <v>27</v>
      </c>
      <c r="F3517" s="1" t="s">
        <v>35</v>
      </c>
      <c r="G3517" s="1">
        <v>3</v>
      </c>
      <c r="H3517" s="1">
        <v>72</v>
      </c>
      <c r="I3517" s="1">
        <v>20</v>
      </c>
      <c r="J3517" s="4">
        <v>172.8</v>
      </c>
      <c r="K3517" s="4">
        <v>135.93</v>
      </c>
      <c r="L3517" s="4">
        <v>36.869999999999997</v>
      </c>
      <c r="M3517" s="1" t="str">
        <f>TEXT(Table1[[#This Row],[Order_Date]], "MMM")</f>
        <v>Jan</v>
      </c>
      <c r="N3517" s="1">
        <f>YEAR(Table1[[#This Row],[Order_Date]])</f>
        <v>2023</v>
      </c>
      <c r="O3517" s="7">
        <f>Table1[[#This Row],[Profit]]/Table1[[#This Row],[Total_Sales]]</f>
        <v>0.21336805555555552</v>
      </c>
    </row>
    <row r="3518" spans="1:15" x14ac:dyDescent="0.25">
      <c r="A3518" s="1">
        <v>3517</v>
      </c>
      <c r="B3518" s="2">
        <v>45094</v>
      </c>
      <c r="C3518" s="1" t="s">
        <v>19</v>
      </c>
      <c r="D3518" s="1" t="s">
        <v>22</v>
      </c>
      <c r="E3518" s="1" t="s">
        <v>44</v>
      </c>
      <c r="F3518" s="1" t="s">
        <v>24</v>
      </c>
      <c r="G3518" s="1">
        <v>10</v>
      </c>
      <c r="H3518" s="1">
        <v>766</v>
      </c>
      <c r="I3518" s="1">
        <v>10</v>
      </c>
      <c r="J3518" s="4">
        <v>6894</v>
      </c>
      <c r="K3518" s="4">
        <v>5034.3599999999997</v>
      </c>
      <c r="L3518" s="4">
        <v>1859.64</v>
      </c>
      <c r="M3518" s="1" t="str">
        <f>TEXT(Table1[[#This Row],[Order_Date]], "MMM")</f>
        <v>Jun</v>
      </c>
      <c r="N3518" s="1">
        <f>YEAR(Table1[[#This Row],[Order_Date]])</f>
        <v>2023</v>
      </c>
      <c r="O3518" s="7">
        <f>Table1[[#This Row],[Profit]]/Table1[[#This Row],[Total_Sales]]</f>
        <v>0.26974760661444735</v>
      </c>
    </row>
    <row r="3519" spans="1:15" x14ac:dyDescent="0.25">
      <c r="A3519" s="1">
        <v>3518</v>
      </c>
      <c r="B3519" s="2">
        <v>45539</v>
      </c>
      <c r="C3519" s="1" t="s">
        <v>19</v>
      </c>
      <c r="D3519" s="1" t="s">
        <v>26</v>
      </c>
      <c r="E3519" s="1" t="s">
        <v>27</v>
      </c>
      <c r="F3519" s="1" t="s">
        <v>15</v>
      </c>
      <c r="G3519" s="1">
        <v>8</v>
      </c>
      <c r="H3519" s="1">
        <v>540</v>
      </c>
      <c r="I3519" s="1">
        <v>5</v>
      </c>
      <c r="J3519" s="4">
        <v>4104</v>
      </c>
      <c r="K3519" s="4">
        <v>3090.67</v>
      </c>
      <c r="L3519" s="4">
        <v>1013.33</v>
      </c>
      <c r="M3519" s="1" t="str">
        <f>TEXT(Table1[[#This Row],[Order_Date]], "MMM")</f>
        <v>Sep</v>
      </c>
      <c r="N3519" s="1">
        <f>YEAR(Table1[[#This Row],[Order_Date]])</f>
        <v>2024</v>
      </c>
      <c r="O3519" s="7">
        <f>Table1[[#This Row],[Profit]]/Table1[[#This Row],[Total_Sales]]</f>
        <v>0.24691276803118908</v>
      </c>
    </row>
    <row r="3520" spans="1:15" x14ac:dyDescent="0.25">
      <c r="A3520" s="1">
        <v>3519</v>
      </c>
      <c r="B3520" s="2">
        <v>45400</v>
      </c>
      <c r="C3520" s="1" t="s">
        <v>19</v>
      </c>
      <c r="D3520" s="1" t="s">
        <v>20</v>
      </c>
      <c r="E3520" s="1" t="s">
        <v>21</v>
      </c>
      <c r="F3520" s="1" t="s">
        <v>24</v>
      </c>
      <c r="G3520" s="1">
        <v>1</v>
      </c>
      <c r="H3520" s="1">
        <v>944</v>
      </c>
      <c r="I3520" s="1">
        <v>0</v>
      </c>
      <c r="J3520" s="4">
        <v>944</v>
      </c>
      <c r="K3520" s="4">
        <v>597.54999999999995</v>
      </c>
      <c r="L3520" s="4">
        <v>346.45</v>
      </c>
      <c r="M3520" s="1" t="str">
        <f>TEXT(Table1[[#This Row],[Order_Date]], "MMM")</f>
        <v>Apr</v>
      </c>
      <c r="N3520" s="1">
        <f>YEAR(Table1[[#This Row],[Order_Date]])</f>
        <v>2024</v>
      </c>
      <c r="O3520" s="7">
        <f>Table1[[#This Row],[Profit]]/Table1[[#This Row],[Total_Sales]]</f>
        <v>0.36700211864406779</v>
      </c>
    </row>
    <row r="3521" spans="1:15" x14ac:dyDescent="0.25">
      <c r="A3521" s="1">
        <v>3520</v>
      </c>
      <c r="B3521" s="2">
        <v>45273</v>
      </c>
      <c r="C3521" s="1" t="s">
        <v>25</v>
      </c>
      <c r="D3521" s="1" t="s">
        <v>32</v>
      </c>
      <c r="E3521" s="1" t="s">
        <v>34</v>
      </c>
      <c r="F3521" s="1" t="s">
        <v>40</v>
      </c>
      <c r="G3521" s="1">
        <v>10</v>
      </c>
      <c r="H3521" s="1">
        <v>617</v>
      </c>
      <c r="I3521" s="1">
        <v>15</v>
      </c>
      <c r="J3521" s="4">
        <v>5244.5</v>
      </c>
      <c r="K3521" s="4">
        <v>3007.21</v>
      </c>
      <c r="L3521" s="4">
        <v>2237.29</v>
      </c>
      <c r="M3521" s="1" t="str">
        <f>TEXT(Table1[[#This Row],[Order_Date]], "MMM")</f>
        <v>Dec</v>
      </c>
      <c r="N3521" s="1">
        <f>YEAR(Table1[[#This Row],[Order_Date]])</f>
        <v>2023</v>
      </c>
      <c r="O3521" s="7">
        <f>Table1[[#This Row],[Profit]]/Table1[[#This Row],[Total_Sales]]</f>
        <v>0.42659738773953665</v>
      </c>
    </row>
    <row r="3522" spans="1:15" x14ac:dyDescent="0.25">
      <c r="A3522" s="1">
        <v>3521</v>
      </c>
      <c r="B3522" s="2">
        <v>45603</v>
      </c>
      <c r="C3522" s="1" t="s">
        <v>25</v>
      </c>
      <c r="D3522" s="1" t="s">
        <v>32</v>
      </c>
      <c r="E3522" s="1" t="s">
        <v>34</v>
      </c>
      <c r="F3522" s="1" t="s">
        <v>31</v>
      </c>
      <c r="G3522" s="1">
        <v>10</v>
      </c>
      <c r="H3522" s="1">
        <v>391</v>
      </c>
      <c r="I3522" s="1">
        <v>5</v>
      </c>
      <c r="J3522" s="4">
        <v>3714.5</v>
      </c>
      <c r="K3522" s="4">
        <v>1955.63</v>
      </c>
      <c r="L3522" s="4">
        <v>1758.87</v>
      </c>
      <c r="M3522" s="1" t="str">
        <f>TEXT(Table1[[#This Row],[Order_Date]], "MMM")</f>
        <v>Nov</v>
      </c>
      <c r="N3522" s="1">
        <f>YEAR(Table1[[#This Row],[Order_Date]])</f>
        <v>2024</v>
      </c>
      <c r="O3522" s="7">
        <f>Table1[[#This Row],[Profit]]/Table1[[#This Row],[Total_Sales]]</f>
        <v>0.47351460492663883</v>
      </c>
    </row>
    <row r="3523" spans="1:15" x14ac:dyDescent="0.25">
      <c r="A3523" s="1">
        <v>3522</v>
      </c>
      <c r="B3523" s="2">
        <v>45115</v>
      </c>
      <c r="C3523" s="1" t="s">
        <v>12</v>
      </c>
      <c r="D3523" s="1" t="s">
        <v>22</v>
      </c>
      <c r="E3523" s="1" t="s">
        <v>29</v>
      </c>
      <c r="F3523" s="1" t="s">
        <v>31</v>
      </c>
      <c r="G3523" s="1">
        <v>6</v>
      </c>
      <c r="H3523" s="1">
        <v>592</v>
      </c>
      <c r="I3523" s="1">
        <v>5</v>
      </c>
      <c r="J3523" s="4">
        <v>3374.4</v>
      </c>
      <c r="K3523" s="4">
        <v>2522.16</v>
      </c>
      <c r="L3523" s="4">
        <v>852.24</v>
      </c>
      <c r="M3523" s="1" t="str">
        <f>TEXT(Table1[[#This Row],[Order_Date]], "MMM")</f>
        <v>Jul</v>
      </c>
      <c r="N3523" s="1">
        <f>YEAR(Table1[[#This Row],[Order_Date]])</f>
        <v>2023</v>
      </c>
      <c r="O3523" s="7">
        <f>Table1[[#This Row],[Profit]]/Table1[[#This Row],[Total_Sales]]</f>
        <v>0.25256045519203413</v>
      </c>
    </row>
    <row r="3524" spans="1:15" x14ac:dyDescent="0.25">
      <c r="A3524" s="1">
        <v>3523</v>
      </c>
      <c r="B3524" s="2">
        <v>45236</v>
      </c>
      <c r="C3524" s="1" t="s">
        <v>25</v>
      </c>
      <c r="D3524" s="1" t="s">
        <v>32</v>
      </c>
      <c r="E3524" s="1" t="s">
        <v>45</v>
      </c>
      <c r="F3524" s="1" t="s">
        <v>15</v>
      </c>
      <c r="G3524" s="1">
        <v>9</v>
      </c>
      <c r="H3524" s="1">
        <v>50</v>
      </c>
      <c r="I3524" s="1">
        <v>10</v>
      </c>
      <c r="J3524" s="4">
        <v>405</v>
      </c>
      <c r="K3524" s="4">
        <v>282.92</v>
      </c>
      <c r="L3524" s="4">
        <v>122.08</v>
      </c>
      <c r="M3524" s="1" t="str">
        <f>TEXT(Table1[[#This Row],[Order_Date]], "MMM")</f>
        <v>Nov</v>
      </c>
      <c r="N3524" s="1">
        <f>YEAR(Table1[[#This Row],[Order_Date]])</f>
        <v>2023</v>
      </c>
      <c r="O3524" s="7">
        <f>Table1[[#This Row],[Profit]]/Table1[[#This Row],[Total_Sales]]</f>
        <v>0.30143209876543209</v>
      </c>
    </row>
    <row r="3525" spans="1:15" x14ac:dyDescent="0.25">
      <c r="A3525" s="1">
        <v>3524</v>
      </c>
      <c r="B3525" s="2">
        <v>45529</v>
      </c>
      <c r="C3525" s="1" t="s">
        <v>25</v>
      </c>
      <c r="D3525" s="1" t="s">
        <v>32</v>
      </c>
      <c r="E3525" s="1" t="s">
        <v>33</v>
      </c>
      <c r="F3525" s="1" t="s">
        <v>40</v>
      </c>
      <c r="G3525" s="1">
        <v>1</v>
      </c>
      <c r="H3525" s="1">
        <v>927</v>
      </c>
      <c r="I3525" s="1">
        <v>0</v>
      </c>
      <c r="J3525" s="4">
        <v>927</v>
      </c>
      <c r="K3525" s="4">
        <v>492.95</v>
      </c>
      <c r="L3525" s="4">
        <v>434.05</v>
      </c>
      <c r="M3525" s="1" t="str">
        <f>TEXT(Table1[[#This Row],[Order_Date]], "MMM")</f>
        <v>Aug</v>
      </c>
      <c r="N3525" s="1">
        <f>YEAR(Table1[[#This Row],[Order_Date]])</f>
        <v>2024</v>
      </c>
      <c r="O3525" s="7">
        <f>Table1[[#This Row],[Profit]]/Table1[[#This Row],[Total_Sales]]</f>
        <v>0.46823085221143473</v>
      </c>
    </row>
    <row r="3526" spans="1:15" x14ac:dyDescent="0.25">
      <c r="A3526" s="1">
        <v>3525</v>
      </c>
      <c r="B3526" s="2">
        <v>45097</v>
      </c>
      <c r="C3526" s="1" t="s">
        <v>12</v>
      </c>
      <c r="D3526" s="1" t="s">
        <v>13</v>
      </c>
      <c r="E3526" s="1" t="s">
        <v>14</v>
      </c>
      <c r="F3526" s="1" t="s">
        <v>18</v>
      </c>
      <c r="G3526" s="1">
        <v>8</v>
      </c>
      <c r="H3526" s="1">
        <v>12</v>
      </c>
      <c r="I3526" s="1">
        <v>20</v>
      </c>
      <c r="J3526" s="4">
        <v>76.8</v>
      </c>
      <c r="K3526" s="4">
        <v>43.12</v>
      </c>
      <c r="L3526" s="4">
        <v>33.68</v>
      </c>
      <c r="M3526" s="1" t="str">
        <f>TEXT(Table1[[#This Row],[Order_Date]], "MMM")</f>
        <v>Jun</v>
      </c>
      <c r="N3526" s="1">
        <f>YEAR(Table1[[#This Row],[Order_Date]])</f>
        <v>2023</v>
      </c>
      <c r="O3526" s="7">
        <f>Table1[[#This Row],[Profit]]/Table1[[#This Row],[Total_Sales]]</f>
        <v>0.43854166666666666</v>
      </c>
    </row>
    <row r="3527" spans="1:15" x14ac:dyDescent="0.25">
      <c r="A3527" s="1">
        <v>3526</v>
      </c>
      <c r="B3527" s="2">
        <v>45347</v>
      </c>
      <c r="C3527" s="1" t="s">
        <v>12</v>
      </c>
      <c r="D3527" s="1" t="s">
        <v>22</v>
      </c>
      <c r="E3527" s="1" t="s">
        <v>29</v>
      </c>
      <c r="F3527" s="1" t="s">
        <v>24</v>
      </c>
      <c r="G3527" s="1">
        <v>6</v>
      </c>
      <c r="H3527" s="1">
        <v>978</v>
      </c>
      <c r="I3527" s="1">
        <v>0</v>
      </c>
      <c r="J3527" s="4">
        <v>5868</v>
      </c>
      <c r="K3527" s="4">
        <v>4148.9399999999996</v>
      </c>
      <c r="L3527" s="4">
        <v>1719.06</v>
      </c>
      <c r="M3527" s="1" t="str">
        <f>TEXT(Table1[[#This Row],[Order_Date]], "MMM")</f>
        <v>Feb</v>
      </c>
      <c r="N3527" s="1">
        <f>YEAR(Table1[[#This Row],[Order_Date]])</f>
        <v>2024</v>
      </c>
      <c r="O3527" s="7">
        <f>Table1[[#This Row],[Profit]]/Table1[[#This Row],[Total_Sales]]</f>
        <v>0.29295501022494885</v>
      </c>
    </row>
    <row r="3528" spans="1:15" x14ac:dyDescent="0.25">
      <c r="A3528" s="1">
        <v>3527</v>
      </c>
      <c r="B3528" s="2">
        <v>45124</v>
      </c>
      <c r="C3528" s="1" t="s">
        <v>16</v>
      </c>
      <c r="D3528" s="1" t="s">
        <v>32</v>
      </c>
      <c r="E3528" s="1" t="s">
        <v>45</v>
      </c>
      <c r="F3528" s="1" t="s">
        <v>15</v>
      </c>
      <c r="G3528" s="1">
        <v>1</v>
      </c>
      <c r="H3528" s="1">
        <v>292</v>
      </c>
      <c r="I3528" s="1">
        <v>10</v>
      </c>
      <c r="J3528" s="4">
        <v>262.8</v>
      </c>
      <c r="K3528" s="4">
        <v>178.13</v>
      </c>
      <c r="L3528" s="4">
        <v>84.67</v>
      </c>
      <c r="M3528" s="1" t="str">
        <f>TEXT(Table1[[#This Row],[Order_Date]], "MMM")</f>
        <v>Jul</v>
      </c>
      <c r="N3528" s="1">
        <f>YEAR(Table1[[#This Row],[Order_Date]])</f>
        <v>2023</v>
      </c>
      <c r="O3528" s="7">
        <f>Table1[[#This Row],[Profit]]/Table1[[#This Row],[Total_Sales]]</f>
        <v>0.32218417047184172</v>
      </c>
    </row>
    <row r="3529" spans="1:15" x14ac:dyDescent="0.25">
      <c r="A3529" s="1">
        <v>3528</v>
      </c>
      <c r="B3529" s="2">
        <v>45065</v>
      </c>
      <c r="C3529" s="1" t="s">
        <v>16</v>
      </c>
      <c r="D3529" s="1" t="s">
        <v>13</v>
      </c>
      <c r="E3529" s="1" t="s">
        <v>39</v>
      </c>
      <c r="F3529" s="1" t="s">
        <v>24</v>
      </c>
      <c r="G3529" s="1">
        <v>2</v>
      </c>
      <c r="H3529" s="1">
        <v>356</v>
      </c>
      <c r="I3529" s="1">
        <v>0</v>
      </c>
      <c r="J3529" s="4">
        <v>712</v>
      </c>
      <c r="K3529" s="4">
        <v>390.1</v>
      </c>
      <c r="L3529" s="4">
        <v>321.89999999999998</v>
      </c>
      <c r="M3529" s="1" t="str">
        <f>TEXT(Table1[[#This Row],[Order_Date]], "MMM")</f>
        <v>May</v>
      </c>
      <c r="N3529" s="1">
        <f>YEAR(Table1[[#This Row],[Order_Date]])</f>
        <v>2023</v>
      </c>
      <c r="O3529" s="7">
        <f>Table1[[#This Row],[Profit]]/Table1[[#This Row],[Total_Sales]]</f>
        <v>0.45210674157303365</v>
      </c>
    </row>
    <row r="3530" spans="1:15" x14ac:dyDescent="0.25">
      <c r="A3530" s="1">
        <v>3529</v>
      </c>
      <c r="B3530" s="2">
        <v>45112</v>
      </c>
      <c r="C3530" s="1" t="s">
        <v>16</v>
      </c>
      <c r="D3530" s="1" t="s">
        <v>26</v>
      </c>
      <c r="E3530" s="1" t="s">
        <v>37</v>
      </c>
      <c r="F3530" s="1" t="s">
        <v>35</v>
      </c>
      <c r="G3530" s="1">
        <v>2</v>
      </c>
      <c r="H3530" s="1">
        <v>377</v>
      </c>
      <c r="I3530" s="1">
        <v>15</v>
      </c>
      <c r="J3530" s="4">
        <v>640.9</v>
      </c>
      <c r="K3530" s="4">
        <v>417.49</v>
      </c>
      <c r="L3530" s="4">
        <v>223.41</v>
      </c>
      <c r="M3530" s="1" t="str">
        <f>TEXT(Table1[[#This Row],[Order_Date]], "MMM")</f>
        <v>Jul</v>
      </c>
      <c r="N3530" s="1">
        <f>YEAR(Table1[[#This Row],[Order_Date]])</f>
        <v>2023</v>
      </c>
      <c r="O3530" s="7">
        <f>Table1[[#This Row],[Profit]]/Table1[[#This Row],[Total_Sales]]</f>
        <v>0.34858792323295368</v>
      </c>
    </row>
    <row r="3531" spans="1:15" x14ac:dyDescent="0.25">
      <c r="A3531" s="1">
        <v>3530</v>
      </c>
      <c r="B3531" s="2">
        <v>44973</v>
      </c>
      <c r="C3531" s="1" t="s">
        <v>12</v>
      </c>
      <c r="D3531" s="1" t="s">
        <v>13</v>
      </c>
      <c r="E3531" s="1" t="s">
        <v>14</v>
      </c>
      <c r="F3531" s="1" t="s">
        <v>40</v>
      </c>
      <c r="G3531" s="1">
        <v>5</v>
      </c>
      <c r="H3531" s="1">
        <v>566</v>
      </c>
      <c r="I3531" s="1">
        <v>10</v>
      </c>
      <c r="J3531" s="4">
        <v>2547</v>
      </c>
      <c r="K3531" s="4">
        <v>1925.54</v>
      </c>
      <c r="L3531" s="4">
        <v>621.46</v>
      </c>
      <c r="M3531" s="1" t="str">
        <f>TEXT(Table1[[#This Row],[Order_Date]], "MMM")</f>
        <v>Feb</v>
      </c>
      <c r="N3531" s="1">
        <f>YEAR(Table1[[#This Row],[Order_Date]])</f>
        <v>2023</v>
      </c>
      <c r="O3531" s="7">
        <f>Table1[[#This Row],[Profit]]/Table1[[#This Row],[Total_Sales]]</f>
        <v>0.2439968590498626</v>
      </c>
    </row>
    <row r="3532" spans="1:15" x14ac:dyDescent="0.25">
      <c r="A3532" s="1">
        <v>3531</v>
      </c>
      <c r="B3532" s="2">
        <v>45087</v>
      </c>
      <c r="C3532" s="1" t="s">
        <v>25</v>
      </c>
      <c r="D3532" s="1" t="s">
        <v>22</v>
      </c>
      <c r="E3532" s="1" t="s">
        <v>29</v>
      </c>
      <c r="F3532" s="1" t="s">
        <v>18</v>
      </c>
      <c r="G3532" s="1">
        <v>2</v>
      </c>
      <c r="H3532" s="1">
        <v>795</v>
      </c>
      <c r="I3532" s="1">
        <v>5</v>
      </c>
      <c r="J3532" s="4">
        <v>1510.5</v>
      </c>
      <c r="K3532" s="4">
        <v>891.4</v>
      </c>
      <c r="L3532" s="4">
        <v>619.1</v>
      </c>
      <c r="M3532" s="1" t="str">
        <f>TEXT(Table1[[#This Row],[Order_Date]], "MMM")</f>
        <v>Jun</v>
      </c>
      <c r="N3532" s="1">
        <f>YEAR(Table1[[#This Row],[Order_Date]])</f>
        <v>2023</v>
      </c>
      <c r="O3532" s="7">
        <f>Table1[[#This Row],[Profit]]/Table1[[#This Row],[Total_Sales]]</f>
        <v>0.40986428334988417</v>
      </c>
    </row>
    <row r="3533" spans="1:15" x14ac:dyDescent="0.25">
      <c r="A3533" s="1">
        <v>3532</v>
      </c>
      <c r="B3533" s="2">
        <v>45060</v>
      </c>
      <c r="C3533" s="1" t="s">
        <v>25</v>
      </c>
      <c r="D3533" s="1" t="s">
        <v>20</v>
      </c>
      <c r="E3533" s="1" t="s">
        <v>43</v>
      </c>
      <c r="F3533" s="1" t="s">
        <v>35</v>
      </c>
      <c r="G3533" s="1">
        <v>5</v>
      </c>
      <c r="H3533" s="1">
        <v>176</v>
      </c>
      <c r="I3533" s="1">
        <v>15</v>
      </c>
      <c r="J3533" s="4">
        <v>748</v>
      </c>
      <c r="K3533" s="4">
        <v>453.24</v>
      </c>
      <c r="L3533" s="4">
        <v>294.76</v>
      </c>
      <c r="M3533" s="1" t="str">
        <f>TEXT(Table1[[#This Row],[Order_Date]], "MMM")</f>
        <v>May</v>
      </c>
      <c r="N3533" s="1">
        <f>YEAR(Table1[[#This Row],[Order_Date]])</f>
        <v>2023</v>
      </c>
      <c r="O3533" s="7">
        <f>Table1[[#This Row],[Profit]]/Table1[[#This Row],[Total_Sales]]</f>
        <v>0.39406417112299463</v>
      </c>
    </row>
    <row r="3534" spans="1:15" x14ac:dyDescent="0.25">
      <c r="A3534" s="1">
        <v>3533</v>
      </c>
      <c r="B3534" s="2">
        <v>45108</v>
      </c>
      <c r="C3534" s="1" t="s">
        <v>12</v>
      </c>
      <c r="D3534" s="1" t="s">
        <v>26</v>
      </c>
      <c r="E3534" s="1" t="s">
        <v>46</v>
      </c>
      <c r="F3534" s="1" t="s">
        <v>15</v>
      </c>
      <c r="G3534" s="1">
        <v>7</v>
      </c>
      <c r="H3534" s="1">
        <v>441</v>
      </c>
      <c r="I3534" s="1">
        <v>0</v>
      </c>
      <c r="J3534" s="4">
        <v>3087</v>
      </c>
      <c r="K3534" s="4">
        <v>2309.61</v>
      </c>
      <c r="L3534" s="4">
        <v>777.39</v>
      </c>
      <c r="M3534" s="1" t="str">
        <f>TEXT(Table1[[#This Row],[Order_Date]], "MMM")</f>
        <v>Jul</v>
      </c>
      <c r="N3534" s="1">
        <f>YEAR(Table1[[#This Row],[Order_Date]])</f>
        <v>2023</v>
      </c>
      <c r="O3534" s="7">
        <f>Table1[[#This Row],[Profit]]/Table1[[#This Row],[Total_Sales]]</f>
        <v>0.25182701652089406</v>
      </c>
    </row>
    <row r="3535" spans="1:15" x14ac:dyDescent="0.25">
      <c r="A3535" s="1">
        <v>3534</v>
      </c>
      <c r="B3535" s="2">
        <v>45614</v>
      </c>
      <c r="C3535" s="1" t="s">
        <v>19</v>
      </c>
      <c r="D3535" s="1" t="s">
        <v>20</v>
      </c>
      <c r="E3535" s="1" t="s">
        <v>30</v>
      </c>
      <c r="F3535" s="1" t="s">
        <v>18</v>
      </c>
      <c r="G3535" s="1">
        <v>10</v>
      </c>
      <c r="H3535" s="1">
        <v>738</v>
      </c>
      <c r="I3535" s="1">
        <v>10</v>
      </c>
      <c r="J3535" s="4">
        <v>6642</v>
      </c>
      <c r="K3535" s="4">
        <v>4537.49</v>
      </c>
      <c r="L3535" s="4">
        <v>2104.5100000000002</v>
      </c>
      <c r="M3535" s="1" t="str">
        <f>TEXT(Table1[[#This Row],[Order_Date]], "MMM")</f>
        <v>Nov</v>
      </c>
      <c r="N3535" s="1">
        <f>YEAR(Table1[[#This Row],[Order_Date]])</f>
        <v>2024</v>
      </c>
      <c r="O3535" s="7">
        <f>Table1[[#This Row],[Profit]]/Table1[[#This Row],[Total_Sales]]</f>
        <v>0.31684884071062935</v>
      </c>
    </row>
    <row r="3536" spans="1:15" x14ac:dyDescent="0.25">
      <c r="A3536" s="1">
        <v>3535</v>
      </c>
      <c r="B3536" s="2">
        <v>45112</v>
      </c>
      <c r="C3536" s="1" t="s">
        <v>12</v>
      </c>
      <c r="D3536" s="1" t="s">
        <v>22</v>
      </c>
      <c r="E3536" s="1" t="s">
        <v>36</v>
      </c>
      <c r="F3536" s="1" t="s">
        <v>15</v>
      </c>
      <c r="G3536" s="1">
        <v>1</v>
      </c>
      <c r="H3536" s="1">
        <v>735</v>
      </c>
      <c r="I3536" s="1">
        <v>0</v>
      </c>
      <c r="J3536" s="4">
        <v>735</v>
      </c>
      <c r="K3536" s="4">
        <v>532.73</v>
      </c>
      <c r="L3536" s="4">
        <v>202.27</v>
      </c>
      <c r="M3536" s="1" t="str">
        <f>TEXT(Table1[[#This Row],[Order_Date]], "MMM")</f>
        <v>Jul</v>
      </c>
      <c r="N3536" s="1">
        <f>YEAR(Table1[[#This Row],[Order_Date]])</f>
        <v>2023</v>
      </c>
      <c r="O3536" s="7">
        <f>Table1[[#This Row],[Profit]]/Table1[[#This Row],[Total_Sales]]</f>
        <v>0.27519727891156465</v>
      </c>
    </row>
    <row r="3537" spans="1:15" x14ac:dyDescent="0.25">
      <c r="A3537" s="1">
        <v>3536</v>
      </c>
      <c r="B3537" s="2">
        <v>45487</v>
      </c>
      <c r="C3537" s="1" t="s">
        <v>19</v>
      </c>
      <c r="D3537" s="1" t="s">
        <v>32</v>
      </c>
      <c r="E3537" s="1" t="s">
        <v>41</v>
      </c>
      <c r="F3537" s="1" t="s">
        <v>24</v>
      </c>
      <c r="G3537" s="1">
        <v>3</v>
      </c>
      <c r="H3537" s="1">
        <v>801</v>
      </c>
      <c r="I3537" s="1">
        <v>5</v>
      </c>
      <c r="J3537" s="4">
        <v>2282.85</v>
      </c>
      <c r="K3537" s="4">
        <v>1215.17</v>
      </c>
      <c r="L3537" s="4">
        <v>1067.68</v>
      </c>
      <c r="M3537" s="1" t="str">
        <f>TEXT(Table1[[#This Row],[Order_Date]], "MMM")</f>
        <v>Jul</v>
      </c>
      <c r="N3537" s="1">
        <f>YEAR(Table1[[#This Row],[Order_Date]])</f>
        <v>2024</v>
      </c>
      <c r="O3537" s="7">
        <f>Table1[[#This Row],[Profit]]/Table1[[#This Row],[Total_Sales]]</f>
        <v>0.46769608165232063</v>
      </c>
    </row>
    <row r="3538" spans="1:15" x14ac:dyDescent="0.25">
      <c r="A3538" s="1">
        <v>3537</v>
      </c>
      <c r="B3538" s="2">
        <v>44930</v>
      </c>
      <c r="C3538" s="1" t="s">
        <v>19</v>
      </c>
      <c r="D3538" s="1" t="s">
        <v>13</v>
      </c>
      <c r="E3538" s="1" t="s">
        <v>14</v>
      </c>
      <c r="F3538" s="1" t="s">
        <v>35</v>
      </c>
      <c r="G3538" s="1">
        <v>5</v>
      </c>
      <c r="H3538" s="1">
        <v>894</v>
      </c>
      <c r="I3538" s="1">
        <v>10</v>
      </c>
      <c r="J3538" s="4">
        <v>4023</v>
      </c>
      <c r="K3538" s="4">
        <v>2211.7199999999998</v>
      </c>
      <c r="L3538" s="4">
        <v>1811.28</v>
      </c>
      <c r="M3538" s="1" t="str">
        <f>TEXT(Table1[[#This Row],[Order_Date]], "MMM")</f>
        <v>Jan</v>
      </c>
      <c r="N3538" s="1">
        <f>YEAR(Table1[[#This Row],[Order_Date]])</f>
        <v>2023</v>
      </c>
      <c r="O3538" s="7">
        <f>Table1[[#This Row],[Profit]]/Table1[[#This Row],[Total_Sales]]</f>
        <v>0.4502311707680835</v>
      </c>
    </row>
    <row r="3539" spans="1:15" x14ac:dyDescent="0.25">
      <c r="A3539" s="1">
        <v>3538</v>
      </c>
      <c r="B3539" s="2">
        <v>45131</v>
      </c>
      <c r="C3539" s="1" t="s">
        <v>19</v>
      </c>
      <c r="D3539" s="1" t="s">
        <v>13</v>
      </c>
      <c r="E3539" s="1" t="s">
        <v>17</v>
      </c>
      <c r="F3539" s="1" t="s">
        <v>31</v>
      </c>
      <c r="G3539" s="1">
        <v>2</v>
      </c>
      <c r="H3539" s="1">
        <v>351</v>
      </c>
      <c r="I3539" s="1">
        <v>5</v>
      </c>
      <c r="J3539" s="4">
        <v>666.9</v>
      </c>
      <c r="K3539" s="4">
        <v>360.56</v>
      </c>
      <c r="L3539" s="4">
        <v>306.33999999999997</v>
      </c>
      <c r="M3539" s="1" t="str">
        <f>TEXT(Table1[[#This Row],[Order_Date]], "MMM")</f>
        <v>Jul</v>
      </c>
      <c r="N3539" s="1">
        <f>YEAR(Table1[[#This Row],[Order_Date]])</f>
        <v>2023</v>
      </c>
      <c r="O3539" s="7">
        <f>Table1[[#This Row],[Profit]]/Table1[[#This Row],[Total_Sales]]</f>
        <v>0.45934922777028037</v>
      </c>
    </row>
    <row r="3540" spans="1:15" x14ac:dyDescent="0.25">
      <c r="A3540" s="1">
        <v>3539</v>
      </c>
      <c r="B3540" s="2">
        <v>45547</v>
      </c>
      <c r="C3540" s="1" t="s">
        <v>19</v>
      </c>
      <c r="D3540" s="1" t="s">
        <v>32</v>
      </c>
      <c r="E3540" s="1" t="s">
        <v>41</v>
      </c>
      <c r="F3540" s="1" t="s">
        <v>24</v>
      </c>
      <c r="G3540" s="1">
        <v>3</v>
      </c>
      <c r="H3540" s="1">
        <v>95</v>
      </c>
      <c r="I3540" s="1">
        <v>20</v>
      </c>
      <c r="J3540" s="4">
        <v>228</v>
      </c>
      <c r="K3540" s="4">
        <v>136.97</v>
      </c>
      <c r="L3540" s="4">
        <v>91.03</v>
      </c>
      <c r="M3540" s="1" t="str">
        <f>TEXT(Table1[[#This Row],[Order_Date]], "MMM")</f>
        <v>Sep</v>
      </c>
      <c r="N3540" s="1">
        <f>YEAR(Table1[[#This Row],[Order_Date]])</f>
        <v>2024</v>
      </c>
      <c r="O3540" s="7">
        <f>Table1[[#This Row],[Profit]]/Table1[[#This Row],[Total_Sales]]</f>
        <v>0.39925438596491231</v>
      </c>
    </row>
    <row r="3541" spans="1:15" x14ac:dyDescent="0.25">
      <c r="A3541" s="1">
        <v>3540</v>
      </c>
      <c r="B3541" s="2">
        <v>44986</v>
      </c>
      <c r="C3541" s="1" t="s">
        <v>25</v>
      </c>
      <c r="D3541" s="1" t="s">
        <v>13</v>
      </c>
      <c r="E3541" s="1" t="s">
        <v>17</v>
      </c>
      <c r="F3541" s="1" t="s">
        <v>40</v>
      </c>
      <c r="G3541" s="1">
        <v>3</v>
      </c>
      <c r="H3541" s="1">
        <v>972</v>
      </c>
      <c r="I3541" s="1">
        <v>10</v>
      </c>
      <c r="J3541" s="4">
        <v>2624.4</v>
      </c>
      <c r="K3541" s="4">
        <v>1389.01</v>
      </c>
      <c r="L3541" s="4">
        <v>1235.3900000000001</v>
      </c>
      <c r="M3541" s="1" t="str">
        <f>TEXT(Table1[[#This Row],[Order_Date]], "MMM")</f>
        <v>Mar</v>
      </c>
      <c r="N3541" s="1">
        <f>YEAR(Table1[[#This Row],[Order_Date]])</f>
        <v>2023</v>
      </c>
      <c r="O3541" s="7">
        <f>Table1[[#This Row],[Profit]]/Table1[[#This Row],[Total_Sales]]</f>
        <v>0.47073235787227558</v>
      </c>
    </row>
    <row r="3542" spans="1:15" x14ac:dyDescent="0.25">
      <c r="A3542" s="1">
        <v>3541</v>
      </c>
      <c r="B3542" s="2">
        <v>45021</v>
      </c>
      <c r="C3542" s="1" t="s">
        <v>12</v>
      </c>
      <c r="D3542" s="1" t="s">
        <v>13</v>
      </c>
      <c r="E3542" s="1" t="s">
        <v>14</v>
      </c>
      <c r="F3542" s="1" t="s">
        <v>15</v>
      </c>
      <c r="G3542" s="1">
        <v>10</v>
      </c>
      <c r="H3542" s="1">
        <v>676</v>
      </c>
      <c r="I3542" s="1">
        <v>15</v>
      </c>
      <c r="J3542" s="4">
        <v>5746</v>
      </c>
      <c r="K3542" s="4">
        <v>3253.98</v>
      </c>
      <c r="L3542" s="4">
        <v>2492.02</v>
      </c>
      <c r="M3542" s="1" t="str">
        <f>TEXT(Table1[[#This Row],[Order_Date]], "MMM")</f>
        <v>Apr</v>
      </c>
      <c r="N3542" s="1">
        <f>YEAR(Table1[[#This Row],[Order_Date]])</f>
        <v>2023</v>
      </c>
      <c r="O3542" s="7">
        <f>Table1[[#This Row],[Profit]]/Table1[[#This Row],[Total_Sales]]</f>
        <v>0.43369648451096415</v>
      </c>
    </row>
    <row r="3543" spans="1:15" x14ac:dyDescent="0.25">
      <c r="A3543" s="1">
        <v>3542</v>
      </c>
      <c r="B3543" s="2">
        <v>45541</v>
      </c>
      <c r="C3543" s="1" t="s">
        <v>16</v>
      </c>
      <c r="D3543" s="1" t="s">
        <v>26</v>
      </c>
      <c r="E3543" s="1" t="s">
        <v>46</v>
      </c>
      <c r="F3543" s="1" t="s">
        <v>35</v>
      </c>
      <c r="G3543" s="1">
        <v>7</v>
      </c>
      <c r="H3543" s="1">
        <v>51</v>
      </c>
      <c r="I3543" s="1">
        <v>15</v>
      </c>
      <c r="J3543" s="4">
        <v>303.45</v>
      </c>
      <c r="K3543" s="4">
        <v>181.93</v>
      </c>
      <c r="L3543" s="4">
        <v>121.52</v>
      </c>
      <c r="M3543" s="1" t="str">
        <f>TEXT(Table1[[#This Row],[Order_Date]], "MMM")</f>
        <v>Sep</v>
      </c>
      <c r="N3543" s="1">
        <f>YEAR(Table1[[#This Row],[Order_Date]])</f>
        <v>2024</v>
      </c>
      <c r="O3543" s="7">
        <f>Table1[[#This Row],[Profit]]/Table1[[#This Row],[Total_Sales]]</f>
        <v>0.40046136101499424</v>
      </c>
    </row>
    <row r="3544" spans="1:15" x14ac:dyDescent="0.25">
      <c r="A3544" s="1">
        <v>3543</v>
      </c>
      <c r="B3544" s="2">
        <v>45045</v>
      </c>
      <c r="C3544" s="1" t="s">
        <v>19</v>
      </c>
      <c r="D3544" s="1" t="s">
        <v>13</v>
      </c>
      <c r="E3544" s="1" t="s">
        <v>39</v>
      </c>
      <c r="F3544" s="1" t="s">
        <v>24</v>
      </c>
      <c r="G3544" s="1">
        <v>1</v>
      </c>
      <c r="H3544" s="1">
        <v>771</v>
      </c>
      <c r="I3544" s="1">
        <v>15</v>
      </c>
      <c r="J3544" s="4">
        <v>655.35</v>
      </c>
      <c r="K3544" s="4">
        <v>473.8</v>
      </c>
      <c r="L3544" s="4">
        <v>181.55</v>
      </c>
      <c r="M3544" s="1" t="str">
        <f>TEXT(Table1[[#This Row],[Order_Date]], "MMM")</f>
        <v>Apr</v>
      </c>
      <c r="N3544" s="1">
        <f>YEAR(Table1[[#This Row],[Order_Date]])</f>
        <v>2023</v>
      </c>
      <c r="O3544" s="7">
        <f>Table1[[#This Row],[Profit]]/Table1[[#This Row],[Total_Sales]]</f>
        <v>0.27702754253452355</v>
      </c>
    </row>
    <row r="3545" spans="1:15" x14ac:dyDescent="0.25">
      <c r="A3545" s="1">
        <v>3544</v>
      </c>
      <c r="B3545" s="2">
        <v>45110</v>
      </c>
      <c r="C3545" s="1" t="s">
        <v>12</v>
      </c>
      <c r="D3545" s="1" t="s">
        <v>20</v>
      </c>
      <c r="E3545" s="1" t="s">
        <v>43</v>
      </c>
      <c r="F3545" s="1" t="s">
        <v>18</v>
      </c>
      <c r="G3545" s="1">
        <v>10</v>
      </c>
      <c r="H3545" s="1">
        <v>96</v>
      </c>
      <c r="I3545" s="1">
        <v>5</v>
      </c>
      <c r="J3545" s="4">
        <v>912</v>
      </c>
      <c r="K3545" s="4">
        <v>648.53</v>
      </c>
      <c r="L3545" s="4">
        <v>263.47000000000003</v>
      </c>
      <c r="M3545" s="1" t="str">
        <f>TEXT(Table1[[#This Row],[Order_Date]], "MMM")</f>
        <v>Jul</v>
      </c>
      <c r="N3545" s="1">
        <f>YEAR(Table1[[#This Row],[Order_Date]])</f>
        <v>2023</v>
      </c>
      <c r="O3545" s="7">
        <f>Table1[[#This Row],[Profit]]/Table1[[#This Row],[Total_Sales]]</f>
        <v>0.28889254385964913</v>
      </c>
    </row>
    <row r="3546" spans="1:15" x14ac:dyDescent="0.25">
      <c r="A3546" s="1">
        <v>3545</v>
      </c>
      <c r="B3546" s="2">
        <v>45574</v>
      </c>
      <c r="C3546" s="1" t="s">
        <v>25</v>
      </c>
      <c r="D3546" s="1" t="s">
        <v>13</v>
      </c>
      <c r="E3546" s="1" t="s">
        <v>14</v>
      </c>
      <c r="F3546" s="1" t="s">
        <v>35</v>
      </c>
      <c r="G3546" s="1">
        <v>7</v>
      </c>
      <c r="H3546" s="1">
        <v>162</v>
      </c>
      <c r="I3546" s="1">
        <v>15</v>
      </c>
      <c r="J3546" s="4">
        <v>963.9</v>
      </c>
      <c r="K3546" s="4">
        <v>631.44000000000005</v>
      </c>
      <c r="L3546" s="4">
        <v>332.46</v>
      </c>
      <c r="M3546" s="1" t="str">
        <f>TEXT(Table1[[#This Row],[Order_Date]], "MMM")</f>
        <v>Oct</v>
      </c>
      <c r="N3546" s="1">
        <f>YEAR(Table1[[#This Row],[Order_Date]])</f>
        <v>2024</v>
      </c>
      <c r="O3546" s="7">
        <f>Table1[[#This Row],[Profit]]/Table1[[#This Row],[Total_Sales]]</f>
        <v>0.34491129785247432</v>
      </c>
    </row>
    <row r="3547" spans="1:15" x14ac:dyDescent="0.25">
      <c r="A3547" s="1">
        <v>3546</v>
      </c>
      <c r="B3547" s="2">
        <v>45025</v>
      </c>
      <c r="C3547" s="1" t="s">
        <v>25</v>
      </c>
      <c r="D3547" s="1" t="s">
        <v>13</v>
      </c>
      <c r="E3547" s="1" t="s">
        <v>14</v>
      </c>
      <c r="F3547" s="1" t="s">
        <v>18</v>
      </c>
      <c r="G3547" s="1">
        <v>4</v>
      </c>
      <c r="H3547" s="1">
        <v>174</v>
      </c>
      <c r="I3547" s="1">
        <v>20</v>
      </c>
      <c r="J3547" s="4">
        <v>556.79999999999995</v>
      </c>
      <c r="K3547" s="4">
        <v>399.45</v>
      </c>
      <c r="L3547" s="4">
        <v>157.35</v>
      </c>
      <c r="M3547" s="1" t="str">
        <f>TEXT(Table1[[#This Row],[Order_Date]], "MMM")</f>
        <v>Apr</v>
      </c>
      <c r="N3547" s="1">
        <f>YEAR(Table1[[#This Row],[Order_Date]])</f>
        <v>2023</v>
      </c>
      <c r="O3547" s="7">
        <f>Table1[[#This Row],[Profit]]/Table1[[#This Row],[Total_Sales]]</f>
        <v>0.28259698275862072</v>
      </c>
    </row>
    <row r="3548" spans="1:15" x14ac:dyDescent="0.25">
      <c r="A3548" s="1">
        <v>3547</v>
      </c>
      <c r="B3548" s="2">
        <v>45341</v>
      </c>
      <c r="C3548" s="1" t="s">
        <v>25</v>
      </c>
      <c r="D3548" s="1" t="s">
        <v>22</v>
      </c>
      <c r="E3548" s="1" t="s">
        <v>29</v>
      </c>
      <c r="F3548" s="1" t="s">
        <v>40</v>
      </c>
      <c r="G3548" s="1">
        <v>1</v>
      </c>
      <c r="H3548" s="1">
        <v>292</v>
      </c>
      <c r="I3548" s="1">
        <v>10</v>
      </c>
      <c r="J3548" s="4">
        <v>262.8</v>
      </c>
      <c r="K3548" s="4">
        <v>178.84</v>
      </c>
      <c r="L3548" s="4">
        <v>83.96</v>
      </c>
      <c r="M3548" s="1" t="str">
        <f>TEXT(Table1[[#This Row],[Order_Date]], "MMM")</f>
        <v>Feb</v>
      </c>
      <c r="N3548" s="1">
        <f>YEAR(Table1[[#This Row],[Order_Date]])</f>
        <v>2024</v>
      </c>
      <c r="O3548" s="7">
        <f>Table1[[#This Row],[Profit]]/Table1[[#This Row],[Total_Sales]]</f>
        <v>0.31948249619482494</v>
      </c>
    </row>
    <row r="3549" spans="1:15" x14ac:dyDescent="0.25">
      <c r="A3549" s="1">
        <v>3548</v>
      </c>
      <c r="B3549" s="2">
        <v>45411</v>
      </c>
      <c r="C3549" s="1" t="s">
        <v>12</v>
      </c>
      <c r="D3549" s="1" t="s">
        <v>13</v>
      </c>
      <c r="E3549" s="1" t="s">
        <v>14</v>
      </c>
      <c r="F3549" s="1" t="s">
        <v>31</v>
      </c>
      <c r="G3549" s="1">
        <v>6</v>
      </c>
      <c r="H3549" s="1">
        <v>95</v>
      </c>
      <c r="I3549" s="1">
        <v>0</v>
      </c>
      <c r="J3549" s="4">
        <v>570</v>
      </c>
      <c r="K3549" s="4">
        <v>346.26</v>
      </c>
      <c r="L3549" s="4">
        <v>223.74</v>
      </c>
      <c r="M3549" s="1" t="str">
        <f>TEXT(Table1[[#This Row],[Order_Date]], "MMM")</f>
        <v>Apr</v>
      </c>
      <c r="N3549" s="1">
        <f>YEAR(Table1[[#This Row],[Order_Date]])</f>
        <v>2024</v>
      </c>
      <c r="O3549" s="7">
        <f>Table1[[#This Row],[Profit]]/Table1[[#This Row],[Total_Sales]]</f>
        <v>0.39252631578947372</v>
      </c>
    </row>
    <row r="3550" spans="1:15" x14ac:dyDescent="0.25">
      <c r="A3550" s="1">
        <v>3549</v>
      </c>
      <c r="B3550" s="2">
        <v>45007</v>
      </c>
      <c r="C3550" s="1" t="s">
        <v>19</v>
      </c>
      <c r="D3550" s="1" t="s">
        <v>32</v>
      </c>
      <c r="E3550" s="1" t="s">
        <v>33</v>
      </c>
      <c r="F3550" s="1" t="s">
        <v>35</v>
      </c>
      <c r="G3550" s="1">
        <v>5</v>
      </c>
      <c r="H3550" s="1">
        <v>127</v>
      </c>
      <c r="I3550" s="1">
        <v>20</v>
      </c>
      <c r="J3550" s="4">
        <v>508</v>
      </c>
      <c r="K3550" s="4">
        <v>255.24</v>
      </c>
      <c r="L3550" s="4">
        <v>252.76</v>
      </c>
      <c r="M3550" s="1" t="str">
        <f>TEXT(Table1[[#This Row],[Order_Date]], "MMM")</f>
        <v>Mar</v>
      </c>
      <c r="N3550" s="1">
        <f>YEAR(Table1[[#This Row],[Order_Date]])</f>
        <v>2023</v>
      </c>
      <c r="O3550" s="7">
        <f>Table1[[#This Row],[Profit]]/Table1[[#This Row],[Total_Sales]]</f>
        <v>0.49755905511811022</v>
      </c>
    </row>
    <row r="3551" spans="1:15" x14ac:dyDescent="0.25">
      <c r="A3551" s="1">
        <v>3550</v>
      </c>
      <c r="B3551" s="2">
        <v>45409</v>
      </c>
      <c r="C3551" s="1" t="s">
        <v>16</v>
      </c>
      <c r="D3551" s="1" t="s">
        <v>20</v>
      </c>
      <c r="E3551" s="1" t="s">
        <v>43</v>
      </c>
      <c r="F3551" s="1" t="s">
        <v>35</v>
      </c>
      <c r="G3551" s="1">
        <v>10</v>
      </c>
      <c r="H3551" s="1">
        <v>947</v>
      </c>
      <c r="I3551" s="1">
        <v>15</v>
      </c>
      <c r="J3551" s="4">
        <v>8049.5</v>
      </c>
      <c r="K3551" s="4">
        <v>5761.16</v>
      </c>
      <c r="L3551" s="4">
        <v>2288.34</v>
      </c>
      <c r="M3551" s="1" t="str">
        <f>TEXT(Table1[[#This Row],[Order_Date]], "MMM")</f>
        <v>Apr</v>
      </c>
      <c r="N3551" s="1">
        <f>YEAR(Table1[[#This Row],[Order_Date]])</f>
        <v>2024</v>
      </c>
      <c r="O3551" s="7">
        <f>Table1[[#This Row],[Profit]]/Table1[[#This Row],[Total_Sales]]</f>
        <v>0.28428349586930868</v>
      </c>
    </row>
    <row r="3552" spans="1:15" x14ac:dyDescent="0.25">
      <c r="A3552" s="1">
        <v>3551</v>
      </c>
      <c r="B3552" s="2">
        <v>45085</v>
      </c>
      <c r="C3552" s="1" t="s">
        <v>25</v>
      </c>
      <c r="D3552" s="1" t="s">
        <v>32</v>
      </c>
      <c r="E3552" s="1" t="s">
        <v>41</v>
      </c>
      <c r="F3552" s="1" t="s">
        <v>24</v>
      </c>
      <c r="G3552" s="1">
        <v>5</v>
      </c>
      <c r="H3552" s="1">
        <v>227</v>
      </c>
      <c r="I3552" s="1">
        <v>15</v>
      </c>
      <c r="J3552" s="4">
        <v>964.75</v>
      </c>
      <c r="K3552" s="4">
        <v>508.16</v>
      </c>
      <c r="L3552" s="4">
        <v>456.59</v>
      </c>
      <c r="M3552" s="1" t="str">
        <f>TEXT(Table1[[#This Row],[Order_Date]], "MMM")</f>
        <v>Jun</v>
      </c>
      <c r="N3552" s="1">
        <f>YEAR(Table1[[#This Row],[Order_Date]])</f>
        <v>2023</v>
      </c>
      <c r="O3552" s="7">
        <f>Table1[[#This Row],[Profit]]/Table1[[#This Row],[Total_Sales]]</f>
        <v>0.47327286861881313</v>
      </c>
    </row>
    <row r="3553" spans="1:15" x14ac:dyDescent="0.25">
      <c r="A3553" s="1">
        <v>3552</v>
      </c>
      <c r="B3553" s="2">
        <v>45608</v>
      </c>
      <c r="C3553" s="1" t="s">
        <v>16</v>
      </c>
      <c r="D3553" s="1" t="s">
        <v>32</v>
      </c>
      <c r="E3553" s="1" t="s">
        <v>41</v>
      </c>
      <c r="F3553" s="1" t="s">
        <v>31</v>
      </c>
      <c r="G3553" s="1">
        <v>6</v>
      </c>
      <c r="H3553" s="1">
        <v>807</v>
      </c>
      <c r="I3553" s="1">
        <v>5</v>
      </c>
      <c r="J3553" s="4">
        <v>4599.8999999999996</v>
      </c>
      <c r="K3553" s="4">
        <v>3645.35</v>
      </c>
      <c r="L3553" s="4">
        <v>954.55</v>
      </c>
      <c r="M3553" s="1" t="str">
        <f>TEXT(Table1[[#This Row],[Order_Date]], "MMM")</f>
        <v>Nov</v>
      </c>
      <c r="N3553" s="1">
        <f>YEAR(Table1[[#This Row],[Order_Date]])</f>
        <v>2024</v>
      </c>
      <c r="O3553" s="7">
        <f>Table1[[#This Row],[Profit]]/Table1[[#This Row],[Total_Sales]]</f>
        <v>0.20751538076914716</v>
      </c>
    </row>
    <row r="3554" spans="1:15" x14ac:dyDescent="0.25">
      <c r="A3554" s="1">
        <v>3553</v>
      </c>
      <c r="B3554" s="2">
        <v>45475</v>
      </c>
      <c r="C3554" s="1" t="s">
        <v>16</v>
      </c>
      <c r="D3554" s="1" t="s">
        <v>32</v>
      </c>
      <c r="E3554" s="1" t="s">
        <v>45</v>
      </c>
      <c r="F3554" s="1" t="s">
        <v>24</v>
      </c>
      <c r="G3554" s="1">
        <v>6</v>
      </c>
      <c r="H3554" s="1">
        <v>420</v>
      </c>
      <c r="I3554" s="1">
        <v>10</v>
      </c>
      <c r="J3554" s="4">
        <v>2268</v>
      </c>
      <c r="K3554" s="4">
        <v>1654.63</v>
      </c>
      <c r="L3554" s="4">
        <v>613.37</v>
      </c>
      <c r="M3554" s="1" t="str">
        <f>TEXT(Table1[[#This Row],[Order_Date]], "MMM")</f>
        <v>Jul</v>
      </c>
      <c r="N3554" s="1">
        <f>YEAR(Table1[[#This Row],[Order_Date]])</f>
        <v>2024</v>
      </c>
      <c r="O3554" s="7">
        <f>Table1[[#This Row],[Profit]]/Table1[[#This Row],[Total_Sales]]</f>
        <v>0.27044532627865964</v>
      </c>
    </row>
    <row r="3555" spans="1:15" x14ac:dyDescent="0.25">
      <c r="A3555" s="1">
        <v>3554</v>
      </c>
      <c r="B3555" s="2">
        <v>45072</v>
      </c>
      <c r="C3555" s="1" t="s">
        <v>16</v>
      </c>
      <c r="D3555" s="1" t="s">
        <v>32</v>
      </c>
      <c r="E3555" s="1" t="s">
        <v>33</v>
      </c>
      <c r="F3555" s="1" t="s">
        <v>40</v>
      </c>
      <c r="G3555" s="1">
        <v>4</v>
      </c>
      <c r="H3555" s="1">
        <v>108</v>
      </c>
      <c r="I3555" s="1">
        <v>10</v>
      </c>
      <c r="J3555" s="4">
        <v>388.8</v>
      </c>
      <c r="K3555" s="4">
        <v>246.67</v>
      </c>
      <c r="L3555" s="4">
        <v>142.13</v>
      </c>
      <c r="M3555" s="1" t="str">
        <f>TEXT(Table1[[#This Row],[Order_Date]], "MMM")</f>
        <v>May</v>
      </c>
      <c r="N3555" s="1">
        <f>YEAR(Table1[[#This Row],[Order_Date]])</f>
        <v>2023</v>
      </c>
      <c r="O3555" s="7">
        <f>Table1[[#This Row],[Profit]]/Table1[[#This Row],[Total_Sales]]</f>
        <v>0.36556069958847737</v>
      </c>
    </row>
    <row r="3556" spans="1:15" x14ac:dyDescent="0.25">
      <c r="A3556" s="1">
        <v>3555</v>
      </c>
      <c r="B3556" s="2">
        <v>45032</v>
      </c>
      <c r="C3556" s="1" t="s">
        <v>12</v>
      </c>
      <c r="D3556" s="1" t="s">
        <v>20</v>
      </c>
      <c r="E3556" s="1" t="s">
        <v>43</v>
      </c>
      <c r="F3556" s="1" t="s">
        <v>40</v>
      </c>
      <c r="G3556" s="1">
        <v>10</v>
      </c>
      <c r="H3556" s="1">
        <v>651</v>
      </c>
      <c r="I3556" s="1">
        <v>15</v>
      </c>
      <c r="J3556" s="4">
        <v>5533.5</v>
      </c>
      <c r="K3556" s="4">
        <v>4372.26</v>
      </c>
      <c r="L3556" s="4">
        <v>1161.24</v>
      </c>
      <c r="M3556" s="1" t="str">
        <f>TEXT(Table1[[#This Row],[Order_Date]], "MMM")</f>
        <v>Apr</v>
      </c>
      <c r="N3556" s="1">
        <f>YEAR(Table1[[#This Row],[Order_Date]])</f>
        <v>2023</v>
      </c>
      <c r="O3556" s="7">
        <f>Table1[[#This Row],[Profit]]/Table1[[#This Row],[Total_Sales]]</f>
        <v>0.20985632962862563</v>
      </c>
    </row>
    <row r="3557" spans="1:15" x14ac:dyDescent="0.25">
      <c r="A3557" s="1">
        <v>3556</v>
      </c>
      <c r="B3557" s="2">
        <v>45268</v>
      </c>
      <c r="C3557" s="1" t="s">
        <v>12</v>
      </c>
      <c r="D3557" s="1" t="s">
        <v>26</v>
      </c>
      <c r="E3557" s="1" t="s">
        <v>42</v>
      </c>
      <c r="F3557" s="1" t="s">
        <v>18</v>
      </c>
      <c r="G3557" s="1">
        <v>4</v>
      </c>
      <c r="H3557" s="1">
        <v>17</v>
      </c>
      <c r="I3557" s="1">
        <v>0</v>
      </c>
      <c r="J3557" s="4">
        <v>68</v>
      </c>
      <c r="K3557" s="4">
        <v>43.08</v>
      </c>
      <c r="L3557" s="4">
        <v>24.92</v>
      </c>
      <c r="M3557" s="1" t="str">
        <f>TEXT(Table1[[#This Row],[Order_Date]], "MMM")</f>
        <v>Dec</v>
      </c>
      <c r="N3557" s="1">
        <f>YEAR(Table1[[#This Row],[Order_Date]])</f>
        <v>2023</v>
      </c>
      <c r="O3557" s="7">
        <f>Table1[[#This Row],[Profit]]/Table1[[#This Row],[Total_Sales]]</f>
        <v>0.36647058823529416</v>
      </c>
    </row>
    <row r="3558" spans="1:15" x14ac:dyDescent="0.25">
      <c r="A3558" s="1">
        <v>3557</v>
      </c>
      <c r="B3558" s="2">
        <v>45124</v>
      </c>
      <c r="C3558" s="1" t="s">
        <v>19</v>
      </c>
      <c r="D3558" s="1" t="s">
        <v>13</v>
      </c>
      <c r="E3558" s="1" t="s">
        <v>38</v>
      </c>
      <c r="F3558" s="1" t="s">
        <v>18</v>
      </c>
      <c r="G3558" s="1">
        <v>2</v>
      </c>
      <c r="H3558" s="1">
        <v>423</v>
      </c>
      <c r="I3558" s="1">
        <v>10</v>
      </c>
      <c r="J3558" s="4">
        <v>761.4</v>
      </c>
      <c r="K3558" s="4">
        <v>509.76</v>
      </c>
      <c r="L3558" s="4">
        <v>251.64</v>
      </c>
      <c r="M3558" s="1" t="str">
        <f>TEXT(Table1[[#This Row],[Order_Date]], "MMM")</f>
        <v>Jul</v>
      </c>
      <c r="N3558" s="1">
        <f>YEAR(Table1[[#This Row],[Order_Date]])</f>
        <v>2023</v>
      </c>
      <c r="O3558" s="7">
        <f>Table1[[#This Row],[Profit]]/Table1[[#This Row],[Total_Sales]]</f>
        <v>0.3304964539007092</v>
      </c>
    </row>
    <row r="3559" spans="1:15" x14ac:dyDescent="0.25">
      <c r="A3559" s="1">
        <v>3558</v>
      </c>
      <c r="B3559" s="2">
        <v>45618</v>
      </c>
      <c r="C3559" s="1" t="s">
        <v>19</v>
      </c>
      <c r="D3559" s="1" t="s">
        <v>22</v>
      </c>
      <c r="E3559" s="1" t="s">
        <v>44</v>
      </c>
      <c r="F3559" s="1" t="s">
        <v>18</v>
      </c>
      <c r="G3559" s="1">
        <v>6</v>
      </c>
      <c r="H3559" s="1">
        <v>741</v>
      </c>
      <c r="I3559" s="1">
        <v>5</v>
      </c>
      <c r="J3559" s="4">
        <v>4223.7</v>
      </c>
      <c r="K3559" s="4">
        <v>2951.79</v>
      </c>
      <c r="L3559" s="4">
        <v>1271.9100000000001</v>
      </c>
      <c r="M3559" s="1" t="str">
        <f>TEXT(Table1[[#This Row],[Order_Date]], "MMM")</f>
        <v>Nov</v>
      </c>
      <c r="N3559" s="1">
        <f>YEAR(Table1[[#This Row],[Order_Date]])</f>
        <v>2024</v>
      </c>
      <c r="O3559" s="7">
        <f>Table1[[#This Row],[Profit]]/Table1[[#This Row],[Total_Sales]]</f>
        <v>0.3011364443497408</v>
      </c>
    </row>
    <row r="3560" spans="1:15" x14ac:dyDescent="0.25">
      <c r="A3560" s="1">
        <v>3559</v>
      </c>
      <c r="B3560" s="2">
        <v>45573</v>
      </c>
      <c r="C3560" s="1" t="s">
        <v>16</v>
      </c>
      <c r="D3560" s="1" t="s">
        <v>20</v>
      </c>
      <c r="E3560" s="1" t="s">
        <v>28</v>
      </c>
      <c r="F3560" s="1" t="s">
        <v>15</v>
      </c>
      <c r="G3560" s="1">
        <v>5</v>
      </c>
      <c r="H3560" s="1">
        <v>347</v>
      </c>
      <c r="I3560" s="1">
        <v>5</v>
      </c>
      <c r="J3560" s="4">
        <v>1648.25</v>
      </c>
      <c r="K3560" s="4">
        <v>843.05</v>
      </c>
      <c r="L3560" s="4">
        <v>805.2</v>
      </c>
      <c r="M3560" s="1" t="str">
        <f>TEXT(Table1[[#This Row],[Order_Date]], "MMM")</f>
        <v>Oct</v>
      </c>
      <c r="N3560" s="1">
        <f>YEAR(Table1[[#This Row],[Order_Date]])</f>
        <v>2024</v>
      </c>
      <c r="O3560" s="7">
        <f>Table1[[#This Row],[Profit]]/Table1[[#This Row],[Total_Sales]]</f>
        <v>0.48851812528439259</v>
      </c>
    </row>
    <row r="3561" spans="1:15" x14ac:dyDescent="0.25">
      <c r="A3561" s="1">
        <v>3560</v>
      </c>
      <c r="B3561" s="2">
        <v>45211</v>
      </c>
      <c r="C3561" s="1" t="s">
        <v>25</v>
      </c>
      <c r="D3561" s="1" t="s">
        <v>22</v>
      </c>
      <c r="E3561" s="1" t="s">
        <v>36</v>
      </c>
      <c r="F3561" s="1" t="s">
        <v>15</v>
      </c>
      <c r="G3561" s="1">
        <v>5</v>
      </c>
      <c r="H3561" s="1">
        <v>581</v>
      </c>
      <c r="I3561" s="1">
        <v>20</v>
      </c>
      <c r="J3561" s="4">
        <v>2324</v>
      </c>
      <c r="K3561" s="4">
        <v>1463.85</v>
      </c>
      <c r="L3561" s="4">
        <v>860.15</v>
      </c>
      <c r="M3561" s="1" t="str">
        <f>TEXT(Table1[[#This Row],[Order_Date]], "MMM")</f>
        <v>Oct</v>
      </c>
      <c r="N3561" s="1">
        <f>YEAR(Table1[[#This Row],[Order_Date]])</f>
        <v>2023</v>
      </c>
      <c r="O3561" s="7">
        <f>Table1[[#This Row],[Profit]]/Table1[[#This Row],[Total_Sales]]</f>
        <v>0.37011617900172117</v>
      </c>
    </row>
    <row r="3562" spans="1:15" x14ac:dyDescent="0.25">
      <c r="A3562" s="1">
        <v>3561</v>
      </c>
      <c r="B3562" s="2">
        <v>45293</v>
      </c>
      <c r="C3562" s="1" t="s">
        <v>19</v>
      </c>
      <c r="D3562" s="1" t="s">
        <v>22</v>
      </c>
      <c r="E3562" s="1" t="s">
        <v>36</v>
      </c>
      <c r="F3562" s="1" t="s">
        <v>31</v>
      </c>
      <c r="G3562" s="1">
        <v>4</v>
      </c>
      <c r="H3562" s="1">
        <v>677</v>
      </c>
      <c r="I3562" s="1">
        <v>10</v>
      </c>
      <c r="J3562" s="4">
        <v>2437.1999999999998</v>
      </c>
      <c r="K3562" s="4">
        <v>1407.52</v>
      </c>
      <c r="L3562" s="4">
        <v>1029.68</v>
      </c>
      <c r="M3562" s="1" t="str">
        <f>TEXT(Table1[[#This Row],[Order_Date]], "MMM")</f>
        <v>Jan</v>
      </c>
      <c r="N3562" s="1">
        <f>YEAR(Table1[[#This Row],[Order_Date]])</f>
        <v>2024</v>
      </c>
      <c r="O3562" s="7">
        <f>Table1[[#This Row],[Profit]]/Table1[[#This Row],[Total_Sales]]</f>
        <v>0.42248481864434601</v>
      </c>
    </row>
    <row r="3563" spans="1:15" x14ac:dyDescent="0.25">
      <c r="A3563" s="1">
        <v>3562</v>
      </c>
      <c r="B3563" s="2">
        <v>45349</v>
      </c>
      <c r="C3563" s="1" t="s">
        <v>16</v>
      </c>
      <c r="D3563" s="1" t="s">
        <v>26</v>
      </c>
      <c r="E3563" s="1" t="s">
        <v>37</v>
      </c>
      <c r="F3563" s="1" t="s">
        <v>40</v>
      </c>
      <c r="G3563" s="1">
        <v>2</v>
      </c>
      <c r="H3563" s="1">
        <v>464</v>
      </c>
      <c r="I3563" s="1">
        <v>15</v>
      </c>
      <c r="J3563" s="4">
        <v>788.8</v>
      </c>
      <c r="K3563" s="4">
        <v>499.09</v>
      </c>
      <c r="L3563" s="4">
        <v>289.70999999999998</v>
      </c>
      <c r="M3563" s="1" t="str">
        <f>TEXT(Table1[[#This Row],[Order_Date]], "MMM")</f>
        <v>Feb</v>
      </c>
      <c r="N3563" s="1">
        <f>YEAR(Table1[[#This Row],[Order_Date]])</f>
        <v>2024</v>
      </c>
      <c r="O3563" s="7">
        <f>Table1[[#This Row],[Profit]]/Table1[[#This Row],[Total_Sales]]</f>
        <v>0.36727941176470585</v>
      </c>
    </row>
    <row r="3564" spans="1:15" x14ac:dyDescent="0.25">
      <c r="A3564" s="1">
        <v>3563</v>
      </c>
      <c r="B3564" s="2">
        <v>45275</v>
      </c>
      <c r="C3564" s="1" t="s">
        <v>25</v>
      </c>
      <c r="D3564" s="1" t="s">
        <v>13</v>
      </c>
      <c r="E3564" s="1" t="s">
        <v>39</v>
      </c>
      <c r="F3564" s="1" t="s">
        <v>35</v>
      </c>
      <c r="G3564" s="1">
        <v>8</v>
      </c>
      <c r="H3564" s="1">
        <v>286</v>
      </c>
      <c r="I3564" s="1">
        <v>5</v>
      </c>
      <c r="J3564" s="4">
        <v>2173.6</v>
      </c>
      <c r="K3564" s="4">
        <v>1165.17</v>
      </c>
      <c r="L3564" s="4">
        <v>1008.43</v>
      </c>
      <c r="M3564" s="1" t="str">
        <f>TEXT(Table1[[#This Row],[Order_Date]], "MMM")</f>
        <v>Dec</v>
      </c>
      <c r="N3564" s="1">
        <f>YEAR(Table1[[#This Row],[Order_Date]])</f>
        <v>2023</v>
      </c>
      <c r="O3564" s="7">
        <f>Table1[[#This Row],[Profit]]/Table1[[#This Row],[Total_Sales]]</f>
        <v>0.46394460802355542</v>
      </c>
    </row>
    <row r="3565" spans="1:15" x14ac:dyDescent="0.25">
      <c r="A3565" s="1">
        <v>3564</v>
      </c>
      <c r="B3565" s="2">
        <v>45524</v>
      </c>
      <c r="C3565" s="1" t="s">
        <v>19</v>
      </c>
      <c r="D3565" s="1" t="s">
        <v>32</v>
      </c>
      <c r="E3565" s="1" t="s">
        <v>33</v>
      </c>
      <c r="F3565" s="1" t="s">
        <v>15</v>
      </c>
      <c r="G3565" s="1">
        <v>5</v>
      </c>
      <c r="H3565" s="1">
        <v>996</v>
      </c>
      <c r="I3565" s="1">
        <v>5</v>
      </c>
      <c r="J3565" s="4">
        <v>4731</v>
      </c>
      <c r="K3565" s="4">
        <v>2416.89</v>
      </c>
      <c r="L3565" s="4">
        <v>2314.11</v>
      </c>
      <c r="M3565" s="1" t="str">
        <f>TEXT(Table1[[#This Row],[Order_Date]], "MMM")</f>
        <v>Aug</v>
      </c>
      <c r="N3565" s="1">
        <f>YEAR(Table1[[#This Row],[Order_Date]])</f>
        <v>2024</v>
      </c>
      <c r="O3565" s="7">
        <f>Table1[[#This Row],[Profit]]/Table1[[#This Row],[Total_Sales]]</f>
        <v>0.48913760304375398</v>
      </c>
    </row>
    <row r="3566" spans="1:15" x14ac:dyDescent="0.25">
      <c r="A3566" s="1">
        <v>3565</v>
      </c>
      <c r="B3566" s="2">
        <v>44962</v>
      </c>
      <c r="C3566" s="1" t="s">
        <v>19</v>
      </c>
      <c r="D3566" s="1" t="s">
        <v>32</v>
      </c>
      <c r="E3566" s="1" t="s">
        <v>33</v>
      </c>
      <c r="F3566" s="1" t="s">
        <v>15</v>
      </c>
      <c r="G3566" s="1">
        <v>5</v>
      </c>
      <c r="H3566" s="1">
        <v>118</v>
      </c>
      <c r="I3566" s="1">
        <v>5</v>
      </c>
      <c r="J3566" s="4">
        <v>560.5</v>
      </c>
      <c r="K3566" s="4">
        <v>285.60000000000002</v>
      </c>
      <c r="L3566" s="4">
        <v>274.89999999999998</v>
      </c>
      <c r="M3566" s="1" t="str">
        <f>TEXT(Table1[[#This Row],[Order_Date]], "MMM")</f>
        <v>Feb</v>
      </c>
      <c r="N3566" s="1">
        <f>YEAR(Table1[[#This Row],[Order_Date]])</f>
        <v>2023</v>
      </c>
      <c r="O3566" s="7">
        <f>Table1[[#This Row],[Profit]]/Table1[[#This Row],[Total_Sales]]</f>
        <v>0.49045495093666364</v>
      </c>
    </row>
    <row r="3567" spans="1:15" x14ac:dyDescent="0.25">
      <c r="A3567" s="1">
        <v>3566</v>
      </c>
      <c r="B3567" s="2">
        <v>45178</v>
      </c>
      <c r="C3567" s="1" t="s">
        <v>19</v>
      </c>
      <c r="D3567" s="1" t="s">
        <v>20</v>
      </c>
      <c r="E3567" s="1" t="s">
        <v>21</v>
      </c>
      <c r="F3567" s="1" t="s">
        <v>35</v>
      </c>
      <c r="G3567" s="1">
        <v>6</v>
      </c>
      <c r="H3567" s="1">
        <v>756</v>
      </c>
      <c r="I3567" s="1">
        <v>15</v>
      </c>
      <c r="J3567" s="4">
        <v>3855.6</v>
      </c>
      <c r="K3567" s="4">
        <v>2526.5300000000002</v>
      </c>
      <c r="L3567" s="4">
        <v>1329.07</v>
      </c>
      <c r="M3567" s="1" t="str">
        <f>TEXT(Table1[[#This Row],[Order_Date]], "MMM")</f>
        <v>Sep</v>
      </c>
      <c r="N3567" s="1">
        <f>YEAR(Table1[[#This Row],[Order_Date]])</f>
        <v>2023</v>
      </c>
      <c r="O3567" s="7">
        <f>Table1[[#This Row],[Profit]]/Table1[[#This Row],[Total_Sales]]</f>
        <v>0.34471158833903931</v>
      </c>
    </row>
    <row r="3568" spans="1:15" x14ac:dyDescent="0.25">
      <c r="A3568" s="1">
        <v>3567</v>
      </c>
      <c r="B3568" s="2">
        <v>45321</v>
      </c>
      <c r="C3568" s="1" t="s">
        <v>16</v>
      </c>
      <c r="D3568" s="1" t="s">
        <v>32</v>
      </c>
      <c r="E3568" s="1" t="s">
        <v>41</v>
      </c>
      <c r="F3568" s="1" t="s">
        <v>40</v>
      </c>
      <c r="G3568" s="1">
        <v>2</v>
      </c>
      <c r="H3568" s="1">
        <v>217</v>
      </c>
      <c r="I3568" s="1">
        <v>20</v>
      </c>
      <c r="J3568" s="4">
        <v>347.2</v>
      </c>
      <c r="K3568" s="4">
        <v>222.38</v>
      </c>
      <c r="L3568" s="4">
        <v>124.82</v>
      </c>
      <c r="M3568" s="1" t="str">
        <f>TEXT(Table1[[#This Row],[Order_Date]], "MMM")</f>
        <v>Jan</v>
      </c>
      <c r="N3568" s="1">
        <f>YEAR(Table1[[#This Row],[Order_Date]])</f>
        <v>2024</v>
      </c>
      <c r="O3568" s="7">
        <f>Table1[[#This Row],[Profit]]/Table1[[#This Row],[Total_Sales]]</f>
        <v>0.35950460829493086</v>
      </c>
    </row>
    <row r="3569" spans="1:15" x14ac:dyDescent="0.25">
      <c r="A3569" s="1">
        <v>3568</v>
      </c>
      <c r="B3569" s="2">
        <v>45383</v>
      </c>
      <c r="C3569" s="1" t="s">
        <v>12</v>
      </c>
      <c r="D3569" s="1" t="s">
        <v>32</v>
      </c>
      <c r="E3569" s="1" t="s">
        <v>34</v>
      </c>
      <c r="F3569" s="1" t="s">
        <v>31</v>
      </c>
      <c r="G3569" s="1">
        <v>10</v>
      </c>
      <c r="H3569" s="1">
        <v>648</v>
      </c>
      <c r="I3569" s="1">
        <v>20</v>
      </c>
      <c r="J3569" s="4">
        <v>5184</v>
      </c>
      <c r="K3569" s="4">
        <v>4060.2</v>
      </c>
      <c r="L3569" s="4">
        <v>1123.8</v>
      </c>
      <c r="M3569" s="1" t="str">
        <f>TEXT(Table1[[#This Row],[Order_Date]], "MMM")</f>
        <v>Apr</v>
      </c>
      <c r="N3569" s="1">
        <f>YEAR(Table1[[#This Row],[Order_Date]])</f>
        <v>2024</v>
      </c>
      <c r="O3569" s="7">
        <f>Table1[[#This Row],[Profit]]/Table1[[#This Row],[Total_Sales]]</f>
        <v>0.2167824074074074</v>
      </c>
    </row>
    <row r="3570" spans="1:15" x14ac:dyDescent="0.25">
      <c r="A3570" s="1">
        <v>3569</v>
      </c>
      <c r="B3570" s="2">
        <v>45167</v>
      </c>
      <c r="C3570" s="1" t="s">
        <v>12</v>
      </c>
      <c r="D3570" s="1" t="s">
        <v>20</v>
      </c>
      <c r="E3570" s="1" t="s">
        <v>30</v>
      </c>
      <c r="F3570" s="1" t="s">
        <v>15</v>
      </c>
      <c r="G3570" s="1">
        <v>8</v>
      </c>
      <c r="H3570" s="1">
        <v>725</v>
      </c>
      <c r="I3570" s="1">
        <v>15</v>
      </c>
      <c r="J3570" s="4">
        <v>4930</v>
      </c>
      <c r="K3570" s="4">
        <v>3038.55</v>
      </c>
      <c r="L3570" s="4">
        <v>1891.45</v>
      </c>
      <c r="M3570" s="1" t="str">
        <f>TEXT(Table1[[#This Row],[Order_Date]], "MMM")</f>
        <v>Aug</v>
      </c>
      <c r="N3570" s="1">
        <f>YEAR(Table1[[#This Row],[Order_Date]])</f>
        <v>2023</v>
      </c>
      <c r="O3570" s="7">
        <f>Table1[[#This Row],[Profit]]/Table1[[#This Row],[Total_Sales]]</f>
        <v>0.38366125760649089</v>
      </c>
    </row>
    <row r="3571" spans="1:15" x14ac:dyDescent="0.25">
      <c r="A3571" s="1">
        <v>3570</v>
      </c>
      <c r="B3571" s="2">
        <v>44996</v>
      </c>
      <c r="C3571" s="1" t="s">
        <v>12</v>
      </c>
      <c r="D3571" s="1" t="s">
        <v>26</v>
      </c>
      <c r="E3571" s="1" t="s">
        <v>37</v>
      </c>
      <c r="F3571" s="1" t="s">
        <v>15</v>
      </c>
      <c r="G3571" s="1">
        <v>8</v>
      </c>
      <c r="H3571" s="1">
        <v>81</v>
      </c>
      <c r="I3571" s="1">
        <v>10</v>
      </c>
      <c r="J3571" s="4">
        <v>583.20000000000005</v>
      </c>
      <c r="K3571" s="4">
        <v>308.33</v>
      </c>
      <c r="L3571" s="4">
        <v>274.87</v>
      </c>
      <c r="M3571" s="1" t="str">
        <f>TEXT(Table1[[#This Row],[Order_Date]], "MMM")</f>
        <v>Mar</v>
      </c>
      <c r="N3571" s="1">
        <f>YEAR(Table1[[#This Row],[Order_Date]])</f>
        <v>2023</v>
      </c>
      <c r="O3571" s="7">
        <f>Table1[[#This Row],[Profit]]/Table1[[#This Row],[Total_Sales]]</f>
        <v>0.47131344307270229</v>
      </c>
    </row>
    <row r="3572" spans="1:15" x14ac:dyDescent="0.25">
      <c r="A3572" s="1">
        <v>3571</v>
      </c>
      <c r="B3572" s="2">
        <v>45317</v>
      </c>
      <c r="C3572" s="1" t="s">
        <v>19</v>
      </c>
      <c r="D3572" s="1" t="s">
        <v>13</v>
      </c>
      <c r="E3572" s="1" t="s">
        <v>39</v>
      </c>
      <c r="F3572" s="1" t="s">
        <v>31</v>
      </c>
      <c r="G3572" s="1">
        <v>6</v>
      </c>
      <c r="H3572" s="1">
        <v>741</v>
      </c>
      <c r="I3572" s="1">
        <v>0</v>
      </c>
      <c r="J3572" s="4">
        <v>4446</v>
      </c>
      <c r="K3572" s="4">
        <v>2603.6999999999998</v>
      </c>
      <c r="L3572" s="4">
        <v>1842.3</v>
      </c>
      <c r="M3572" s="1" t="str">
        <f>TEXT(Table1[[#This Row],[Order_Date]], "MMM")</f>
        <v>Jan</v>
      </c>
      <c r="N3572" s="1">
        <f>YEAR(Table1[[#This Row],[Order_Date]])</f>
        <v>2024</v>
      </c>
      <c r="O3572" s="7">
        <f>Table1[[#This Row],[Profit]]/Table1[[#This Row],[Total_Sales]]</f>
        <v>0.41437246963562752</v>
      </c>
    </row>
    <row r="3573" spans="1:15" x14ac:dyDescent="0.25">
      <c r="A3573" s="1">
        <v>3572</v>
      </c>
      <c r="B3573" s="2">
        <v>45620</v>
      </c>
      <c r="C3573" s="1" t="s">
        <v>12</v>
      </c>
      <c r="D3573" s="1" t="s">
        <v>26</v>
      </c>
      <c r="E3573" s="1" t="s">
        <v>27</v>
      </c>
      <c r="F3573" s="1" t="s">
        <v>40</v>
      </c>
      <c r="G3573" s="1">
        <v>9</v>
      </c>
      <c r="H3573" s="1">
        <v>854</v>
      </c>
      <c r="I3573" s="1">
        <v>15</v>
      </c>
      <c r="J3573" s="4">
        <v>6533.1</v>
      </c>
      <c r="K3573" s="4">
        <v>4588.1000000000004</v>
      </c>
      <c r="L3573" s="4">
        <v>1945</v>
      </c>
      <c r="M3573" s="1" t="str">
        <f>TEXT(Table1[[#This Row],[Order_Date]], "MMM")</f>
        <v>Nov</v>
      </c>
      <c r="N3573" s="1">
        <f>YEAR(Table1[[#This Row],[Order_Date]])</f>
        <v>2024</v>
      </c>
      <c r="O3573" s="7">
        <f>Table1[[#This Row],[Profit]]/Table1[[#This Row],[Total_Sales]]</f>
        <v>0.29771471430102092</v>
      </c>
    </row>
    <row r="3574" spans="1:15" x14ac:dyDescent="0.25">
      <c r="A3574" s="1">
        <v>3573</v>
      </c>
      <c r="B3574" s="2">
        <v>45312</v>
      </c>
      <c r="C3574" s="1" t="s">
        <v>16</v>
      </c>
      <c r="D3574" s="1" t="s">
        <v>22</v>
      </c>
      <c r="E3574" s="1" t="s">
        <v>36</v>
      </c>
      <c r="F3574" s="1" t="s">
        <v>18</v>
      </c>
      <c r="G3574" s="1">
        <v>4</v>
      </c>
      <c r="H3574" s="1">
        <v>514</v>
      </c>
      <c r="I3574" s="1">
        <v>10</v>
      </c>
      <c r="J3574" s="4">
        <v>1850.4</v>
      </c>
      <c r="K3574" s="4">
        <v>1077.22</v>
      </c>
      <c r="L3574" s="4">
        <v>773.18</v>
      </c>
      <c r="M3574" s="1" t="str">
        <f>TEXT(Table1[[#This Row],[Order_Date]], "MMM")</f>
        <v>Jan</v>
      </c>
      <c r="N3574" s="1">
        <f>YEAR(Table1[[#This Row],[Order_Date]])</f>
        <v>2024</v>
      </c>
      <c r="O3574" s="7">
        <f>Table1[[#This Row],[Profit]]/Table1[[#This Row],[Total_Sales]]</f>
        <v>0.4178447903156074</v>
      </c>
    </row>
    <row r="3575" spans="1:15" x14ac:dyDescent="0.25">
      <c r="A3575" s="1">
        <v>3574</v>
      </c>
      <c r="B3575" s="2">
        <v>45043</v>
      </c>
      <c r="C3575" s="1" t="s">
        <v>16</v>
      </c>
      <c r="D3575" s="1" t="s">
        <v>13</v>
      </c>
      <c r="E3575" s="1" t="s">
        <v>14</v>
      </c>
      <c r="F3575" s="1" t="s">
        <v>40</v>
      </c>
      <c r="G3575" s="1">
        <v>1</v>
      </c>
      <c r="H3575" s="1">
        <v>519</v>
      </c>
      <c r="I3575" s="1">
        <v>0</v>
      </c>
      <c r="J3575" s="4">
        <v>519</v>
      </c>
      <c r="K3575" s="4">
        <v>398.76</v>
      </c>
      <c r="L3575" s="4">
        <v>120.24</v>
      </c>
      <c r="M3575" s="1" t="str">
        <f>TEXT(Table1[[#This Row],[Order_Date]], "MMM")</f>
        <v>Apr</v>
      </c>
      <c r="N3575" s="1">
        <f>YEAR(Table1[[#This Row],[Order_Date]])</f>
        <v>2023</v>
      </c>
      <c r="O3575" s="7">
        <f>Table1[[#This Row],[Profit]]/Table1[[#This Row],[Total_Sales]]</f>
        <v>0.23167630057803468</v>
      </c>
    </row>
    <row r="3576" spans="1:15" x14ac:dyDescent="0.25">
      <c r="A3576" s="1">
        <v>3575</v>
      </c>
      <c r="B3576" s="2">
        <v>45436</v>
      </c>
      <c r="C3576" s="1" t="s">
        <v>16</v>
      </c>
      <c r="D3576" s="1" t="s">
        <v>20</v>
      </c>
      <c r="E3576" s="1" t="s">
        <v>21</v>
      </c>
      <c r="F3576" s="1" t="s">
        <v>40</v>
      </c>
      <c r="G3576" s="1">
        <v>10</v>
      </c>
      <c r="H3576" s="1">
        <v>651</v>
      </c>
      <c r="I3576" s="1">
        <v>15</v>
      </c>
      <c r="J3576" s="4">
        <v>5533.5</v>
      </c>
      <c r="K3576" s="4">
        <v>3072.51</v>
      </c>
      <c r="L3576" s="4">
        <v>2460.9899999999998</v>
      </c>
      <c r="M3576" s="1" t="str">
        <f>TEXT(Table1[[#This Row],[Order_Date]], "MMM")</f>
        <v>May</v>
      </c>
      <c r="N3576" s="1">
        <f>YEAR(Table1[[#This Row],[Order_Date]])</f>
        <v>2024</v>
      </c>
      <c r="O3576" s="7">
        <f>Table1[[#This Row],[Profit]]/Table1[[#This Row],[Total_Sales]]</f>
        <v>0.44474383301707776</v>
      </c>
    </row>
    <row r="3577" spans="1:15" x14ac:dyDescent="0.25">
      <c r="A3577" s="1">
        <v>3576</v>
      </c>
      <c r="B3577" s="2">
        <v>45242</v>
      </c>
      <c r="C3577" s="1" t="s">
        <v>25</v>
      </c>
      <c r="D3577" s="1" t="s">
        <v>20</v>
      </c>
      <c r="E3577" s="1" t="s">
        <v>43</v>
      </c>
      <c r="F3577" s="1" t="s">
        <v>18</v>
      </c>
      <c r="G3577" s="1">
        <v>7</v>
      </c>
      <c r="H3577" s="1">
        <v>995</v>
      </c>
      <c r="I3577" s="1">
        <v>5</v>
      </c>
      <c r="J3577" s="4">
        <v>6616.75</v>
      </c>
      <c r="K3577" s="4">
        <v>4729.4799999999996</v>
      </c>
      <c r="L3577" s="4">
        <v>1887.27</v>
      </c>
      <c r="M3577" s="1" t="str">
        <f>TEXT(Table1[[#This Row],[Order_Date]], "MMM")</f>
        <v>Nov</v>
      </c>
      <c r="N3577" s="1">
        <f>YEAR(Table1[[#This Row],[Order_Date]])</f>
        <v>2023</v>
      </c>
      <c r="O3577" s="7">
        <f>Table1[[#This Row],[Profit]]/Table1[[#This Row],[Total_Sales]]</f>
        <v>0.28522613065326635</v>
      </c>
    </row>
    <row r="3578" spans="1:15" x14ac:dyDescent="0.25">
      <c r="A3578" s="1">
        <v>3577</v>
      </c>
      <c r="B3578" s="2">
        <v>45190</v>
      </c>
      <c r="C3578" s="1" t="s">
        <v>25</v>
      </c>
      <c r="D3578" s="1" t="s">
        <v>20</v>
      </c>
      <c r="E3578" s="1" t="s">
        <v>21</v>
      </c>
      <c r="F3578" s="1" t="s">
        <v>40</v>
      </c>
      <c r="G3578" s="1">
        <v>10</v>
      </c>
      <c r="H3578" s="1">
        <v>250</v>
      </c>
      <c r="I3578" s="1">
        <v>5</v>
      </c>
      <c r="J3578" s="4">
        <v>2375</v>
      </c>
      <c r="K3578" s="4">
        <v>1288.23</v>
      </c>
      <c r="L3578" s="4">
        <v>1086.77</v>
      </c>
      <c r="M3578" s="1" t="str">
        <f>TEXT(Table1[[#This Row],[Order_Date]], "MMM")</f>
        <v>Sep</v>
      </c>
      <c r="N3578" s="1">
        <f>YEAR(Table1[[#This Row],[Order_Date]])</f>
        <v>2023</v>
      </c>
      <c r="O3578" s="7">
        <f>Table1[[#This Row],[Profit]]/Table1[[#This Row],[Total_Sales]]</f>
        <v>0.45758736842105263</v>
      </c>
    </row>
    <row r="3579" spans="1:15" x14ac:dyDescent="0.25">
      <c r="A3579" s="1">
        <v>3578</v>
      </c>
      <c r="B3579" s="2">
        <v>44991</v>
      </c>
      <c r="C3579" s="1" t="s">
        <v>16</v>
      </c>
      <c r="D3579" s="1" t="s">
        <v>20</v>
      </c>
      <c r="E3579" s="1" t="s">
        <v>21</v>
      </c>
      <c r="F3579" s="1" t="s">
        <v>15</v>
      </c>
      <c r="G3579" s="1">
        <v>9</v>
      </c>
      <c r="H3579" s="1">
        <v>21</v>
      </c>
      <c r="I3579" s="1">
        <v>5</v>
      </c>
      <c r="J3579" s="4">
        <v>179.55</v>
      </c>
      <c r="K3579" s="4">
        <v>124.27</v>
      </c>
      <c r="L3579" s="4">
        <v>55.28</v>
      </c>
      <c r="M3579" s="1" t="str">
        <f>TEXT(Table1[[#This Row],[Order_Date]], "MMM")</f>
        <v>Mar</v>
      </c>
      <c r="N3579" s="1">
        <f>YEAR(Table1[[#This Row],[Order_Date]])</f>
        <v>2023</v>
      </c>
      <c r="O3579" s="7">
        <f>Table1[[#This Row],[Profit]]/Table1[[#This Row],[Total_Sales]]</f>
        <v>0.30788081314397103</v>
      </c>
    </row>
    <row r="3580" spans="1:15" x14ac:dyDescent="0.25">
      <c r="A3580" s="1">
        <v>3579</v>
      </c>
      <c r="B3580" s="2">
        <v>45356</v>
      </c>
      <c r="C3580" s="1" t="s">
        <v>12</v>
      </c>
      <c r="D3580" s="1" t="s">
        <v>32</v>
      </c>
      <c r="E3580" s="1" t="s">
        <v>45</v>
      </c>
      <c r="F3580" s="1" t="s">
        <v>31</v>
      </c>
      <c r="G3580" s="1">
        <v>5</v>
      </c>
      <c r="H3580" s="1">
        <v>741</v>
      </c>
      <c r="I3580" s="1">
        <v>0</v>
      </c>
      <c r="J3580" s="4">
        <v>3705</v>
      </c>
      <c r="K3580" s="4">
        <v>2283.1999999999998</v>
      </c>
      <c r="L3580" s="4">
        <v>1421.8</v>
      </c>
      <c r="M3580" s="1" t="str">
        <f>TEXT(Table1[[#This Row],[Order_Date]], "MMM")</f>
        <v>Mar</v>
      </c>
      <c r="N3580" s="1">
        <f>YEAR(Table1[[#This Row],[Order_Date]])</f>
        <v>2024</v>
      </c>
      <c r="O3580" s="7">
        <f>Table1[[#This Row],[Profit]]/Table1[[#This Row],[Total_Sales]]</f>
        <v>0.38375168690958161</v>
      </c>
    </row>
    <row r="3581" spans="1:15" x14ac:dyDescent="0.25">
      <c r="A3581" s="1">
        <v>3580</v>
      </c>
      <c r="B3581" s="2">
        <v>45486</v>
      </c>
      <c r="C3581" s="1" t="s">
        <v>25</v>
      </c>
      <c r="D3581" s="1" t="s">
        <v>32</v>
      </c>
      <c r="E3581" s="1" t="s">
        <v>45</v>
      </c>
      <c r="F3581" s="1" t="s">
        <v>35</v>
      </c>
      <c r="G3581" s="1">
        <v>7</v>
      </c>
      <c r="H3581" s="1">
        <v>694</v>
      </c>
      <c r="I3581" s="1">
        <v>20</v>
      </c>
      <c r="J3581" s="4">
        <v>3886.4</v>
      </c>
      <c r="K3581" s="4">
        <v>2755.38</v>
      </c>
      <c r="L3581" s="4">
        <v>1131.02</v>
      </c>
      <c r="M3581" s="1" t="str">
        <f>TEXT(Table1[[#This Row],[Order_Date]], "MMM")</f>
        <v>Jul</v>
      </c>
      <c r="N3581" s="1">
        <f>YEAR(Table1[[#This Row],[Order_Date]])</f>
        <v>2024</v>
      </c>
      <c r="O3581" s="7">
        <f>Table1[[#This Row],[Profit]]/Table1[[#This Row],[Total_Sales]]</f>
        <v>0.29101996706463562</v>
      </c>
    </row>
    <row r="3582" spans="1:15" x14ac:dyDescent="0.25">
      <c r="A3582" s="1">
        <v>3581</v>
      </c>
      <c r="B3582" s="2">
        <v>45613</v>
      </c>
      <c r="C3582" s="1" t="s">
        <v>19</v>
      </c>
      <c r="D3582" s="1" t="s">
        <v>26</v>
      </c>
      <c r="E3582" s="1" t="s">
        <v>37</v>
      </c>
      <c r="F3582" s="1" t="s">
        <v>18</v>
      </c>
      <c r="G3582" s="1">
        <v>2</v>
      </c>
      <c r="H3582" s="1">
        <v>784</v>
      </c>
      <c r="I3582" s="1">
        <v>20</v>
      </c>
      <c r="J3582" s="4">
        <v>1254.4000000000001</v>
      </c>
      <c r="K3582" s="4">
        <v>692.28</v>
      </c>
      <c r="L3582" s="4">
        <v>562.12</v>
      </c>
      <c r="M3582" s="1" t="str">
        <f>TEXT(Table1[[#This Row],[Order_Date]], "MMM")</f>
        <v>Nov</v>
      </c>
      <c r="N3582" s="1">
        <f>YEAR(Table1[[#This Row],[Order_Date]])</f>
        <v>2024</v>
      </c>
      <c r="O3582" s="7">
        <f>Table1[[#This Row],[Profit]]/Table1[[#This Row],[Total_Sales]]</f>
        <v>0.44811862244897954</v>
      </c>
    </row>
    <row r="3583" spans="1:15" x14ac:dyDescent="0.25">
      <c r="A3583" s="1">
        <v>3582</v>
      </c>
      <c r="B3583" s="2">
        <v>45560</v>
      </c>
      <c r="C3583" s="1" t="s">
        <v>12</v>
      </c>
      <c r="D3583" s="1" t="s">
        <v>20</v>
      </c>
      <c r="E3583" s="1" t="s">
        <v>28</v>
      </c>
      <c r="F3583" s="1" t="s">
        <v>35</v>
      </c>
      <c r="G3583" s="1">
        <v>10</v>
      </c>
      <c r="H3583" s="1">
        <v>850</v>
      </c>
      <c r="I3583" s="1">
        <v>10</v>
      </c>
      <c r="J3583" s="4">
        <v>7650</v>
      </c>
      <c r="K3583" s="4">
        <v>4156.67</v>
      </c>
      <c r="L3583" s="4">
        <v>3493.33</v>
      </c>
      <c r="M3583" s="1" t="str">
        <f>TEXT(Table1[[#This Row],[Order_Date]], "MMM")</f>
        <v>Sep</v>
      </c>
      <c r="N3583" s="1">
        <f>YEAR(Table1[[#This Row],[Order_Date]])</f>
        <v>2024</v>
      </c>
      <c r="O3583" s="7">
        <f>Table1[[#This Row],[Profit]]/Table1[[#This Row],[Total_Sales]]</f>
        <v>0.45664444444444441</v>
      </c>
    </row>
    <row r="3584" spans="1:15" x14ac:dyDescent="0.25">
      <c r="A3584" s="1">
        <v>3583</v>
      </c>
      <c r="B3584" s="2">
        <v>45589</v>
      </c>
      <c r="C3584" s="1" t="s">
        <v>16</v>
      </c>
      <c r="D3584" s="1" t="s">
        <v>13</v>
      </c>
      <c r="E3584" s="1" t="s">
        <v>39</v>
      </c>
      <c r="F3584" s="1" t="s">
        <v>35</v>
      </c>
      <c r="G3584" s="1">
        <v>3</v>
      </c>
      <c r="H3584" s="1">
        <v>124</v>
      </c>
      <c r="I3584" s="1">
        <v>10</v>
      </c>
      <c r="J3584" s="4">
        <v>334.8</v>
      </c>
      <c r="K3584" s="4">
        <v>202.95</v>
      </c>
      <c r="L3584" s="4">
        <v>131.85</v>
      </c>
      <c r="M3584" s="1" t="str">
        <f>TEXT(Table1[[#This Row],[Order_Date]], "MMM")</f>
        <v>Oct</v>
      </c>
      <c r="N3584" s="1">
        <f>YEAR(Table1[[#This Row],[Order_Date]])</f>
        <v>2024</v>
      </c>
      <c r="O3584" s="7">
        <f>Table1[[#This Row],[Profit]]/Table1[[#This Row],[Total_Sales]]</f>
        <v>0.39381720430107525</v>
      </c>
    </row>
    <row r="3585" spans="1:15" x14ac:dyDescent="0.25">
      <c r="A3585" s="1">
        <v>3584</v>
      </c>
      <c r="B3585" s="2">
        <v>45300</v>
      </c>
      <c r="C3585" s="1" t="s">
        <v>25</v>
      </c>
      <c r="D3585" s="1" t="s">
        <v>22</v>
      </c>
      <c r="E3585" s="1" t="s">
        <v>44</v>
      </c>
      <c r="F3585" s="1" t="s">
        <v>24</v>
      </c>
      <c r="G3585" s="1">
        <v>7</v>
      </c>
      <c r="H3585" s="1">
        <v>667</v>
      </c>
      <c r="I3585" s="1">
        <v>5</v>
      </c>
      <c r="J3585" s="4">
        <v>4435.55</v>
      </c>
      <c r="K3585" s="4">
        <v>3461.63</v>
      </c>
      <c r="L3585" s="4">
        <v>973.92</v>
      </c>
      <c r="M3585" s="1" t="str">
        <f>TEXT(Table1[[#This Row],[Order_Date]], "MMM")</f>
        <v>Jan</v>
      </c>
      <c r="N3585" s="1">
        <f>YEAR(Table1[[#This Row],[Order_Date]])</f>
        <v>2024</v>
      </c>
      <c r="O3585" s="7">
        <f>Table1[[#This Row],[Profit]]/Table1[[#This Row],[Total_Sales]]</f>
        <v>0.21957141729886934</v>
      </c>
    </row>
    <row r="3586" spans="1:15" x14ac:dyDescent="0.25">
      <c r="A3586" s="1">
        <v>3585</v>
      </c>
      <c r="B3586" s="2">
        <v>45097</v>
      </c>
      <c r="C3586" s="1" t="s">
        <v>16</v>
      </c>
      <c r="D3586" s="1" t="s">
        <v>20</v>
      </c>
      <c r="E3586" s="1" t="s">
        <v>43</v>
      </c>
      <c r="F3586" s="1" t="s">
        <v>15</v>
      </c>
      <c r="G3586" s="1">
        <v>7</v>
      </c>
      <c r="H3586" s="1">
        <v>483</v>
      </c>
      <c r="I3586" s="1">
        <v>10</v>
      </c>
      <c r="J3586" s="4">
        <v>3042.9</v>
      </c>
      <c r="K3586" s="4">
        <v>1911.27</v>
      </c>
      <c r="L3586" s="4">
        <v>1131.6300000000001</v>
      </c>
      <c r="M3586" s="1" t="str">
        <f>TEXT(Table1[[#This Row],[Order_Date]], "MMM")</f>
        <v>Jun</v>
      </c>
      <c r="N3586" s="1">
        <f>YEAR(Table1[[#This Row],[Order_Date]])</f>
        <v>2023</v>
      </c>
      <c r="O3586" s="7">
        <f>Table1[[#This Row],[Profit]]/Table1[[#This Row],[Total_Sales]]</f>
        <v>0.3718919451838707</v>
      </c>
    </row>
    <row r="3587" spans="1:15" x14ac:dyDescent="0.25">
      <c r="A3587" s="1">
        <v>3586</v>
      </c>
      <c r="B3587" s="2">
        <v>45191</v>
      </c>
      <c r="C3587" s="1" t="s">
        <v>25</v>
      </c>
      <c r="D3587" s="1" t="s">
        <v>32</v>
      </c>
      <c r="E3587" s="1" t="s">
        <v>41</v>
      </c>
      <c r="F3587" s="1" t="s">
        <v>40</v>
      </c>
      <c r="G3587" s="1">
        <v>2</v>
      </c>
      <c r="H3587" s="1">
        <v>701</v>
      </c>
      <c r="I3587" s="1">
        <v>5</v>
      </c>
      <c r="J3587" s="4">
        <v>1331.9</v>
      </c>
      <c r="K3587" s="4">
        <v>723.41</v>
      </c>
      <c r="L3587" s="4">
        <v>608.49</v>
      </c>
      <c r="M3587" s="1" t="str">
        <f>TEXT(Table1[[#This Row],[Order_Date]], "MMM")</f>
        <v>Sep</v>
      </c>
      <c r="N3587" s="1">
        <f>YEAR(Table1[[#This Row],[Order_Date]])</f>
        <v>2023</v>
      </c>
      <c r="O3587" s="7">
        <f>Table1[[#This Row],[Profit]]/Table1[[#This Row],[Total_Sales]]</f>
        <v>0.45685862301974622</v>
      </c>
    </row>
    <row r="3588" spans="1:15" x14ac:dyDescent="0.25">
      <c r="A3588" s="1">
        <v>3587</v>
      </c>
      <c r="B3588" s="2">
        <v>45281</v>
      </c>
      <c r="C3588" s="1" t="s">
        <v>12</v>
      </c>
      <c r="D3588" s="1" t="s">
        <v>13</v>
      </c>
      <c r="E3588" s="1" t="s">
        <v>39</v>
      </c>
      <c r="F3588" s="1" t="s">
        <v>15</v>
      </c>
      <c r="G3588" s="1">
        <v>8</v>
      </c>
      <c r="H3588" s="1">
        <v>900</v>
      </c>
      <c r="I3588" s="1">
        <v>5</v>
      </c>
      <c r="J3588" s="4">
        <v>6840</v>
      </c>
      <c r="K3588" s="4">
        <v>3555.67</v>
      </c>
      <c r="L3588" s="4">
        <v>3284.33</v>
      </c>
      <c r="M3588" s="1" t="str">
        <f>TEXT(Table1[[#This Row],[Order_Date]], "MMM")</f>
        <v>Dec</v>
      </c>
      <c r="N3588" s="1">
        <f>YEAR(Table1[[#This Row],[Order_Date]])</f>
        <v>2023</v>
      </c>
      <c r="O3588" s="7">
        <f>Table1[[#This Row],[Profit]]/Table1[[#This Row],[Total_Sales]]</f>
        <v>0.48016520467836254</v>
      </c>
    </row>
    <row r="3589" spans="1:15" x14ac:dyDescent="0.25">
      <c r="A3589" s="1">
        <v>3588</v>
      </c>
      <c r="B3589" s="2">
        <v>45261</v>
      </c>
      <c r="C3589" s="1" t="s">
        <v>25</v>
      </c>
      <c r="D3589" s="1" t="s">
        <v>20</v>
      </c>
      <c r="E3589" s="1" t="s">
        <v>28</v>
      </c>
      <c r="F3589" s="1" t="s">
        <v>40</v>
      </c>
      <c r="G3589" s="1">
        <v>4</v>
      </c>
      <c r="H3589" s="1">
        <v>550</v>
      </c>
      <c r="I3589" s="1">
        <v>5</v>
      </c>
      <c r="J3589" s="4">
        <v>2090</v>
      </c>
      <c r="K3589" s="4">
        <v>1512.06</v>
      </c>
      <c r="L3589" s="4">
        <v>577.94000000000005</v>
      </c>
      <c r="M3589" s="1" t="str">
        <f>TEXT(Table1[[#This Row],[Order_Date]], "MMM")</f>
        <v>Dec</v>
      </c>
      <c r="N3589" s="1">
        <f>YEAR(Table1[[#This Row],[Order_Date]])</f>
        <v>2023</v>
      </c>
      <c r="O3589" s="7">
        <f>Table1[[#This Row],[Profit]]/Table1[[#This Row],[Total_Sales]]</f>
        <v>0.27652631578947373</v>
      </c>
    </row>
    <row r="3590" spans="1:15" x14ac:dyDescent="0.25">
      <c r="A3590" s="1">
        <v>3589</v>
      </c>
      <c r="B3590" s="2">
        <v>45084</v>
      </c>
      <c r="C3590" s="1" t="s">
        <v>19</v>
      </c>
      <c r="D3590" s="1" t="s">
        <v>20</v>
      </c>
      <c r="E3590" s="1" t="s">
        <v>30</v>
      </c>
      <c r="F3590" s="1" t="s">
        <v>24</v>
      </c>
      <c r="G3590" s="1">
        <v>5</v>
      </c>
      <c r="H3590" s="1">
        <v>706</v>
      </c>
      <c r="I3590" s="1">
        <v>0</v>
      </c>
      <c r="J3590" s="4">
        <v>3530</v>
      </c>
      <c r="K3590" s="4">
        <v>2381.39</v>
      </c>
      <c r="L3590" s="4">
        <v>1148.6099999999999</v>
      </c>
      <c r="M3590" s="1" t="str">
        <f>TEXT(Table1[[#This Row],[Order_Date]], "MMM")</f>
        <v>Jun</v>
      </c>
      <c r="N3590" s="1">
        <f>YEAR(Table1[[#This Row],[Order_Date]])</f>
        <v>2023</v>
      </c>
      <c r="O3590" s="7">
        <f>Table1[[#This Row],[Profit]]/Table1[[#This Row],[Total_Sales]]</f>
        <v>0.32538526912181298</v>
      </c>
    </row>
    <row r="3591" spans="1:15" x14ac:dyDescent="0.25">
      <c r="A3591" s="1">
        <v>3590</v>
      </c>
      <c r="B3591" s="2">
        <v>45051</v>
      </c>
      <c r="C3591" s="1" t="s">
        <v>25</v>
      </c>
      <c r="D3591" s="1" t="s">
        <v>13</v>
      </c>
      <c r="E3591" s="1" t="s">
        <v>39</v>
      </c>
      <c r="F3591" s="1" t="s">
        <v>40</v>
      </c>
      <c r="G3591" s="1">
        <v>1</v>
      </c>
      <c r="H3591" s="1">
        <v>659</v>
      </c>
      <c r="I3591" s="1">
        <v>0</v>
      </c>
      <c r="J3591" s="4">
        <v>659</v>
      </c>
      <c r="K3591" s="4">
        <v>450.94</v>
      </c>
      <c r="L3591" s="4">
        <v>208.06</v>
      </c>
      <c r="M3591" s="1" t="str">
        <f>TEXT(Table1[[#This Row],[Order_Date]], "MMM")</f>
        <v>May</v>
      </c>
      <c r="N3591" s="1">
        <f>YEAR(Table1[[#This Row],[Order_Date]])</f>
        <v>2023</v>
      </c>
      <c r="O3591" s="7">
        <f>Table1[[#This Row],[Profit]]/Table1[[#This Row],[Total_Sales]]</f>
        <v>0.31572078907435508</v>
      </c>
    </row>
    <row r="3592" spans="1:15" x14ac:dyDescent="0.25">
      <c r="A3592" s="1">
        <v>3591</v>
      </c>
      <c r="B3592" s="2">
        <v>45075</v>
      </c>
      <c r="C3592" s="1" t="s">
        <v>12</v>
      </c>
      <c r="D3592" s="1" t="s">
        <v>32</v>
      </c>
      <c r="E3592" s="1" t="s">
        <v>34</v>
      </c>
      <c r="F3592" s="1" t="s">
        <v>24</v>
      </c>
      <c r="G3592" s="1">
        <v>8</v>
      </c>
      <c r="H3592" s="1">
        <v>356</v>
      </c>
      <c r="I3592" s="1">
        <v>0</v>
      </c>
      <c r="J3592" s="4">
        <v>2848</v>
      </c>
      <c r="K3592" s="4">
        <v>1766.2</v>
      </c>
      <c r="L3592" s="4">
        <v>1081.8</v>
      </c>
      <c r="M3592" s="1" t="str">
        <f>TEXT(Table1[[#This Row],[Order_Date]], "MMM")</f>
        <v>May</v>
      </c>
      <c r="N3592" s="1">
        <f>YEAR(Table1[[#This Row],[Order_Date]])</f>
        <v>2023</v>
      </c>
      <c r="O3592" s="7">
        <f>Table1[[#This Row],[Profit]]/Table1[[#This Row],[Total_Sales]]</f>
        <v>0.37984550561797753</v>
      </c>
    </row>
    <row r="3593" spans="1:15" x14ac:dyDescent="0.25">
      <c r="A3593" s="1">
        <v>3592</v>
      </c>
      <c r="B3593" s="2">
        <v>45399</v>
      </c>
      <c r="C3593" s="1" t="s">
        <v>19</v>
      </c>
      <c r="D3593" s="1" t="s">
        <v>13</v>
      </c>
      <c r="E3593" s="1" t="s">
        <v>17</v>
      </c>
      <c r="F3593" s="1" t="s">
        <v>35</v>
      </c>
      <c r="G3593" s="1">
        <v>2</v>
      </c>
      <c r="H3593" s="1">
        <v>64</v>
      </c>
      <c r="I3593" s="1">
        <v>0</v>
      </c>
      <c r="J3593" s="4">
        <v>128</v>
      </c>
      <c r="K3593" s="4">
        <v>69.72</v>
      </c>
      <c r="L3593" s="4">
        <v>58.28</v>
      </c>
      <c r="M3593" s="1" t="str">
        <f>TEXT(Table1[[#This Row],[Order_Date]], "MMM")</f>
        <v>Apr</v>
      </c>
      <c r="N3593" s="1">
        <f>YEAR(Table1[[#This Row],[Order_Date]])</f>
        <v>2024</v>
      </c>
      <c r="O3593" s="7">
        <f>Table1[[#This Row],[Profit]]/Table1[[#This Row],[Total_Sales]]</f>
        <v>0.45531250000000001</v>
      </c>
    </row>
    <row r="3594" spans="1:15" x14ac:dyDescent="0.25">
      <c r="A3594" s="1">
        <v>3593</v>
      </c>
      <c r="B3594" s="2">
        <v>45145</v>
      </c>
      <c r="C3594" s="1" t="s">
        <v>19</v>
      </c>
      <c r="D3594" s="1" t="s">
        <v>22</v>
      </c>
      <c r="E3594" s="1" t="s">
        <v>36</v>
      </c>
      <c r="F3594" s="1" t="s">
        <v>18</v>
      </c>
      <c r="G3594" s="1">
        <v>1</v>
      </c>
      <c r="H3594" s="1">
        <v>845</v>
      </c>
      <c r="I3594" s="1">
        <v>10</v>
      </c>
      <c r="J3594" s="4">
        <v>760.5</v>
      </c>
      <c r="K3594" s="4">
        <v>467.64</v>
      </c>
      <c r="L3594" s="4">
        <v>292.86</v>
      </c>
      <c r="M3594" s="1" t="str">
        <f>TEXT(Table1[[#This Row],[Order_Date]], "MMM")</f>
        <v>Aug</v>
      </c>
      <c r="N3594" s="1">
        <f>YEAR(Table1[[#This Row],[Order_Date]])</f>
        <v>2023</v>
      </c>
      <c r="O3594" s="7">
        <f>Table1[[#This Row],[Profit]]/Table1[[#This Row],[Total_Sales]]</f>
        <v>0.38508875739644971</v>
      </c>
    </row>
    <row r="3595" spans="1:15" x14ac:dyDescent="0.25">
      <c r="A3595" s="1">
        <v>3594</v>
      </c>
      <c r="B3595" s="2">
        <v>45008</v>
      </c>
      <c r="C3595" s="1" t="s">
        <v>19</v>
      </c>
      <c r="D3595" s="1" t="s">
        <v>32</v>
      </c>
      <c r="E3595" s="1" t="s">
        <v>45</v>
      </c>
      <c r="F3595" s="1" t="s">
        <v>24</v>
      </c>
      <c r="G3595" s="1">
        <v>3</v>
      </c>
      <c r="H3595" s="1">
        <v>980</v>
      </c>
      <c r="I3595" s="1">
        <v>5</v>
      </c>
      <c r="J3595" s="4">
        <v>2793</v>
      </c>
      <c r="K3595" s="4">
        <v>1699.31</v>
      </c>
      <c r="L3595" s="4">
        <v>1093.69</v>
      </c>
      <c r="M3595" s="1" t="str">
        <f>TEXT(Table1[[#This Row],[Order_Date]], "MMM")</f>
        <v>Mar</v>
      </c>
      <c r="N3595" s="1">
        <f>YEAR(Table1[[#This Row],[Order_Date]])</f>
        <v>2023</v>
      </c>
      <c r="O3595" s="7">
        <f>Table1[[#This Row],[Profit]]/Table1[[#This Row],[Total_Sales]]</f>
        <v>0.39158252774794128</v>
      </c>
    </row>
    <row r="3596" spans="1:15" x14ac:dyDescent="0.25">
      <c r="A3596" s="1">
        <v>3595</v>
      </c>
      <c r="B3596" s="2">
        <v>45162</v>
      </c>
      <c r="C3596" s="1" t="s">
        <v>12</v>
      </c>
      <c r="D3596" s="1" t="s">
        <v>13</v>
      </c>
      <c r="E3596" s="1" t="s">
        <v>39</v>
      </c>
      <c r="F3596" s="1" t="s">
        <v>24</v>
      </c>
      <c r="G3596" s="1">
        <v>4</v>
      </c>
      <c r="H3596" s="1">
        <v>358</v>
      </c>
      <c r="I3596" s="1">
        <v>20</v>
      </c>
      <c r="J3596" s="4">
        <v>1145.5999999999999</v>
      </c>
      <c r="K3596" s="4">
        <v>838.68</v>
      </c>
      <c r="L3596" s="4">
        <v>306.92</v>
      </c>
      <c r="M3596" s="1" t="str">
        <f>TEXT(Table1[[#This Row],[Order_Date]], "MMM")</f>
        <v>Aug</v>
      </c>
      <c r="N3596" s="1">
        <f>YEAR(Table1[[#This Row],[Order_Date]])</f>
        <v>2023</v>
      </c>
      <c r="O3596" s="7">
        <f>Table1[[#This Row],[Profit]]/Table1[[#This Row],[Total_Sales]]</f>
        <v>0.26791201117318442</v>
      </c>
    </row>
    <row r="3597" spans="1:15" x14ac:dyDescent="0.25">
      <c r="A3597" s="1">
        <v>3596</v>
      </c>
      <c r="B3597" s="2">
        <v>45456</v>
      </c>
      <c r="C3597" s="1" t="s">
        <v>25</v>
      </c>
      <c r="D3597" s="1" t="s">
        <v>20</v>
      </c>
      <c r="E3597" s="1" t="s">
        <v>21</v>
      </c>
      <c r="F3597" s="1" t="s">
        <v>18</v>
      </c>
      <c r="G3597" s="1">
        <v>10</v>
      </c>
      <c r="H3597" s="1">
        <v>787</v>
      </c>
      <c r="I3597" s="1">
        <v>10</v>
      </c>
      <c r="J3597" s="4">
        <v>7083</v>
      </c>
      <c r="K3597" s="4">
        <v>4116.1499999999996</v>
      </c>
      <c r="L3597" s="4">
        <v>2966.85</v>
      </c>
      <c r="M3597" s="1" t="str">
        <f>TEXT(Table1[[#This Row],[Order_Date]], "MMM")</f>
        <v>Jun</v>
      </c>
      <c r="N3597" s="1">
        <f>YEAR(Table1[[#This Row],[Order_Date]])</f>
        <v>2024</v>
      </c>
      <c r="O3597" s="7">
        <f>Table1[[#This Row],[Profit]]/Table1[[#This Row],[Total_Sales]]</f>
        <v>0.41886912325285897</v>
      </c>
    </row>
    <row r="3598" spans="1:15" x14ac:dyDescent="0.25">
      <c r="A3598" s="1">
        <v>3597</v>
      </c>
      <c r="B3598" s="2">
        <v>45202</v>
      </c>
      <c r="C3598" s="1" t="s">
        <v>19</v>
      </c>
      <c r="D3598" s="1" t="s">
        <v>32</v>
      </c>
      <c r="E3598" s="1" t="s">
        <v>34</v>
      </c>
      <c r="F3598" s="1" t="s">
        <v>35</v>
      </c>
      <c r="G3598" s="1">
        <v>8</v>
      </c>
      <c r="H3598" s="1">
        <v>343</v>
      </c>
      <c r="I3598" s="1">
        <v>0</v>
      </c>
      <c r="J3598" s="4">
        <v>2744</v>
      </c>
      <c r="K3598" s="4">
        <v>1830.36</v>
      </c>
      <c r="L3598" s="4">
        <v>913.64</v>
      </c>
      <c r="M3598" s="1" t="str">
        <f>TEXT(Table1[[#This Row],[Order_Date]], "MMM")</f>
        <v>Oct</v>
      </c>
      <c r="N3598" s="1">
        <f>YEAR(Table1[[#This Row],[Order_Date]])</f>
        <v>2023</v>
      </c>
      <c r="O3598" s="7">
        <f>Table1[[#This Row],[Profit]]/Table1[[#This Row],[Total_Sales]]</f>
        <v>0.33295918367346938</v>
      </c>
    </row>
    <row r="3599" spans="1:15" x14ac:dyDescent="0.25">
      <c r="A3599" s="1">
        <v>3598</v>
      </c>
      <c r="B3599" s="2">
        <v>45600</v>
      </c>
      <c r="C3599" s="1" t="s">
        <v>12</v>
      </c>
      <c r="D3599" s="1" t="s">
        <v>13</v>
      </c>
      <c r="E3599" s="1" t="s">
        <v>39</v>
      </c>
      <c r="F3599" s="1" t="s">
        <v>35</v>
      </c>
      <c r="G3599" s="1">
        <v>10</v>
      </c>
      <c r="H3599" s="1">
        <v>40</v>
      </c>
      <c r="I3599" s="1">
        <v>0</v>
      </c>
      <c r="J3599" s="4">
        <v>400</v>
      </c>
      <c r="K3599" s="4">
        <v>292.56</v>
      </c>
      <c r="L3599" s="4">
        <v>107.44</v>
      </c>
      <c r="M3599" s="1" t="str">
        <f>TEXT(Table1[[#This Row],[Order_Date]], "MMM")</f>
        <v>Nov</v>
      </c>
      <c r="N3599" s="1">
        <f>YEAR(Table1[[#This Row],[Order_Date]])</f>
        <v>2024</v>
      </c>
      <c r="O3599" s="7">
        <f>Table1[[#This Row],[Profit]]/Table1[[#This Row],[Total_Sales]]</f>
        <v>0.26860000000000001</v>
      </c>
    </row>
    <row r="3600" spans="1:15" x14ac:dyDescent="0.25">
      <c r="A3600" s="1">
        <v>3599</v>
      </c>
      <c r="B3600" s="2">
        <v>45312</v>
      </c>
      <c r="C3600" s="1" t="s">
        <v>12</v>
      </c>
      <c r="D3600" s="1" t="s">
        <v>22</v>
      </c>
      <c r="E3600" s="1" t="s">
        <v>29</v>
      </c>
      <c r="F3600" s="1" t="s">
        <v>24</v>
      </c>
      <c r="G3600" s="1">
        <v>10</v>
      </c>
      <c r="H3600" s="1">
        <v>772</v>
      </c>
      <c r="I3600" s="1">
        <v>20</v>
      </c>
      <c r="J3600" s="4">
        <v>6176</v>
      </c>
      <c r="K3600" s="4">
        <v>4380.2</v>
      </c>
      <c r="L3600" s="4">
        <v>1795.8</v>
      </c>
      <c r="M3600" s="1" t="str">
        <f>TEXT(Table1[[#This Row],[Order_Date]], "MMM")</f>
        <v>Jan</v>
      </c>
      <c r="N3600" s="1">
        <f>YEAR(Table1[[#This Row],[Order_Date]])</f>
        <v>2024</v>
      </c>
      <c r="O3600" s="7">
        <f>Table1[[#This Row],[Profit]]/Table1[[#This Row],[Total_Sales]]</f>
        <v>0.29077072538860105</v>
      </c>
    </row>
    <row r="3601" spans="1:15" x14ac:dyDescent="0.25">
      <c r="A3601" s="1">
        <v>3600</v>
      </c>
      <c r="B3601" s="2">
        <v>45012</v>
      </c>
      <c r="C3601" s="1" t="s">
        <v>25</v>
      </c>
      <c r="D3601" s="1" t="s">
        <v>26</v>
      </c>
      <c r="E3601" s="1" t="s">
        <v>27</v>
      </c>
      <c r="F3601" s="1" t="s">
        <v>35</v>
      </c>
      <c r="G3601" s="1">
        <v>8</v>
      </c>
      <c r="H3601" s="1">
        <v>22</v>
      </c>
      <c r="I3601" s="1">
        <v>5</v>
      </c>
      <c r="J3601" s="4">
        <v>167.2</v>
      </c>
      <c r="K3601" s="4">
        <v>86.6</v>
      </c>
      <c r="L3601" s="4">
        <v>80.599999999999994</v>
      </c>
      <c r="M3601" s="1" t="str">
        <f>TEXT(Table1[[#This Row],[Order_Date]], "MMM")</f>
        <v>Mar</v>
      </c>
      <c r="N3601" s="1">
        <f>YEAR(Table1[[#This Row],[Order_Date]])</f>
        <v>2023</v>
      </c>
      <c r="O3601" s="7">
        <f>Table1[[#This Row],[Profit]]/Table1[[#This Row],[Total_Sales]]</f>
        <v>0.48205741626794257</v>
      </c>
    </row>
    <row r="3602" spans="1:15" x14ac:dyDescent="0.25">
      <c r="A3602" s="1">
        <v>3601</v>
      </c>
      <c r="B3602" s="2">
        <v>45280</v>
      </c>
      <c r="C3602" s="1" t="s">
        <v>16</v>
      </c>
      <c r="D3602" s="1" t="s">
        <v>26</v>
      </c>
      <c r="E3602" s="1" t="s">
        <v>46</v>
      </c>
      <c r="F3602" s="1" t="s">
        <v>18</v>
      </c>
      <c r="G3602" s="1">
        <v>7</v>
      </c>
      <c r="H3602" s="1">
        <v>210</v>
      </c>
      <c r="I3602" s="1">
        <v>0</v>
      </c>
      <c r="J3602" s="4">
        <v>1470</v>
      </c>
      <c r="K3602" s="4">
        <v>1142.53</v>
      </c>
      <c r="L3602" s="4">
        <v>327.47000000000003</v>
      </c>
      <c r="M3602" s="1" t="str">
        <f>TEXT(Table1[[#This Row],[Order_Date]], "MMM")</f>
        <v>Dec</v>
      </c>
      <c r="N3602" s="1">
        <f>YEAR(Table1[[#This Row],[Order_Date]])</f>
        <v>2023</v>
      </c>
      <c r="O3602" s="7">
        <f>Table1[[#This Row],[Profit]]/Table1[[#This Row],[Total_Sales]]</f>
        <v>0.22276870748299321</v>
      </c>
    </row>
    <row r="3603" spans="1:15" x14ac:dyDescent="0.25">
      <c r="A3603" s="1">
        <v>3602</v>
      </c>
      <c r="B3603" s="2">
        <v>45096</v>
      </c>
      <c r="C3603" s="1" t="s">
        <v>12</v>
      </c>
      <c r="D3603" s="1" t="s">
        <v>13</v>
      </c>
      <c r="E3603" s="1" t="s">
        <v>38</v>
      </c>
      <c r="F3603" s="1" t="s">
        <v>15</v>
      </c>
      <c r="G3603" s="1">
        <v>10</v>
      </c>
      <c r="H3603" s="1">
        <v>266</v>
      </c>
      <c r="I3603" s="1">
        <v>20</v>
      </c>
      <c r="J3603" s="4">
        <v>2128</v>
      </c>
      <c r="K3603" s="4">
        <v>1547.14</v>
      </c>
      <c r="L3603" s="4">
        <v>580.86</v>
      </c>
      <c r="M3603" s="1" t="str">
        <f>TEXT(Table1[[#This Row],[Order_Date]], "MMM")</f>
        <v>Jun</v>
      </c>
      <c r="N3603" s="1">
        <f>YEAR(Table1[[#This Row],[Order_Date]])</f>
        <v>2023</v>
      </c>
      <c r="O3603" s="7">
        <f>Table1[[#This Row],[Profit]]/Table1[[#This Row],[Total_Sales]]</f>
        <v>0.27296052631578949</v>
      </c>
    </row>
    <row r="3604" spans="1:15" x14ac:dyDescent="0.25">
      <c r="A3604" s="1">
        <v>3603</v>
      </c>
      <c r="B3604" s="2">
        <v>45413</v>
      </c>
      <c r="C3604" s="1" t="s">
        <v>16</v>
      </c>
      <c r="D3604" s="1" t="s">
        <v>32</v>
      </c>
      <c r="E3604" s="1" t="s">
        <v>34</v>
      </c>
      <c r="F3604" s="1" t="s">
        <v>35</v>
      </c>
      <c r="G3604" s="1">
        <v>10</v>
      </c>
      <c r="H3604" s="1">
        <v>582</v>
      </c>
      <c r="I3604" s="1">
        <v>0</v>
      </c>
      <c r="J3604" s="4">
        <v>5820</v>
      </c>
      <c r="K3604" s="4">
        <v>3562.14</v>
      </c>
      <c r="L3604" s="4">
        <v>2257.86</v>
      </c>
      <c r="M3604" s="1" t="str">
        <f>TEXT(Table1[[#This Row],[Order_Date]], "MMM")</f>
        <v>May</v>
      </c>
      <c r="N3604" s="1">
        <f>YEAR(Table1[[#This Row],[Order_Date]])</f>
        <v>2024</v>
      </c>
      <c r="O3604" s="7">
        <f>Table1[[#This Row],[Profit]]/Table1[[#This Row],[Total_Sales]]</f>
        <v>0.38794845360824742</v>
      </c>
    </row>
    <row r="3605" spans="1:15" x14ac:dyDescent="0.25">
      <c r="A3605" s="1">
        <v>3604</v>
      </c>
      <c r="B3605" s="2">
        <v>45401</v>
      </c>
      <c r="C3605" s="1" t="s">
        <v>19</v>
      </c>
      <c r="D3605" s="1" t="s">
        <v>13</v>
      </c>
      <c r="E3605" s="1" t="s">
        <v>39</v>
      </c>
      <c r="F3605" s="1" t="s">
        <v>35</v>
      </c>
      <c r="G3605" s="1">
        <v>5</v>
      </c>
      <c r="H3605" s="1">
        <v>330</v>
      </c>
      <c r="I3605" s="1">
        <v>15</v>
      </c>
      <c r="J3605" s="4">
        <v>1402.5</v>
      </c>
      <c r="K3605" s="4">
        <v>1112.9100000000001</v>
      </c>
      <c r="L3605" s="4">
        <v>289.58999999999997</v>
      </c>
      <c r="M3605" s="1" t="str">
        <f>TEXT(Table1[[#This Row],[Order_Date]], "MMM")</f>
        <v>Apr</v>
      </c>
      <c r="N3605" s="1">
        <f>YEAR(Table1[[#This Row],[Order_Date]])</f>
        <v>2024</v>
      </c>
      <c r="O3605" s="7">
        <f>Table1[[#This Row],[Profit]]/Table1[[#This Row],[Total_Sales]]</f>
        <v>0.20648128342245989</v>
      </c>
    </row>
    <row r="3606" spans="1:15" x14ac:dyDescent="0.25">
      <c r="A3606" s="1">
        <v>3605</v>
      </c>
      <c r="B3606" s="2">
        <v>45256</v>
      </c>
      <c r="C3606" s="1" t="s">
        <v>16</v>
      </c>
      <c r="D3606" s="1" t="s">
        <v>26</v>
      </c>
      <c r="E3606" s="1" t="s">
        <v>46</v>
      </c>
      <c r="F3606" s="1" t="s">
        <v>24</v>
      </c>
      <c r="G3606" s="1">
        <v>6</v>
      </c>
      <c r="H3606" s="1">
        <v>911</v>
      </c>
      <c r="I3606" s="1">
        <v>20</v>
      </c>
      <c r="J3606" s="4">
        <v>4372.8</v>
      </c>
      <c r="K3606" s="4">
        <v>3366.73</v>
      </c>
      <c r="L3606" s="4">
        <v>1006.07</v>
      </c>
      <c r="M3606" s="1" t="str">
        <f>TEXT(Table1[[#This Row],[Order_Date]], "MMM")</f>
        <v>Nov</v>
      </c>
      <c r="N3606" s="1">
        <f>YEAR(Table1[[#This Row],[Order_Date]])</f>
        <v>2023</v>
      </c>
      <c r="O3606" s="7">
        <f>Table1[[#This Row],[Profit]]/Table1[[#This Row],[Total_Sales]]</f>
        <v>0.23007455177460667</v>
      </c>
    </row>
    <row r="3607" spans="1:15" x14ac:dyDescent="0.25">
      <c r="A3607" s="1">
        <v>3606</v>
      </c>
      <c r="B3607" s="2">
        <v>45538</v>
      </c>
      <c r="C3607" s="1" t="s">
        <v>16</v>
      </c>
      <c r="D3607" s="1" t="s">
        <v>32</v>
      </c>
      <c r="E3607" s="1" t="s">
        <v>34</v>
      </c>
      <c r="F3607" s="1" t="s">
        <v>31</v>
      </c>
      <c r="G3607" s="1">
        <v>4</v>
      </c>
      <c r="H3607" s="1">
        <v>652</v>
      </c>
      <c r="I3607" s="1">
        <v>10</v>
      </c>
      <c r="J3607" s="4">
        <v>2347.1999999999998</v>
      </c>
      <c r="K3607" s="4">
        <v>1731.58</v>
      </c>
      <c r="L3607" s="4">
        <v>615.62</v>
      </c>
      <c r="M3607" s="1" t="str">
        <f>TEXT(Table1[[#This Row],[Order_Date]], "MMM")</f>
        <v>Sep</v>
      </c>
      <c r="N3607" s="1">
        <f>YEAR(Table1[[#This Row],[Order_Date]])</f>
        <v>2024</v>
      </c>
      <c r="O3607" s="7">
        <f>Table1[[#This Row],[Profit]]/Table1[[#This Row],[Total_Sales]]</f>
        <v>0.26227845944103617</v>
      </c>
    </row>
    <row r="3608" spans="1:15" x14ac:dyDescent="0.25">
      <c r="A3608" s="1">
        <v>3607</v>
      </c>
      <c r="B3608" s="2">
        <v>45549</v>
      </c>
      <c r="C3608" s="1" t="s">
        <v>25</v>
      </c>
      <c r="D3608" s="1" t="s">
        <v>26</v>
      </c>
      <c r="E3608" s="1" t="s">
        <v>27</v>
      </c>
      <c r="F3608" s="1" t="s">
        <v>40</v>
      </c>
      <c r="G3608" s="1">
        <v>8</v>
      </c>
      <c r="H3608" s="1">
        <v>939</v>
      </c>
      <c r="I3608" s="1">
        <v>10</v>
      </c>
      <c r="J3608" s="4">
        <v>6760.8</v>
      </c>
      <c r="K3608" s="4">
        <v>3597.11</v>
      </c>
      <c r="L3608" s="4">
        <v>3163.69</v>
      </c>
      <c r="M3608" s="1" t="str">
        <f>TEXT(Table1[[#This Row],[Order_Date]], "MMM")</f>
        <v>Sep</v>
      </c>
      <c r="N3608" s="1">
        <f>YEAR(Table1[[#This Row],[Order_Date]])</f>
        <v>2024</v>
      </c>
      <c r="O3608" s="7">
        <f>Table1[[#This Row],[Profit]]/Table1[[#This Row],[Total_Sales]]</f>
        <v>0.46794610105312978</v>
      </c>
    </row>
    <row r="3609" spans="1:15" x14ac:dyDescent="0.25">
      <c r="A3609" s="1">
        <v>3608</v>
      </c>
      <c r="B3609" s="2">
        <v>45150</v>
      </c>
      <c r="C3609" s="1" t="s">
        <v>19</v>
      </c>
      <c r="D3609" s="1" t="s">
        <v>20</v>
      </c>
      <c r="E3609" s="1" t="s">
        <v>30</v>
      </c>
      <c r="F3609" s="1" t="s">
        <v>24</v>
      </c>
      <c r="G3609" s="1">
        <v>8</v>
      </c>
      <c r="H3609" s="1">
        <v>191</v>
      </c>
      <c r="I3609" s="1">
        <v>10</v>
      </c>
      <c r="J3609" s="4">
        <v>1375.2</v>
      </c>
      <c r="K3609" s="4">
        <v>760.56</v>
      </c>
      <c r="L3609" s="4">
        <v>614.64</v>
      </c>
      <c r="M3609" s="1" t="str">
        <f>TEXT(Table1[[#This Row],[Order_Date]], "MMM")</f>
        <v>Aug</v>
      </c>
      <c r="N3609" s="1">
        <f>YEAR(Table1[[#This Row],[Order_Date]])</f>
        <v>2023</v>
      </c>
      <c r="O3609" s="7">
        <f>Table1[[#This Row],[Profit]]/Table1[[#This Row],[Total_Sales]]</f>
        <v>0.4469458987783595</v>
      </c>
    </row>
    <row r="3610" spans="1:15" x14ac:dyDescent="0.25">
      <c r="A3610" s="1">
        <v>3609</v>
      </c>
      <c r="B3610" s="2">
        <v>45554</v>
      </c>
      <c r="C3610" s="1" t="s">
        <v>16</v>
      </c>
      <c r="D3610" s="1" t="s">
        <v>22</v>
      </c>
      <c r="E3610" s="1" t="s">
        <v>23</v>
      </c>
      <c r="F3610" s="1" t="s">
        <v>24</v>
      </c>
      <c r="G3610" s="1">
        <v>10</v>
      </c>
      <c r="H3610" s="1">
        <v>323</v>
      </c>
      <c r="I3610" s="1">
        <v>15</v>
      </c>
      <c r="J3610" s="4">
        <v>2745.5</v>
      </c>
      <c r="K3610" s="4">
        <v>1508.99</v>
      </c>
      <c r="L3610" s="4">
        <v>1236.51</v>
      </c>
      <c r="M3610" s="1" t="str">
        <f>TEXT(Table1[[#This Row],[Order_Date]], "MMM")</f>
        <v>Sep</v>
      </c>
      <c r="N3610" s="1">
        <f>YEAR(Table1[[#This Row],[Order_Date]])</f>
        <v>2024</v>
      </c>
      <c r="O3610" s="7">
        <f>Table1[[#This Row],[Profit]]/Table1[[#This Row],[Total_Sales]]</f>
        <v>0.45037698051356767</v>
      </c>
    </row>
    <row r="3611" spans="1:15" x14ac:dyDescent="0.25">
      <c r="A3611" s="1">
        <v>3610</v>
      </c>
      <c r="B3611" s="2">
        <v>45531</v>
      </c>
      <c r="C3611" s="1" t="s">
        <v>16</v>
      </c>
      <c r="D3611" s="1" t="s">
        <v>26</v>
      </c>
      <c r="E3611" s="1" t="s">
        <v>27</v>
      </c>
      <c r="F3611" s="1" t="s">
        <v>15</v>
      </c>
      <c r="G3611" s="1">
        <v>2</v>
      </c>
      <c r="H3611" s="1">
        <v>336</v>
      </c>
      <c r="I3611" s="1">
        <v>0</v>
      </c>
      <c r="J3611" s="4">
        <v>672</v>
      </c>
      <c r="K3611" s="4">
        <v>486.47</v>
      </c>
      <c r="L3611" s="4">
        <v>185.53</v>
      </c>
      <c r="M3611" s="1" t="str">
        <f>TEXT(Table1[[#This Row],[Order_Date]], "MMM")</f>
        <v>Aug</v>
      </c>
      <c r="N3611" s="1">
        <f>YEAR(Table1[[#This Row],[Order_Date]])</f>
        <v>2024</v>
      </c>
      <c r="O3611" s="7">
        <f>Table1[[#This Row],[Profit]]/Table1[[#This Row],[Total_Sales]]</f>
        <v>0.27608630952380953</v>
      </c>
    </row>
    <row r="3612" spans="1:15" x14ac:dyDescent="0.25">
      <c r="A3612" s="1">
        <v>3611</v>
      </c>
      <c r="B3612" s="2">
        <v>45089</v>
      </c>
      <c r="C3612" s="1" t="s">
        <v>16</v>
      </c>
      <c r="D3612" s="1" t="s">
        <v>20</v>
      </c>
      <c r="E3612" s="1" t="s">
        <v>21</v>
      </c>
      <c r="F3612" s="1" t="s">
        <v>35</v>
      </c>
      <c r="G3612" s="1">
        <v>5</v>
      </c>
      <c r="H3612" s="1">
        <v>276</v>
      </c>
      <c r="I3612" s="1">
        <v>10</v>
      </c>
      <c r="J3612" s="4">
        <v>1242</v>
      </c>
      <c r="K3612" s="4">
        <v>879.19</v>
      </c>
      <c r="L3612" s="4">
        <v>362.81</v>
      </c>
      <c r="M3612" s="1" t="str">
        <f>TEXT(Table1[[#This Row],[Order_Date]], "MMM")</f>
        <v>Jun</v>
      </c>
      <c r="N3612" s="1">
        <f>YEAR(Table1[[#This Row],[Order_Date]])</f>
        <v>2023</v>
      </c>
      <c r="O3612" s="7">
        <f>Table1[[#This Row],[Profit]]/Table1[[#This Row],[Total_Sales]]</f>
        <v>0.29211755233494363</v>
      </c>
    </row>
    <row r="3613" spans="1:15" x14ac:dyDescent="0.25">
      <c r="A3613" s="1">
        <v>3612</v>
      </c>
      <c r="B3613" s="2">
        <v>45635</v>
      </c>
      <c r="C3613" s="1" t="s">
        <v>12</v>
      </c>
      <c r="D3613" s="1" t="s">
        <v>32</v>
      </c>
      <c r="E3613" s="1" t="s">
        <v>34</v>
      </c>
      <c r="F3613" s="1" t="s">
        <v>15</v>
      </c>
      <c r="G3613" s="1">
        <v>1</v>
      </c>
      <c r="H3613" s="1">
        <v>960</v>
      </c>
      <c r="I3613" s="1">
        <v>5</v>
      </c>
      <c r="J3613" s="4">
        <v>912</v>
      </c>
      <c r="K3613" s="4">
        <v>596.66999999999996</v>
      </c>
      <c r="L3613" s="4">
        <v>315.33</v>
      </c>
      <c r="M3613" s="1" t="str">
        <f>TEXT(Table1[[#This Row],[Order_Date]], "MMM")</f>
        <v>Dec</v>
      </c>
      <c r="N3613" s="1">
        <f>YEAR(Table1[[#This Row],[Order_Date]])</f>
        <v>2024</v>
      </c>
      <c r="O3613" s="7">
        <f>Table1[[#This Row],[Profit]]/Table1[[#This Row],[Total_Sales]]</f>
        <v>0.34575657894736839</v>
      </c>
    </row>
    <row r="3614" spans="1:15" x14ac:dyDescent="0.25">
      <c r="A3614" s="1">
        <v>3613</v>
      </c>
      <c r="B3614" s="2">
        <v>45455</v>
      </c>
      <c r="C3614" s="1" t="s">
        <v>16</v>
      </c>
      <c r="D3614" s="1" t="s">
        <v>26</v>
      </c>
      <c r="E3614" s="1" t="s">
        <v>37</v>
      </c>
      <c r="F3614" s="1" t="s">
        <v>15</v>
      </c>
      <c r="G3614" s="1">
        <v>9</v>
      </c>
      <c r="H3614" s="1">
        <v>547</v>
      </c>
      <c r="I3614" s="1">
        <v>20</v>
      </c>
      <c r="J3614" s="4">
        <v>3938.4</v>
      </c>
      <c r="K3614" s="4">
        <v>3134.8</v>
      </c>
      <c r="L3614" s="4">
        <v>803.6</v>
      </c>
      <c r="M3614" s="1" t="str">
        <f>TEXT(Table1[[#This Row],[Order_Date]], "MMM")</f>
        <v>Jun</v>
      </c>
      <c r="N3614" s="1">
        <f>YEAR(Table1[[#This Row],[Order_Date]])</f>
        <v>2024</v>
      </c>
      <c r="O3614" s="7">
        <f>Table1[[#This Row],[Profit]]/Table1[[#This Row],[Total_Sales]]</f>
        <v>0.20404225066016657</v>
      </c>
    </row>
    <row r="3615" spans="1:15" x14ac:dyDescent="0.25">
      <c r="A3615" s="1">
        <v>3614</v>
      </c>
      <c r="B3615" s="2">
        <v>45206</v>
      </c>
      <c r="C3615" s="1" t="s">
        <v>16</v>
      </c>
      <c r="D3615" s="1" t="s">
        <v>26</v>
      </c>
      <c r="E3615" s="1" t="s">
        <v>37</v>
      </c>
      <c r="F3615" s="1" t="s">
        <v>31</v>
      </c>
      <c r="G3615" s="1">
        <v>4</v>
      </c>
      <c r="H3615" s="1">
        <v>271</v>
      </c>
      <c r="I3615" s="1">
        <v>15</v>
      </c>
      <c r="J3615" s="4">
        <v>921.4</v>
      </c>
      <c r="K3615" s="4">
        <v>471.18</v>
      </c>
      <c r="L3615" s="4">
        <v>450.22</v>
      </c>
      <c r="M3615" s="1" t="str">
        <f>TEXT(Table1[[#This Row],[Order_Date]], "MMM")</f>
        <v>Oct</v>
      </c>
      <c r="N3615" s="1">
        <f>YEAR(Table1[[#This Row],[Order_Date]])</f>
        <v>2023</v>
      </c>
      <c r="O3615" s="7">
        <f>Table1[[#This Row],[Profit]]/Table1[[#This Row],[Total_Sales]]</f>
        <v>0.48862600390709793</v>
      </c>
    </row>
    <row r="3616" spans="1:15" x14ac:dyDescent="0.25">
      <c r="A3616" s="1">
        <v>3615</v>
      </c>
      <c r="B3616" s="2">
        <v>45553</v>
      </c>
      <c r="C3616" s="1" t="s">
        <v>25</v>
      </c>
      <c r="D3616" s="1" t="s">
        <v>32</v>
      </c>
      <c r="E3616" s="1" t="s">
        <v>34</v>
      </c>
      <c r="F3616" s="1" t="s">
        <v>35</v>
      </c>
      <c r="G3616" s="1">
        <v>5</v>
      </c>
      <c r="H3616" s="1">
        <v>567</v>
      </c>
      <c r="I3616" s="1">
        <v>5</v>
      </c>
      <c r="J3616" s="4">
        <v>2693.25</v>
      </c>
      <c r="K3616" s="4">
        <v>2144.14</v>
      </c>
      <c r="L3616" s="4">
        <v>549.11</v>
      </c>
      <c r="M3616" s="1" t="str">
        <f>TEXT(Table1[[#This Row],[Order_Date]], "MMM")</f>
        <v>Sep</v>
      </c>
      <c r="N3616" s="1">
        <f>YEAR(Table1[[#This Row],[Order_Date]])</f>
        <v>2024</v>
      </c>
      <c r="O3616" s="7">
        <f>Table1[[#This Row],[Profit]]/Table1[[#This Row],[Total_Sales]]</f>
        <v>0.20388378353290634</v>
      </c>
    </row>
    <row r="3617" spans="1:15" x14ac:dyDescent="0.25">
      <c r="A3617" s="1">
        <v>3616</v>
      </c>
      <c r="B3617" s="2">
        <v>45365</v>
      </c>
      <c r="C3617" s="1" t="s">
        <v>19</v>
      </c>
      <c r="D3617" s="1" t="s">
        <v>22</v>
      </c>
      <c r="E3617" s="1" t="s">
        <v>23</v>
      </c>
      <c r="F3617" s="1" t="s">
        <v>24</v>
      </c>
      <c r="G3617" s="1">
        <v>4</v>
      </c>
      <c r="H3617" s="1">
        <v>977</v>
      </c>
      <c r="I3617" s="1">
        <v>15</v>
      </c>
      <c r="J3617" s="4">
        <v>3321.8</v>
      </c>
      <c r="K3617" s="4">
        <v>2549.0100000000002</v>
      </c>
      <c r="L3617" s="4">
        <v>772.79</v>
      </c>
      <c r="M3617" s="1" t="str">
        <f>TEXT(Table1[[#This Row],[Order_Date]], "MMM")</f>
        <v>Mar</v>
      </c>
      <c r="N3617" s="1">
        <f>YEAR(Table1[[#This Row],[Order_Date]])</f>
        <v>2024</v>
      </c>
      <c r="O3617" s="7">
        <f>Table1[[#This Row],[Profit]]/Table1[[#This Row],[Total_Sales]]</f>
        <v>0.23264194111626224</v>
      </c>
    </row>
    <row r="3618" spans="1:15" x14ac:dyDescent="0.25">
      <c r="A3618" s="1">
        <v>3617</v>
      </c>
      <c r="B3618" s="2">
        <v>45613</v>
      </c>
      <c r="C3618" s="1" t="s">
        <v>25</v>
      </c>
      <c r="D3618" s="1" t="s">
        <v>22</v>
      </c>
      <c r="E3618" s="1" t="s">
        <v>44</v>
      </c>
      <c r="F3618" s="1" t="s">
        <v>40</v>
      </c>
      <c r="G3618" s="1">
        <v>7</v>
      </c>
      <c r="H3618" s="1">
        <v>639</v>
      </c>
      <c r="I3618" s="1">
        <v>5</v>
      </c>
      <c r="J3618" s="4">
        <v>4249.3500000000004</v>
      </c>
      <c r="K3618" s="4">
        <v>2296.81</v>
      </c>
      <c r="L3618" s="4">
        <v>1952.54</v>
      </c>
      <c r="M3618" s="1" t="str">
        <f>TEXT(Table1[[#This Row],[Order_Date]], "MMM")</f>
        <v>Nov</v>
      </c>
      <c r="N3618" s="1">
        <f>YEAR(Table1[[#This Row],[Order_Date]])</f>
        <v>2024</v>
      </c>
      <c r="O3618" s="7">
        <f>Table1[[#This Row],[Profit]]/Table1[[#This Row],[Total_Sales]]</f>
        <v>0.45949145163377925</v>
      </c>
    </row>
    <row r="3619" spans="1:15" x14ac:dyDescent="0.25">
      <c r="A3619" s="1">
        <v>3618</v>
      </c>
      <c r="B3619" s="2">
        <v>45642</v>
      </c>
      <c r="C3619" s="1" t="s">
        <v>19</v>
      </c>
      <c r="D3619" s="1" t="s">
        <v>13</v>
      </c>
      <c r="E3619" s="1" t="s">
        <v>39</v>
      </c>
      <c r="F3619" s="1" t="s">
        <v>35</v>
      </c>
      <c r="G3619" s="1">
        <v>4</v>
      </c>
      <c r="H3619" s="1">
        <v>970</v>
      </c>
      <c r="I3619" s="1">
        <v>20</v>
      </c>
      <c r="J3619" s="4">
        <v>3104</v>
      </c>
      <c r="K3619" s="4">
        <v>1956.04</v>
      </c>
      <c r="L3619" s="4">
        <v>1147.96</v>
      </c>
      <c r="M3619" s="1" t="str">
        <f>TEXT(Table1[[#This Row],[Order_Date]], "MMM")</f>
        <v>Dec</v>
      </c>
      <c r="N3619" s="1">
        <f>YEAR(Table1[[#This Row],[Order_Date]])</f>
        <v>2024</v>
      </c>
      <c r="O3619" s="7">
        <f>Table1[[#This Row],[Profit]]/Table1[[#This Row],[Total_Sales]]</f>
        <v>0.36983247422680415</v>
      </c>
    </row>
    <row r="3620" spans="1:15" x14ac:dyDescent="0.25">
      <c r="A3620" s="1">
        <v>3619</v>
      </c>
      <c r="B3620" s="2">
        <v>45553</v>
      </c>
      <c r="C3620" s="1" t="s">
        <v>12</v>
      </c>
      <c r="D3620" s="1" t="s">
        <v>22</v>
      </c>
      <c r="E3620" s="1" t="s">
        <v>29</v>
      </c>
      <c r="F3620" s="1" t="s">
        <v>18</v>
      </c>
      <c r="G3620" s="1">
        <v>1</v>
      </c>
      <c r="H3620" s="1">
        <v>708</v>
      </c>
      <c r="I3620" s="1">
        <v>20</v>
      </c>
      <c r="J3620" s="4">
        <v>566.4</v>
      </c>
      <c r="K3620" s="4">
        <v>369.32</v>
      </c>
      <c r="L3620" s="4">
        <v>197.08</v>
      </c>
      <c r="M3620" s="1" t="str">
        <f>TEXT(Table1[[#This Row],[Order_Date]], "MMM")</f>
        <v>Sep</v>
      </c>
      <c r="N3620" s="1">
        <f>YEAR(Table1[[#This Row],[Order_Date]])</f>
        <v>2024</v>
      </c>
      <c r="O3620" s="7">
        <f>Table1[[#This Row],[Profit]]/Table1[[#This Row],[Total_Sales]]</f>
        <v>0.34795197740112999</v>
      </c>
    </row>
    <row r="3621" spans="1:15" x14ac:dyDescent="0.25">
      <c r="A3621" s="1">
        <v>3620</v>
      </c>
      <c r="B3621" s="2">
        <v>45562</v>
      </c>
      <c r="C3621" s="1" t="s">
        <v>12</v>
      </c>
      <c r="D3621" s="1" t="s">
        <v>22</v>
      </c>
      <c r="E3621" s="1" t="s">
        <v>44</v>
      </c>
      <c r="F3621" s="1" t="s">
        <v>35</v>
      </c>
      <c r="G3621" s="1">
        <v>2</v>
      </c>
      <c r="H3621" s="1">
        <v>729</v>
      </c>
      <c r="I3621" s="1">
        <v>0</v>
      </c>
      <c r="J3621" s="4">
        <v>1458</v>
      </c>
      <c r="K3621" s="4">
        <v>1057.3699999999999</v>
      </c>
      <c r="L3621" s="4">
        <v>400.63</v>
      </c>
      <c r="M3621" s="1" t="str">
        <f>TEXT(Table1[[#This Row],[Order_Date]], "MMM")</f>
        <v>Sep</v>
      </c>
      <c r="N3621" s="1">
        <f>YEAR(Table1[[#This Row],[Order_Date]])</f>
        <v>2024</v>
      </c>
      <c r="O3621" s="7">
        <f>Table1[[#This Row],[Profit]]/Table1[[#This Row],[Total_Sales]]</f>
        <v>0.27478052126200275</v>
      </c>
    </row>
    <row r="3622" spans="1:15" x14ac:dyDescent="0.25">
      <c r="A3622" s="1">
        <v>3621</v>
      </c>
      <c r="B3622" s="2">
        <v>45450</v>
      </c>
      <c r="C3622" s="1" t="s">
        <v>16</v>
      </c>
      <c r="D3622" s="1" t="s">
        <v>26</v>
      </c>
      <c r="E3622" s="1" t="s">
        <v>42</v>
      </c>
      <c r="F3622" s="1" t="s">
        <v>15</v>
      </c>
      <c r="G3622" s="1">
        <v>10</v>
      </c>
      <c r="H3622" s="1">
        <v>604</v>
      </c>
      <c r="I3622" s="1">
        <v>10</v>
      </c>
      <c r="J3622" s="4">
        <v>5436</v>
      </c>
      <c r="K3622" s="4">
        <v>3223.58</v>
      </c>
      <c r="L3622" s="4">
        <v>2212.42</v>
      </c>
      <c r="M3622" s="1" t="str">
        <f>TEXT(Table1[[#This Row],[Order_Date]], "MMM")</f>
        <v>Jun</v>
      </c>
      <c r="N3622" s="1">
        <f>YEAR(Table1[[#This Row],[Order_Date]])</f>
        <v>2024</v>
      </c>
      <c r="O3622" s="7">
        <f>Table1[[#This Row],[Profit]]/Table1[[#This Row],[Total_Sales]]</f>
        <v>0.40699411331861662</v>
      </c>
    </row>
    <row r="3623" spans="1:15" x14ac:dyDescent="0.25">
      <c r="A3623" s="1">
        <v>3622</v>
      </c>
      <c r="B3623" s="2">
        <v>45084</v>
      </c>
      <c r="C3623" s="1" t="s">
        <v>25</v>
      </c>
      <c r="D3623" s="1" t="s">
        <v>13</v>
      </c>
      <c r="E3623" s="1" t="s">
        <v>17</v>
      </c>
      <c r="F3623" s="1" t="s">
        <v>35</v>
      </c>
      <c r="G3623" s="1">
        <v>5</v>
      </c>
      <c r="H3623" s="1">
        <v>211</v>
      </c>
      <c r="I3623" s="1">
        <v>20</v>
      </c>
      <c r="J3623" s="4">
        <v>844</v>
      </c>
      <c r="K3623" s="4">
        <v>496.81</v>
      </c>
      <c r="L3623" s="4">
        <v>347.19</v>
      </c>
      <c r="M3623" s="1" t="str">
        <f>TEXT(Table1[[#This Row],[Order_Date]], "MMM")</f>
        <v>Jun</v>
      </c>
      <c r="N3623" s="1">
        <f>YEAR(Table1[[#This Row],[Order_Date]])</f>
        <v>2023</v>
      </c>
      <c r="O3623" s="7">
        <f>Table1[[#This Row],[Profit]]/Table1[[#This Row],[Total_Sales]]</f>
        <v>0.41136255924170617</v>
      </c>
    </row>
    <row r="3624" spans="1:15" x14ac:dyDescent="0.25">
      <c r="A3624" s="1">
        <v>3623</v>
      </c>
      <c r="B3624" s="2">
        <v>45231</v>
      </c>
      <c r="C3624" s="1" t="s">
        <v>25</v>
      </c>
      <c r="D3624" s="1" t="s">
        <v>22</v>
      </c>
      <c r="E3624" s="1" t="s">
        <v>29</v>
      </c>
      <c r="F3624" s="1" t="s">
        <v>31</v>
      </c>
      <c r="G3624" s="1">
        <v>3</v>
      </c>
      <c r="H3624" s="1">
        <v>543</v>
      </c>
      <c r="I3624" s="1">
        <v>10</v>
      </c>
      <c r="J3624" s="4">
        <v>1466.1</v>
      </c>
      <c r="K3624" s="4">
        <v>996.24</v>
      </c>
      <c r="L3624" s="4">
        <v>469.86</v>
      </c>
      <c r="M3624" s="1" t="str">
        <f>TEXT(Table1[[#This Row],[Order_Date]], "MMM")</f>
        <v>Nov</v>
      </c>
      <c r="N3624" s="1">
        <f>YEAR(Table1[[#This Row],[Order_Date]])</f>
        <v>2023</v>
      </c>
      <c r="O3624" s="7">
        <f>Table1[[#This Row],[Profit]]/Table1[[#This Row],[Total_Sales]]</f>
        <v>0.32048291385307964</v>
      </c>
    </row>
    <row r="3625" spans="1:15" x14ac:dyDescent="0.25">
      <c r="A3625" s="1">
        <v>3624</v>
      </c>
      <c r="B3625" s="2">
        <v>45622</v>
      </c>
      <c r="C3625" s="1" t="s">
        <v>25</v>
      </c>
      <c r="D3625" s="1" t="s">
        <v>22</v>
      </c>
      <c r="E3625" s="1" t="s">
        <v>36</v>
      </c>
      <c r="F3625" s="1" t="s">
        <v>31</v>
      </c>
      <c r="G3625" s="1">
        <v>6</v>
      </c>
      <c r="H3625" s="1">
        <v>253</v>
      </c>
      <c r="I3625" s="1">
        <v>20</v>
      </c>
      <c r="J3625" s="4">
        <v>1214.4000000000001</v>
      </c>
      <c r="K3625" s="4">
        <v>820.52</v>
      </c>
      <c r="L3625" s="4">
        <v>393.88</v>
      </c>
      <c r="M3625" s="1" t="str">
        <f>TEXT(Table1[[#This Row],[Order_Date]], "MMM")</f>
        <v>Nov</v>
      </c>
      <c r="N3625" s="1">
        <f>YEAR(Table1[[#This Row],[Order_Date]])</f>
        <v>2024</v>
      </c>
      <c r="O3625" s="7">
        <f>Table1[[#This Row],[Profit]]/Table1[[#This Row],[Total_Sales]]</f>
        <v>0.32434123847167323</v>
      </c>
    </row>
    <row r="3626" spans="1:15" x14ac:dyDescent="0.25">
      <c r="A3626" s="1">
        <v>3625</v>
      </c>
      <c r="B3626" s="2">
        <v>45025</v>
      </c>
      <c r="C3626" s="1" t="s">
        <v>16</v>
      </c>
      <c r="D3626" s="1" t="s">
        <v>26</v>
      </c>
      <c r="E3626" s="1" t="s">
        <v>27</v>
      </c>
      <c r="F3626" s="1" t="s">
        <v>18</v>
      </c>
      <c r="G3626" s="1">
        <v>10</v>
      </c>
      <c r="H3626" s="1">
        <v>323</v>
      </c>
      <c r="I3626" s="1">
        <v>0</v>
      </c>
      <c r="J3626" s="4">
        <v>3230</v>
      </c>
      <c r="K3626" s="4">
        <v>2188.85</v>
      </c>
      <c r="L3626" s="4">
        <v>1041.1500000000001</v>
      </c>
      <c r="M3626" s="1" t="str">
        <f>TEXT(Table1[[#This Row],[Order_Date]], "MMM")</f>
        <v>Apr</v>
      </c>
      <c r="N3626" s="1">
        <f>YEAR(Table1[[#This Row],[Order_Date]])</f>
        <v>2023</v>
      </c>
      <c r="O3626" s="7">
        <f>Table1[[#This Row],[Profit]]/Table1[[#This Row],[Total_Sales]]</f>
        <v>0.3223374613003096</v>
      </c>
    </row>
    <row r="3627" spans="1:15" x14ac:dyDescent="0.25">
      <c r="A3627" s="1">
        <v>3626</v>
      </c>
      <c r="B3627" s="2">
        <v>45273</v>
      </c>
      <c r="C3627" s="1" t="s">
        <v>19</v>
      </c>
      <c r="D3627" s="1" t="s">
        <v>32</v>
      </c>
      <c r="E3627" s="1" t="s">
        <v>34</v>
      </c>
      <c r="F3627" s="1" t="s">
        <v>40</v>
      </c>
      <c r="G3627" s="1">
        <v>5</v>
      </c>
      <c r="H3627" s="1">
        <v>749</v>
      </c>
      <c r="I3627" s="1">
        <v>5</v>
      </c>
      <c r="J3627" s="4">
        <v>3557.75</v>
      </c>
      <c r="K3627" s="4">
        <v>2674.87</v>
      </c>
      <c r="L3627" s="4">
        <v>882.88</v>
      </c>
      <c r="M3627" s="1" t="str">
        <f>TEXT(Table1[[#This Row],[Order_Date]], "MMM")</f>
        <v>Dec</v>
      </c>
      <c r="N3627" s="1">
        <f>YEAR(Table1[[#This Row],[Order_Date]])</f>
        <v>2023</v>
      </c>
      <c r="O3627" s="7">
        <f>Table1[[#This Row],[Profit]]/Table1[[#This Row],[Total_Sales]]</f>
        <v>0.24815684069988053</v>
      </c>
    </row>
    <row r="3628" spans="1:15" x14ac:dyDescent="0.25">
      <c r="A3628" s="1">
        <v>3627</v>
      </c>
      <c r="B3628" s="2">
        <v>45595</v>
      </c>
      <c r="C3628" s="1" t="s">
        <v>19</v>
      </c>
      <c r="D3628" s="1" t="s">
        <v>26</v>
      </c>
      <c r="E3628" s="1" t="s">
        <v>42</v>
      </c>
      <c r="F3628" s="1" t="s">
        <v>15</v>
      </c>
      <c r="G3628" s="1">
        <v>5</v>
      </c>
      <c r="H3628" s="1">
        <v>59</v>
      </c>
      <c r="I3628" s="1">
        <v>0</v>
      </c>
      <c r="J3628" s="4">
        <v>295</v>
      </c>
      <c r="K3628" s="4">
        <v>232.51</v>
      </c>
      <c r="L3628" s="4">
        <v>62.49</v>
      </c>
      <c r="M3628" s="1" t="str">
        <f>TEXT(Table1[[#This Row],[Order_Date]], "MMM")</f>
        <v>Oct</v>
      </c>
      <c r="N3628" s="1">
        <f>YEAR(Table1[[#This Row],[Order_Date]])</f>
        <v>2024</v>
      </c>
      <c r="O3628" s="7">
        <f>Table1[[#This Row],[Profit]]/Table1[[#This Row],[Total_Sales]]</f>
        <v>0.21183050847457627</v>
      </c>
    </row>
    <row r="3629" spans="1:15" x14ac:dyDescent="0.25">
      <c r="A3629" s="1">
        <v>3628</v>
      </c>
      <c r="B3629" s="2">
        <v>45335</v>
      </c>
      <c r="C3629" s="1" t="s">
        <v>19</v>
      </c>
      <c r="D3629" s="1" t="s">
        <v>20</v>
      </c>
      <c r="E3629" s="1" t="s">
        <v>43</v>
      </c>
      <c r="F3629" s="1" t="s">
        <v>31</v>
      </c>
      <c r="G3629" s="1">
        <v>4</v>
      </c>
      <c r="H3629" s="1">
        <v>519</v>
      </c>
      <c r="I3629" s="1">
        <v>20</v>
      </c>
      <c r="J3629" s="4">
        <v>1660.8</v>
      </c>
      <c r="K3629" s="4">
        <v>1142.3900000000001</v>
      </c>
      <c r="L3629" s="4">
        <v>518.41</v>
      </c>
      <c r="M3629" s="1" t="str">
        <f>TEXT(Table1[[#This Row],[Order_Date]], "MMM")</f>
        <v>Feb</v>
      </c>
      <c r="N3629" s="1">
        <f>YEAR(Table1[[#This Row],[Order_Date]])</f>
        <v>2024</v>
      </c>
      <c r="O3629" s="7">
        <f>Table1[[#This Row],[Profit]]/Table1[[#This Row],[Total_Sales]]</f>
        <v>0.3121447495183044</v>
      </c>
    </row>
    <row r="3630" spans="1:15" x14ac:dyDescent="0.25">
      <c r="A3630" s="1">
        <v>3629</v>
      </c>
      <c r="B3630" s="2">
        <v>45202</v>
      </c>
      <c r="C3630" s="1" t="s">
        <v>19</v>
      </c>
      <c r="D3630" s="1" t="s">
        <v>32</v>
      </c>
      <c r="E3630" s="1" t="s">
        <v>41</v>
      </c>
      <c r="F3630" s="1" t="s">
        <v>35</v>
      </c>
      <c r="G3630" s="1">
        <v>7</v>
      </c>
      <c r="H3630" s="1">
        <v>601</v>
      </c>
      <c r="I3630" s="1">
        <v>0</v>
      </c>
      <c r="J3630" s="4">
        <v>4207</v>
      </c>
      <c r="K3630" s="4">
        <v>2545.27</v>
      </c>
      <c r="L3630" s="4">
        <v>1661.73</v>
      </c>
      <c r="M3630" s="1" t="str">
        <f>TEXT(Table1[[#This Row],[Order_Date]], "MMM")</f>
        <v>Oct</v>
      </c>
      <c r="N3630" s="1">
        <f>YEAR(Table1[[#This Row],[Order_Date]])</f>
        <v>2023</v>
      </c>
      <c r="O3630" s="7">
        <f>Table1[[#This Row],[Profit]]/Table1[[#This Row],[Total_Sales]]</f>
        <v>0.39499168053244593</v>
      </c>
    </row>
    <row r="3631" spans="1:15" x14ac:dyDescent="0.25">
      <c r="A3631" s="1">
        <v>3630</v>
      </c>
      <c r="B3631" s="2">
        <v>45076</v>
      </c>
      <c r="C3631" s="1" t="s">
        <v>12</v>
      </c>
      <c r="D3631" s="1" t="s">
        <v>26</v>
      </c>
      <c r="E3631" s="1" t="s">
        <v>46</v>
      </c>
      <c r="F3631" s="1" t="s">
        <v>15</v>
      </c>
      <c r="G3631" s="1">
        <v>6</v>
      </c>
      <c r="H3631" s="1">
        <v>190</v>
      </c>
      <c r="I3631" s="1">
        <v>0</v>
      </c>
      <c r="J3631" s="4">
        <v>1140</v>
      </c>
      <c r="K3631" s="4">
        <v>744.28</v>
      </c>
      <c r="L3631" s="4">
        <v>395.72</v>
      </c>
      <c r="M3631" s="1" t="str">
        <f>TEXT(Table1[[#This Row],[Order_Date]], "MMM")</f>
        <v>May</v>
      </c>
      <c r="N3631" s="1">
        <f>YEAR(Table1[[#This Row],[Order_Date]])</f>
        <v>2023</v>
      </c>
      <c r="O3631" s="7">
        <f>Table1[[#This Row],[Profit]]/Table1[[#This Row],[Total_Sales]]</f>
        <v>0.34712280701754389</v>
      </c>
    </row>
    <row r="3632" spans="1:15" x14ac:dyDescent="0.25">
      <c r="A3632" s="1">
        <v>3631</v>
      </c>
      <c r="B3632" s="2">
        <v>45100</v>
      </c>
      <c r="C3632" s="1" t="s">
        <v>16</v>
      </c>
      <c r="D3632" s="1" t="s">
        <v>13</v>
      </c>
      <c r="E3632" s="1" t="s">
        <v>39</v>
      </c>
      <c r="F3632" s="1" t="s">
        <v>15</v>
      </c>
      <c r="G3632" s="1">
        <v>4</v>
      </c>
      <c r="H3632" s="1">
        <v>655</v>
      </c>
      <c r="I3632" s="1">
        <v>20</v>
      </c>
      <c r="J3632" s="4">
        <v>2096</v>
      </c>
      <c r="K3632" s="4">
        <v>1338.93</v>
      </c>
      <c r="L3632" s="4">
        <v>757.07</v>
      </c>
      <c r="M3632" s="1" t="str">
        <f>TEXT(Table1[[#This Row],[Order_Date]], "MMM")</f>
        <v>Jun</v>
      </c>
      <c r="N3632" s="1">
        <f>YEAR(Table1[[#This Row],[Order_Date]])</f>
        <v>2023</v>
      </c>
      <c r="O3632" s="7">
        <f>Table1[[#This Row],[Profit]]/Table1[[#This Row],[Total_Sales]]</f>
        <v>0.36119751908396946</v>
      </c>
    </row>
    <row r="3633" spans="1:15" x14ac:dyDescent="0.25">
      <c r="A3633" s="1">
        <v>3632</v>
      </c>
      <c r="B3633" s="2">
        <v>45588</v>
      </c>
      <c r="C3633" s="1" t="s">
        <v>19</v>
      </c>
      <c r="D3633" s="1" t="s">
        <v>20</v>
      </c>
      <c r="E3633" s="1" t="s">
        <v>28</v>
      </c>
      <c r="F3633" s="1" t="s">
        <v>24</v>
      </c>
      <c r="G3633" s="1">
        <v>2</v>
      </c>
      <c r="H3633" s="1">
        <v>923</v>
      </c>
      <c r="I3633" s="1">
        <v>0</v>
      </c>
      <c r="J3633" s="4">
        <v>1846</v>
      </c>
      <c r="K3633" s="4">
        <v>1400.73</v>
      </c>
      <c r="L3633" s="4">
        <v>445.27</v>
      </c>
      <c r="M3633" s="1" t="str">
        <f>TEXT(Table1[[#This Row],[Order_Date]], "MMM")</f>
        <v>Oct</v>
      </c>
      <c r="N3633" s="1">
        <f>YEAR(Table1[[#This Row],[Order_Date]])</f>
        <v>2024</v>
      </c>
      <c r="O3633" s="7">
        <f>Table1[[#This Row],[Profit]]/Table1[[#This Row],[Total_Sales]]</f>
        <v>0.2412080173347779</v>
      </c>
    </row>
    <row r="3634" spans="1:15" x14ac:dyDescent="0.25">
      <c r="A3634" s="1">
        <v>3633</v>
      </c>
      <c r="B3634" s="2">
        <v>45615</v>
      </c>
      <c r="C3634" s="1" t="s">
        <v>25</v>
      </c>
      <c r="D3634" s="1" t="s">
        <v>26</v>
      </c>
      <c r="E3634" s="1" t="s">
        <v>37</v>
      </c>
      <c r="F3634" s="1" t="s">
        <v>35</v>
      </c>
      <c r="G3634" s="1">
        <v>5</v>
      </c>
      <c r="H3634" s="1">
        <v>56</v>
      </c>
      <c r="I3634" s="1">
        <v>5</v>
      </c>
      <c r="J3634" s="4">
        <v>266</v>
      </c>
      <c r="K3634" s="4">
        <v>135.25</v>
      </c>
      <c r="L3634" s="4">
        <v>130.75</v>
      </c>
      <c r="M3634" s="1" t="str">
        <f>TEXT(Table1[[#This Row],[Order_Date]], "MMM")</f>
        <v>Nov</v>
      </c>
      <c r="N3634" s="1">
        <f>YEAR(Table1[[#This Row],[Order_Date]])</f>
        <v>2024</v>
      </c>
      <c r="O3634" s="7">
        <f>Table1[[#This Row],[Profit]]/Table1[[#This Row],[Total_Sales]]</f>
        <v>0.49154135338345867</v>
      </c>
    </row>
    <row r="3635" spans="1:15" x14ac:dyDescent="0.25">
      <c r="A3635" s="1">
        <v>3634</v>
      </c>
      <c r="B3635" s="2">
        <v>44933</v>
      </c>
      <c r="C3635" s="1" t="s">
        <v>12</v>
      </c>
      <c r="D3635" s="1" t="s">
        <v>26</v>
      </c>
      <c r="E3635" s="1" t="s">
        <v>46</v>
      </c>
      <c r="F3635" s="1" t="s">
        <v>18</v>
      </c>
      <c r="G3635" s="1">
        <v>3</v>
      </c>
      <c r="H3635" s="1">
        <v>470</v>
      </c>
      <c r="I3635" s="1">
        <v>5</v>
      </c>
      <c r="J3635" s="4">
        <v>1339.5</v>
      </c>
      <c r="K3635" s="4">
        <v>856.14</v>
      </c>
      <c r="L3635" s="4">
        <v>483.36</v>
      </c>
      <c r="M3635" s="1" t="str">
        <f>TEXT(Table1[[#This Row],[Order_Date]], "MMM")</f>
        <v>Jan</v>
      </c>
      <c r="N3635" s="1">
        <f>YEAR(Table1[[#This Row],[Order_Date]])</f>
        <v>2023</v>
      </c>
      <c r="O3635" s="7">
        <f>Table1[[#This Row],[Profit]]/Table1[[#This Row],[Total_Sales]]</f>
        <v>0.36085106382978727</v>
      </c>
    </row>
    <row r="3636" spans="1:15" x14ac:dyDescent="0.25">
      <c r="A3636" s="1">
        <v>3635</v>
      </c>
      <c r="B3636" s="2">
        <v>45031</v>
      </c>
      <c r="C3636" s="1" t="s">
        <v>19</v>
      </c>
      <c r="D3636" s="1" t="s">
        <v>22</v>
      </c>
      <c r="E3636" s="1" t="s">
        <v>36</v>
      </c>
      <c r="F3636" s="1" t="s">
        <v>35</v>
      </c>
      <c r="G3636" s="1">
        <v>8</v>
      </c>
      <c r="H3636" s="1">
        <v>335</v>
      </c>
      <c r="I3636" s="1">
        <v>5</v>
      </c>
      <c r="J3636" s="4">
        <v>2546</v>
      </c>
      <c r="K3636" s="4">
        <v>1511.07</v>
      </c>
      <c r="L3636" s="4">
        <v>1034.93</v>
      </c>
      <c r="M3636" s="1" t="str">
        <f>TEXT(Table1[[#This Row],[Order_Date]], "MMM")</f>
        <v>Apr</v>
      </c>
      <c r="N3636" s="1">
        <f>YEAR(Table1[[#This Row],[Order_Date]])</f>
        <v>2023</v>
      </c>
      <c r="O3636" s="7">
        <f>Table1[[#This Row],[Profit]]/Table1[[#This Row],[Total_Sales]]</f>
        <v>0.40649253731343288</v>
      </c>
    </row>
    <row r="3637" spans="1:15" x14ac:dyDescent="0.25">
      <c r="A3637" s="1">
        <v>3636</v>
      </c>
      <c r="B3637" s="2">
        <v>45285</v>
      </c>
      <c r="C3637" s="1" t="s">
        <v>25</v>
      </c>
      <c r="D3637" s="1" t="s">
        <v>20</v>
      </c>
      <c r="E3637" s="1" t="s">
        <v>21</v>
      </c>
      <c r="F3637" s="1" t="s">
        <v>18</v>
      </c>
      <c r="G3637" s="1">
        <v>4</v>
      </c>
      <c r="H3637" s="1">
        <v>686</v>
      </c>
      <c r="I3637" s="1">
        <v>10</v>
      </c>
      <c r="J3637" s="4">
        <v>2469.6</v>
      </c>
      <c r="K3637" s="4">
        <v>1257.45</v>
      </c>
      <c r="L3637" s="4">
        <v>1212.1500000000001</v>
      </c>
      <c r="M3637" s="1" t="str">
        <f>TEXT(Table1[[#This Row],[Order_Date]], "MMM")</f>
        <v>Dec</v>
      </c>
      <c r="N3637" s="1">
        <f>YEAR(Table1[[#This Row],[Order_Date]])</f>
        <v>2023</v>
      </c>
      <c r="O3637" s="7">
        <f>Table1[[#This Row],[Profit]]/Table1[[#This Row],[Total_Sales]]</f>
        <v>0.49082847424684167</v>
      </c>
    </row>
    <row r="3638" spans="1:15" x14ac:dyDescent="0.25">
      <c r="A3638" s="1">
        <v>3637</v>
      </c>
      <c r="B3638" s="2">
        <v>45544</v>
      </c>
      <c r="C3638" s="1" t="s">
        <v>25</v>
      </c>
      <c r="D3638" s="1" t="s">
        <v>26</v>
      </c>
      <c r="E3638" s="1" t="s">
        <v>37</v>
      </c>
      <c r="F3638" s="1" t="s">
        <v>24</v>
      </c>
      <c r="G3638" s="1">
        <v>6</v>
      </c>
      <c r="H3638" s="1">
        <v>599</v>
      </c>
      <c r="I3638" s="1">
        <v>0</v>
      </c>
      <c r="J3638" s="4">
        <v>3594</v>
      </c>
      <c r="K3638" s="4">
        <v>2710.85</v>
      </c>
      <c r="L3638" s="4">
        <v>883.15</v>
      </c>
      <c r="M3638" s="1" t="str">
        <f>TEXT(Table1[[#This Row],[Order_Date]], "MMM")</f>
        <v>Sep</v>
      </c>
      <c r="N3638" s="1">
        <f>YEAR(Table1[[#This Row],[Order_Date]])</f>
        <v>2024</v>
      </c>
      <c r="O3638" s="7">
        <f>Table1[[#This Row],[Profit]]/Table1[[#This Row],[Total_Sales]]</f>
        <v>0.24572899276572063</v>
      </c>
    </row>
    <row r="3639" spans="1:15" x14ac:dyDescent="0.25">
      <c r="A3639" s="1">
        <v>3638</v>
      </c>
      <c r="B3639" s="2">
        <v>45405</v>
      </c>
      <c r="C3639" s="1" t="s">
        <v>16</v>
      </c>
      <c r="D3639" s="1" t="s">
        <v>26</v>
      </c>
      <c r="E3639" s="1" t="s">
        <v>27</v>
      </c>
      <c r="F3639" s="1" t="s">
        <v>15</v>
      </c>
      <c r="G3639" s="1">
        <v>10</v>
      </c>
      <c r="H3639" s="1">
        <v>610</v>
      </c>
      <c r="I3639" s="1">
        <v>5</v>
      </c>
      <c r="J3639" s="4">
        <v>5795</v>
      </c>
      <c r="K3639" s="4">
        <v>3499.61</v>
      </c>
      <c r="L3639" s="4">
        <v>2295.39</v>
      </c>
      <c r="M3639" s="1" t="str">
        <f>TEXT(Table1[[#This Row],[Order_Date]], "MMM")</f>
        <v>Apr</v>
      </c>
      <c r="N3639" s="1">
        <f>YEAR(Table1[[#This Row],[Order_Date]])</f>
        <v>2024</v>
      </c>
      <c r="O3639" s="7">
        <f>Table1[[#This Row],[Profit]]/Table1[[#This Row],[Total_Sales]]</f>
        <v>0.39609836065573767</v>
      </c>
    </row>
    <row r="3640" spans="1:15" x14ac:dyDescent="0.25">
      <c r="A3640" s="1">
        <v>3639</v>
      </c>
      <c r="B3640" s="2">
        <v>45360</v>
      </c>
      <c r="C3640" s="1" t="s">
        <v>19</v>
      </c>
      <c r="D3640" s="1" t="s">
        <v>26</v>
      </c>
      <c r="E3640" s="1" t="s">
        <v>46</v>
      </c>
      <c r="F3640" s="1" t="s">
        <v>15</v>
      </c>
      <c r="G3640" s="1">
        <v>1</v>
      </c>
      <c r="H3640" s="1">
        <v>981</v>
      </c>
      <c r="I3640" s="1">
        <v>10</v>
      </c>
      <c r="J3640" s="4">
        <v>882.9</v>
      </c>
      <c r="K3640" s="4">
        <v>456.36</v>
      </c>
      <c r="L3640" s="4">
        <v>426.54</v>
      </c>
      <c r="M3640" s="1" t="str">
        <f>TEXT(Table1[[#This Row],[Order_Date]], "MMM")</f>
        <v>Mar</v>
      </c>
      <c r="N3640" s="1">
        <f>YEAR(Table1[[#This Row],[Order_Date]])</f>
        <v>2024</v>
      </c>
      <c r="O3640" s="7">
        <f>Table1[[#This Row],[Profit]]/Table1[[#This Row],[Total_Sales]]</f>
        <v>0.48311247026843362</v>
      </c>
    </row>
    <row r="3641" spans="1:15" x14ac:dyDescent="0.25">
      <c r="A3641" s="1">
        <v>3640</v>
      </c>
      <c r="B3641" s="2">
        <v>44986</v>
      </c>
      <c r="C3641" s="1" t="s">
        <v>12</v>
      </c>
      <c r="D3641" s="1" t="s">
        <v>20</v>
      </c>
      <c r="E3641" s="1" t="s">
        <v>30</v>
      </c>
      <c r="F3641" s="1" t="s">
        <v>15</v>
      </c>
      <c r="G3641" s="1">
        <v>10</v>
      </c>
      <c r="H3641" s="1">
        <v>106</v>
      </c>
      <c r="I3641" s="1">
        <v>10</v>
      </c>
      <c r="J3641" s="4">
        <v>954</v>
      </c>
      <c r="K3641" s="4">
        <v>544.29999999999995</v>
      </c>
      <c r="L3641" s="4">
        <v>409.7</v>
      </c>
      <c r="M3641" s="1" t="str">
        <f>TEXT(Table1[[#This Row],[Order_Date]], "MMM")</f>
        <v>Mar</v>
      </c>
      <c r="N3641" s="1">
        <f>YEAR(Table1[[#This Row],[Order_Date]])</f>
        <v>2023</v>
      </c>
      <c r="O3641" s="7">
        <f>Table1[[#This Row],[Profit]]/Table1[[#This Row],[Total_Sales]]</f>
        <v>0.42945492662473794</v>
      </c>
    </row>
    <row r="3642" spans="1:15" x14ac:dyDescent="0.25">
      <c r="A3642" s="1">
        <v>3641</v>
      </c>
      <c r="B3642" s="2">
        <v>45432</v>
      </c>
      <c r="C3642" s="1" t="s">
        <v>16</v>
      </c>
      <c r="D3642" s="1" t="s">
        <v>22</v>
      </c>
      <c r="E3642" s="1" t="s">
        <v>44</v>
      </c>
      <c r="F3642" s="1" t="s">
        <v>15</v>
      </c>
      <c r="G3642" s="1">
        <v>9</v>
      </c>
      <c r="H3642" s="1">
        <v>543</v>
      </c>
      <c r="I3642" s="1">
        <v>20</v>
      </c>
      <c r="J3642" s="4">
        <v>3909.6</v>
      </c>
      <c r="K3642" s="4">
        <v>2597.4299999999998</v>
      </c>
      <c r="L3642" s="4">
        <v>1312.17</v>
      </c>
      <c r="M3642" s="1" t="str">
        <f>TEXT(Table1[[#This Row],[Order_Date]], "MMM")</f>
        <v>May</v>
      </c>
      <c r="N3642" s="1">
        <f>YEAR(Table1[[#This Row],[Order_Date]])</f>
        <v>2024</v>
      </c>
      <c r="O3642" s="7">
        <f>Table1[[#This Row],[Profit]]/Table1[[#This Row],[Total_Sales]]</f>
        <v>0.3356276856967465</v>
      </c>
    </row>
    <row r="3643" spans="1:15" x14ac:dyDescent="0.25">
      <c r="A3643" s="1">
        <v>3642</v>
      </c>
      <c r="B3643" s="2">
        <v>45444</v>
      </c>
      <c r="C3643" s="1" t="s">
        <v>25</v>
      </c>
      <c r="D3643" s="1" t="s">
        <v>13</v>
      </c>
      <c r="E3643" s="1" t="s">
        <v>38</v>
      </c>
      <c r="F3643" s="1" t="s">
        <v>18</v>
      </c>
      <c r="G3643" s="1">
        <v>9</v>
      </c>
      <c r="H3643" s="1">
        <v>984</v>
      </c>
      <c r="I3643" s="1">
        <v>20</v>
      </c>
      <c r="J3643" s="4">
        <v>7084.8</v>
      </c>
      <c r="K3643" s="4">
        <v>5663.8</v>
      </c>
      <c r="L3643" s="4">
        <v>1421</v>
      </c>
      <c r="M3643" s="1" t="str">
        <f>TEXT(Table1[[#This Row],[Order_Date]], "MMM")</f>
        <v>Jun</v>
      </c>
      <c r="N3643" s="1">
        <f>YEAR(Table1[[#This Row],[Order_Date]])</f>
        <v>2024</v>
      </c>
      <c r="O3643" s="7">
        <f>Table1[[#This Row],[Profit]]/Table1[[#This Row],[Total_Sales]]</f>
        <v>0.20057023486901535</v>
      </c>
    </row>
    <row r="3644" spans="1:15" x14ac:dyDescent="0.25">
      <c r="A3644" s="1">
        <v>3643</v>
      </c>
      <c r="B3644" s="2">
        <v>45402</v>
      </c>
      <c r="C3644" s="1" t="s">
        <v>12</v>
      </c>
      <c r="D3644" s="1" t="s">
        <v>13</v>
      </c>
      <c r="E3644" s="1" t="s">
        <v>17</v>
      </c>
      <c r="F3644" s="1" t="s">
        <v>35</v>
      </c>
      <c r="G3644" s="1">
        <v>9</v>
      </c>
      <c r="H3644" s="1">
        <v>677</v>
      </c>
      <c r="I3644" s="1">
        <v>15</v>
      </c>
      <c r="J3644" s="4">
        <v>5179.05</v>
      </c>
      <c r="K3644" s="4">
        <v>3314.28</v>
      </c>
      <c r="L3644" s="4">
        <v>1864.77</v>
      </c>
      <c r="M3644" s="1" t="str">
        <f>TEXT(Table1[[#This Row],[Order_Date]], "MMM")</f>
        <v>Apr</v>
      </c>
      <c r="N3644" s="1">
        <f>YEAR(Table1[[#This Row],[Order_Date]])</f>
        <v>2024</v>
      </c>
      <c r="O3644" s="7">
        <f>Table1[[#This Row],[Profit]]/Table1[[#This Row],[Total_Sales]]</f>
        <v>0.36006024270860482</v>
      </c>
    </row>
    <row r="3645" spans="1:15" x14ac:dyDescent="0.25">
      <c r="A3645" s="1">
        <v>3644</v>
      </c>
      <c r="B3645" s="2">
        <v>45335</v>
      </c>
      <c r="C3645" s="1" t="s">
        <v>19</v>
      </c>
      <c r="D3645" s="1" t="s">
        <v>26</v>
      </c>
      <c r="E3645" s="1" t="s">
        <v>42</v>
      </c>
      <c r="F3645" s="1" t="s">
        <v>15</v>
      </c>
      <c r="G3645" s="1">
        <v>9</v>
      </c>
      <c r="H3645" s="1">
        <v>327</v>
      </c>
      <c r="I3645" s="1">
        <v>0</v>
      </c>
      <c r="J3645" s="4">
        <v>2943</v>
      </c>
      <c r="K3645" s="4">
        <v>2113.5300000000002</v>
      </c>
      <c r="L3645" s="4">
        <v>829.47</v>
      </c>
      <c r="M3645" s="1" t="str">
        <f>TEXT(Table1[[#This Row],[Order_Date]], "MMM")</f>
        <v>Feb</v>
      </c>
      <c r="N3645" s="1">
        <f>YEAR(Table1[[#This Row],[Order_Date]])</f>
        <v>2024</v>
      </c>
      <c r="O3645" s="7">
        <f>Table1[[#This Row],[Profit]]/Table1[[#This Row],[Total_Sales]]</f>
        <v>0.28184505606523957</v>
      </c>
    </row>
    <row r="3646" spans="1:15" x14ac:dyDescent="0.25">
      <c r="A3646" s="1">
        <v>3645</v>
      </c>
      <c r="B3646" s="2">
        <v>44959</v>
      </c>
      <c r="C3646" s="1" t="s">
        <v>25</v>
      </c>
      <c r="D3646" s="1" t="s">
        <v>26</v>
      </c>
      <c r="E3646" s="1" t="s">
        <v>27</v>
      </c>
      <c r="F3646" s="1" t="s">
        <v>40</v>
      </c>
      <c r="G3646" s="1">
        <v>8</v>
      </c>
      <c r="H3646" s="1">
        <v>347</v>
      </c>
      <c r="I3646" s="1">
        <v>15</v>
      </c>
      <c r="J3646" s="4">
        <v>2359.6</v>
      </c>
      <c r="K3646" s="4">
        <v>1351.67</v>
      </c>
      <c r="L3646" s="4">
        <v>1007.93</v>
      </c>
      <c r="M3646" s="1" t="str">
        <f>TEXT(Table1[[#This Row],[Order_Date]], "MMM")</f>
        <v>Feb</v>
      </c>
      <c r="N3646" s="1">
        <f>YEAR(Table1[[#This Row],[Order_Date]])</f>
        <v>2023</v>
      </c>
      <c r="O3646" s="7">
        <f>Table1[[#This Row],[Profit]]/Table1[[#This Row],[Total_Sales]]</f>
        <v>0.42716138328530256</v>
      </c>
    </row>
    <row r="3647" spans="1:15" x14ac:dyDescent="0.25">
      <c r="A3647" s="1">
        <v>3646</v>
      </c>
      <c r="B3647" s="2">
        <v>45626</v>
      </c>
      <c r="C3647" s="1" t="s">
        <v>16</v>
      </c>
      <c r="D3647" s="1" t="s">
        <v>32</v>
      </c>
      <c r="E3647" s="1" t="s">
        <v>41</v>
      </c>
      <c r="F3647" s="1" t="s">
        <v>31</v>
      </c>
      <c r="G3647" s="1">
        <v>10</v>
      </c>
      <c r="H3647" s="1">
        <v>340</v>
      </c>
      <c r="I3647" s="1">
        <v>20</v>
      </c>
      <c r="J3647" s="4">
        <v>2720</v>
      </c>
      <c r="K3647" s="4">
        <v>2012.96</v>
      </c>
      <c r="L3647" s="4">
        <v>707.04</v>
      </c>
      <c r="M3647" s="1" t="str">
        <f>TEXT(Table1[[#This Row],[Order_Date]], "MMM")</f>
        <v>Nov</v>
      </c>
      <c r="N3647" s="1">
        <f>YEAR(Table1[[#This Row],[Order_Date]])</f>
        <v>2024</v>
      </c>
      <c r="O3647" s="7">
        <f>Table1[[#This Row],[Profit]]/Table1[[#This Row],[Total_Sales]]</f>
        <v>0.25994117647058823</v>
      </c>
    </row>
    <row r="3648" spans="1:15" x14ac:dyDescent="0.25">
      <c r="A3648" s="1">
        <v>3647</v>
      </c>
      <c r="B3648" s="2">
        <v>45253</v>
      </c>
      <c r="C3648" s="1" t="s">
        <v>12</v>
      </c>
      <c r="D3648" s="1" t="s">
        <v>22</v>
      </c>
      <c r="E3648" s="1" t="s">
        <v>29</v>
      </c>
      <c r="F3648" s="1" t="s">
        <v>40</v>
      </c>
      <c r="G3648" s="1">
        <v>4</v>
      </c>
      <c r="H3648" s="1">
        <v>313</v>
      </c>
      <c r="I3648" s="1">
        <v>20</v>
      </c>
      <c r="J3648" s="4">
        <v>1001.6</v>
      </c>
      <c r="K3648" s="4">
        <v>720.48</v>
      </c>
      <c r="L3648" s="4">
        <v>281.12</v>
      </c>
      <c r="M3648" s="1" t="str">
        <f>TEXT(Table1[[#This Row],[Order_Date]], "MMM")</f>
        <v>Nov</v>
      </c>
      <c r="N3648" s="1">
        <f>YEAR(Table1[[#This Row],[Order_Date]])</f>
        <v>2023</v>
      </c>
      <c r="O3648" s="7">
        <f>Table1[[#This Row],[Profit]]/Table1[[#This Row],[Total_Sales]]</f>
        <v>0.28067092651757186</v>
      </c>
    </row>
    <row r="3649" spans="1:15" x14ac:dyDescent="0.25">
      <c r="A3649" s="1">
        <v>3648</v>
      </c>
      <c r="B3649" s="2">
        <v>45492</v>
      </c>
      <c r="C3649" s="1" t="s">
        <v>25</v>
      </c>
      <c r="D3649" s="1" t="s">
        <v>13</v>
      </c>
      <c r="E3649" s="1" t="s">
        <v>17</v>
      </c>
      <c r="F3649" s="1" t="s">
        <v>31</v>
      </c>
      <c r="G3649" s="1">
        <v>2</v>
      </c>
      <c r="H3649" s="1">
        <v>698</v>
      </c>
      <c r="I3649" s="1">
        <v>20</v>
      </c>
      <c r="J3649" s="4">
        <v>1116.8</v>
      </c>
      <c r="K3649" s="4">
        <v>573.73</v>
      </c>
      <c r="L3649" s="4">
        <v>543.07000000000005</v>
      </c>
      <c r="M3649" s="1" t="str">
        <f>TEXT(Table1[[#This Row],[Order_Date]], "MMM")</f>
        <v>Jul</v>
      </c>
      <c r="N3649" s="1">
        <f>YEAR(Table1[[#This Row],[Order_Date]])</f>
        <v>2024</v>
      </c>
      <c r="O3649" s="7">
        <f>Table1[[#This Row],[Profit]]/Table1[[#This Row],[Total_Sales]]</f>
        <v>0.48627328080229232</v>
      </c>
    </row>
    <row r="3650" spans="1:15" x14ac:dyDescent="0.25">
      <c r="A3650" s="1">
        <v>3649</v>
      </c>
      <c r="B3650" s="2">
        <v>45007</v>
      </c>
      <c r="C3650" s="1" t="s">
        <v>19</v>
      </c>
      <c r="D3650" s="1" t="s">
        <v>32</v>
      </c>
      <c r="E3650" s="1" t="s">
        <v>33</v>
      </c>
      <c r="F3650" s="1" t="s">
        <v>24</v>
      </c>
      <c r="G3650" s="1">
        <v>6</v>
      </c>
      <c r="H3650" s="1">
        <v>346</v>
      </c>
      <c r="I3650" s="1">
        <v>10</v>
      </c>
      <c r="J3650" s="4">
        <v>1868.4</v>
      </c>
      <c r="K3650" s="4">
        <v>1264.7</v>
      </c>
      <c r="L3650" s="4">
        <v>603.70000000000005</v>
      </c>
      <c r="M3650" s="1" t="str">
        <f>TEXT(Table1[[#This Row],[Order_Date]], "MMM")</f>
        <v>Mar</v>
      </c>
      <c r="N3650" s="1">
        <f>YEAR(Table1[[#This Row],[Order_Date]])</f>
        <v>2023</v>
      </c>
      <c r="O3650" s="7">
        <f>Table1[[#This Row],[Profit]]/Table1[[#This Row],[Total_Sales]]</f>
        <v>0.32311068293727252</v>
      </c>
    </row>
    <row r="3651" spans="1:15" x14ac:dyDescent="0.25">
      <c r="A3651" s="1">
        <v>3650</v>
      </c>
      <c r="B3651" s="2">
        <v>45369</v>
      </c>
      <c r="C3651" s="1" t="s">
        <v>16</v>
      </c>
      <c r="D3651" s="1" t="s">
        <v>20</v>
      </c>
      <c r="E3651" s="1" t="s">
        <v>43</v>
      </c>
      <c r="F3651" s="1" t="s">
        <v>35</v>
      </c>
      <c r="G3651" s="1">
        <v>7</v>
      </c>
      <c r="H3651" s="1">
        <v>10</v>
      </c>
      <c r="I3651" s="1">
        <v>0</v>
      </c>
      <c r="J3651" s="4">
        <v>70</v>
      </c>
      <c r="K3651" s="4">
        <v>44.96</v>
      </c>
      <c r="L3651" s="4">
        <v>25.04</v>
      </c>
      <c r="M3651" s="1" t="str">
        <f>TEXT(Table1[[#This Row],[Order_Date]], "MMM")</f>
        <v>Mar</v>
      </c>
      <c r="N3651" s="1">
        <f>YEAR(Table1[[#This Row],[Order_Date]])</f>
        <v>2024</v>
      </c>
      <c r="O3651" s="7">
        <f>Table1[[#This Row],[Profit]]/Table1[[#This Row],[Total_Sales]]</f>
        <v>0.35771428571428571</v>
      </c>
    </row>
    <row r="3652" spans="1:15" x14ac:dyDescent="0.25">
      <c r="A3652" s="1">
        <v>3651</v>
      </c>
      <c r="B3652" s="2">
        <v>45502</v>
      </c>
      <c r="C3652" s="1" t="s">
        <v>12</v>
      </c>
      <c r="D3652" s="1" t="s">
        <v>26</v>
      </c>
      <c r="E3652" s="1" t="s">
        <v>27</v>
      </c>
      <c r="F3652" s="1" t="s">
        <v>40</v>
      </c>
      <c r="G3652" s="1">
        <v>5</v>
      </c>
      <c r="H3652" s="1">
        <v>900</v>
      </c>
      <c r="I3652" s="1">
        <v>20</v>
      </c>
      <c r="J3652" s="4">
        <v>3600</v>
      </c>
      <c r="K3652" s="4">
        <v>1913.78</v>
      </c>
      <c r="L3652" s="4">
        <v>1686.22</v>
      </c>
      <c r="M3652" s="1" t="str">
        <f>TEXT(Table1[[#This Row],[Order_Date]], "MMM")</f>
        <v>Jul</v>
      </c>
      <c r="N3652" s="1">
        <f>YEAR(Table1[[#This Row],[Order_Date]])</f>
        <v>2024</v>
      </c>
      <c r="O3652" s="7">
        <f>Table1[[#This Row],[Profit]]/Table1[[#This Row],[Total_Sales]]</f>
        <v>0.46839444444444445</v>
      </c>
    </row>
    <row r="3653" spans="1:15" x14ac:dyDescent="0.25">
      <c r="A3653" s="1">
        <v>3652</v>
      </c>
      <c r="B3653" s="2">
        <v>44979</v>
      </c>
      <c r="C3653" s="1" t="s">
        <v>12</v>
      </c>
      <c r="D3653" s="1" t="s">
        <v>13</v>
      </c>
      <c r="E3653" s="1" t="s">
        <v>17</v>
      </c>
      <c r="F3653" s="1" t="s">
        <v>31</v>
      </c>
      <c r="G3653" s="1">
        <v>7</v>
      </c>
      <c r="H3653" s="1">
        <v>505</v>
      </c>
      <c r="I3653" s="1">
        <v>0</v>
      </c>
      <c r="J3653" s="4">
        <v>3535</v>
      </c>
      <c r="K3653" s="4">
        <v>2001.47</v>
      </c>
      <c r="L3653" s="4">
        <v>1533.53</v>
      </c>
      <c r="M3653" s="1" t="str">
        <f>TEXT(Table1[[#This Row],[Order_Date]], "MMM")</f>
        <v>Feb</v>
      </c>
      <c r="N3653" s="1">
        <f>YEAR(Table1[[#This Row],[Order_Date]])</f>
        <v>2023</v>
      </c>
      <c r="O3653" s="7">
        <f>Table1[[#This Row],[Profit]]/Table1[[#This Row],[Total_Sales]]</f>
        <v>0.43381329561527582</v>
      </c>
    </row>
    <row r="3654" spans="1:15" x14ac:dyDescent="0.25">
      <c r="A3654" s="1">
        <v>3653</v>
      </c>
      <c r="B3654" s="2">
        <v>45575</v>
      </c>
      <c r="C3654" s="1" t="s">
        <v>19</v>
      </c>
      <c r="D3654" s="1" t="s">
        <v>22</v>
      </c>
      <c r="E3654" s="1" t="s">
        <v>23</v>
      </c>
      <c r="F3654" s="1" t="s">
        <v>24</v>
      </c>
      <c r="G3654" s="1">
        <v>6</v>
      </c>
      <c r="H3654" s="1">
        <v>276</v>
      </c>
      <c r="I3654" s="1">
        <v>15</v>
      </c>
      <c r="J3654" s="4">
        <v>1407.6</v>
      </c>
      <c r="K3654" s="4">
        <v>1005.32</v>
      </c>
      <c r="L3654" s="4">
        <v>402.28</v>
      </c>
      <c r="M3654" s="1" t="str">
        <f>TEXT(Table1[[#This Row],[Order_Date]], "MMM")</f>
        <v>Oct</v>
      </c>
      <c r="N3654" s="1">
        <f>YEAR(Table1[[#This Row],[Order_Date]])</f>
        <v>2024</v>
      </c>
      <c r="O3654" s="7">
        <f>Table1[[#This Row],[Profit]]/Table1[[#This Row],[Total_Sales]]</f>
        <v>0.28579141801648195</v>
      </c>
    </row>
    <row r="3655" spans="1:15" x14ac:dyDescent="0.25">
      <c r="A3655" s="1">
        <v>3654</v>
      </c>
      <c r="B3655" s="2">
        <v>45538</v>
      </c>
      <c r="C3655" s="1" t="s">
        <v>25</v>
      </c>
      <c r="D3655" s="1" t="s">
        <v>22</v>
      </c>
      <c r="E3655" s="1" t="s">
        <v>44</v>
      </c>
      <c r="F3655" s="1" t="s">
        <v>31</v>
      </c>
      <c r="G3655" s="1">
        <v>3</v>
      </c>
      <c r="H3655" s="1">
        <v>791</v>
      </c>
      <c r="I3655" s="1">
        <v>15</v>
      </c>
      <c r="J3655" s="4">
        <v>2017.05</v>
      </c>
      <c r="K3655" s="4">
        <v>1153.96</v>
      </c>
      <c r="L3655" s="4">
        <v>863.09</v>
      </c>
      <c r="M3655" s="1" t="str">
        <f>TEXT(Table1[[#This Row],[Order_Date]], "MMM")</f>
        <v>Sep</v>
      </c>
      <c r="N3655" s="1">
        <f>YEAR(Table1[[#This Row],[Order_Date]])</f>
        <v>2024</v>
      </c>
      <c r="O3655" s="7">
        <f>Table1[[#This Row],[Profit]]/Table1[[#This Row],[Total_Sales]]</f>
        <v>0.42789717656974297</v>
      </c>
    </row>
    <row r="3656" spans="1:15" x14ac:dyDescent="0.25">
      <c r="A3656" s="1">
        <v>3655</v>
      </c>
      <c r="B3656" s="2">
        <v>45436</v>
      </c>
      <c r="C3656" s="1" t="s">
        <v>16</v>
      </c>
      <c r="D3656" s="1" t="s">
        <v>32</v>
      </c>
      <c r="E3656" s="1" t="s">
        <v>34</v>
      </c>
      <c r="F3656" s="1" t="s">
        <v>18</v>
      </c>
      <c r="G3656" s="1">
        <v>7</v>
      </c>
      <c r="H3656" s="1">
        <v>729</v>
      </c>
      <c r="I3656" s="1">
        <v>5</v>
      </c>
      <c r="J3656" s="4">
        <v>4847.8500000000004</v>
      </c>
      <c r="K3656" s="4">
        <v>2685.07</v>
      </c>
      <c r="L3656" s="4">
        <v>2162.7800000000002</v>
      </c>
      <c r="M3656" s="1" t="str">
        <f>TEXT(Table1[[#This Row],[Order_Date]], "MMM")</f>
        <v>May</v>
      </c>
      <c r="N3656" s="1">
        <f>YEAR(Table1[[#This Row],[Order_Date]])</f>
        <v>2024</v>
      </c>
      <c r="O3656" s="7">
        <f>Table1[[#This Row],[Profit]]/Table1[[#This Row],[Total_Sales]]</f>
        <v>0.44613179038130307</v>
      </c>
    </row>
    <row r="3657" spans="1:15" x14ac:dyDescent="0.25">
      <c r="A3657" s="1">
        <v>3656</v>
      </c>
      <c r="B3657" s="2">
        <v>44964</v>
      </c>
      <c r="C3657" s="1" t="s">
        <v>19</v>
      </c>
      <c r="D3657" s="1" t="s">
        <v>20</v>
      </c>
      <c r="E3657" s="1" t="s">
        <v>21</v>
      </c>
      <c r="F3657" s="1" t="s">
        <v>31</v>
      </c>
      <c r="G3657" s="1">
        <v>8</v>
      </c>
      <c r="H3657" s="1">
        <v>154</v>
      </c>
      <c r="I3657" s="1">
        <v>5</v>
      </c>
      <c r="J3657" s="4">
        <v>1170.4000000000001</v>
      </c>
      <c r="K3657" s="4">
        <v>756.86</v>
      </c>
      <c r="L3657" s="4">
        <v>413.54</v>
      </c>
      <c r="M3657" s="1" t="str">
        <f>TEXT(Table1[[#This Row],[Order_Date]], "MMM")</f>
        <v>Feb</v>
      </c>
      <c r="N3657" s="1">
        <f>YEAR(Table1[[#This Row],[Order_Date]])</f>
        <v>2023</v>
      </c>
      <c r="O3657" s="7">
        <f>Table1[[#This Row],[Profit]]/Table1[[#This Row],[Total_Sales]]</f>
        <v>0.35333219412166778</v>
      </c>
    </row>
    <row r="3658" spans="1:15" x14ac:dyDescent="0.25">
      <c r="A3658" s="1">
        <v>3657</v>
      </c>
      <c r="B3658" s="2">
        <v>45271</v>
      </c>
      <c r="C3658" s="1" t="s">
        <v>25</v>
      </c>
      <c r="D3658" s="1" t="s">
        <v>32</v>
      </c>
      <c r="E3658" s="1" t="s">
        <v>33</v>
      </c>
      <c r="F3658" s="1" t="s">
        <v>18</v>
      </c>
      <c r="G3658" s="1">
        <v>8</v>
      </c>
      <c r="H3658" s="1">
        <v>289</v>
      </c>
      <c r="I3658" s="1">
        <v>0</v>
      </c>
      <c r="J3658" s="4">
        <v>2312</v>
      </c>
      <c r="K3658" s="4">
        <v>1619.96</v>
      </c>
      <c r="L3658" s="4">
        <v>692.04</v>
      </c>
      <c r="M3658" s="1" t="str">
        <f>TEXT(Table1[[#This Row],[Order_Date]], "MMM")</f>
        <v>Dec</v>
      </c>
      <c r="N3658" s="1">
        <f>YEAR(Table1[[#This Row],[Order_Date]])</f>
        <v>2023</v>
      </c>
      <c r="O3658" s="7">
        <f>Table1[[#This Row],[Profit]]/Table1[[#This Row],[Total_Sales]]</f>
        <v>0.29932525951557093</v>
      </c>
    </row>
    <row r="3659" spans="1:15" x14ac:dyDescent="0.25">
      <c r="A3659" s="1">
        <v>3658</v>
      </c>
      <c r="B3659" s="2">
        <v>45277</v>
      </c>
      <c r="C3659" s="1" t="s">
        <v>16</v>
      </c>
      <c r="D3659" s="1" t="s">
        <v>20</v>
      </c>
      <c r="E3659" s="1" t="s">
        <v>28</v>
      </c>
      <c r="F3659" s="1" t="s">
        <v>18</v>
      </c>
      <c r="G3659" s="1">
        <v>3</v>
      </c>
      <c r="H3659" s="1">
        <v>615</v>
      </c>
      <c r="I3659" s="1">
        <v>5</v>
      </c>
      <c r="J3659" s="4">
        <v>1752.75</v>
      </c>
      <c r="K3659" s="4">
        <v>1246.68</v>
      </c>
      <c r="L3659" s="4">
        <v>506.07</v>
      </c>
      <c r="M3659" s="1" t="str">
        <f>TEXT(Table1[[#This Row],[Order_Date]], "MMM")</f>
        <v>Dec</v>
      </c>
      <c r="N3659" s="1">
        <f>YEAR(Table1[[#This Row],[Order_Date]])</f>
        <v>2023</v>
      </c>
      <c r="O3659" s="7">
        <f>Table1[[#This Row],[Profit]]/Table1[[#This Row],[Total_Sales]]</f>
        <v>0.28872913992297816</v>
      </c>
    </row>
    <row r="3660" spans="1:15" x14ac:dyDescent="0.25">
      <c r="A3660" s="1">
        <v>3659</v>
      </c>
      <c r="B3660" s="2">
        <v>45290</v>
      </c>
      <c r="C3660" s="1" t="s">
        <v>25</v>
      </c>
      <c r="D3660" s="1" t="s">
        <v>22</v>
      </c>
      <c r="E3660" s="1" t="s">
        <v>29</v>
      </c>
      <c r="F3660" s="1" t="s">
        <v>35</v>
      </c>
      <c r="G3660" s="1">
        <v>1</v>
      </c>
      <c r="H3660" s="1">
        <v>905</v>
      </c>
      <c r="I3660" s="1">
        <v>15</v>
      </c>
      <c r="J3660" s="4">
        <v>769.25</v>
      </c>
      <c r="K3660" s="4">
        <v>571.08000000000004</v>
      </c>
      <c r="L3660" s="4">
        <v>198.17</v>
      </c>
      <c r="M3660" s="1" t="str">
        <f>TEXT(Table1[[#This Row],[Order_Date]], "MMM")</f>
        <v>Dec</v>
      </c>
      <c r="N3660" s="1">
        <f>YEAR(Table1[[#This Row],[Order_Date]])</f>
        <v>2023</v>
      </c>
      <c r="O3660" s="7">
        <f>Table1[[#This Row],[Profit]]/Table1[[#This Row],[Total_Sales]]</f>
        <v>0.2576145596360091</v>
      </c>
    </row>
    <row r="3661" spans="1:15" x14ac:dyDescent="0.25">
      <c r="A3661" s="1">
        <v>3660</v>
      </c>
      <c r="B3661" s="2">
        <v>45042</v>
      </c>
      <c r="C3661" s="1" t="s">
        <v>12</v>
      </c>
      <c r="D3661" s="1" t="s">
        <v>13</v>
      </c>
      <c r="E3661" s="1" t="s">
        <v>38</v>
      </c>
      <c r="F3661" s="1" t="s">
        <v>40</v>
      </c>
      <c r="G3661" s="1">
        <v>7</v>
      </c>
      <c r="H3661" s="1">
        <v>274</v>
      </c>
      <c r="I3661" s="1">
        <v>10</v>
      </c>
      <c r="J3661" s="4">
        <v>1726.2</v>
      </c>
      <c r="K3661" s="4">
        <v>1297.57</v>
      </c>
      <c r="L3661" s="4">
        <v>428.63</v>
      </c>
      <c r="M3661" s="1" t="str">
        <f>TEXT(Table1[[#This Row],[Order_Date]], "MMM")</f>
        <v>Apr</v>
      </c>
      <c r="N3661" s="1">
        <f>YEAR(Table1[[#This Row],[Order_Date]])</f>
        <v>2023</v>
      </c>
      <c r="O3661" s="7">
        <f>Table1[[#This Row],[Profit]]/Table1[[#This Row],[Total_Sales]]</f>
        <v>0.24830842312594137</v>
      </c>
    </row>
    <row r="3662" spans="1:15" x14ac:dyDescent="0.25">
      <c r="A3662" s="1">
        <v>3661</v>
      </c>
      <c r="B3662" s="2">
        <v>45456</v>
      </c>
      <c r="C3662" s="1" t="s">
        <v>19</v>
      </c>
      <c r="D3662" s="1" t="s">
        <v>20</v>
      </c>
      <c r="E3662" s="1" t="s">
        <v>21</v>
      </c>
      <c r="F3662" s="1" t="s">
        <v>40</v>
      </c>
      <c r="G3662" s="1">
        <v>5</v>
      </c>
      <c r="H3662" s="1">
        <v>875</v>
      </c>
      <c r="I3662" s="1">
        <v>5</v>
      </c>
      <c r="J3662" s="4">
        <v>4156.25</v>
      </c>
      <c r="K3662" s="4">
        <v>3307.42</v>
      </c>
      <c r="L3662" s="4">
        <v>848.83</v>
      </c>
      <c r="M3662" s="1" t="str">
        <f>TEXT(Table1[[#This Row],[Order_Date]], "MMM")</f>
        <v>Jun</v>
      </c>
      <c r="N3662" s="1">
        <f>YEAR(Table1[[#This Row],[Order_Date]])</f>
        <v>2024</v>
      </c>
      <c r="O3662" s="7">
        <f>Table1[[#This Row],[Profit]]/Table1[[#This Row],[Total_Sales]]</f>
        <v>0.20422977443609022</v>
      </c>
    </row>
    <row r="3663" spans="1:15" x14ac:dyDescent="0.25">
      <c r="A3663" s="1">
        <v>3662</v>
      </c>
      <c r="B3663" s="2">
        <v>45281</v>
      </c>
      <c r="C3663" s="1" t="s">
        <v>19</v>
      </c>
      <c r="D3663" s="1" t="s">
        <v>26</v>
      </c>
      <c r="E3663" s="1" t="s">
        <v>37</v>
      </c>
      <c r="F3663" s="1" t="s">
        <v>18</v>
      </c>
      <c r="G3663" s="1">
        <v>10</v>
      </c>
      <c r="H3663" s="1">
        <v>556</v>
      </c>
      <c r="I3663" s="1">
        <v>15</v>
      </c>
      <c r="J3663" s="4">
        <v>4726</v>
      </c>
      <c r="K3663" s="4">
        <v>3520.18</v>
      </c>
      <c r="L3663" s="4">
        <v>1205.82</v>
      </c>
      <c r="M3663" s="1" t="str">
        <f>TEXT(Table1[[#This Row],[Order_Date]], "MMM")</f>
        <v>Dec</v>
      </c>
      <c r="N3663" s="1">
        <f>YEAR(Table1[[#This Row],[Order_Date]])</f>
        <v>2023</v>
      </c>
      <c r="O3663" s="7">
        <f>Table1[[#This Row],[Profit]]/Table1[[#This Row],[Total_Sales]]</f>
        <v>0.25514600084638173</v>
      </c>
    </row>
    <row r="3664" spans="1:15" x14ac:dyDescent="0.25">
      <c r="A3664" s="1">
        <v>3663</v>
      </c>
      <c r="B3664" s="2">
        <v>45048</v>
      </c>
      <c r="C3664" s="1" t="s">
        <v>25</v>
      </c>
      <c r="D3664" s="1" t="s">
        <v>20</v>
      </c>
      <c r="E3664" s="1" t="s">
        <v>43</v>
      </c>
      <c r="F3664" s="1" t="s">
        <v>15</v>
      </c>
      <c r="G3664" s="1">
        <v>4</v>
      </c>
      <c r="H3664" s="1">
        <v>960</v>
      </c>
      <c r="I3664" s="1">
        <v>20</v>
      </c>
      <c r="J3664" s="4">
        <v>3072</v>
      </c>
      <c r="K3664" s="4">
        <v>2291.8000000000002</v>
      </c>
      <c r="L3664" s="4">
        <v>780.2</v>
      </c>
      <c r="M3664" s="1" t="str">
        <f>TEXT(Table1[[#This Row],[Order_Date]], "MMM")</f>
        <v>May</v>
      </c>
      <c r="N3664" s="1">
        <f>YEAR(Table1[[#This Row],[Order_Date]])</f>
        <v>2023</v>
      </c>
      <c r="O3664" s="7">
        <f>Table1[[#This Row],[Profit]]/Table1[[#This Row],[Total_Sales]]</f>
        <v>0.25397135416666666</v>
      </c>
    </row>
    <row r="3665" spans="1:15" x14ac:dyDescent="0.25">
      <c r="A3665" s="1">
        <v>3664</v>
      </c>
      <c r="B3665" s="2">
        <v>45056</v>
      </c>
      <c r="C3665" s="1" t="s">
        <v>19</v>
      </c>
      <c r="D3665" s="1" t="s">
        <v>32</v>
      </c>
      <c r="E3665" s="1" t="s">
        <v>34</v>
      </c>
      <c r="F3665" s="1" t="s">
        <v>15</v>
      </c>
      <c r="G3665" s="1">
        <v>6</v>
      </c>
      <c r="H3665" s="1">
        <v>334</v>
      </c>
      <c r="I3665" s="1">
        <v>5</v>
      </c>
      <c r="J3665" s="4">
        <v>1903.8</v>
      </c>
      <c r="K3665" s="4">
        <v>1333.06</v>
      </c>
      <c r="L3665" s="4">
        <v>570.74</v>
      </c>
      <c r="M3665" s="1" t="str">
        <f>TEXT(Table1[[#This Row],[Order_Date]], "MMM")</f>
        <v>May</v>
      </c>
      <c r="N3665" s="1">
        <f>YEAR(Table1[[#This Row],[Order_Date]])</f>
        <v>2023</v>
      </c>
      <c r="O3665" s="7">
        <f>Table1[[#This Row],[Profit]]/Table1[[#This Row],[Total_Sales]]</f>
        <v>0.29978989389641769</v>
      </c>
    </row>
    <row r="3666" spans="1:15" x14ac:dyDescent="0.25">
      <c r="A3666" s="1">
        <v>3665</v>
      </c>
      <c r="B3666" s="2">
        <v>45586</v>
      </c>
      <c r="C3666" s="1" t="s">
        <v>12</v>
      </c>
      <c r="D3666" s="1" t="s">
        <v>20</v>
      </c>
      <c r="E3666" s="1" t="s">
        <v>43</v>
      </c>
      <c r="F3666" s="1" t="s">
        <v>40</v>
      </c>
      <c r="G3666" s="1">
        <v>3</v>
      </c>
      <c r="H3666" s="1">
        <v>682</v>
      </c>
      <c r="I3666" s="1">
        <v>10</v>
      </c>
      <c r="J3666" s="4">
        <v>1841.4</v>
      </c>
      <c r="K3666" s="4">
        <v>1034.71</v>
      </c>
      <c r="L3666" s="4">
        <v>806.69</v>
      </c>
      <c r="M3666" s="1" t="str">
        <f>TEXT(Table1[[#This Row],[Order_Date]], "MMM")</f>
        <v>Oct</v>
      </c>
      <c r="N3666" s="1">
        <f>YEAR(Table1[[#This Row],[Order_Date]])</f>
        <v>2024</v>
      </c>
      <c r="O3666" s="7">
        <f>Table1[[#This Row],[Profit]]/Table1[[#This Row],[Total_Sales]]</f>
        <v>0.43808515260128167</v>
      </c>
    </row>
    <row r="3667" spans="1:15" x14ac:dyDescent="0.25">
      <c r="A3667" s="1">
        <v>3666</v>
      </c>
      <c r="B3667" s="2">
        <v>45104</v>
      </c>
      <c r="C3667" s="1" t="s">
        <v>25</v>
      </c>
      <c r="D3667" s="1" t="s">
        <v>32</v>
      </c>
      <c r="E3667" s="1" t="s">
        <v>34</v>
      </c>
      <c r="F3667" s="1" t="s">
        <v>15</v>
      </c>
      <c r="G3667" s="1">
        <v>1</v>
      </c>
      <c r="H3667" s="1">
        <v>850</v>
      </c>
      <c r="I3667" s="1">
        <v>0</v>
      </c>
      <c r="J3667" s="4">
        <v>850</v>
      </c>
      <c r="K3667" s="4">
        <v>652.61</v>
      </c>
      <c r="L3667" s="4">
        <v>197.39</v>
      </c>
      <c r="M3667" s="1" t="str">
        <f>TEXT(Table1[[#This Row],[Order_Date]], "MMM")</f>
        <v>Jun</v>
      </c>
      <c r="N3667" s="1">
        <f>YEAR(Table1[[#This Row],[Order_Date]])</f>
        <v>2023</v>
      </c>
      <c r="O3667" s="7">
        <f>Table1[[#This Row],[Profit]]/Table1[[#This Row],[Total_Sales]]</f>
        <v>0.23222352941176469</v>
      </c>
    </row>
    <row r="3668" spans="1:15" x14ac:dyDescent="0.25">
      <c r="A3668" s="1">
        <v>3667</v>
      </c>
      <c r="B3668" s="2">
        <v>45538</v>
      </c>
      <c r="C3668" s="1" t="s">
        <v>25</v>
      </c>
      <c r="D3668" s="1" t="s">
        <v>32</v>
      </c>
      <c r="E3668" s="1" t="s">
        <v>34</v>
      </c>
      <c r="F3668" s="1" t="s">
        <v>40</v>
      </c>
      <c r="G3668" s="1">
        <v>8</v>
      </c>
      <c r="H3668" s="1">
        <v>199</v>
      </c>
      <c r="I3668" s="1">
        <v>10</v>
      </c>
      <c r="J3668" s="4">
        <v>1432.8</v>
      </c>
      <c r="K3668" s="4">
        <v>1074.3699999999999</v>
      </c>
      <c r="L3668" s="4">
        <v>358.43</v>
      </c>
      <c r="M3668" s="1" t="str">
        <f>TEXT(Table1[[#This Row],[Order_Date]], "MMM")</f>
        <v>Sep</v>
      </c>
      <c r="N3668" s="1">
        <f>YEAR(Table1[[#This Row],[Order_Date]])</f>
        <v>2024</v>
      </c>
      <c r="O3668" s="7">
        <f>Table1[[#This Row],[Profit]]/Table1[[#This Row],[Total_Sales]]</f>
        <v>0.25016052484645451</v>
      </c>
    </row>
    <row r="3669" spans="1:15" x14ac:dyDescent="0.25">
      <c r="A3669" s="1">
        <v>3668</v>
      </c>
      <c r="B3669" s="2">
        <v>45579</v>
      </c>
      <c r="C3669" s="1" t="s">
        <v>19</v>
      </c>
      <c r="D3669" s="1" t="s">
        <v>22</v>
      </c>
      <c r="E3669" s="1" t="s">
        <v>29</v>
      </c>
      <c r="F3669" s="1" t="s">
        <v>24</v>
      </c>
      <c r="G3669" s="1">
        <v>2</v>
      </c>
      <c r="H3669" s="1">
        <v>811</v>
      </c>
      <c r="I3669" s="1">
        <v>0</v>
      </c>
      <c r="J3669" s="4">
        <v>1622</v>
      </c>
      <c r="K3669" s="4">
        <v>1234.93</v>
      </c>
      <c r="L3669" s="4">
        <v>387.07</v>
      </c>
      <c r="M3669" s="1" t="str">
        <f>TEXT(Table1[[#This Row],[Order_Date]], "MMM")</f>
        <v>Oct</v>
      </c>
      <c r="N3669" s="1">
        <f>YEAR(Table1[[#This Row],[Order_Date]])</f>
        <v>2024</v>
      </c>
      <c r="O3669" s="7">
        <f>Table1[[#This Row],[Profit]]/Table1[[#This Row],[Total_Sales]]</f>
        <v>0.23863748458692971</v>
      </c>
    </row>
    <row r="3670" spans="1:15" x14ac:dyDescent="0.25">
      <c r="A3670" s="1">
        <v>3669</v>
      </c>
      <c r="B3670" s="2">
        <v>45529</v>
      </c>
      <c r="C3670" s="1" t="s">
        <v>16</v>
      </c>
      <c r="D3670" s="1" t="s">
        <v>22</v>
      </c>
      <c r="E3670" s="1" t="s">
        <v>44</v>
      </c>
      <c r="F3670" s="1" t="s">
        <v>15</v>
      </c>
      <c r="G3670" s="1">
        <v>3</v>
      </c>
      <c r="H3670" s="1">
        <v>577</v>
      </c>
      <c r="I3670" s="1">
        <v>10</v>
      </c>
      <c r="J3670" s="4">
        <v>1557.9</v>
      </c>
      <c r="K3670" s="4">
        <v>791.96</v>
      </c>
      <c r="L3670" s="4">
        <v>765.94</v>
      </c>
      <c r="M3670" s="1" t="str">
        <f>TEXT(Table1[[#This Row],[Order_Date]], "MMM")</f>
        <v>Aug</v>
      </c>
      <c r="N3670" s="1">
        <f>YEAR(Table1[[#This Row],[Order_Date]])</f>
        <v>2024</v>
      </c>
      <c r="O3670" s="7">
        <f>Table1[[#This Row],[Profit]]/Table1[[#This Row],[Total_Sales]]</f>
        <v>0.49164901469927469</v>
      </c>
    </row>
    <row r="3671" spans="1:15" x14ac:dyDescent="0.25">
      <c r="A3671" s="1">
        <v>3670</v>
      </c>
      <c r="B3671" s="2">
        <v>45641</v>
      </c>
      <c r="C3671" s="1" t="s">
        <v>16</v>
      </c>
      <c r="D3671" s="1" t="s">
        <v>32</v>
      </c>
      <c r="E3671" s="1" t="s">
        <v>34</v>
      </c>
      <c r="F3671" s="1" t="s">
        <v>40</v>
      </c>
      <c r="G3671" s="1">
        <v>4</v>
      </c>
      <c r="H3671" s="1">
        <v>593</v>
      </c>
      <c r="I3671" s="1">
        <v>15</v>
      </c>
      <c r="J3671" s="4">
        <v>2016.2</v>
      </c>
      <c r="K3671" s="4">
        <v>1597.92</v>
      </c>
      <c r="L3671" s="4">
        <v>418.28</v>
      </c>
      <c r="M3671" s="1" t="str">
        <f>TEXT(Table1[[#This Row],[Order_Date]], "MMM")</f>
        <v>Dec</v>
      </c>
      <c r="N3671" s="1">
        <f>YEAR(Table1[[#This Row],[Order_Date]])</f>
        <v>2024</v>
      </c>
      <c r="O3671" s="7">
        <f>Table1[[#This Row],[Profit]]/Table1[[#This Row],[Total_Sales]]</f>
        <v>0.20745957742287469</v>
      </c>
    </row>
    <row r="3672" spans="1:15" x14ac:dyDescent="0.25">
      <c r="A3672" s="1">
        <v>3671</v>
      </c>
      <c r="B3672" s="2">
        <v>45041</v>
      </c>
      <c r="C3672" s="1" t="s">
        <v>16</v>
      </c>
      <c r="D3672" s="1" t="s">
        <v>26</v>
      </c>
      <c r="E3672" s="1" t="s">
        <v>27</v>
      </c>
      <c r="F3672" s="1" t="s">
        <v>31</v>
      </c>
      <c r="G3672" s="1">
        <v>2</v>
      </c>
      <c r="H3672" s="1">
        <v>742</v>
      </c>
      <c r="I3672" s="1">
        <v>10</v>
      </c>
      <c r="J3672" s="4">
        <v>1335.6</v>
      </c>
      <c r="K3672" s="4">
        <v>820.34</v>
      </c>
      <c r="L3672" s="4">
        <v>515.26</v>
      </c>
      <c r="M3672" s="1" t="str">
        <f>TEXT(Table1[[#This Row],[Order_Date]], "MMM")</f>
        <v>Apr</v>
      </c>
      <c r="N3672" s="1">
        <f>YEAR(Table1[[#This Row],[Order_Date]])</f>
        <v>2023</v>
      </c>
      <c r="O3672" s="7">
        <f>Table1[[#This Row],[Profit]]/Table1[[#This Row],[Total_Sales]]</f>
        <v>0.38578915843066791</v>
      </c>
    </row>
    <row r="3673" spans="1:15" x14ac:dyDescent="0.25">
      <c r="A3673" s="1">
        <v>3672</v>
      </c>
      <c r="B3673" s="2">
        <v>44929</v>
      </c>
      <c r="C3673" s="1" t="s">
        <v>19</v>
      </c>
      <c r="D3673" s="1" t="s">
        <v>26</v>
      </c>
      <c r="E3673" s="1" t="s">
        <v>46</v>
      </c>
      <c r="F3673" s="1" t="s">
        <v>35</v>
      </c>
      <c r="G3673" s="1">
        <v>8</v>
      </c>
      <c r="H3673" s="1">
        <v>296</v>
      </c>
      <c r="I3673" s="1">
        <v>10</v>
      </c>
      <c r="J3673" s="4">
        <v>2131.1999999999998</v>
      </c>
      <c r="K3673" s="4">
        <v>1660.97</v>
      </c>
      <c r="L3673" s="4">
        <v>470.23</v>
      </c>
      <c r="M3673" s="1" t="str">
        <f>TEXT(Table1[[#This Row],[Order_Date]], "MMM")</f>
        <v>Jan</v>
      </c>
      <c r="N3673" s="1">
        <f>YEAR(Table1[[#This Row],[Order_Date]])</f>
        <v>2023</v>
      </c>
      <c r="O3673" s="7">
        <f>Table1[[#This Row],[Profit]]/Table1[[#This Row],[Total_Sales]]</f>
        <v>0.22064095345345347</v>
      </c>
    </row>
    <row r="3674" spans="1:15" x14ac:dyDescent="0.25">
      <c r="A3674" s="1">
        <v>3673</v>
      </c>
      <c r="B3674" s="2">
        <v>45082</v>
      </c>
      <c r="C3674" s="1" t="s">
        <v>16</v>
      </c>
      <c r="D3674" s="1" t="s">
        <v>20</v>
      </c>
      <c r="E3674" s="1" t="s">
        <v>28</v>
      </c>
      <c r="F3674" s="1" t="s">
        <v>40</v>
      </c>
      <c r="G3674" s="1">
        <v>8</v>
      </c>
      <c r="H3674" s="1">
        <v>169</v>
      </c>
      <c r="I3674" s="1">
        <v>10</v>
      </c>
      <c r="J3674" s="4">
        <v>1216.8</v>
      </c>
      <c r="K3674" s="4">
        <v>727.7</v>
      </c>
      <c r="L3674" s="4">
        <v>489.1</v>
      </c>
      <c r="M3674" s="1" t="str">
        <f>TEXT(Table1[[#This Row],[Order_Date]], "MMM")</f>
        <v>Jun</v>
      </c>
      <c r="N3674" s="1">
        <f>YEAR(Table1[[#This Row],[Order_Date]])</f>
        <v>2023</v>
      </c>
      <c r="O3674" s="7">
        <f>Table1[[#This Row],[Profit]]/Table1[[#This Row],[Total_Sales]]</f>
        <v>0.40195595003287315</v>
      </c>
    </row>
    <row r="3675" spans="1:15" x14ac:dyDescent="0.25">
      <c r="A3675" s="1">
        <v>3674</v>
      </c>
      <c r="B3675" s="2">
        <v>44932</v>
      </c>
      <c r="C3675" s="1" t="s">
        <v>25</v>
      </c>
      <c r="D3675" s="1" t="s">
        <v>32</v>
      </c>
      <c r="E3675" s="1" t="s">
        <v>34</v>
      </c>
      <c r="F3675" s="1" t="s">
        <v>35</v>
      </c>
      <c r="G3675" s="1">
        <v>6</v>
      </c>
      <c r="H3675" s="1">
        <v>457</v>
      </c>
      <c r="I3675" s="1">
        <v>10</v>
      </c>
      <c r="J3675" s="4">
        <v>2467.8000000000002</v>
      </c>
      <c r="K3675" s="4">
        <v>1667.21</v>
      </c>
      <c r="L3675" s="4">
        <v>800.59</v>
      </c>
      <c r="M3675" s="1" t="str">
        <f>TEXT(Table1[[#This Row],[Order_Date]], "MMM")</f>
        <v>Jan</v>
      </c>
      <c r="N3675" s="1">
        <f>YEAR(Table1[[#This Row],[Order_Date]])</f>
        <v>2023</v>
      </c>
      <c r="O3675" s="7">
        <f>Table1[[#This Row],[Profit]]/Table1[[#This Row],[Total_Sales]]</f>
        <v>0.32441445822189802</v>
      </c>
    </row>
    <row r="3676" spans="1:15" x14ac:dyDescent="0.25">
      <c r="A3676" s="1">
        <v>3675</v>
      </c>
      <c r="B3676" s="2">
        <v>45511</v>
      </c>
      <c r="C3676" s="1" t="s">
        <v>19</v>
      </c>
      <c r="D3676" s="1" t="s">
        <v>13</v>
      </c>
      <c r="E3676" s="1" t="s">
        <v>14</v>
      </c>
      <c r="F3676" s="1" t="s">
        <v>24</v>
      </c>
      <c r="G3676" s="1">
        <v>10</v>
      </c>
      <c r="H3676" s="1">
        <v>377</v>
      </c>
      <c r="I3676" s="1">
        <v>20</v>
      </c>
      <c r="J3676" s="4">
        <v>3016</v>
      </c>
      <c r="K3676" s="4">
        <v>1708.94</v>
      </c>
      <c r="L3676" s="4">
        <v>1307.06</v>
      </c>
      <c r="M3676" s="1" t="str">
        <f>TEXT(Table1[[#This Row],[Order_Date]], "MMM")</f>
        <v>Aug</v>
      </c>
      <c r="N3676" s="1">
        <f>YEAR(Table1[[#This Row],[Order_Date]])</f>
        <v>2024</v>
      </c>
      <c r="O3676" s="7">
        <f>Table1[[#This Row],[Profit]]/Table1[[#This Row],[Total_Sales]]</f>
        <v>0.4333753315649867</v>
      </c>
    </row>
    <row r="3677" spans="1:15" x14ac:dyDescent="0.25">
      <c r="A3677" s="1">
        <v>3676</v>
      </c>
      <c r="B3677" s="2">
        <v>45566</v>
      </c>
      <c r="C3677" s="1" t="s">
        <v>25</v>
      </c>
      <c r="D3677" s="1" t="s">
        <v>13</v>
      </c>
      <c r="E3677" s="1" t="s">
        <v>38</v>
      </c>
      <c r="F3677" s="1" t="s">
        <v>24</v>
      </c>
      <c r="G3677" s="1">
        <v>8</v>
      </c>
      <c r="H3677" s="1">
        <v>898</v>
      </c>
      <c r="I3677" s="1">
        <v>0</v>
      </c>
      <c r="J3677" s="4">
        <v>7184</v>
      </c>
      <c r="K3677" s="4">
        <v>3911.33</v>
      </c>
      <c r="L3677" s="4">
        <v>3272.67</v>
      </c>
      <c r="M3677" s="1" t="str">
        <f>TEXT(Table1[[#This Row],[Order_Date]], "MMM")</f>
        <v>Oct</v>
      </c>
      <c r="N3677" s="1">
        <f>YEAR(Table1[[#This Row],[Order_Date]])</f>
        <v>2024</v>
      </c>
      <c r="O3677" s="7">
        <f>Table1[[#This Row],[Profit]]/Table1[[#This Row],[Total_Sales]]</f>
        <v>0.45554983296213808</v>
      </c>
    </row>
    <row r="3678" spans="1:15" x14ac:dyDescent="0.25">
      <c r="A3678" s="1">
        <v>3677</v>
      </c>
      <c r="B3678" s="2">
        <v>45651</v>
      </c>
      <c r="C3678" s="1" t="s">
        <v>25</v>
      </c>
      <c r="D3678" s="1" t="s">
        <v>26</v>
      </c>
      <c r="E3678" s="1" t="s">
        <v>42</v>
      </c>
      <c r="F3678" s="1" t="s">
        <v>31</v>
      </c>
      <c r="G3678" s="1">
        <v>4</v>
      </c>
      <c r="H3678" s="1">
        <v>444</v>
      </c>
      <c r="I3678" s="1">
        <v>10</v>
      </c>
      <c r="J3678" s="4">
        <v>1598.4</v>
      </c>
      <c r="K3678" s="4">
        <v>851.96</v>
      </c>
      <c r="L3678" s="4">
        <v>746.44</v>
      </c>
      <c r="M3678" s="1" t="str">
        <f>TEXT(Table1[[#This Row],[Order_Date]], "MMM")</f>
        <v>Dec</v>
      </c>
      <c r="N3678" s="1">
        <f>YEAR(Table1[[#This Row],[Order_Date]])</f>
        <v>2024</v>
      </c>
      <c r="O3678" s="7">
        <f>Table1[[#This Row],[Profit]]/Table1[[#This Row],[Total_Sales]]</f>
        <v>0.46699199199199198</v>
      </c>
    </row>
    <row r="3679" spans="1:15" x14ac:dyDescent="0.25">
      <c r="A3679" s="1">
        <v>3678</v>
      </c>
      <c r="B3679" s="2">
        <v>45173</v>
      </c>
      <c r="C3679" s="1" t="s">
        <v>12</v>
      </c>
      <c r="D3679" s="1" t="s">
        <v>32</v>
      </c>
      <c r="E3679" s="1" t="s">
        <v>34</v>
      </c>
      <c r="F3679" s="1" t="s">
        <v>15</v>
      </c>
      <c r="G3679" s="1">
        <v>2</v>
      </c>
      <c r="H3679" s="1">
        <v>99</v>
      </c>
      <c r="I3679" s="1">
        <v>15</v>
      </c>
      <c r="J3679" s="4">
        <v>168.3</v>
      </c>
      <c r="K3679" s="4">
        <v>93.22</v>
      </c>
      <c r="L3679" s="4">
        <v>75.08</v>
      </c>
      <c r="M3679" s="1" t="str">
        <f>TEXT(Table1[[#This Row],[Order_Date]], "MMM")</f>
        <v>Sep</v>
      </c>
      <c r="N3679" s="1">
        <f>YEAR(Table1[[#This Row],[Order_Date]])</f>
        <v>2023</v>
      </c>
      <c r="O3679" s="7">
        <f>Table1[[#This Row],[Profit]]/Table1[[#This Row],[Total_Sales]]</f>
        <v>0.44610814022578726</v>
      </c>
    </row>
    <row r="3680" spans="1:15" x14ac:dyDescent="0.25">
      <c r="A3680" s="1">
        <v>3679</v>
      </c>
      <c r="B3680" s="2">
        <v>45487</v>
      </c>
      <c r="C3680" s="1" t="s">
        <v>25</v>
      </c>
      <c r="D3680" s="1" t="s">
        <v>13</v>
      </c>
      <c r="E3680" s="1" t="s">
        <v>39</v>
      </c>
      <c r="F3680" s="1" t="s">
        <v>15</v>
      </c>
      <c r="G3680" s="1">
        <v>8</v>
      </c>
      <c r="H3680" s="1">
        <v>643</v>
      </c>
      <c r="I3680" s="1">
        <v>20</v>
      </c>
      <c r="J3680" s="4">
        <v>4115.2</v>
      </c>
      <c r="K3680" s="4">
        <v>3219.44</v>
      </c>
      <c r="L3680" s="4">
        <v>895.76</v>
      </c>
      <c r="M3680" s="1" t="str">
        <f>TEXT(Table1[[#This Row],[Order_Date]], "MMM")</f>
        <v>Jul</v>
      </c>
      <c r="N3680" s="1">
        <f>YEAR(Table1[[#This Row],[Order_Date]])</f>
        <v>2024</v>
      </c>
      <c r="O3680" s="7">
        <f>Table1[[#This Row],[Profit]]/Table1[[#This Row],[Total_Sales]]</f>
        <v>0.2176710730948678</v>
      </c>
    </row>
    <row r="3681" spans="1:15" x14ac:dyDescent="0.25">
      <c r="A3681" s="1">
        <v>3680</v>
      </c>
      <c r="B3681" s="2">
        <v>45436</v>
      </c>
      <c r="C3681" s="1" t="s">
        <v>16</v>
      </c>
      <c r="D3681" s="1" t="s">
        <v>22</v>
      </c>
      <c r="E3681" s="1" t="s">
        <v>29</v>
      </c>
      <c r="F3681" s="1" t="s">
        <v>31</v>
      </c>
      <c r="G3681" s="1">
        <v>9</v>
      </c>
      <c r="H3681" s="1">
        <v>149</v>
      </c>
      <c r="I3681" s="1">
        <v>20</v>
      </c>
      <c r="J3681" s="4">
        <v>1072.8</v>
      </c>
      <c r="K3681" s="4">
        <v>763.14</v>
      </c>
      <c r="L3681" s="4">
        <v>309.66000000000003</v>
      </c>
      <c r="M3681" s="1" t="str">
        <f>TEXT(Table1[[#This Row],[Order_Date]], "MMM")</f>
        <v>May</v>
      </c>
      <c r="N3681" s="1">
        <f>YEAR(Table1[[#This Row],[Order_Date]])</f>
        <v>2024</v>
      </c>
      <c r="O3681" s="7">
        <f>Table1[[#This Row],[Profit]]/Table1[[#This Row],[Total_Sales]]</f>
        <v>0.28864653243847876</v>
      </c>
    </row>
    <row r="3682" spans="1:15" x14ac:dyDescent="0.25">
      <c r="A3682" s="1">
        <v>3681</v>
      </c>
      <c r="B3682" s="2">
        <v>45440</v>
      </c>
      <c r="C3682" s="1" t="s">
        <v>12</v>
      </c>
      <c r="D3682" s="1" t="s">
        <v>13</v>
      </c>
      <c r="E3682" s="1" t="s">
        <v>14</v>
      </c>
      <c r="F3682" s="1" t="s">
        <v>18</v>
      </c>
      <c r="G3682" s="1">
        <v>2</v>
      </c>
      <c r="H3682" s="1">
        <v>394</v>
      </c>
      <c r="I3682" s="1">
        <v>5</v>
      </c>
      <c r="J3682" s="4">
        <v>748.6</v>
      </c>
      <c r="K3682" s="4">
        <v>474.33</v>
      </c>
      <c r="L3682" s="4">
        <v>274.27</v>
      </c>
      <c r="M3682" s="1" t="str">
        <f>TEXT(Table1[[#This Row],[Order_Date]], "MMM")</f>
        <v>May</v>
      </c>
      <c r="N3682" s="1">
        <f>YEAR(Table1[[#This Row],[Order_Date]])</f>
        <v>2024</v>
      </c>
      <c r="O3682" s="7">
        <f>Table1[[#This Row],[Profit]]/Table1[[#This Row],[Total_Sales]]</f>
        <v>0.36637723751001866</v>
      </c>
    </row>
    <row r="3683" spans="1:15" x14ac:dyDescent="0.25">
      <c r="A3683" s="1">
        <v>3682</v>
      </c>
      <c r="B3683" s="2">
        <v>45417</v>
      </c>
      <c r="C3683" s="1" t="s">
        <v>25</v>
      </c>
      <c r="D3683" s="1" t="s">
        <v>32</v>
      </c>
      <c r="E3683" s="1" t="s">
        <v>34</v>
      </c>
      <c r="F3683" s="1" t="s">
        <v>35</v>
      </c>
      <c r="G3683" s="1">
        <v>2</v>
      </c>
      <c r="H3683" s="1">
        <v>481</v>
      </c>
      <c r="I3683" s="1">
        <v>20</v>
      </c>
      <c r="J3683" s="4">
        <v>769.6</v>
      </c>
      <c r="K3683" s="4">
        <v>532.48</v>
      </c>
      <c r="L3683" s="4">
        <v>237.12</v>
      </c>
      <c r="M3683" s="1" t="str">
        <f>TEXT(Table1[[#This Row],[Order_Date]], "MMM")</f>
        <v>May</v>
      </c>
      <c r="N3683" s="1">
        <f>YEAR(Table1[[#This Row],[Order_Date]])</f>
        <v>2024</v>
      </c>
      <c r="O3683" s="7">
        <f>Table1[[#This Row],[Profit]]/Table1[[#This Row],[Total_Sales]]</f>
        <v>0.30810810810810813</v>
      </c>
    </row>
    <row r="3684" spans="1:15" x14ac:dyDescent="0.25">
      <c r="A3684" s="1">
        <v>3683</v>
      </c>
      <c r="B3684" s="2">
        <v>45056</v>
      </c>
      <c r="C3684" s="1" t="s">
        <v>25</v>
      </c>
      <c r="D3684" s="1" t="s">
        <v>13</v>
      </c>
      <c r="E3684" s="1" t="s">
        <v>38</v>
      </c>
      <c r="F3684" s="1" t="s">
        <v>40</v>
      </c>
      <c r="G3684" s="1">
        <v>9</v>
      </c>
      <c r="H3684" s="1">
        <v>748</v>
      </c>
      <c r="I3684" s="1">
        <v>20</v>
      </c>
      <c r="J3684" s="4">
        <v>5385.6</v>
      </c>
      <c r="K3684" s="4">
        <v>3961.12</v>
      </c>
      <c r="L3684" s="4">
        <v>1424.48</v>
      </c>
      <c r="M3684" s="1" t="str">
        <f>TEXT(Table1[[#This Row],[Order_Date]], "MMM")</f>
        <v>May</v>
      </c>
      <c r="N3684" s="1">
        <f>YEAR(Table1[[#This Row],[Order_Date]])</f>
        <v>2023</v>
      </c>
      <c r="O3684" s="7">
        <f>Table1[[#This Row],[Profit]]/Table1[[#This Row],[Total_Sales]]</f>
        <v>0.26449792038027331</v>
      </c>
    </row>
    <row r="3685" spans="1:15" x14ac:dyDescent="0.25">
      <c r="A3685" s="1">
        <v>3684</v>
      </c>
      <c r="B3685" s="2">
        <v>45153</v>
      </c>
      <c r="C3685" s="1" t="s">
        <v>19</v>
      </c>
      <c r="D3685" s="1" t="s">
        <v>26</v>
      </c>
      <c r="E3685" s="1" t="s">
        <v>27</v>
      </c>
      <c r="F3685" s="1" t="s">
        <v>15</v>
      </c>
      <c r="G3685" s="1">
        <v>3</v>
      </c>
      <c r="H3685" s="1">
        <v>684</v>
      </c>
      <c r="I3685" s="1">
        <v>20</v>
      </c>
      <c r="J3685" s="4">
        <v>1641.6</v>
      </c>
      <c r="K3685" s="4">
        <v>1299.8499999999999</v>
      </c>
      <c r="L3685" s="4">
        <v>341.75</v>
      </c>
      <c r="M3685" s="1" t="str">
        <f>TEXT(Table1[[#This Row],[Order_Date]], "MMM")</f>
        <v>Aug</v>
      </c>
      <c r="N3685" s="1">
        <f>YEAR(Table1[[#This Row],[Order_Date]])</f>
        <v>2023</v>
      </c>
      <c r="O3685" s="7">
        <f>Table1[[#This Row],[Profit]]/Table1[[#This Row],[Total_Sales]]</f>
        <v>0.20818104288499026</v>
      </c>
    </row>
    <row r="3686" spans="1:15" x14ac:dyDescent="0.25">
      <c r="A3686" s="1">
        <v>3685</v>
      </c>
      <c r="B3686" s="2">
        <v>45140</v>
      </c>
      <c r="C3686" s="1" t="s">
        <v>19</v>
      </c>
      <c r="D3686" s="1" t="s">
        <v>26</v>
      </c>
      <c r="E3686" s="1" t="s">
        <v>27</v>
      </c>
      <c r="F3686" s="1" t="s">
        <v>40</v>
      </c>
      <c r="G3686" s="1">
        <v>2</v>
      </c>
      <c r="H3686" s="1">
        <v>118</v>
      </c>
      <c r="I3686" s="1">
        <v>15</v>
      </c>
      <c r="J3686" s="4">
        <v>200.6</v>
      </c>
      <c r="K3686" s="4">
        <v>156.97</v>
      </c>
      <c r="L3686" s="4">
        <v>43.63</v>
      </c>
      <c r="M3686" s="1" t="str">
        <f>TEXT(Table1[[#This Row],[Order_Date]], "MMM")</f>
        <v>Aug</v>
      </c>
      <c r="N3686" s="1">
        <f>YEAR(Table1[[#This Row],[Order_Date]])</f>
        <v>2023</v>
      </c>
      <c r="O3686" s="7">
        <f>Table1[[#This Row],[Profit]]/Table1[[#This Row],[Total_Sales]]</f>
        <v>0.21749750747756733</v>
      </c>
    </row>
    <row r="3687" spans="1:15" x14ac:dyDescent="0.25">
      <c r="A3687" s="1">
        <v>3686</v>
      </c>
      <c r="B3687" s="2">
        <v>45616</v>
      </c>
      <c r="C3687" s="1" t="s">
        <v>25</v>
      </c>
      <c r="D3687" s="1" t="s">
        <v>26</v>
      </c>
      <c r="E3687" s="1" t="s">
        <v>42</v>
      </c>
      <c r="F3687" s="1" t="s">
        <v>24</v>
      </c>
      <c r="G3687" s="1">
        <v>9</v>
      </c>
      <c r="H3687" s="1">
        <v>276</v>
      </c>
      <c r="I3687" s="1">
        <v>10</v>
      </c>
      <c r="J3687" s="4">
        <v>2235.6</v>
      </c>
      <c r="K3687" s="4">
        <v>1123.3399999999999</v>
      </c>
      <c r="L3687" s="4">
        <v>1112.26</v>
      </c>
      <c r="M3687" s="1" t="str">
        <f>TEXT(Table1[[#This Row],[Order_Date]], "MMM")</f>
        <v>Nov</v>
      </c>
      <c r="N3687" s="1">
        <f>YEAR(Table1[[#This Row],[Order_Date]])</f>
        <v>2024</v>
      </c>
      <c r="O3687" s="7">
        <f>Table1[[#This Row],[Profit]]/Table1[[#This Row],[Total_Sales]]</f>
        <v>0.49752191805331902</v>
      </c>
    </row>
    <row r="3688" spans="1:15" x14ac:dyDescent="0.25">
      <c r="A3688" s="1">
        <v>3687</v>
      </c>
      <c r="B3688" s="2">
        <v>45509</v>
      </c>
      <c r="C3688" s="1" t="s">
        <v>16</v>
      </c>
      <c r="D3688" s="1" t="s">
        <v>20</v>
      </c>
      <c r="E3688" s="1" t="s">
        <v>43</v>
      </c>
      <c r="F3688" s="1" t="s">
        <v>15</v>
      </c>
      <c r="G3688" s="1">
        <v>4</v>
      </c>
      <c r="H3688" s="1">
        <v>957</v>
      </c>
      <c r="I3688" s="1">
        <v>10</v>
      </c>
      <c r="J3688" s="4">
        <v>3445.2</v>
      </c>
      <c r="K3688" s="4">
        <v>2471.9899999999998</v>
      </c>
      <c r="L3688" s="4">
        <v>973.21</v>
      </c>
      <c r="M3688" s="1" t="str">
        <f>TEXT(Table1[[#This Row],[Order_Date]], "MMM")</f>
        <v>Aug</v>
      </c>
      <c r="N3688" s="1">
        <f>YEAR(Table1[[#This Row],[Order_Date]])</f>
        <v>2024</v>
      </c>
      <c r="O3688" s="7">
        <f>Table1[[#This Row],[Profit]]/Table1[[#This Row],[Total_Sales]]</f>
        <v>0.28248287472425404</v>
      </c>
    </row>
    <row r="3689" spans="1:15" x14ac:dyDescent="0.25">
      <c r="A3689" s="1">
        <v>3688</v>
      </c>
      <c r="B3689" s="2">
        <v>45580</v>
      </c>
      <c r="C3689" s="1" t="s">
        <v>25</v>
      </c>
      <c r="D3689" s="1" t="s">
        <v>32</v>
      </c>
      <c r="E3689" s="1" t="s">
        <v>41</v>
      </c>
      <c r="F3689" s="1" t="s">
        <v>35</v>
      </c>
      <c r="G3689" s="1">
        <v>8</v>
      </c>
      <c r="H3689" s="1">
        <v>478</v>
      </c>
      <c r="I3689" s="1">
        <v>20</v>
      </c>
      <c r="J3689" s="4">
        <v>3059.2</v>
      </c>
      <c r="K3689" s="4">
        <v>2175.08</v>
      </c>
      <c r="L3689" s="4">
        <v>884.12</v>
      </c>
      <c r="M3689" s="1" t="str">
        <f>TEXT(Table1[[#This Row],[Order_Date]], "MMM")</f>
        <v>Oct</v>
      </c>
      <c r="N3689" s="1">
        <f>YEAR(Table1[[#This Row],[Order_Date]])</f>
        <v>2024</v>
      </c>
      <c r="O3689" s="7">
        <f>Table1[[#This Row],[Profit]]/Table1[[#This Row],[Total_Sales]]</f>
        <v>0.28900366108786613</v>
      </c>
    </row>
    <row r="3690" spans="1:15" x14ac:dyDescent="0.25">
      <c r="A3690" s="1">
        <v>3689</v>
      </c>
      <c r="B3690" s="2">
        <v>45324</v>
      </c>
      <c r="C3690" s="1" t="s">
        <v>16</v>
      </c>
      <c r="D3690" s="1" t="s">
        <v>32</v>
      </c>
      <c r="E3690" s="1" t="s">
        <v>45</v>
      </c>
      <c r="F3690" s="1" t="s">
        <v>31</v>
      </c>
      <c r="G3690" s="1">
        <v>9</v>
      </c>
      <c r="H3690" s="1">
        <v>164</v>
      </c>
      <c r="I3690" s="1">
        <v>15</v>
      </c>
      <c r="J3690" s="4">
        <v>1254.5999999999999</v>
      </c>
      <c r="K3690" s="4">
        <v>762.47</v>
      </c>
      <c r="L3690" s="4">
        <v>492.13</v>
      </c>
      <c r="M3690" s="1" t="str">
        <f>TEXT(Table1[[#This Row],[Order_Date]], "MMM")</f>
        <v>Feb</v>
      </c>
      <c r="N3690" s="1">
        <f>YEAR(Table1[[#This Row],[Order_Date]])</f>
        <v>2024</v>
      </c>
      <c r="O3690" s="7">
        <f>Table1[[#This Row],[Profit]]/Table1[[#This Row],[Total_Sales]]</f>
        <v>0.39226048142834374</v>
      </c>
    </row>
    <row r="3691" spans="1:15" x14ac:dyDescent="0.25">
      <c r="A3691" s="1">
        <v>3690</v>
      </c>
      <c r="B3691" s="2">
        <v>45094</v>
      </c>
      <c r="C3691" s="1" t="s">
        <v>16</v>
      </c>
      <c r="D3691" s="1" t="s">
        <v>20</v>
      </c>
      <c r="E3691" s="1" t="s">
        <v>28</v>
      </c>
      <c r="F3691" s="1" t="s">
        <v>40</v>
      </c>
      <c r="G3691" s="1">
        <v>10</v>
      </c>
      <c r="H3691" s="1">
        <v>455</v>
      </c>
      <c r="I3691" s="1">
        <v>5</v>
      </c>
      <c r="J3691" s="4">
        <v>4322.5</v>
      </c>
      <c r="K3691" s="4">
        <v>2461.5300000000002</v>
      </c>
      <c r="L3691" s="4">
        <v>1860.97</v>
      </c>
      <c r="M3691" s="1" t="str">
        <f>TEXT(Table1[[#This Row],[Order_Date]], "MMM")</f>
        <v>Jun</v>
      </c>
      <c r="N3691" s="1">
        <f>YEAR(Table1[[#This Row],[Order_Date]])</f>
        <v>2023</v>
      </c>
      <c r="O3691" s="7">
        <f>Table1[[#This Row],[Profit]]/Table1[[#This Row],[Total_Sales]]</f>
        <v>0.43053094274146908</v>
      </c>
    </row>
    <row r="3692" spans="1:15" x14ac:dyDescent="0.25">
      <c r="A3692" s="1">
        <v>3691</v>
      </c>
      <c r="B3692" s="2">
        <v>45311</v>
      </c>
      <c r="C3692" s="1" t="s">
        <v>25</v>
      </c>
      <c r="D3692" s="1" t="s">
        <v>32</v>
      </c>
      <c r="E3692" s="1" t="s">
        <v>41</v>
      </c>
      <c r="F3692" s="1" t="s">
        <v>15</v>
      </c>
      <c r="G3692" s="1">
        <v>4</v>
      </c>
      <c r="H3692" s="1">
        <v>306</v>
      </c>
      <c r="I3692" s="1">
        <v>10</v>
      </c>
      <c r="J3692" s="4">
        <v>1101.5999999999999</v>
      </c>
      <c r="K3692" s="4">
        <v>591.04999999999995</v>
      </c>
      <c r="L3692" s="4">
        <v>510.55</v>
      </c>
      <c r="M3692" s="1" t="str">
        <f>TEXT(Table1[[#This Row],[Order_Date]], "MMM")</f>
        <v>Jan</v>
      </c>
      <c r="N3692" s="1">
        <f>YEAR(Table1[[#This Row],[Order_Date]])</f>
        <v>2024</v>
      </c>
      <c r="O3692" s="7">
        <f>Table1[[#This Row],[Profit]]/Table1[[#This Row],[Total_Sales]]</f>
        <v>0.46346223674655052</v>
      </c>
    </row>
    <row r="3693" spans="1:15" x14ac:dyDescent="0.25">
      <c r="A3693" s="1">
        <v>3692</v>
      </c>
      <c r="B3693" s="2">
        <v>44959</v>
      </c>
      <c r="C3693" s="1" t="s">
        <v>19</v>
      </c>
      <c r="D3693" s="1" t="s">
        <v>22</v>
      </c>
      <c r="E3693" s="1" t="s">
        <v>23</v>
      </c>
      <c r="F3693" s="1" t="s">
        <v>35</v>
      </c>
      <c r="G3693" s="1">
        <v>3</v>
      </c>
      <c r="H3693" s="1">
        <v>24</v>
      </c>
      <c r="I3693" s="1">
        <v>10</v>
      </c>
      <c r="J3693" s="4">
        <v>64.8</v>
      </c>
      <c r="K3693" s="4">
        <v>37.61</v>
      </c>
      <c r="L3693" s="4">
        <v>27.19</v>
      </c>
      <c r="M3693" s="1" t="str">
        <f>TEXT(Table1[[#This Row],[Order_Date]], "MMM")</f>
        <v>Feb</v>
      </c>
      <c r="N3693" s="1">
        <f>YEAR(Table1[[#This Row],[Order_Date]])</f>
        <v>2023</v>
      </c>
      <c r="O3693" s="7">
        <f>Table1[[#This Row],[Profit]]/Table1[[#This Row],[Total_Sales]]</f>
        <v>0.41959876543209879</v>
      </c>
    </row>
    <row r="3694" spans="1:15" x14ac:dyDescent="0.25">
      <c r="A3694" s="1">
        <v>3693</v>
      </c>
      <c r="B3694" s="2">
        <v>45471</v>
      </c>
      <c r="C3694" s="1" t="s">
        <v>16</v>
      </c>
      <c r="D3694" s="1" t="s">
        <v>13</v>
      </c>
      <c r="E3694" s="1" t="s">
        <v>17</v>
      </c>
      <c r="F3694" s="1" t="s">
        <v>31</v>
      </c>
      <c r="G3694" s="1">
        <v>2</v>
      </c>
      <c r="H3694" s="1">
        <v>131</v>
      </c>
      <c r="I3694" s="1">
        <v>0</v>
      </c>
      <c r="J3694" s="4">
        <v>262</v>
      </c>
      <c r="K3694" s="4">
        <v>143.97999999999999</v>
      </c>
      <c r="L3694" s="4">
        <v>118.02</v>
      </c>
      <c r="M3694" s="1" t="str">
        <f>TEXT(Table1[[#This Row],[Order_Date]], "MMM")</f>
        <v>Jun</v>
      </c>
      <c r="N3694" s="1">
        <f>YEAR(Table1[[#This Row],[Order_Date]])</f>
        <v>2024</v>
      </c>
      <c r="O3694" s="7">
        <f>Table1[[#This Row],[Profit]]/Table1[[#This Row],[Total_Sales]]</f>
        <v>0.45045801526717555</v>
      </c>
    </row>
    <row r="3695" spans="1:15" x14ac:dyDescent="0.25">
      <c r="A3695" s="1">
        <v>3694</v>
      </c>
      <c r="B3695" s="2">
        <v>44934</v>
      </c>
      <c r="C3695" s="1" t="s">
        <v>12</v>
      </c>
      <c r="D3695" s="1" t="s">
        <v>26</v>
      </c>
      <c r="E3695" s="1" t="s">
        <v>27</v>
      </c>
      <c r="F3695" s="1" t="s">
        <v>24</v>
      </c>
      <c r="G3695" s="1">
        <v>7</v>
      </c>
      <c r="H3695" s="1">
        <v>522</v>
      </c>
      <c r="I3695" s="1">
        <v>20</v>
      </c>
      <c r="J3695" s="4">
        <v>2923.2</v>
      </c>
      <c r="K3695" s="4">
        <v>2236.06</v>
      </c>
      <c r="L3695" s="4">
        <v>687.14</v>
      </c>
      <c r="M3695" s="1" t="str">
        <f>TEXT(Table1[[#This Row],[Order_Date]], "MMM")</f>
        <v>Jan</v>
      </c>
      <c r="N3695" s="1">
        <f>YEAR(Table1[[#This Row],[Order_Date]])</f>
        <v>2023</v>
      </c>
      <c r="O3695" s="7">
        <f>Table1[[#This Row],[Profit]]/Table1[[#This Row],[Total_Sales]]</f>
        <v>0.23506431308155448</v>
      </c>
    </row>
    <row r="3696" spans="1:15" x14ac:dyDescent="0.25">
      <c r="A3696" s="1">
        <v>3695</v>
      </c>
      <c r="B3696" s="2">
        <v>45615</v>
      </c>
      <c r="C3696" s="1" t="s">
        <v>16</v>
      </c>
      <c r="D3696" s="1" t="s">
        <v>26</v>
      </c>
      <c r="E3696" s="1" t="s">
        <v>46</v>
      </c>
      <c r="F3696" s="1" t="s">
        <v>40</v>
      </c>
      <c r="G3696" s="1">
        <v>3</v>
      </c>
      <c r="H3696" s="1">
        <v>741</v>
      </c>
      <c r="I3696" s="1">
        <v>0</v>
      </c>
      <c r="J3696" s="4">
        <v>2223</v>
      </c>
      <c r="K3696" s="4">
        <v>1728.69</v>
      </c>
      <c r="L3696" s="4">
        <v>494.31</v>
      </c>
      <c r="M3696" s="1" t="str">
        <f>TEXT(Table1[[#This Row],[Order_Date]], "MMM")</f>
        <v>Nov</v>
      </c>
      <c r="N3696" s="1">
        <f>YEAR(Table1[[#This Row],[Order_Date]])</f>
        <v>2024</v>
      </c>
      <c r="O3696" s="7">
        <f>Table1[[#This Row],[Profit]]/Table1[[#This Row],[Total_Sales]]</f>
        <v>0.22236167341430499</v>
      </c>
    </row>
    <row r="3697" spans="1:15" x14ac:dyDescent="0.25">
      <c r="A3697" s="1">
        <v>3696</v>
      </c>
      <c r="B3697" s="2">
        <v>45540</v>
      </c>
      <c r="C3697" s="1" t="s">
        <v>12</v>
      </c>
      <c r="D3697" s="1" t="s">
        <v>32</v>
      </c>
      <c r="E3697" s="1" t="s">
        <v>33</v>
      </c>
      <c r="F3697" s="1" t="s">
        <v>40</v>
      </c>
      <c r="G3697" s="1">
        <v>8</v>
      </c>
      <c r="H3697" s="1">
        <v>473</v>
      </c>
      <c r="I3697" s="1">
        <v>15</v>
      </c>
      <c r="J3697" s="4">
        <v>3216.4</v>
      </c>
      <c r="K3697" s="4">
        <v>2096.9899999999998</v>
      </c>
      <c r="L3697" s="4">
        <v>1119.4100000000001</v>
      </c>
      <c r="M3697" s="1" t="str">
        <f>TEXT(Table1[[#This Row],[Order_Date]], "MMM")</f>
        <v>Sep</v>
      </c>
      <c r="N3697" s="1">
        <f>YEAR(Table1[[#This Row],[Order_Date]])</f>
        <v>2024</v>
      </c>
      <c r="O3697" s="7">
        <f>Table1[[#This Row],[Profit]]/Table1[[#This Row],[Total_Sales]]</f>
        <v>0.34803196119885588</v>
      </c>
    </row>
    <row r="3698" spans="1:15" x14ac:dyDescent="0.25">
      <c r="A3698" s="1">
        <v>3697</v>
      </c>
      <c r="B3698" s="2">
        <v>44956</v>
      </c>
      <c r="C3698" s="1" t="s">
        <v>19</v>
      </c>
      <c r="D3698" s="1" t="s">
        <v>26</v>
      </c>
      <c r="E3698" s="1" t="s">
        <v>27</v>
      </c>
      <c r="F3698" s="1" t="s">
        <v>24</v>
      </c>
      <c r="G3698" s="1">
        <v>2</v>
      </c>
      <c r="H3698" s="1">
        <v>495</v>
      </c>
      <c r="I3698" s="1">
        <v>5</v>
      </c>
      <c r="J3698" s="4">
        <v>940.5</v>
      </c>
      <c r="K3698" s="4">
        <v>622.75</v>
      </c>
      <c r="L3698" s="4">
        <v>317.75</v>
      </c>
      <c r="M3698" s="1" t="str">
        <f>TEXT(Table1[[#This Row],[Order_Date]], "MMM")</f>
        <v>Jan</v>
      </c>
      <c r="N3698" s="1">
        <f>YEAR(Table1[[#This Row],[Order_Date]])</f>
        <v>2023</v>
      </c>
      <c r="O3698" s="7">
        <f>Table1[[#This Row],[Profit]]/Table1[[#This Row],[Total_Sales]]</f>
        <v>0.3378522062732589</v>
      </c>
    </row>
    <row r="3699" spans="1:15" x14ac:dyDescent="0.25">
      <c r="A3699" s="1">
        <v>3698</v>
      </c>
      <c r="B3699" s="2">
        <v>44945</v>
      </c>
      <c r="C3699" s="1" t="s">
        <v>12</v>
      </c>
      <c r="D3699" s="1" t="s">
        <v>13</v>
      </c>
      <c r="E3699" s="1" t="s">
        <v>14</v>
      </c>
      <c r="F3699" s="1" t="s">
        <v>15</v>
      </c>
      <c r="G3699" s="1">
        <v>10</v>
      </c>
      <c r="H3699" s="1">
        <v>640</v>
      </c>
      <c r="I3699" s="1">
        <v>15</v>
      </c>
      <c r="J3699" s="4">
        <v>5440</v>
      </c>
      <c r="K3699" s="4">
        <v>3718.93</v>
      </c>
      <c r="L3699" s="4">
        <v>1721.07</v>
      </c>
      <c r="M3699" s="1" t="str">
        <f>TEXT(Table1[[#This Row],[Order_Date]], "MMM")</f>
        <v>Jan</v>
      </c>
      <c r="N3699" s="1">
        <f>YEAR(Table1[[#This Row],[Order_Date]])</f>
        <v>2023</v>
      </c>
      <c r="O3699" s="7">
        <f>Table1[[#This Row],[Profit]]/Table1[[#This Row],[Total_Sales]]</f>
        <v>0.31637316176470587</v>
      </c>
    </row>
    <row r="3700" spans="1:15" x14ac:dyDescent="0.25">
      <c r="A3700" s="1">
        <v>3699</v>
      </c>
      <c r="B3700" s="2">
        <v>45024</v>
      </c>
      <c r="C3700" s="1" t="s">
        <v>25</v>
      </c>
      <c r="D3700" s="1" t="s">
        <v>26</v>
      </c>
      <c r="E3700" s="1" t="s">
        <v>37</v>
      </c>
      <c r="F3700" s="1" t="s">
        <v>31</v>
      </c>
      <c r="G3700" s="1">
        <v>6</v>
      </c>
      <c r="H3700" s="1">
        <v>42</v>
      </c>
      <c r="I3700" s="1">
        <v>5</v>
      </c>
      <c r="J3700" s="4">
        <v>239.4</v>
      </c>
      <c r="K3700" s="4">
        <v>151.74</v>
      </c>
      <c r="L3700" s="4">
        <v>87.66</v>
      </c>
      <c r="M3700" s="1" t="str">
        <f>TEXT(Table1[[#This Row],[Order_Date]], "MMM")</f>
        <v>Apr</v>
      </c>
      <c r="N3700" s="1">
        <f>YEAR(Table1[[#This Row],[Order_Date]])</f>
        <v>2023</v>
      </c>
      <c r="O3700" s="7">
        <f>Table1[[#This Row],[Profit]]/Table1[[#This Row],[Total_Sales]]</f>
        <v>0.36616541353383458</v>
      </c>
    </row>
    <row r="3701" spans="1:15" x14ac:dyDescent="0.25">
      <c r="A3701" s="1">
        <v>3700</v>
      </c>
      <c r="B3701" s="2">
        <v>45486</v>
      </c>
      <c r="C3701" s="1" t="s">
        <v>12</v>
      </c>
      <c r="D3701" s="1" t="s">
        <v>26</v>
      </c>
      <c r="E3701" s="1" t="s">
        <v>46</v>
      </c>
      <c r="F3701" s="1" t="s">
        <v>15</v>
      </c>
      <c r="G3701" s="1">
        <v>8</v>
      </c>
      <c r="H3701" s="1">
        <v>576</v>
      </c>
      <c r="I3701" s="1">
        <v>5</v>
      </c>
      <c r="J3701" s="4">
        <v>4377.6000000000004</v>
      </c>
      <c r="K3701" s="4">
        <v>2396.96</v>
      </c>
      <c r="L3701" s="4">
        <v>1980.64</v>
      </c>
      <c r="M3701" s="1" t="str">
        <f>TEXT(Table1[[#This Row],[Order_Date]], "MMM")</f>
        <v>Jul</v>
      </c>
      <c r="N3701" s="1">
        <f>YEAR(Table1[[#This Row],[Order_Date]])</f>
        <v>2024</v>
      </c>
      <c r="O3701" s="7">
        <f>Table1[[#This Row],[Profit]]/Table1[[#This Row],[Total_Sales]]</f>
        <v>0.45244883040935668</v>
      </c>
    </row>
    <row r="3702" spans="1:15" x14ac:dyDescent="0.25">
      <c r="A3702" s="1">
        <v>3701</v>
      </c>
      <c r="B3702" s="2">
        <v>45575</v>
      </c>
      <c r="C3702" s="1" t="s">
        <v>12</v>
      </c>
      <c r="D3702" s="1" t="s">
        <v>13</v>
      </c>
      <c r="E3702" s="1" t="s">
        <v>39</v>
      </c>
      <c r="F3702" s="1" t="s">
        <v>35</v>
      </c>
      <c r="G3702" s="1">
        <v>10</v>
      </c>
      <c r="H3702" s="1">
        <v>162</v>
      </c>
      <c r="I3702" s="1">
        <v>20</v>
      </c>
      <c r="J3702" s="4">
        <v>1296</v>
      </c>
      <c r="K3702" s="4">
        <v>770.19</v>
      </c>
      <c r="L3702" s="4">
        <v>525.80999999999995</v>
      </c>
      <c r="M3702" s="1" t="str">
        <f>TEXT(Table1[[#This Row],[Order_Date]], "MMM")</f>
        <v>Oct</v>
      </c>
      <c r="N3702" s="1">
        <f>YEAR(Table1[[#This Row],[Order_Date]])</f>
        <v>2024</v>
      </c>
      <c r="O3702" s="7">
        <f>Table1[[#This Row],[Profit]]/Table1[[#This Row],[Total_Sales]]</f>
        <v>0.40571759259259255</v>
      </c>
    </row>
    <row r="3703" spans="1:15" x14ac:dyDescent="0.25">
      <c r="A3703" s="1">
        <v>3702</v>
      </c>
      <c r="B3703" s="2">
        <v>45642</v>
      </c>
      <c r="C3703" s="1" t="s">
        <v>25</v>
      </c>
      <c r="D3703" s="1" t="s">
        <v>20</v>
      </c>
      <c r="E3703" s="1" t="s">
        <v>30</v>
      </c>
      <c r="F3703" s="1" t="s">
        <v>18</v>
      </c>
      <c r="G3703" s="1">
        <v>3</v>
      </c>
      <c r="H3703" s="1">
        <v>667</v>
      </c>
      <c r="I3703" s="1">
        <v>20</v>
      </c>
      <c r="J3703" s="4">
        <v>1600.8</v>
      </c>
      <c r="K3703" s="4">
        <v>1148.32</v>
      </c>
      <c r="L3703" s="4">
        <v>452.48</v>
      </c>
      <c r="M3703" s="1" t="str">
        <f>TEXT(Table1[[#This Row],[Order_Date]], "MMM")</f>
        <v>Dec</v>
      </c>
      <c r="N3703" s="1">
        <f>YEAR(Table1[[#This Row],[Order_Date]])</f>
        <v>2024</v>
      </c>
      <c r="O3703" s="7">
        <f>Table1[[#This Row],[Profit]]/Table1[[#This Row],[Total_Sales]]</f>
        <v>0.28265867066466771</v>
      </c>
    </row>
    <row r="3704" spans="1:15" x14ac:dyDescent="0.25">
      <c r="A3704" s="1">
        <v>3703</v>
      </c>
      <c r="B3704" s="2">
        <v>45127</v>
      </c>
      <c r="C3704" s="1" t="s">
        <v>25</v>
      </c>
      <c r="D3704" s="1" t="s">
        <v>13</v>
      </c>
      <c r="E3704" s="1" t="s">
        <v>17</v>
      </c>
      <c r="F3704" s="1" t="s">
        <v>40</v>
      </c>
      <c r="G3704" s="1">
        <v>10</v>
      </c>
      <c r="H3704" s="1">
        <v>662</v>
      </c>
      <c r="I3704" s="1">
        <v>10</v>
      </c>
      <c r="J3704" s="4">
        <v>5958</v>
      </c>
      <c r="K3704" s="4">
        <v>4653.2</v>
      </c>
      <c r="L3704" s="4">
        <v>1304.8</v>
      </c>
      <c r="M3704" s="1" t="str">
        <f>TEXT(Table1[[#This Row],[Order_Date]], "MMM")</f>
        <v>Jul</v>
      </c>
      <c r="N3704" s="1">
        <f>YEAR(Table1[[#This Row],[Order_Date]])</f>
        <v>2023</v>
      </c>
      <c r="O3704" s="7">
        <f>Table1[[#This Row],[Profit]]/Table1[[#This Row],[Total_Sales]]</f>
        <v>0.21899966431688486</v>
      </c>
    </row>
    <row r="3705" spans="1:15" x14ac:dyDescent="0.25">
      <c r="A3705" s="1">
        <v>3704</v>
      </c>
      <c r="B3705" s="2">
        <v>45483</v>
      </c>
      <c r="C3705" s="1" t="s">
        <v>12</v>
      </c>
      <c r="D3705" s="1" t="s">
        <v>13</v>
      </c>
      <c r="E3705" s="1" t="s">
        <v>14</v>
      </c>
      <c r="F3705" s="1" t="s">
        <v>40</v>
      </c>
      <c r="G3705" s="1">
        <v>2</v>
      </c>
      <c r="H3705" s="1">
        <v>768</v>
      </c>
      <c r="I3705" s="1">
        <v>15</v>
      </c>
      <c r="J3705" s="4">
        <v>1305.5999999999999</v>
      </c>
      <c r="K3705" s="4">
        <v>711.38</v>
      </c>
      <c r="L3705" s="4">
        <v>594.22</v>
      </c>
      <c r="M3705" s="1" t="str">
        <f>TEXT(Table1[[#This Row],[Order_Date]], "MMM")</f>
        <v>Jul</v>
      </c>
      <c r="N3705" s="1">
        <f>YEAR(Table1[[#This Row],[Order_Date]])</f>
        <v>2024</v>
      </c>
      <c r="O3705" s="7">
        <f>Table1[[#This Row],[Profit]]/Table1[[#This Row],[Total_Sales]]</f>
        <v>0.45513174019607849</v>
      </c>
    </row>
    <row r="3706" spans="1:15" x14ac:dyDescent="0.25">
      <c r="A3706" s="1">
        <v>3705</v>
      </c>
      <c r="B3706" s="2">
        <v>45007</v>
      </c>
      <c r="C3706" s="1" t="s">
        <v>19</v>
      </c>
      <c r="D3706" s="1" t="s">
        <v>32</v>
      </c>
      <c r="E3706" s="1" t="s">
        <v>41</v>
      </c>
      <c r="F3706" s="1" t="s">
        <v>40</v>
      </c>
      <c r="G3706" s="1">
        <v>10</v>
      </c>
      <c r="H3706" s="1">
        <v>712</v>
      </c>
      <c r="I3706" s="1">
        <v>15</v>
      </c>
      <c r="J3706" s="4">
        <v>6052</v>
      </c>
      <c r="K3706" s="4">
        <v>3729.86</v>
      </c>
      <c r="L3706" s="4">
        <v>2322.14</v>
      </c>
      <c r="M3706" s="1" t="str">
        <f>TEXT(Table1[[#This Row],[Order_Date]], "MMM")</f>
        <v>Mar</v>
      </c>
      <c r="N3706" s="1">
        <f>YEAR(Table1[[#This Row],[Order_Date]])</f>
        <v>2023</v>
      </c>
      <c r="O3706" s="7">
        <f>Table1[[#This Row],[Profit]]/Table1[[#This Row],[Total_Sales]]</f>
        <v>0.38369795109054855</v>
      </c>
    </row>
    <row r="3707" spans="1:15" x14ac:dyDescent="0.25">
      <c r="A3707" s="1">
        <v>3706</v>
      </c>
      <c r="B3707" s="2">
        <v>45266</v>
      </c>
      <c r="C3707" s="1" t="s">
        <v>16</v>
      </c>
      <c r="D3707" s="1" t="s">
        <v>22</v>
      </c>
      <c r="E3707" s="1" t="s">
        <v>44</v>
      </c>
      <c r="F3707" s="1" t="s">
        <v>24</v>
      </c>
      <c r="G3707" s="1">
        <v>9</v>
      </c>
      <c r="H3707" s="1">
        <v>509</v>
      </c>
      <c r="I3707" s="1">
        <v>5</v>
      </c>
      <c r="J3707" s="4">
        <v>4351.95</v>
      </c>
      <c r="K3707" s="4">
        <v>2879.47</v>
      </c>
      <c r="L3707" s="4">
        <v>1472.48</v>
      </c>
      <c r="M3707" s="1" t="str">
        <f>TEXT(Table1[[#This Row],[Order_Date]], "MMM")</f>
        <v>Dec</v>
      </c>
      <c r="N3707" s="1">
        <f>YEAR(Table1[[#This Row],[Order_Date]])</f>
        <v>2023</v>
      </c>
      <c r="O3707" s="7">
        <f>Table1[[#This Row],[Profit]]/Table1[[#This Row],[Total_Sales]]</f>
        <v>0.33834947552246697</v>
      </c>
    </row>
    <row r="3708" spans="1:15" x14ac:dyDescent="0.25">
      <c r="A3708" s="1">
        <v>3707</v>
      </c>
      <c r="B3708" s="2">
        <v>45632</v>
      </c>
      <c r="C3708" s="1" t="s">
        <v>25</v>
      </c>
      <c r="D3708" s="1" t="s">
        <v>26</v>
      </c>
      <c r="E3708" s="1" t="s">
        <v>46</v>
      </c>
      <c r="F3708" s="1" t="s">
        <v>18</v>
      </c>
      <c r="G3708" s="1">
        <v>3</v>
      </c>
      <c r="H3708" s="1">
        <v>190</v>
      </c>
      <c r="I3708" s="1">
        <v>5</v>
      </c>
      <c r="J3708" s="4">
        <v>541.5</v>
      </c>
      <c r="K3708" s="4">
        <v>363.83</v>
      </c>
      <c r="L3708" s="4">
        <v>177.67</v>
      </c>
      <c r="M3708" s="1" t="str">
        <f>TEXT(Table1[[#This Row],[Order_Date]], "MMM")</f>
        <v>Dec</v>
      </c>
      <c r="N3708" s="1">
        <f>YEAR(Table1[[#This Row],[Order_Date]])</f>
        <v>2024</v>
      </c>
      <c r="O3708" s="7">
        <f>Table1[[#This Row],[Profit]]/Table1[[#This Row],[Total_Sales]]</f>
        <v>0.32810710987996305</v>
      </c>
    </row>
    <row r="3709" spans="1:15" x14ac:dyDescent="0.25">
      <c r="A3709" s="1">
        <v>3708</v>
      </c>
      <c r="B3709" s="2">
        <v>45243</v>
      </c>
      <c r="C3709" s="1" t="s">
        <v>12</v>
      </c>
      <c r="D3709" s="1" t="s">
        <v>26</v>
      </c>
      <c r="E3709" s="1" t="s">
        <v>27</v>
      </c>
      <c r="F3709" s="1" t="s">
        <v>35</v>
      </c>
      <c r="G3709" s="1">
        <v>1</v>
      </c>
      <c r="H3709" s="1">
        <v>81</v>
      </c>
      <c r="I3709" s="1">
        <v>10</v>
      </c>
      <c r="J3709" s="4">
        <v>72.900000000000006</v>
      </c>
      <c r="K3709" s="4">
        <v>53.63</v>
      </c>
      <c r="L3709" s="4">
        <v>19.27</v>
      </c>
      <c r="M3709" s="1" t="str">
        <f>TEXT(Table1[[#This Row],[Order_Date]], "MMM")</f>
        <v>Nov</v>
      </c>
      <c r="N3709" s="1">
        <f>YEAR(Table1[[#This Row],[Order_Date]])</f>
        <v>2023</v>
      </c>
      <c r="O3709" s="7">
        <f>Table1[[#This Row],[Profit]]/Table1[[#This Row],[Total_Sales]]</f>
        <v>0.26433470507544576</v>
      </c>
    </row>
    <row r="3710" spans="1:15" x14ac:dyDescent="0.25">
      <c r="A3710" s="1">
        <v>3709</v>
      </c>
      <c r="B3710" s="2">
        <v>45593</v>
      </c>
      <c r="C3710" s="1" t="s">
        <v>19</v>
      </c>
      <c r="D3710" s="1" t="s">
        <v>32</v>
      </c>
      <c r="E3710" s="1" t="s">
        <v>45</v>
      </c>
      <c r="F3710" s="1" t="s">
        <v>15</v>
      </c>
      <c r="G3710" s="1">
        <v>4</v>
      </c>
      <c r="H3710" s="1">
        <v>921</v>
      </c>
      <c r="I3710" s="1">
        <v>0</v>
      </c>
      <c r="J3710" s="4">
        <v>3684</v>
      </c>
      <c r="K3710" s="4">
        <v>2786.35</v>
      </c>
      <c r="L3710" s="4">
        <v>897.65</v>
      </c>
      <c r="M3710" s="1" t="str">
        <f>TEXT(Table1[[#This Row],[Order_Date]], "MMM")</f>
        <v>Oct</v>
      </c>
      <c r="N3710" s="1">
        <f>YEAR(Table1[[#This Row],[Order_Date]])</f>
        <v>2024</v>
      </c>
      <c r="O3710" s="7">
        <f>Table1[[#This Row],[Profit]]/Table1[[#This Row],[Total_Sales]]</f>
        <v>0.24366178067318131</v>
      </c>
    </row>
    <row r="3711" spans="1:15" x14ac:dyDescent="0.25">
      <c r="A3711" s="1">
        <v>3710</v>
      </c>
      <c r="B3711" s="2">
        <v>45371</v>
      </c>
      <c r="C3711" s="1" t="s">
        <v>25</v>
      </c>
      <c r="D3711" s="1" t="s">
        <v>13</v>
      </c>
      <c r="E3711" s="1" t="s">
        <v>38</v>
      </c>
      <c r="F3711" s="1" t="s">
        <v>31</v>
      </c>
      <c r="G3711" s="1">
        <v>5</v>
      </c>
      <c r="H3711" s="1">
        <v>361</v>
      </c>
      <c r="I3711" s="1">
        <v>5</v>
      </c>
      <c r="J3711" s="4">
        <v>1714.75</v>
      </c>
      <c r="K3711" s="4">
        <v>891.85</v>
      </c>
      <c r="L3711" s="4">
        <v>822.9</v>
      </c>
      <c r="M3711" s="1" t="str">
        <f>TEXT(Table1[[#This Row],[Order_Date]], "MMM")</f>
        <v>Mar</v>
      </c>
      <c r="N3711" s="1">
        <f>YEAR(Table1[[#This Row],[Order_Date]])</f>
        <v>2024</v>
      </c>
      <c r="O3711" s="7">
        <f>Table1[[#This Row],[Profit]]/Table1[[#This Row],[Total_Sales]]</f>
        <v>0.47989502842980025</v>
      </c>
    </row>
    <row r="3712" spans="1:15" x14ac:dyDescent="0.25">
      <c r="A3712" s="1">
        <v>3711</v>
      </c>
      <c r="B3712" s="2">
        <v>45580</v>
      </c>
      <c r="C3712" s="1" t="s">
        <v>16</v>
      </c>
      <c r="D3712" s="1" t="s">
        <v>22</v>
      </c>
      <c r="E3712" s="1" t="s">
        <v>36</v>
      </c>
      <c r="F3712" s="1" t="s">
        <v>35</v>
      </c>
      <c r="G3712" s="1">
        <v>5</v>
      </c>
      <c r="H3712" s="1">
        <v>848</v>
      </c>
      <c r="I3712" s="1">
        <v>5</v>
      </c>
      <c r="J3712" s="4">
        <v>4028</v>
      </c>
      <c r="K3712" s="4">
        <v>2112.96</v>
      </c>
      <c r="L3712" s="4">
        <v>1915.04</v>
      </c>
      <c r="M3712" s="1" t="str">
        <f>TEXT(Table1[[#This Row],[Order_Date]], "MMM")</f>
        <v>Oct</v>
      </c>
      <c r="N3712" s="1">
        <f>YEAR(Table1[[#This Row],[Order_Date]])</f>
        <v>2024</v>
      </c>
      <c r="O3712" s="7">
        <f>Table1[[#This Row],[Profit]]/Table1[[#This Row],[Total_Sales]]</f>
        <v>0.47543197616683219</v>
      </c>
    </row>
    <row r="3713" spans="1:15" x14ac:dyDescent="0.25">
      <c r="A3713" s="1">
        <v>3712</v>
      </c>
      <c r="B3713" s="2">
        <v>45585</v>
      </c>
      <c r="C3713" s="1" t="s">
        <v>25</v>
      </c>
      <c r="D3713" s="1" t="s">
        <v>26</v>
      </c>
      <c r="E3713" s="1" t="s">
        <v>42</v>
      </c>
      <c r="F3713" s="1" t="s">
        <v>31</v>
      </c>
      <c r="G3713" s="1">
        <v>3</v>
      </c>
      <c r="H3713" s="1">
        <v>171</v>
      </c>
      <c r="I3713" s="1">
        <v>15</v>
      </c>
      <c r="J3713" s="4">
        <v>436.05</v>
      </c>
      <c r="K3713" s="4">
        <v>243.47</v>
      </c>
      <c r="L3713" s="4">
        <v>192.58</v>
      </c>
      <c r="M3713" s="1" t="str">
        <f>TEXT(Table1[[#This Row],[Order_Date]], "MMM")</f>
        <v>Oct</v>
      </c>
      <c r="N3713" s="1">
        <f>YEAR(Table1[[#This Row],[Order_Date]])</f>
        <v>2024</v>
      </c>
      <c r="O3713" s="7">
        <f>Table1[[#This Row],[Profit]]/Table1[[#This Row],[Total_Sales]]</f>
        <v>0.44164660016053209</v>
      </c>
    </row>
    <row r="3714" spans="1:15" x14ac:dyDescent="0.25">
      <c r="A3714" s="1">
        <v>3713</v>
      </c>
      <c r="B3714" s="2">
        <v>45158</v>
      </c>
      <c r="C3714" s="1" t="s">
        <v>12</v>
      </c>
      <c r="D3714" s="1" t="s">
        <v>13</v>
      </c>
      <c r="E3714" s="1" t="s">
        <v>14</v>
      </c>
      <c r="F3714" s="1" t="s">
        <v>15</v>
      </c>
      <c r="G3714" s="1">
        <v>1</v>
      </c>
      <c r="H3714" s="1">
        <v>154</v>
      </c>
      <c r="I3714" s="1">
        <v>0</v>
      </c>
      <c r="J3714" s="4">
        <v>154</v>
      </c>
      <c r="K3714" s="4">
        <v>115.96</v>
      </c>
      <c r="L3714" s="4">
        <v>38.04</v>
      </c>
      <c r="M3714" s="1" t="str">
        <f>TEXT(Table1[[#This Row],[Order_Date]], "MMM")</f>
        <v>Aug</v>
      </c>
      <c r="N3714" s="1">
        <f>YEAR(Table1[[#This Row],[Order_Date]])</f>
        <v>2023</v>
      </c>
      <c r="O3714" s="7">
        <f>Table1[[#This Row],[Profit]]/Table1[[#This Row],[Total_Sales]]</f>
        <v>0.24701298701298702</v>
      </c>
    </row>
    <row r="3715" spans="1:15" x14ac:dyDescent="0.25">
      <c r="A3715" s="1">
        <v>3714</v>
      </c>
      <c r="B3715" s="2">
        <v>45155</v>
      </c>
      <c r="C3715" s="1" t="s">
        <v>16</v>
      </c>
      <c r="D3715" s="1" t="s">
        <v>20</v>
      </c>
      <c r="E3715" s="1" t="s">
        <v>21</v>
      </c>
      <c r="F3715" s="1" t="s">
        <v>35</v>
      </c>
      <c r="G3715" s="1">
        <v>8</v>
      </c>
      <c r="H3715" s="1">
        <v>833</v>
      </c>
      <c r="I3715" s="1">
        <v>0</v>
      </c>
      <c r="J3715" s="4">
        <v>6664</v>
      </c>
      <c r="K3715" s="4">
        <v>4808.3500000000004</v>
      </c>
      <c r="L3715" s="4">
        <v>1855.65</v>
      </c>
      <c r="M3715" s="1" t="str">
        <f>TEXT(Table1[[#This Row],[Order_Date]], "MMM")</f>
        <v>Aug</v>
      </c>
      <c r="N3715" s="1">
        <f>YEAR(Table1[[#This Row],[Order_Date]])</f>
        <v>2023</v>
      </c>
      <c r="O3715" s="7">
        <f>Table1[[#This Row],[Profit]]/Table1[[#This Row],[Total_Sales]]</f>
        <v>0.27845888355342135</v>
      </c>
    </row>
    <row r="3716" spans="1:15" x14ac:dyDescent="0.25">
      <c r="A3716" s="1">
        <v>3715</v>
      </c>
      <c r="B3716" s="2">
        <v>45228</v>
      </c>
      <c r="C3716" s="1" t="s">
        <v>12</v>
      </c>
      <c r="D3716" s="1" t="s">
        <v>26</v>
      </c>
      <c r="E3716" s="1" t="s">
        <v>42</v>
      </c>
      <c r="F3716" s="1" t="s">
        <v>40</v>
      </c>
      <c r="G3716" s="1">
        <v>10</v>
      </c>
      <c r="H3716" s="1">
        <v>247</v>
      </c>
      <c r="I3716" s="1">
        <v>20</v>
      </c>
      <c r="J3716" s="4">
        <v>1976</v>
      </c>
      <c r="K3716" s="4">
        <v>1374.22</v>
      </c>
      <c r="L3716" s="4">
        <v>601.78</v>
      </c>
      <c r="M3716" s="1" t="str">
        <f>TEXT(Table1[[#This Row],[Order_Date]], "MMM")</f>
        <v>Oct</v>
      </c>
      <c r="N3716" s="1">
        <f>YEAR(Table1[[#This Row],[Order_Date]])</f>
        <v>2023</v>
      </c>
      <c r="O3716" s="7">
        <f>Table1[[#This Row],[Profit]]/Table1[[#This Row],[Total_Sales]]</f>
        <v>0.30454453441295543</v>
      </c>
    </row>
    <row r="3717" spans="1:15" x14ac:dyDescent="0.25">
      <c r="A3717" s="1">
        <v>3716</v>
      </c>
      <c r="B3717" s="2">
        <v>45396</v>
      </c>
      <c r="C3717" s="1" t="s">
        <v>25</v>
      </c>
      <c r="D3717" s="1" t="s">
        <v>32</v>
      </c>
      <c r="E3717" s="1" t="s">
        <v>34</v>
      </c>
      <c r="F3717" s="1" t="s">
        <v>40</v>
      </c>
      <c r="G3717" s="1">
        <v>8</v>
      </c>
      <c r="H3717" s="1">
        <v>705</v>
      </c>
      <c r="I3717" s="1">
        <v>15</v>
      </c>
      <c r="J3717" s="4">
        <v>4794</v>
      </c>
      <c r="K3717" s="4">
        <v>3609.9</v>
      </c>
      <c r="L3717" s="4">
        <v>1184.0999999999999</v>
      </c>
      <c r="M3717" s="1" t="str">
        <f>TEXT(Table1[[#This Row],[Order_Date]], "MMM")</f>
        <v>Apr</v>
      </c>
      <c r="N3717" s="1">
        <f>YEAR(Table1[[#This Row],[Order_Date]])</f>
        <v>2024</v>
      </c>
      <c r="O3717" s="7">
        <f>Table1[[#This Row],[Profit]]/Table1[[#This Row],[Total_Sales]]</f>
        <v>0.24699624530663328</v>
      </c>
    </row>
    <row r="3718" spans="1:15" x14ac:dyDescent="0.25">
      <c r="A3718" s="1">
        <v>3717</v>
      </c>
      <c r="B3718" s="2">
        <v>45544</v>
      </c>
      <c r="C3718" s="1" t="s">
        <v>25</v>
      </c>
      <c r="D3718" s="1" t="s">
        <v>26</v>
      </c>
      <c r="E3718" s="1" t="s">
        <v>42</v>
      </c>
      <c r="F3718" s="1" t="s">
        <v>35</v>
      </c>
      <c r="G3718" s="1">
        <v>8</v>
      </c>
      <c r="H3718" s="1">
        <v>243</v>
      </c>
      <c r="I3718" s="1">
        <v>15</v>
      </c>
      <c r="J3718" s="4">
        <v>1652.4</v>
      </c>
      <c r="K3718" s="4">
        <v>1219.23</v>
      </c>
      <c r="L3718" s="4">
        <v>433.17</v>
      </c>
      <c r="M3718" s="1" t="str">
        <f>TEXT(Table1[[#This Row],[Order_Date]], "MMM")</f>
        <v>Sep</v>
      </c>
      <c r="N3718" s="1">
        <f>YEAR(Table1[[#This Row],[Order_Date]])</f>
        <v>2024</v>
      </c>
      <c r="O3718" s="7">
        <f>Table1[[#This Row],[Profit]]/Table1[[#This Row],[Total_Sales]]</f>
        <v>0.26214596949891067</v>
      </c>
    </row>
    <row r="3719" spans="1:15" x14ac:dyDescent="0.25">
      <c r="A3719" s="1">
        <v>3718</v>
      </c>
      <c r="B3719" s="2">
        <v>45372</v>
      </c>
      <c r="C3719" s="1" t="s">
        <v>25</v>
      </c>
      <c r="D3719" s="1" t="s">
        <v>32</v>
      </c>
      <c r="E3719" s="1" t="s">
        <v>33</v>
      </c>
      <c r="F3719" s="1" t="s">
        <v>40</v>
      </c>
      <c r="G3719" s="1">
        <v>3</v>
      </c>
      <c r="H3719" s="1">
        <v>77</v>
      </c>
      <c r="I3719" s="1">
        <v>20</v>
      </c>
      <c r="J3719" s="4">
        <v>184.8</v>
      </c>
      <c r="K3719" s="4">
        <v>143.02000000000001</v>
      </c>
      <c r="L3719" s="4">
        <v>41.78</v>
      </c>
      <c r="M3719" s="1" t="str">
        <f>TEXT(Table1[[#This Row],[Order_Date]], "MMM")</f>
        <v>Mar</v>
      </c>
      <c r="N3719" s="1">
        <f>YEAR(Table1[[#This Row],[Order_Date]])</f>
        <v>2024</v>
      </c>
      <c r="O3719" s="7">
        <f>Table1[[#This Row],[Profit]]/Table1[[#This Row],[Total_Sales]]</f>
        <v>0.22608225108225108</v>
      </c>
    </row>
    <row r="3720" spans="1:15" x14ac:dyDescent="0.25">
      <c r="A3720" s="1">
        <v>3719</v>
      </c>
      <c r="B3720" s="2">
        <v>45553</v>
      </c>
      <c r="C3720" s="1" t="s">
        <v>12</v>
      </c>
      <c r="D3720" s="1" t="s">
        <v>26</v>
      </c>
      <c r="E3720" s="1" t="s">
        <v>42</v>
      </c>
      <c r="F3720" s="1" t="s">
        <v>31</v>
      </c>
      <c r="G3720" s="1">
        <v>10</v>
      </c>
      <c r="H3720" s="1">
        <v>657</v>
      </c>
      <c r="I3720" s="1">
        <v>5</v>
      </c>
      <c r="J3720" s="4">
        <v>6241.5</v>
      </c>
      <c r="K3720" s="4">
        <v>3643.78</v>
      </c>
      <c r="L3720" s="4">
        <v>2597.7199999999998</v>
      </c>
      <c r="M3720" s="1" t="str">
        <f>TEXT(Table1[[#This Row],[Order_Date]], "MMM")</f>
        <v>Sep</v>
      </c>
      <c r="N3720" s="1">
        <f>YEAR(Table1[[#This Row],[Order_Date]])</f>
        <v>2024</v>
      </c>
      <c r="O3720" s="7">
        <f>Table1[[#This Row],[Profit]]/Table1[[#This Row],[Total_Sales]]</f>
        <v>0.41620123367780176</v>
      </c>
    </row>
    <row r="3721" spans="1:15" x14ac:dyDescent="0.25">
      <c r="A3721" s="1">
        <v>3720</v>
      </c>
      <c r="B3721" s="2">
        <v>45648</v>
      </c>
      <c r="C3721" s="1" t="s">
        <v>25</v>
      </c>
      <c r="D3721" s="1" t="s">
        <v>20</v>
      </c>
      <c r="E3721" s="1" t="s">
        <v>28</v>
      </c>
      <c r="F3721" s="1" t="s">
        <v>31</v>
      </c>
      <c r="G3721" s="1">
        <v>3</v>
      </c>
      <c r="H3721" s="1">
        <v>306</v>
      </c>
      <c r="I3721" s="1">
        <v>5</v>
      </c>
      <c r="J3721" s="4">
        <v>872.1</v>
      </c>
      <c r="K3721" s="4">
        <v>557.01</v>
      </c>
      <c r="L3721" s="4">
        <v>315.08999999999997</v>
      </c>
      <c r="M3721" s="1" t="str">
        <f>TEXT(Table1[[#This Row],[Order_Date]], "MMM")</f>
        <v>Dec</v>
      </c>
      <c r="N3721" s="1">
        <f>YEAR(Table1[[#This Row],[Order_Date]])</f>
        <v>2024</v>
      </c>
      <c r="O3721" s="7">
        <f>Table1[[#This Row],[Profit]]/Table1[[#This Row],[Total_Sales]]</f>
        <v>0.36130030959752318</v>
      </c>
    </row>
    <row r="3722" spans="1:15" x14ac:dyDescent="0.25">
      <c r="A3722" s="1">
        <v>3721</v>
      </c>
      <c r="B3722" s="2">
        <v>45546</v>
      </c>
      <c r="C3722" s="1" t="s">
        <v>25</v>
      </c>
      <c r="D3722" s="1" t="s">
        <v>22</v>
      </c>
      <c r="E3722" s="1" t="s">
        <v>36</v>
      </c>
      <c r="F3722" s="1" t="s">
        <v>31</v>
      </c>
      <c r="G3722" s="1">
        <v>8</v>
      </c>
      <c r="H3722" s="1">
        <v>903</v>
      </c>
      <c r="I3722" s="1">
        <v>5</v>
      </c>
      <c r="J3722" s="4">
        <v>6862.8</v>
      </c>
      <c r="K3722" s="4">
        <v>5460.75</v>
      </c>
      <c r="L3722" s="4">
        <v>1402.05</v>
      </c>
      <c r="M3722" s="1" t="str">
        <f>TEXT(Table1[[#This Row],[Order_Date]], "MMM")</f>
        <v>Sep</v>
      </c>
      <c r="N3722" s="1">
        <f>YEAR(Table1[[#This Row],[Order_Date]])</f>
        <v>2024</v>
      </c>
      <c r="O3722" s="7">
        <f>Table1[[#This Row],[Profit]]/Table1[[#This Row],[Total_Sales]]</f>
        <v>0.204297079909075</v>
      </c>
    </row>
    <row r="3723" spans="1:15" x14ac:dyDescent="0.25">
      <c r="A3723" s="1">
        <v>3722</v>
      </c>
      <c r="B3723" s="2">
        <v>45505</v>
      </c>
      <c r="C3723" s="1" t="s">
        <v>19</v>
      </c>
      <c r="D3723" s="1" t="s">
        <v>32</v>
      </c>
      <c r="E3723" s="1" t="s">
        <v>45</v>
      </c>
      <c r="F3723" s="1" t="s">
        <v>35</v>
      </c>
      <c r="G3723" s="1">
        <v>2</v>
      </c>
      <c r="H3723" s="1">
        <v>445</v>
      </c>
      <c r="I3723" s="1">
        <v>5</v>
      </c>
      <c r="J3723" s="4">
        <v>845.5</v>
      </c>
      <c r="K3723" s="4">
        <v>463.94</v>
      </c>
      <c r="L3723" s="4">
        <v>381.56</v>
      </c>
      <c r="M3723" s="1" t="str">
        <f>TEXT(Table1[[#This Row],[Order_Date]], "MMM")</f>
        <v>Aug</v>
      </c>
      <c r="N3723" s="1">
        <f>YEAR(Table1[[#This Row],[Order_Date]])</f>
        <v>2024</v>
      </c>
      <c r="O3723" s="7">
        <f>Table1[[#This Row],[Profit]]/Table1[[#This Row],[Total_Sales]]</f>
        <v>0.45128326434062688</v>
      </c>
    </row>
    <row r="3724" spans="1:15" x14ac:dyDescent="0.25">
      <c r="A3724" s="1">
        <v>3723</v>
      </c>
      <c r="B3724" s="2">
        <v>45465</v>
      </c>
      <c r="C3724" s="1" t="s">
        <v>12</v>
      </c>
      <c r="D3724" s="1" t="s">
        <v>20</v>
      </c>
      <c r="E3724" s="1" t="s">
        <v>21</v>
      </c>
      <c r="F3724" s="1" t="s">
        <v>31</v>
      </c>
      <c r="G3724" s="1">
        <v>7</v>
      </c>
      <c r="H3724" s="1">
        <v>69</v>
      </c>
      <c r="I3724" s="1">
        <v>0</v>
      </c>
      <c r="J3724" s="4">
        <v>483</v>
      </c>
      <c r="K3724" s="4">
        <v>367.03</v>
      </c>
      <c r="L3724" s="4">
        <v>115.97</v>
      </c>
      <c r="M3724" s="1" t="str">
        <f>TEXT(Table1[[#This Row],[Order_Date]], "MMM")</f>
        <v>Jun</v>
      </c>
      <c r="N3724" s="1">
        <f>YEAR(Table1[[#This Row],[Order_Date]])</f>
        <v>2024</v>
      </c>
      <c r="O3724" s="7">
        <f>Table1[[#This Row],[Profit]]/Table1[[#This Row],[Total_Sales]]</f>
        <v>0.24010351966873705</v>
      </c>
    </row>
    <row r="3725" spans="1:15" x14ac:dyDescent="0.25">
      <c r="A3725" s="1">
        <v>3724</v>
      </c>
      <c r="B3725" s="2">
        <v>45591</v>
      </c>
      <c r="C3725" s="1" t="s">
        <v>19</v>
      </c>
      <c r="D3725" s="1" t="s">
        <v>20</v>
      </c>
      <c r="E3725" s="1" t="s">
        <v>30</v>
      </c>
      <c r="F3725" s="1" t="s">
        <v>15</v>
      </c>
      <c r="G3725" s="1">
        <v>8</v>
      </c>
      <c r="H3725" s="1">
        <v>547</v>
      </c>
      <c r="I3725" s="1">
        <v>15</v>
      </c>
      <c r="J3725" s="4">
        <v>3719.6</v>
      </c>
      <c r="K3725" s="4">
        <v>2239.0500000000002</v>
      </c>
      <c r="L3725" s="4">
        <v>1480.55</v>
      </c>
      <c r="M3725" s="1" t="str">
        <f>TEXT(Table1[[#This Row],[Order_Date]], "MMM")</f>
        <v>Oct</v>
      </c>
      <c r="N3725" s="1">
        <f>YEAR(Table1[[#This Row],[Order_Date]])</f>
        <v>2024</v>
      </c>
      <c r="O3725" s="7">
        <f>Table1[[#This Row],[Profit]]/Table1[[#This Row],[Total_Sales]]</f>
        <v>0.39804011183998278</v>
      </c>
    </row>
    <row r="3726" spans="1:15" x14ac:dyDescent="0.25">
      <c r="A3726" s="1">
        <v>3725</v>
      </c>
      <c r="B3726" s="2">
        <v>45320</v>
      </c>
      <c r="C3726" s="1" t="s">
        <v>12</v>
      </c>
      <c r="D3726" s="1" t="s">
        <v>32</v>
      </c>
      <c r="E3726" s="1" t="s">
        <v>34</v>
      </c>
      <c r="F3726" s="1" t="s">
        <v>40</v>
      </c>
      <c r="G3726" s="1">
        <v>2</v>
      </c>
      <c r="H3726" s="1">
        <v>505</v>
      </c>
      <c r="I3726" s="1">
        <v>10</v>
      </c>
      <c r="J3726" s="4">
        <v>909</v>
      </c>
      <c r="K3726" s="4">
        <v>463.2</v>
      </c>
      <c r="L3726" s="4">
        <v>445.8</v>
      </c>
      <c r="M3726" s="1" t="str">
        <f>TEXT(Table1[[#This Row],[Order_Date]], "MMM")</f>
        <v>Jan</v>
      </c>
      <c r="N3726" s="1">
        <f>YEAR(Table1[[#This Row],[Order_Date]])</f>
        <v>2024</v>
      </c>
      <c r="O3726" s="7">
        <f>Table1[[#This Row],[Profit]]/Table1[[#This Row],[Total_Sales]]</f>
        <v>0.49042904290429046</v>
      </c>
    </row>
    <row r="3727" spans="1:15" x14ac:dyDescent="0.25">
      <c r="A3727" s="1">
        <v>3726</v>
      </c>
      <c r="B3727" s="2">
        <v>45328</v>
      </c>
      <c r="C3727" s="1" t="s">
        <v>25</v>
      </c>
      <c r="D3727" s="1" t="s">
        <v>22</v>
      </c>
      <c r="E3727" s="1" t="s">
        <v>29</v>
      </c>
      <c r="F3727" s="1" t="s">
        <v>24</v>
      </c>
      <c r="G3727" s="1">
        <v>3</v>
      </c>
      <c r="H3727" s="1">
        <v>497</v>
      </c>
      <c r="I3727" s="1">
        <v>10</v>
      </c>
      <c r="J3727" s="4">
        <v>1341.9</v>
      </c>
      <c r="K3727" s="4">
        <v>957.46</v>
      </c>
      <c r="L3727" s="4">
        <v>384.44</v>
      </c>
      <c r="M3727" s="1" t="str">
        <f>TEXT(Table1[[#This Row],[Order_Date]], "MMM")</f>
        <v>Feb</v>
      </c>
      <c r="N3727" s="1">
        <f>YEAR(Table1[[#This Row],[Order_Date]])</f>
        <v>2024</v>
      </c>
      <c r="O3727" s="7">
        <f>Table1[[#This Row],[Profit]]/Table1[[#This Row],[Total_Sales]]</f>
        <v>0.28648930620761603</v>
      </c>
    </row>
    <row r="3728" spans="1:15" x14ac:dyDescent="0.25">
      <c r="A3728" s="1">
        <v>3727</v>
      </c>
      <c r="B3728" s="2">
        <v>45190</v>
      </c>
      <c r="C3728" s="1" t="s">
        <v>12</v>
      </c>
      <c r="D3728" s="1" t="s">
        <v>20</v>
      </c>
      <c r="E3728" s="1" t="s">
        <v>28</v>
      </c>
      <c r="F3728" s="1" t="s">
        <v>40</v>
      </c>
      <c r="G3728" s="1">
        <v>6</v>
      </c>
      <c r="H3728" s="1">
        <v>549</v>
      </c>
      <c r="I3728" s="1">
        <v>15</v>
      </c>
      <c r="J3728" s="4">
        <v>2799.9</v>
      </c>
      <c r="K3728" s="4">
        <v>1644.47</v>
      </c>
      <c r="L3728" s="4">
        <v>1155.43</v>
      </c>
      <c r="M3728" s="1" t="str">
        <f>TEXT(Table1[[#This Row],[Order_Date]], "MMM")</f>
        <v>Sep</v>
      </c>
      <c r="N3728" s="1">
        <f>YEAR(Table1[[#This Row],[Order_Date]])</f>
        <v>2023</v>
      </c>
      <c r="O3728" s="7">
        <f>Table1[[#This Row],[Profit]]/Table1[[#This Row],[Total_Sales]]</f>
        <v>0.41266830958248507</v>
      </c>
    </row>
    <row r="3729" spans="1:15" x14ac:dyDescent="0.25">
      <c r="A3729" s="1">
        <v>3728</v>
      </c>
      <c r="B3729" s="2">
        <v>45133</v>
      </c>
      <c r="C3729" s="1" t="s">
        <v>16</v>
      </c>
      <c r="D3729" s="1" t="s">
        <v>32</v>
      </c>
      <c r="E3729" s="1" t="s">
        <v>33</v>
      </c>
      <c r="F3729" s="1" t="s">
        <v>40</v>
      </c>
      <c r="G3729" s="1">
        <v>7</v>
      </c>
      <c r="H3729" s="1">
        <v>480</v>
      </c>
      <c r="I3729" s="1">
        <v>15</v>
      </c>
      <c r="J3729" s="4">
        <v>2856</v>
      </c>
      <c r="K3729" s="4">
        <v>2277.17</v>
      </c>
      <c r="L3729" s="4">
        <v>578.83000000000004</v>
      </c>
      <c r="M3729" s="1" t="str">
        <f>TEXT(Table1[[#This Row],[Order_Date]], "MMM")</f>
        <v>Jul</v>
      </c>
      <c r="N3729" s="1">
        <f>YEAR(Table1[[#This Row],[Order_Date]])</f>
        <v>2023</v>
      </c>
      <c r="O3729" s="7">
        <f>Table1[[#This Row],[Profit]]/Table1[[#This Row],[Total_Sales]]</f>
        <v>0.202671568627451</v>
      </c>
    </row>
    <row r="3730" spans="1:15" x14ac:dyDescent="0.25">
      <c r="A3730" s="1">
        <v>3729</v>
      </c>
      <c r="B3730" s="2">
        <v>45196</v>
      </c>
      <c r="C3730" s="1" t="s">
        <v>25</v>
      </c>
      <c r="D3730" s="1" t="s">
        <v>22</v>
      </c>
      <c r="E3730" s="1" t="s">
        <v>23</v>
      </c>
      <c r="F3730" s="1" t="s">
        <v>15</v>
      </c>
      <c r="G3730" s="1">
        <v>1</v>
      </c>
      <c r="H3730" s="1">
        <v>301</v>
      </c>
      <c r="I3730" s="1">
        <v>10</v>
      </c>
      <c r="J3730" s="4">
        <v>270.89999999999998</v>
      </c>
      <c r="K3730" s="4">
        <v>170.08</v>
      </c>
      <c r="L3730" s="4">
        <v>100.82</v>
      </c>
      <c r="M3730" s="1" t="str">
        <f>TEXT(Table1[[#This Row],[Order_Date]], "MMM")</f>
        <v>Sep</v>
      </c>
      <c r="N3730" s="1">
        <f>YEAR(Table1[[#This Row],[Order_Date]])</f>
        <v>2023</v>
      </c>
      <c r="O3730" s="7">
        <f>Table1[[#This Row],[Profit]]/Table1[[#This Row],[Total_Sales]]</f>
        <v>0.37216685123661869</v>
      </c>
    </row>
    <row r="3731" spans="1:15" x14ac:dyDescent="0.25">
      <c r="A3731" s="1">
        <v>3730</v>
      </c>
      <c r="B3731" s="2">
        <v>45192</v>
      </c>
      <c r="C3731" s="1" t="s">
        <v>12</v>
      </c>
      <c r="D3731" s="1" t="s">
        <v>22</v>
      </c>
      <c r="E3731" s="1" t="s">
        <v>44</v>
      </c>
      <c r="F3731" s="1" t="s">
        <v>35</v>
      </c>
      <c r="G3731" s="1">
        <v>8</v>
      </c>
      <c r="H3731" s="1">
        <v>819</v>
      </c>
      <c r="I3731" s="1">
        <v>0</v>
      </c>
      <c r="J3731" s="4">
        <v>6552</v>
      </c>
      <c r="K3731" s="4">
        <v>4897.38</v>
      </c>
      <c r="L3731" s="4">
        <v>1654.62</v>
      </c>
      <c r="M3731" s="1" t="str">
        <f>TEXT(Table1[[#This Row],[Order_Date]], "MMM")</f>
        <v>Sep</v>
      </c>
      <c r="N3731" s="1">
        <f>YEAR(Table1[[#This Row],[Order_Date]])</f>
        <v>2023</v>
      </c>
      <c r="O3731" s="7">
        <f>Table1[[#This Row],[Profit]]/Table1[[#This Row],[Total_Sales]]</f>
        <v>0.25253663003663002</v>
      </c>
    </row>
    <row r="3732" spans="1:15" x14ac:dyDescent="0.25">
      <c r="A3732" s="1">
        <v>3731</v>
      </c>
      <c r="B3732" s="2">
        <v>45027</v>
      </c>
      <c r="C3732" s="1" t="s">
        <v>16</v>
      </c>
      <c r="D3732" s="1" t="s">
        <v>32</v>
      </c>
      <c r="E3732" s="1" t="s">
        <v>45</v>
      </c>
      <c r="F3732" s="1" t="s">
        <v>31</v>
      </c>
      <c r="G3732" s="1">
        <v>4</v>
      </c>
      <c r="H3732" s="1">
        <v>758</v>
      </c>
      <c r="I3732" s="1">
        <v>10</v>
      </c>
      <c r="J3732" s="4">
        <v>2728.8</v>
      </c>
      <c r="K3732" s="4">
        <v>1721.03</v>
      </c>
      <c r="L3732" s="4">
        <v>1007.77</v>
      </c>
      <c r="M3732" s="1" t="str">
        <f>TEXT(Table1[[#This Row],[Order_Date]], "MMM")</f>
        <v>Apr</v>
      </c>
      <c r="N3732" s="1">
        <f>YEAR(Table1[[#This Row],[Order_Date]])</f>
        <v>2023</v>
      </c>
      <c r="O3732" s="7">
        <f>Table1[[#This Row],[Profit]]/Table1[[#This Row],[Total_Sales]]</f>
        <v>0.36930885370858985</v>
      </c>
    </row>
    <row r="3733" spans="1:15" x14ac:dyDescent="0.25">
      <c r="A3733" s="1">
        <v>3732</v>
      </c>
      <c r="B3733" s="2">
        <v>44979</v>
      </c>
      <c r="C3733" s="1" t="s">
        <v>19</v>
      </c>
      <c r="D3733" s="1" t="s">
        <v>13</v>
      </c>
      <c r="E3733" s="1" t="s">
        <v>17</v>
      </c>
      <c r="F3733" s="1" t="s">
        <v>31</v>
      </c>
      <c r="G3733" s="1">
        <v>10</v>
      </c>
      <c r="H3733" s="1">
        <v>980</v>
      </c>
      <c r="I3733" s="1">
        <v>15</v>
      </c>
      <c r="J3733" s="4">
        <v>8330</v>
      </c>
      <c r="K3733" s="4">
        <v>5795.14</v>
      </c>
      <c r="L3733" s="4">
        <v>2534.86</v>
      </c>
      <c r="M3733" s="1" t="str">
        <f>TEXT(Table1[[#This Row],[Order_Date]], "MMM")</f>
        <v>Feb</v>
      </c>
      <c r="N3733" s="1">
        <f>YEAR(Table1[[#This Row],[Order_Date]])</f>
        <v>2023</v>
      </c>
      <c r="O3733" s="7">
        <f>Table1[[#This Row],[Profit]]/Table1[[#This Row],[Total_Sales]]</f>
        <v>0.30430492196878756</v>
      </c>
    </row>
    <row r="3734" spans="1:15" x14ac:dyDescent="0.25">
      <c r="A3734" s="1">
        <v>3733</v>
      </c>
      <c r="B3734" s="2">
        <v>45383</v>
      </c>
      <c r="C3734" s="1" t="s">
        <v>16</v>
      </c>
      <c r="D3734" s="1" t="s">
        <v>26</v>
      </c>
      <c r="E3734" s="1" t="s">
        <v>27</v>
      </c>
      <c r="F3734" s="1" t="s">
        <v>40</v>
      </c>
      <c r="G3734" s="1">
        <v>5</v>
      </c>
      <c r="H3734" s="1">
        <v>451</v>
      </c>
      <c r="I3734" s="1">
        <v>0</v>
      </c>
      <c r="J3734" s="4">
        <v>2255</v>
      </c>
      <c r="K3734" s="4">
        <v>1184.1300000000001</v>
      </c>
      <c r="L3734" s="4">
        <v>1070.8699999999999</v>
      </c>
      <c r="M3734" s="1" t="str">
        <f>TEXT(Table1[[#This Row],[Order_Date]], "MMM")</f>
        <v>Apr</v>
      </c>
      <c r="N3734" s="1">
        <f>YEAR(Table1[[#This Row],[Order_Date]])</f>
        <v>2024</v>
      </c>
      <c r="O3734" s="7">
        <f>Table1[[#This Row],[Profit]]/Table1[[#This Row],[Total_Sales]]</f>
        <v>0.47488691796008864</v>
      </c>
    </row>
    <row r="3735" spans="1:15" x14ac:dyDescent="0.25">
      <c r="A3735" s="1">
        <v>3734</v>
      </c>
      <c r="B3735" s="2">
        <v>45407</v>
      </c>
      <c r="C3735" s="1" t="s">
        <v>19</v>
      </c>
      <c r="D3735" s="1" t="s">
        <v>32</v>
      </c>
      <c r="E3735" s="1" t="s">
        <v>33</v>
      </c>
      <c r="F3735" s="1" t="s">
        <v>24</v>
      </c>
      <c r="G3735" s="1">
        <v>3</v>
      </c>
      <c r="H3735" s="1">
        <v>131</v>
      </c>
      <c r="I3735" s="1">
        <v>5</v>
      </c>
      <c r="J3735" s="4">
        <v>373.35</v>
      </c>
      <c r="K3735" s="4">
        <v>276.64999999999998</v>
      </c>
      <c r="L3735" s="4">
        <v>96.7</v>
      </c>
      <c r="M3735" s="1" t="str">
        <f>TEXT(Table1[[#This Row],[Order_Date]], "MMM")</f>
        <v>Apr</v>
      </c>
      <c r="N3735" s="1">
        <f>YEAR(Table1[[#This Row],[Order_Date]])</f>
        <v>2024</v>
      </c>
      <c r="O3735" s="7">
        <f>Table1[[#This Row],[Profit]]/Table1[[#This Row],[Total_Sales]]</f>
        <v>0.25900629436185885</v>
      </c>
    </row>
    <row r="3736" spans="1:15" x14ac:dyDescent="0.25">
      <c r="A3736" s="1">
        <v>3735</v>
      </c>
      <c r="B3736" s="2">
        <v>45157</v>
      </c>
      <c r="C3736" s="1" t="s">
        <v>25</v>
      </c>
      <c r="D3736" s="1" t="s">
        <v>13</v>
      </c>
      <c r="E3736" s="1" t="s">
        <v>38</v>
      </c>
      <c r="F3736" s="1" t="s">
        <v>31</v>
      </c>
      <c r="G3736" s="1">
        <v>3</v>
      </c>
      <c r="H3736" s="1">
        <v>362</v>
      </c>
      <c r="I3736" s="1">
        <v>10</v>
      </c>
      <c r="J3736" s="4">
        <v>977.4</v>
      </c>
      <c r="K3736" s="4">
        <v>650.69000000000005</v>
      </c>
      <c r="L3736" s="4">
        <v>326.70999999999998</v>
      </c>
      <c r="M3736" s="1" t="str">
        <f>TEXT(Table1[[#This Row],[Order_Date]], "MMM")</f>
        <v>Aug</v>
      </c>
      <c r="N3736" s="1">
        <f>YEAR(Table1[[#This Row],[Order_Date]])</f>
        <v>2023</v>
      </c>
      <c r="O3736" s="7">
        <f>Table1[[#This Row],[Profit]]/Table1[[#This Row],[Total_Sales]]</f>
        <v>0.33426437487210969</v>
      </c>
    </row>
    <row r="3737" spans="1:15" x14ac:dyDescent="0.25">
      <c r="A3737" s="1">
        <v>3736</v>
      </c>
      <c r="B3737" s="2">
        <v>45435</v>
      </c>
      <c r="C3737" s="1" t="s">
        <v>12</v>
      </c>
      <c r="D3737" s="1" t="s">
        <v>13</v>
      </c>
      <c r="E3737" s="1" t="s">
        <v>39</v>
      </c>
      <c r="F3737" s="1" t="s">
        <v>15</v>
      </c>
      <c r="G3737" s="1">
        <v>8</v>
      </c>
      <c r="H3737" s="1">
        <v>183</v>
      </c>
      <c r="I3737" s="1">
        <v>10</v>
      </c>
      <c r="J3737" s="4">
        <v>1317.6</v>
      </c>
      <c r="K3737" s="4">
        <v>774.59</v>
      </c>
      <c r="L3737" s="4">
        <v>543.01</v>
      </c>
      <c r="M3737" s="1" t="str">
        <f>TEXT(Table1[[#This Row],[Order_Date]], "MMM")</f>
        <v>May</v>
      </c>
      <c r="N3737" s="1">
        <f>YEAR(Table1[[#This Row],[Order_Date]])</f>
        <v>2024</v>
      </c>
      <c r="O3737" s="7">
        <f>Table1[[#This Row],[Profit]]/Table1[[#This Row],[Total_Sales]]</f>
        <v>0.4121205221615058</v>
      </c>
    </row>
    <row r="3738" spans="1:15" x14ac:dyDescent="0.25">
      <c r="A3738" s="1">
        <v>3737</v>
      </c>
      <c r="B3738" s="2">
        <v>45647</v>
      </c>
      <c r="C3738" s="1" t="s">
        <v>19</v>
      </c>
      <c r="D3738" s="1" t="s">
        <v>22</v>
      </c>
      <c r="E3738" s="1" t="s">
        <v>23</v>
      </c>
      <c r="F3738" s="1" t="s">
        <v>18</v>
      </c>
      <c r="G3738" s="1">
        <v>8</v>
      </c>
      <c r="H3738" s="1">
        <v>91</v>
      </c>
      <c r="I3738" s="1">
        <v>15</v>
      </c>
      <c r="J3738" s="4">
        <v>618.79999999999995</v>
      </c>
      <c r="K3738" s="4">
        <v>316.89999999999998</v>
      </c>
      <c r="L3738" s="4">
        <v>301.89999999999998</v>
      </c>
      <c r="M3738" s="1" t="str">
        <f>TEXT(Table1[[#This Row],[Order_Date]], "MMM")</f>
        <v>Dec</v>
      </c>
      <c r="N3738" s="1">
        <f>YEAR(Table1[[#This Row],[Order_Date]])</f>
        <v>2024</v>
      </c>
      <c r="O3738" s="7">
        <f>Table1[[#This Row],[Profit]]/Table1[[#This Row],[Total_Sales]]</f>
        <v>0.48787976729153198</v>
      </c>
    </row>
    <row r="3739" spans="1:15" x14ac:dyDescent="0.25">
      <c r="A3739" s="1">
        <v>3738</v>
      </c>
      <c r="B3739" s="2">
        <v>45373</v>
      </c>
      <c r="C3739" s="1" t="s">
        <v>12</v>
      </c>
      <c r="D3739" s="1" t="s">
        <v>20</v>
      </c>
      <c r="E3739" s="1" t="s">
        <v>21</v>
      </c>
      <c r="F3739" s="1" t="s">
        <v>35</v>
      </c>
      <c r="G3739" s="1">
        <v>4</v>
      </c>
      <c r="H3739" s="1">
        <v>642</v>
      </c>
      <c r="I3739" s="1">
        <v>15</v>
      </c>
      <c r="J3739" s="4">
        <v>2182.8000000000002</v>
      </c>
      <c r="K3739" s="4">
        <v>1641.69</v>
      </c>
      <c r="L3739" s="4">
        <v>541.11</v>
      </c>
      <c r="M3739" s="1" t="str">
        <f>TEXT(Table1[[#This Row],[Order_Date]], "MMM")</f>
        <v>Mar</v>
      </c>
      <c r="N3739" s="1">
        <f>YEAR(Table1[[#This Row],[Order_Date]])</f>
        <v>2024</v>
      </c>
      <c r="O3739" s="7">
        <f>Table1[[#This Row],[Profit]]/Table1[[#This Row],[Total_Sales]]</f>
        <v>0.24789719626168222</v>
      </c>
    </row>
    <row r="3740" spans="1:15" x14ac:dyDescent="0.25">
      <c r="A3740" s="1">
        <v>3739</v>
      </c>
      <c r="B3740" s="2">
        <v>45478</v>
      </c>
      <c r="C3740" s="1" t="s">
        <v>19</v>
      </c>
      <c r="D3740" s="1" t="s">
        <v>26</v>
      </c>
      <c r="E3740" s="1" t="s">
        <v>46</v>
      </c>
      <c r="F3740" s="1" t="s">
        <v>15</v>
      </c>
      <c r="G3740" s="1">
        <v>3</v>
      </c>
      <c r="H3740" s="1">
        <v>71</v>
      </c>
      <c r="I3740" s="1">
        <v>15</v>
      </c>
      <c r="J3740" s="4">
        <v>181.05</v>
      </c>
      <c r="K3740" s="4">
        <v>137.53</v>
      </c>
      <c r="L3740" s="4">
        <v>43.52</v>
      </c>
      <c r="M3740" s="1" t="str">
        <f>TEXT(Table1[[#This Row],[Order_Date]], "MMM")</f>
        <v>Jul</v>
      </c>
      <c r="N3740" s="1">
        <f>YEAR(Table1[[#This Row],[Order_Date]])</f>
        <v>2024</v>
      </c>
      <c r="O3740" s="7">
        <f>Table1[[#This Row],[Profit]]/Table1[[#This Row],[Total_Sales]]</f>
        <v>0.24037558685446009</v>
      </c>
    </row>
    <row r="3741" spans="1:15" x14ac:dyDescent="0.25">
      <c r="A3741" s="1">
        <v>3740</v>
      </c>
      <c r="B3741" s="2">
        <v>45075</v>
      </c>
      <c r="C3741" s="1" t="s">
        <v>16</v>
      </c>
      <c r="D3741" s="1" t="s">
        <v>32</v>
      </c>
      <c r="E3741" s="1" t="s">
        <v>41</v>
      </c>
      <c r="F3741" s="1" t="s">
        <v>15</v>
      </c>
      <c r="G3741" s="1">
        <v>1</v>
      </c>
      <c r="H3741" s="1">
        <v>778</v>
      </c>
      <c r="I3741" s="1">
        <v>10</v>
      </c>
      <c r="J3741" s="4">
        <v>700.2</v>
      </c>
      <c r="K3741" s="4">
        <v>465.17</v>
      </c>
      <c r="L3741" s="4">
        <v>235.03</v>
      </c>
      <c r="M3741" s="1" t="str">
        <f>TEXT(Table1[[#This Row],[Order_Date]], "MMM")</f>
        <v>May</v>
      </c>
      <c r="N3741" s="1">
        <f>YEAR(Table1[[#This Row],[Order_Date]])</f>
        <v>2023</v>
      </c>
      <c r="O3741" s="7">
        <f>Table1[[#This Row],[Profit]]/Table1[[#This Row],[Total_Sales]]</f>
        <v>0.33566123964581546</v>
      </c>
    </row>
    <row r="3742" spans="1:15" x14ac:dyDescent="0.25">
      <c r="A3742" s="1">
        <v>3741</v>
      </c>
      <c r="B3742" s="2">
        <v>45541</v>
      </c>
      <c r="C3742" s="1" t="s">
        <v>19</v>
      </c>
      <c r="D3742" s="1" t="s">
        <v>20</v>
      </c>
      <c r="E3742" s="1" t="s">
        <v>30</v>
      </c>
      <c r="F3742" s="1" t="s">
        <v>35</v>
      </c>
      <c r="G3742" s="1">
        <v>5</v>
      </c>
      <c r="H3742" s="1">
        <v>972</v>
      </c>
      <c r="I3742" s="1">
        <v>20</v>
      </c>
      <c r="J3742" s="4">
        <v>3888</v>
      </c>
      <c r="K3742" s="4">
        <v>2392.7600000000002</v>
      </c>
      <c r="L3742" s="4">
        <v>1495.24</v>
      </c>
      <c r="M3742" s="1" t="str">
        <f>TEXT(Table1[[#This Row],[Order_Date]], "MMM")</f>
        <v>Sep</v>
      </c>
      <c r="N3742" s="1">
        <f>YEAR(Table1[[#This Row],[Order_Date]])</f>
        <v>2024</v>
      </c>
      <c r="O3742" s="7">
        <f>Table1[[#This Row],[Profit]]/Table1[[#This Row],[Total_Sales]]</f>
        <v>0.38457818930041154</v>
      </c>
    </row>
    <row r="3743" spans="1:15" x14ac:dyDescent="0.25">
      <c r="A3743" s="1">
        <v>3742</v>
      </c>
      <c r="B3743" s="2">
        <v>45464</v>
      </c>
      <c r="C3743" s="1" t="s">
        <v>19</v>
      </c>
      <c r="D3743" s="1" t="s">
        <v>13</v>
      </c>
      <c r="E3743" s="1" t="s">
        <v>14</v>
      </c>
      <c r="F3743" s="1" t="s">
        <v>40</v>
      </c>
      <c r="G3743" s="1">
        <v>1</v>
      </c>
      <c r="H3743" s="1">
        <v>423</v>
      </c>
      <c r="I3743" s="1">
        <v>5</v>
      </c>
      <c r="J3743" s="4">
        <v>401.85</v>
      </c>
      <c r="K3743" s="4">
        <v>285.14</v>
      </c>
      <c r="L3743" s="4">
        <v>116.71</v>
      </c>
      <c r="M3743" s="1" t="str">
        <f>TEXT(Table1[[#This Row],[Order_Date]], "MMM")</f>
        <v>Jun</v>
      </c>
      <c r="N3743" s="1">
        <f>YEAR(Table1[[#This Row],[Order_Date]])</f>
        <v>2024</v>
      </c>
      <c r="O3743" s="7">
        <f>Table1[[#This Row],[Profit]]/Table1[[#This Row],[Total_Sales]]</f>
        <v>0.29043175314171954</v>
      </c>
    </row>
    <row r="3744" spans="1:15" x14ac:dyDescent="0.25">
      <c r="A3744" s="1">
        <v>3743</v>
      </c>
      <c r="B3744" s="2">
        <v>45409</v>
      </c>
      <c r="C3744" s="1" t="s">
        <v>19</v>
      </c>
      <c r="D3744" s="1" t="s">
        <v>26</v>
      </c>
      <c r="E3744" s="1" t="s">
        <v>46</v>
      </c>
      <c r="F3744" s="1" t="s">
        <v>24</v>
      </c>
      <c r="G3744" s="1">
        <v>2</v>
      </c>
      <c r="H3744" s="1">
        <v>46</v>
      </c>
      <c r="I3744" s="1">
        <v>0</v>
      </c>
      <c r="J3744" s="4">
        <v>92</v>
      </c>
      <c r="K3744" s="4">
        <v>70.67</v>
      </c>
      <c r="L3744" s="4">
        <v>21.33</v>
      </c>
      <c r="M3744" s="1" t="str">
        <f>TEXT(Table1[[#This Row],[Order_Date]], "MMM")</f>
        <v>Apr</v>
      </c>
      <c r="N3744" s="1">
        <f>YEAR(Table1[[#This Row],[Order_Date]])</f>
        <v>2024</v>
      </c>
      <c r="O3744" s="7">
        <f>Table1[[#This Row],[Profit]]/Table1[[#This Row],[Total_Sales]]</f>
        <v>0.2318478260869565</v>
      </c>
    </row>
    <row r="3745" spans="1:15" x14ac:dyDescent="0.25">
      <c r="A3745" s="1">
        <v>3744</v>
      </c>
      <c r="B3745" s="2">
        <v>44967</v>
      </c>
      <c r="C3745" s="1" t="s">
        <v>25</v>
      </c>
      <c r="D3745" s="1" t="s">
        <v>26</v>
      </c>
      <c r="E3745" s="1" t="s">
        <v>42</v>
      </c>
      <c r="F3745" s="1" t="s">
        <v>15</v>
      </c>
      <c r="G3745" s="1">
        <v>7</v>
      </c>
      <c r="H3745" s="1">
        <v>15</v>
      </c>
      <c r="I3745" s="1">
        <v>5</v>
      </c>
      <c r="J3745" s="4">
        <v>99.75</v>
      </c>
      <c r="K3745" s="4">
        <v>68.650000000000006</v>
      </c>
      <c r="L3745" s="4">
        <v>31.1</v>
      </c>
      <c r="M3745" s="1" t="str">
        <f>TEXT(Table1[[#This Row],[Order_Date]], "MMM")</f>
        <v>Feb</v>
      </c>
      <c r="N3745" s="1">
        <f>YEAR(Table1[[#This Row],[Order_Date]])</f>
        <v>2023</v>
      </c>
      <c r="O3745" s="7">
        <f>Table1[[#This Row],[Profit]]/Table1[[#This Row],[Total_Sales]]</f>
        <v>0.31177944862155388</v>
      </c>
    </row>
    <row r="3746" spans="1:15" x14ac:dyDescent="0.25">
      <c r="A3746" s="1">
        <v>3745</v>
      </c>
      <c r="B3746" s="2">
        <v>45007</v>
      </c>
      <c r="C3746" s="1" t="s">
        <v>25</v>
      </c>
      <c r="D3746" s="1" t="s">
        <v>26</v>
      </c>
      <c r="E3746" s="1" t="s">
        <v>27</v>
      </c>
      <c r="F3746" s="1" t="s">
        <v>15</v>
      </c>
      <c r="G3746" s="1">
        <v>10</v>
      </c>
      <c r="H3746" s="1">
        <v>626</v>
      </c>
      <c r="I3746" s="1">
        <v>15</v>
      </c>
      <c r="J3746" s="4">
        <v>5321</v>
      </c>
      <c r="K3746" s="4">
        <v>2770.31</v>
      </c>
      <c r="L3746" s="4">
        <v>2550.69</v>
      </c>
      <c r="M3746" s="1" t="str">
        <f>TEXT(Table1[[#This Row],[Order_Date]], "MMM")</f>
        <v>Mar</v>
      </c>
      <c r="N3746" s="1">
        <f>YEAR(Table1[[#This Row],[Order_Date]])</f>
        <v>2023</v>
      </c>
      <c r="O3746" s="7">
        <f>Table1[[#This Row],[Profit]]/Table1[[#This Row],[Total_Sales]]</f>
        <v>0.47936290171020485</v>
      </c>
    </row>
    <row r="3747" spans="1:15" x14ac:dyDescent="0.25">
      <c r="A3747" s="1">
        <v>3746</v>
      </c>
      <c r="B3747" s="2">
        <v>45223</v>
      </c>
      <c r="C3747" s="1" t="s">
        <v>12</v>
      </c>
      <c r="D3747" s="1" t="s">
        <v>32</v>
      </c>
      <c r="E3747" s="1" t="s">
        <v>45</v>
      </c>
      <c r="F3747" s="1" t="s">
        <v>24</v>
      </c>
      <c r="G3747" s="1">
        <v>9</v>
      </c>
      <c r="H3747" s="1">
        <v>115</v>
      </c>
      <c r="I3747" s="1">
        <v>5</v>
      </c>
      <c r="J3747" s="4">
        <v>983.25</v>
      </c>
      <c r="K3747" s="4">
        <v>758.81</v>
      </c>
      <c r="L3747" s="4">
        <v>224.44</v>
      </c>
      <c r="M3747" s="1" t="str">
        <f>TEXT(Table1[[#This Row],[Order_Date]], "MMM")</f>
        <v>Oct</v>
      </c>
      <c r="N3747" s="1">
        <f>YEAR(Table1[[#This Row],[Order_Date]])</f>
        <v>2023</v>
      </c>
      <c r="O3747" s="7">
        <f>Table1[[#This Row],[Profit]]/Table1[[#This Row],[Total_Sales]]</f>
        <v>0.22826341215357235</v>
      </c>
    </row>
    <row r="3748" spans="1:15" x14ac:dyDescent="0.25">
      <c r="A3748" s="1">
        <v>3747</v>
      </c>
      <c r="B3748" s="2">
        <v>45237</v>
      </c>
      <c r="C3748" s="1" t="s">
        <v>16</v>
      </c>
      <c r="D3748" s="1" t="s">
        <v>13</v>
      </c>
      <c r="E3748" s="1" t="s">
        <v>17</v>
      </c>
      <c r="F3748" s="1" t="s">
        <v>24</v>
      </c>
      <c r="G3748" s="1">
        <v>5</v>
      </c>
      <c r="H3748" s="1">
        <v>704</v>
      </c>
      <c r="I3748" s="1">
        <v>15</v>
      </c>
      <c r="J3748" s="4">
        <v>2992</v>
      </c>
      <c r="K3748" s="4">
        <v>1761.58</v>
      </c>
      <c r="L3748" s="4">
        <v>1230.42</v>
      </c>
      <c r="M3748" s="1" t="str">
        <f>TEXT(Table1[[#This Row],[Order_Date]], "MMM")</f>
        <v>Nov</v>
      </c>
      <c r="N3748" s="1">
        <f>YEAR(Table1[[#This Row],[Order_Date]])</f>
        <v>2023</v>
      </c>
      <c r="O3748" s="7">
        <f>Table1[[#This Row],[Profit]]/Table1[[#This Row],[Total_Sales]]</f>
        <v>0.4112366310160428</v>
      </c>
    </row>
    <row r="3749" spans="1:15" x14ac:dyDescent="0.25">
      <c r="A3749" s="1">
        <v>3748</v>
      </c>
      <c r="B3749" s="2">
        <v>45470</v>
      </c>
      <c r="C3749" s="1" t="s">
        <v>16</v>
      </c>
      <c r="D3749" s="1" t="s">
        <v>20</v>
      </c>
      <c r="E3749" s="1" t="s">
        <v>21</v>
      </c>
      <c r="F3749" s="1" t="s">
        <v>15</v>
      </c>
      <c r="G3749" s="1">
        <v>4</v>
      </c>
      <c r="H3749" s="1">
        <v>630</v>
      </c>
      <c r="I3749" s="1">
        <v>10</v>
      </c>
      <c r="J3749" s="4">
        <v>2268</v>
      </c>
      <c r="K3749" s="4">
        <v>1573.13</v>
      </c>
      <c r="L3749" s="4">
        <v>694.87</v>
      </c>
      <c r="M3749" s="1" t="str">
        <f>TEXT(Table1[[#This Row],[Order_Date]], "MMM")</f>
        <v>Jun</v>
      </c>
      <c r="N3749" s="1">
        <f>YEAR(Table1[[#This Row],[Order_Date]])</f>
        <v>2024</v>
      </c>
      <c r="O3749" s="7">
        <f>Table1[[#This Row],[Profit]]/Table1[[#This Row],[Total_Sales]]</f>
        <v>0.30638007054673722</v>
      </c>
    </row>
    <row r="3750" spans="1:15" x14ac:dyDescent="0.25">
      <c r="A3750" s="1">
        <v>3749</v>
      </c>
      <c r="B3750" s="2">
        <v>45531</v>
      </c>
      <c r="C3750" s="1" t="s">
        <v>25</v>
      </c>
      <c r="D3750" s="1" t="s">
        <v>26</v>
      </c>
      <c r="E3750" s="1" t="s">
        <v>37</v>
      </c>
      <c r="F3750" s="1" t="s">
        <v>24</v>
      </c>
      <c r="G3750" s="1">
        <v>8</v>
      </c>
      <c r="H3750" s="1">
        <v>514</v>
      </c>
      <c r="I3750" s="1">
        <v>10</v>
      </c>
      <c r="J3750" s="4">
        <v>3700.8</v>
      </c>
      <c r="K3750" s="4">
        <v>2420.56</v>
      </c>
      <c r="L3750" s="4">
        <v>1280.24</v>
      </c>
      <c r="M3750" s="1" t="str">
        <f>TEXT(Table1[[#This Row],[Order_Date]], "MMM")</f>
        <v>Aug</v>
      </c>
      <c r="N3750" s="1">
        <f>YEAR(Table1[[#This Row],[Order_Date]])</f>
        <v>2024</v>
      </c>
      <c r="O3750" s="7">
        <f>Table1[[#This Row],[Profit]]/Table1[[#This Row],[Total_Sales]]</f>
        <v>0.34593601383484651</v>
      </c>
    </row>
    <row r="3751" spans="1:15" x14ac:dyDescent="0.25">
      <c r="A3751" s="1">
        <v>3750</v>
      </c>
      <c r="B3751" s="2">
        <v>45510</v>
      </c>
      <c r="C3751" s="1" t="s">
        <v>16</v>
      </c>
      <c r="D3751" s="1" t="s">
        <v>20</v>
      </c>
      <c r="E3751" s="1" t="s">
        <v>30</v>
      </c>
      <c r="F3751" s="1" t="s">
        <v>15</v>
      </c>
      <c r="G3751" s="1">
        <v>5</v>
      </c>
      <c r="H3751" s="1">
        <v>169</v>
      </c>
      <c r="I3751" s="1">
        <v>20</v>
      </c>
      <c r="J3751" s="4">
        <v>676</v>
      </c>
      <c r="K3751" s="4">
        <v>410.27</v>
      </c>
      <c r="L3751" s="4">
        <v>265.73</v>
      </c>
      <c r="M3751" s="1" t="str">
        <f>TEXT(Table1[[#This Row],[Order_Date]], "MMM")</f>
        <v>Aug</v>
      </c>
      <c r="N3751" s="1">
        <f>YEAR(Table1[[#This Row],[Order_Date]])</f>
        <v>2024</v>
      </c>
      <c r="O3751" s="7">
        <f>Table1[[#This Row],[Profit]]/Table1[[#This Row],[Total_Sales]]</f>
        <v>0.39309171597633141</v>
      </c>
    </row>
    <row r="3752" spans="1:15" x14ac:dyDescent="0.25">
      <c r="A3752" s="1">
        <v>3751</v>
      </c>
      <c r="B3752" s="2">
        <v>45259</v>
      </c>
      <c r="C3752" s="1" t="s">
        <v>16</v>
      </c>
      <c r="D3752" s="1" t="s">
        <v>20</v>
      </c>
      <c r="E3752" s="1" t="s">
        <v>28</v>
      </c>
      <c r="F3752" s="1" t="s">
        <v>18</v>
      </c>
      <c r="G3752" s="1">
        <v>5</v>
      </c>
      <c r="H3752" s="1">
        <v>753</v>
      </c>
      <c r="I3752" s="1">
        <v>20</v>
      </c>
      <c r="J3752" s="4">
        <v>3012</v>
      </c>
      <c r="K3752" s="4">
        <v>2024.58</v>
      </c>
      <c r="L3752" s="4">
        <v>987.42</v>
      </c>
      <c r="M3752" s="1" t="str">
        <f>TEXT(Table1[[#This Row],[Order_Date]], "MMM")</f>
        <v>Nov</v>
      </c>
      <c r="N3752" s="1">
        <f>YEAR(Table1[[#This Row],[Order_Date]])</f>
        <v>2023</v>
      </c>
      <c r="O3752" s="7">
        <f>Table1[[#This Row],[Profit]]/Table1[[#This Row],[Total_Sales]]</f>
        <v>0.32782868525896414</v>
      </c>
    </row>
    <row r="3753" spans="1:15" x14ac:dyDescent="0.25">
      <c r="A3753" s="1">
        <v>3752</v>
      </c>
      <c r="B3753" s="2">
        <v>45262</v>
      </c>
      <c r="C3753" s="1" t="s">
        <v>16</v>
      </c>
      <c r="D3753" s="1" t="s">
        <v>26</v>
      </c>
      <c r="E3753" s="1" t="s">
        <v>27</v>
      </c>
      <c r="F3753" s="1" t="s">
        <v>24</v>
      </c>
      <c r="G3753" s="1">
        <v>8</v>
      </c>
      <c r="H3753" s="1">
        <v>399</v>
      </c>
      <c r="I3753" s="1">
        <v>20</v>
      </c>
      <c r="J3753" s="4">
        <v>2553.6</v>
      </c>
      <c r="K3753" s="4">
        <v>1512.55</v>
      </c>
      <c r="L3753" s="4">
        <v>1041.05</v>
      </c>
      <c r="M3753" s="1" t="str">
        <f>TEXT(Table1[[#This Row],[Order_Date]], "MMM")</f>
        <v>Dec</v>
      </c>
      <c r="N3753" s="1">
        <f>YEAR(Table1[[#This Row],[Order_Date]])</f>
        <v>2023</v>
      </c>
      <c r="O3753" s="7">
        <f>Table1[[#This Row],[Profit]]/Table1[[#This Row],[Total_Sales]]</f>
        <v>0.4076793546365915</v>
      </c>
    </row>
    <row r="3754" spans="1:15" x14ac:dyDescent="0.25">
      <c r="A3754" s="1">
        <v>3753</v>
      </c>
      <c r="B3754" s="2">
        <v>45220</v>
      </c>
      <c r="C3754" s="1" t="s">
        <v>25</v>
      </c>
      <c r="D3754" s="1" t="s">
        <v>13</v>
      </c>
      <c r="E3754" s="1" t="s">
        <v>14</v>
      </c>
      <c r="F3754" s="1" t="s">
        <v>24</v>
      </c>
      <c r="G3754" s="1">
        <v>4</v>
      </c>
      <c r="H3754" s="1">
        <v>62</v>
      </c>
      <c r="I3754" s="1">
        <v>10</v>
      </c>
      <c r="J3754" s="4">
        <v>223.2</v>
      </c>
      <c r="K3754" s="4">
        <v>119.89</v>
      </c>
      <c r="L3754" s="4">
        <v>103.31</v>
      </c>
      <c r="M3754" s="1" t="str">
        <f>TEXT(Table1[[#This Row],[Order_Date]], "MMM")</f>
        <v>Oct</v>
      </c>
      <c r="N3754" s="1">
        <f>YEAR(Table1[[#This Row],[Order_Date]])</f>
        <v>2023</v>
      </c>
      <c r="O3754" s="7">
        <f>Table1[[#This Row],[Profit]]/Table1[[#This Row],[Total_Sales]]</f>
        <v>0.46285842293906815</v>
      </c>
    </row>
    <row r="3755" spans="1:15" x14ac:dyDescent="0.25">
      <c r="A3755" s="1">
        <v>3754</v>
      </c>
      <c r="B3755" s="2">
        <v>45129</v>
      </c>
      <c r="C3755" s="1" t="s">
        <v>19</v>
      </c>
      <c r="D3755" s="1" t="s">
        <v>32</v>
      </c>
      <c r="E3755" s="1" t="s">
        <v>45</v>
      </c>
      <c r="F3755" s="1" t="s">
        <v>31</v>
      </c>
      <c r="G3755" s="1">
        <v>10</v>
      </c>
      <c r="H3755" s="1">
        <v>214</v>
      </c>
      <c r="I3755" s="1">
        <v>20</v>
      </c>
      <c r="J3755" s="4">
        <v>1712</v>
      </c>
      <c r="K3755" s="4">
        <v>967.17</v>
      </c>
      <c r="L3755" s="4">
        <v>744.83</v>
      </c>
      <c r="M3755" s="1" t="str">
        <f>TEXT(Table1[[#This Row],[Order_Date]], "MMM")</f>
        <v>Jul</v>
      </c>
      <c r="N3755" s="1">
        <f>YEAR(Table1[[#This Row],[Order_Date]])</f>
        <v>2023</v>
      </c>
      <c r="O3755" s="7">
        <f>Table1[[#This Row],[Profit]]/Table1[[#This Row],[Total_Sales]]</f>
        <v>0.43506425233644863</v>
      </c>
    </row>
    <row r="3756" spans="1:15" x14ac:dyDescent="0.25">
      <c r="A3756" s="1">
        <v>3755</v>
      </c>
      <c r="B3756" s="2">
        <v>45653</v>
      </c>
      <c r="C3756" s="1" t="s">
        <v>12</v>
      </c>
      <c r="D3756" s="1" t="s">
        <v>32</v>
      </c>
      <c r="E3756" s="1" t="s">
        <v>45</v>
      </c>
      <c r="F3756" s="1" t="s">
        <v>40</v>
      </c>
      <c r="G3756" s="1">
        <v>4</v>
      </c>
      <c r="H3756" s="1">
        <v>764</v>
      </c>
      <c r="I3756" s="1">
        <v>10</v>
      </c>
      <c r="J3756" s="4">
        <v>2750.4</v>
      </c>
      <c r="K3756" s="4">
        <v>1393.19</v>
      </c>
      <c r="L3756" s="4">
        <v>1357.21</v>
      </c>
      <c r="M3756" s="1" t="str">
        <f>TEXT(Table1[[#This Row],[Order_Date]], "MMM")</f>
        <v>Dec</v>
      </c>
      <c r="N3756" s="1">
        <f>YEAR(Table1[[#This Row],[Order_Date]])</f>
        <v>2024</v>
      </c>
      <c r="O3756" s="7">
        <f>Table1[[#This Row],[Profit]]/Table1[[#This Row],[Total_Sales]]</f>
        <v>0.49345913321698659</v>
      </c>
    </row>
    <row r="3757" spans="1:15" x14ac:dyDescent="0.25">
      <c r="A3757" s="1">
        <v>3756</v>
      </c>
      <c r="B3757" s="2">
        <v>45655</v>
      </c>
      <c r="C3757" s="1" t="s">
        <v>25</v>
      </c>
      <c r="D3757" s="1" t="s">
        <v>22</v>
      </c>
      <c r="E3757" s="1" t="s">
        <v>23</v>
      </c>
      <c r="F3757" s="1" t="s">
        <v>24</v>
      </c>
      <c r="G3757" s="1">
        <v>2</v>
      </c>
      <c r="H3757" s="1">
        <v>53</v>
      </c>
      <c r="I3757" s="1">
        <v>10</v>
      </c>
      <c r="J3757" s="4">
        <v>95.4</v>
      </c>
      <c r="K3757" s="4">
        <v>53.87</v>
      </c>
      <c r="L3757" s="4">
        <v>41.53</v>
      </c>
      <c r="M3757" s="1" t="str">
        <f>TEXT(Table1[[#This Row],[Order_Date]], "MMM")</f>
        <v>Dec</v>
      </c>
      <c r="N3757" s="1">
        <f>YEAR(Table1[[#This Row],[Order_Date]])</f>
        <v>2024</v>
      </c>
      <c r="O3757" s="7">
        <f>Table1[[#This Row],[Profit]]/Table1[[#This Row],[Total_Sales]]</f>
        <v>0.43532494758909851</v>
      </c>
    </row>
    <row r="3758" spans="1:15" x14ac:dyDescent="0.25">
      <c r="A3758" s="1">
        <v>3757</v>
      </c>
      <c r="B3758" s="2">
        <v>45126</v>
      </c>
      <c r="C3758" s="1" t="s">
        <v>25</v>
      </c>
      <c r="D3758" s="1" t="s">
        <v>20</v>
      </c>
      <c r="E3758" s="1" t="s">
        <v>28</v>
      </c>
      <c r="F3758" s="1" t="s">
        <v>15</v>
      </c>
      <c r="G3758" s="1">
        <v>3</v>
      </c>
      <c r="H3758" s="1">
        <v>470</v>
      </c>
      <c r="I3758" s="1">
        <v>15</v>
      </c>
      <c r="J3758" s="4">
        <v>1198.5</v>
      </c>
      <c r="K3758" s="4">
        <v>688.73</v>
      </c>
      <c r="L3758" s="4">
        <v>509.77</v>
      </c>
      <c r="M3758" s="1" t="str">
        <f>TEXT(Table1[[#This Row],[Order_Date]], "MMM")</f>
        <v>Jul</v>
      </c>
      <c r="N3758" s="1">
        <f>YEAR(Table1[[#This Row],[Order_Date]])</f>
        <v>2023</v>
      </c>
      <c r="O3758" s="7">
        <f>Table1[[#This Row],[Profit]]/Table1[[#This Row],[Total_Sales]]</f>
        <v>0.42534000834376301</v>
      </c>
    </row>
    <row r="3759" spans="1:15" x14ac:dyDescent="0.25">
      <c r="A3759" s="1">
        <v>3758</v>
      </c>
      <c r="B3759" s="2">
        <v>45612</v>
      </c>
      <c r="C3759" s="1" t="s">
        <v>25</v>
      </c>
      <c r="D3759" s="1" t="s">
        <v>22</v>
      </c>
      <c r="E3759" s="1" t="s">
        <v>23</v>
      </c>
      <c r="F3759" s="1" t="s">
        <v>40</v>
      </c>
      <c r="G3759" s="1">
        <v>9</v>
      </c>
      <c r="H3759" s="1">
        <v>537</v>
      </c>
      <c r="I3759" s="1">
        <v>15</v>
      </c>
      <c r="J3759" s="4">
        <v>4108.05</v>
      </c>
      <c r="K3759" s="4">
        <v>3253.08</v>
      </c>
      <c r="L3759" s="4">
        <v>854.97</v>
      </c>
      <c r="M3759" s="1" t="str">
        <f>TEXT(Table1[[#This Row],[Order_Date]], "MMM")</f>
        <v>Nov</v>
      </c>
      <c r="N3759" s="1">
        <f>YEAR(Table1[[#This Row],[Order_Date]])</f>
        <v>2024</v>
      </c>
      <c r="O3759" s="7">
        <f>Table1[[#This Row],[Profit]]/Table1[[#This Row],[Total_Sales]]</f>
        <v>0.20812064118012194</v>
      </c>
    </row>
    <row r="3760" spans="1:15" x14ac:dyDescent="0.25">
      <c r="A3760" s="1">
        <v>3759</v>
      </c>
      <c r="B3760" s="2">
        <v>45414</v>
      </c>
      <c r="C3760" s="1" t="s">
        <v>19</v>
      </c>
      <c r="D3760" s="1" t="s">
        <v>13</v>
      </c>
      <c r="E3760" s="1" t="s">
        <v>39</v>
      </c>
      <c r="F3760" s="1" t="s">
        <v>40</v>
      </c>
      <c r="G3760" s="1">
        <v>7</v>
      </c>
      <c r="H3760" s="1">
        <v>557</v>
      </c>
      <c r="I3760" s="1">
        <v>5</v>
      </c>
      <c r="J3760" s="4">
        <v>3704.05</v>
      </c>
      <c r="K3760" s="4">
        <v>2950.31</v>
      </c>
      <c r="L3760" s="4">
        <v>753.74</v>
      </c>
      <c r="M3760" s="1" t="str">
        <f>TEXT(Table1[[#This Row],[Order_Date]], "MMM")</f>
        <v>May</v>
      </c>
      <c r="N3760" s="1">
        <f>YEAR(Table1[[#This Row],[Order_Date]])</f>
        <v>2024</v>
      </c>
      <c r="O3760" s="7">
        <f>Table1[[#This Row],[Profit]]/Table1[[#This Row],[Total_Sales]]</f>
        <v>0.20349077361266721</v>
      </c>
    </row>
    <row r="3761" spans="1:15" x14ac:dyDescent="0.25">
      <c r="A3761" s="1">
        <v>3760</v>
      </c>
      <c r="B3761" s="2">
        <v>44966</v>
      </c>
      <c r="C3761" s="1" t="s">
        <v>25</v>
      </c>
      <c r="D3761" s="1" t="s">
        <v>13</v>
      </c>
      <c r="E3761" s="1" t="s">
        <v>38</v>
      </c>
      <c r="F3761" s="1" t="s">
        <v>18</v>
      </c>
      <c r="G3761" s="1">
        <v>9</v>
      </c>
      <c r="H3761" s="1">
        <v>142</v>
      </c>
      <c r="I3761" s="1">
        <v>0</v>
      </c>
      <c r="J3761" s="4">
        <v>1278</v>
      </c>
      <c r="K3761" s="4">
        <v>714.82</v>
      </c>
      <c r="L3761" s="4">
        <v>563.17999999999995</v>
      </c>
      <c r="M3761" s="1" t="str">
        <f>TEXT(Table1[[#This Row],[Order_Date]], "MMM")</f>
        <v>Feb</v>
      </c>
      <c r="N3761" s="1">
        <f>YEAR(Table1[[#This Row],[Order_Date]])</f>
        <v>2023</v>
      </c>
      <c r="O3761" s="7">
        <f>Table1[[#This Row],[Profit]]/Table1[[#This Row],[Total_Sales]]</f>
        <v>0.44067292644757428</v>
      </c>
    </row>
    <row r="3762" spans="1:15" x14ac:dyDescent="0.25">
      <c r="A3762" s="1">
        <v>3761</v>
      </c>
      <c r="B3762" s="2">
        <v>45006</v>
      </c>
      <c r="C3762" s="1" t="s">
        <v>19</v>
      </c>
      <c r="D3762" s="1" t="s">
        <v>13</v>
      </c>
      <c r="E3762" s="1" t="s">
        <v>39</v>
      </c>
      <c r="F3762" s="1" t="s">
        <v>40</v>
      </c>
      <c r="G3762" s="1">
        <v>3</v>
      </c>
      <c r="H3762" s="1">
        <v>662</v>
      </c>
      <c r="I3762" s="1">
        <v>15</v>
      </c>
      <c r="J3762" s="4">
        <v>1688.1</v>
      </c>
      <c r="K3762" s="4">
        <v>1160.24</v>
      </c>
      <c r="L3762" s="4">
        <v>527.86</v>
      </c>
      <c r="M3762" s="1" t="str">
        <f>TEXT(Table1[[#This Row],[Order_Date]], "MMM")</f>
        <v>Mar</v>
      </c>
      <c r="N3762" s="1">
        <f>YEAR(Table1[[#This Row],[Order_Date]])</f>
        <v>2023</v>
      </c>
      <c r="O3762" s="7">
        <f>Table1[[#This Row],[Profit]]/Table1[[#This Row],[Total_Sales]]</f>
        <v>0.31269474557194482</v>
      </c>
    </row>
    <row r="3763" spans="1:15" x14ac:dyDescent="0.25">
      <c r="A3763" s="1">
        <v>3762</v>
      </c>
      <c r="B3763" s="2">
        <v>45043</v>
      </c>
      <c r="C3763" s="1" t="s">
        <v>12</v>
      </c>
      <c r="D3763" s="1" t="s">
        <v>32</v>
      </c>
      <c r="E3763" s="1" t="s">
        <v>45</v>
      </c>
      <c r="F3763" s="1" t="s">
        <v>35</v>
      </c>
      <c r="G3763" s="1">
        <v>4</v>
      </c>
      <c r="H3763" s="1">
        <v>152</v>
      </c>
      <c r="I3763" s="1">
        <v>0</v>
      </c>
      <c r="J3763" s="4">
        <v>608</v>
      </c>
      <c r="K3763" s="4">
        <v>307.18</v>
      </c>
      <c r="L3763" s="4">
        <v>300.82</v>
      </c>
      <c r="M3763" s="1" t="str">
        <f>TEXT(Table1[[#This Row],[Order_Date]], "MMM")</f>
        <v>Apr</v>
      </c>
      <c r="N3763" s="1">
        <f>YEAR(Table1[[#This Row],[Order_Date]])</f>
        <v>2023</v>
      </c>
      <c r="O3763" s="7">
        <f>Table1[[#This Row],[Profit]]/Table1[[#This Row],[Total_Sales]]</f>
        <v>0.49476973684210523</v>
      </c>
    </row>
    <row r="3764" spans="1:15" x14ac:dyDescent="0.25">
      <c r="A3764" s="1">
        <v>3763</v>
      </c>
      <c r="B3764" s="2">
        <v>45226</v>
      </c>
      <c r="C3764" s="1" t="s">
        <v>19</v>
      </c>
      <c r="D3764" s="1" t="s">
        <v>22</v>
      </c>
      <c r="E3764" s="1" t="s">
        <v>29</v>
      </c>
      <c r="F3764" s="1" t="s">
        <v>15</v>
      </c>
      <c r="G3764" s="1">
        <v>9</v>
      </c>
      <c r="H3764" s="1">
        <v>341</v>
      </c>
      <c r="I3764" s="1">
        <v>10</v>
      </c>
      <c r="J3764" s="4">
        <v>2762.1</v>
      </c>
      <c r="K3764" s="4">
        <v>1516.06</v>
      </c>
      <c r="L3764" s="4">
        <v>1246.04</v>
      </c>
      <c r="M3764" s="1" t="str">
        <f>TEXT(Table1[[#This Row],[Order_Date]], "MMM")</f>
        <v>Oct</v>
      </c>
      <c r="N3764" s="1">
        <f>YEAR(Table1[[#This Row],[Order_Date]])</f>
        <v>2023</v>
      </c>
      <c r="O3764" s="7">
        <f>Table1[[#This Row],[Profit]]/Table1[[#This Row],[Total_Sales]]</f>
        <v>0.45112052423880383</v>
      </c>
    </row>
    <row r="3765" spans="1:15" x14ac:dyDescent="0.25">
      <c r="A3765" s="1">
        <v>3764</v>
      </c>
      <c r="B3765" s="2">
        <v>45621</v>
      </c>
      <c r="C3765" s="1" t="s">
        <v>16</v>
      </c>
      <c r="D3765" s="1" t="s">
        <v>22</v>
      </c>
      <c r="E3765" s="1" t="s">
        <v>23</v>
      </c>
      <c r="F3765" s="1" t="s">
        <v>40</v>
      </c>
      <c r="G3765" s="1">
        <v>2</v>
      </c>
      <c r="H3765" s="1">
        <v>617</v>
      </c>
      <c r="I3765" s="1">
        <v>15</v>
      </c>
      <c r="J3765" s="4">
        <v>1048.9000000000001</v>
      </c>
      <c r="K3765" s="4">
        <v>582.62</v>
      </c>
      <c r="L3765" s="4">
        <v>466.28</v>
      </c>
      <c r="M3765" s="1" t="str">
        <f>TEXT(Table1[[#This Row],[Order_Date]], "MMM")</f>
        <v>Nov</v>
      </c>
      <c r="N3765" s="1">
        <f>YEAR(Table1[[#This Row],[Order_Date]])</f>
        <v>2024</v>
      </c>
      <c r="O3765" s="7">
        <f>Table1[[#This Row],[Profit]]/Table1[[#This Row],[Total_Sales]]</f>
        <v>0.44454190103918384</v>
      </c>
    </row>
    <row r="3766" spans="1:15" x14ac:dyDescent="0.25">
      <c r="A3766" s="1">
        <v>3765</v>
      </c>
      <c r="B3766" s="2">
        <v>45287</v>
      </c>
      <c r="C3766" s="1" t="s">
        <v>12</v>
      </c>
      <c r="D3766" s="1" t="s">
        <v>13</v>
      </c>
      <c r="E3766" s="1" t="s">
        <v>14</v>
      </c>
      <c r="F3766" s="1" t="s">
        <v>40</v>
      </c>
      <c r="G3766" s="1">
        <v>5</v>
      </c>
      <c r="H3766" s="1">
        <v>709</v>
      </c>
      <c r="I3766" s="1">
        <v>15</v>
      </c>
      <c r="J3766" s="4">
        <v>3013.25</v>
      </c>
      <c r="K3766" s="4">
        <v>2113.7600000000002</v>
      </c>
      <c r="L3766" s="4">
        <v>899.49</v>
      </c>
      <c r="M3766" s="1" t="str">
        <f>TEXT(Table1[[#This Row],[Order_Date]], "MMM")</f>
        <v>Dec</v>
      </c>
      <c r="N3766" s="1">
        <f>YEAR(Table1[[#This Row],[Order_Date]])</f>
        <v>2023</v>
      </c>
      <c r="O3766" s="7">
        <f>Table1[[#This Row],[Profit]]/Table1[[#This Row],[Total_Sales]]</f>
        <v>0.2985115738820211</v>
      </c>
    </row>
    <row r="3767" spans="1:15" x14ac:dyDescent="0.25">
      <c r="A3767" s="1">
        <v>3766</v>
      </c>
      <c r="B3767" s="2">
        <v>45011</v>
      </c>
      <c r="C3767" s="1" t="s">
        <v>19</v>
      </c>
      <c r="D3767" s="1" t="s">
        <v>32</v>
      </c>
      <c r="E3767" s="1" t="s">
        <v>45</v>
      </c>
      <c r="F3767" s="1" t="s">
        <v>18</v>
      </c>
      <c r="G3767" s="1">
        <v>1</v>
      </c>
      <c r="H3767" s="1">
        <v>712</v>
      </c>
      <c r="I3767" s="1">
        <v>5</v>
      </c>
      <c r="J3767" s="4">
        <v>676.4</v>
      </c>
      <c r="K3767" s="4">
        <v>376.47</v>
      </c>
      <c r="L3767" s="4">
        <v>299.93</v>
      </c>
      <c r="M3767" s="1" t="str">
        <f>TEXT(Table1[[#This Row],[Order_Date]], "MMM")</f>
        <v>Mar</v>
      </c>
      <c r="N3767" s="1">
        <f>YEAR(Table1[[#This Row],[Order_Date]])</f>
        <v>2023</v>
      </c>
      <c r="O3767" s="7">
        <f>Table1[[#This Row],[Profit]]/Table1[[#This Row],[Total_Sales]]</f>
        <v>0.44342105263157899</v>
      </c>
    </row>
    <row r="3768" spans="1:15" x14ac:dyDescent="0.25">
      <c r="A3768" s="1">
        <v>3767</v>
      </c>
      <c r="B3768" s="2">
        <v>45503</v>
      </c>
      <c r="C3768" s="1" t="s">
        <v>12</v>
      </c>
      <c r="D3768" s="1" t="s">
        <v>22</v>
      </c>
      <c r="E3768" s="1" t="s">
        <v>29</v>
      </c>
      <c r="F3768" s="1" t="s">
        <v>40</v>
      </c>
      <c r="G3768" s="1">
        <v>8</v>
      </c>
      <c r="H3768" s="1">
        <v>696</v>
      </c>
      <c r="I3768" s="1">
        <v>5</v>
      </c>
      <c r="J3768" s="4">
        <v>5289.6</v>
      </c>
      <c r="K3768" s="4">
        <v>4101.22</v>
      </c>
      <c r="L3768" s="4">
        <v>1188.3800000000001</v>
      </c>
      <c r="M3768" s="1" t="str">
        <f>TEXT(Table1[[#This Row],[Order_Date]], "MMM")</f>
        <v>Jul</v>
      </c>
      <c r="N3768" s="1">
        <f>YEAR(Table1[[#This Row],[Order_Date]])</f>
        <v>2024</v>
      </c>
      <c r="O3768" s="7">
        <f>Table1[[#This Row],[Profit]]/Table1[[#This Row],[Total_Sales]]</f>
        <v>0.2246634906231095</v>
      </c>
    </row>
    <row r="3769" spans="1:15" x14ac:dyDescent="0.25">
      <c r="A3769" s="1">
        <v>3768</v>
      </c>
      <c r="B3769" s="2">
        <v>45521</v>
      </c>
      <c r="C3769" s="1" t="s">
        <v>12</v>
      </c>
      <c r="D3769" s="1" t="s">
        <v>20</v>
      </c>
      <c r="E3769" s="1" t="s">
        <v>43</v>
      </c>
      <c r="F3769" s="1" t="s">
        <v>24</v>
      </c>
      <c r="G3769" s="1">
        <v>4</v>
      </c>
      <c r="H3769" s="1">
        <v>609</v>
      </c>
      <c r="I3769" s="1">
        <v>5</v>
      </c>
      <c r="J3769" s="4">
        <v>2314.1999999999998</v>
      </c>
      <c r="K3769" s="4">
        <v>1464.38</v>
      </c>
      <c r="L3769" s="4">
        <v>849.82</v>
      </c>
      <c r="M3769" s="1" t="str">
        <f>TEXT(Table1[[#This Row],[Order_Date]], "MMM")</f>
        <v>Aug</v>
      </c>
      <c r="N3769" s="1">
        <f>YEAR(Table1[[#This Row],[Order_Date]])</f>
        <v>2024</v>
      </c>
      <c r="O3769" s="7">
        <f>Table1[[#This Row],[Profit]]/Table1[[#This Row],[Total_Sales]]</f>
        <v>0.36721977357186075</v>
      </c>
    </row>
    <row r="3770" spans="1:15" x14ac:dyDescent="0.25">
      <c r="A3770" s="1">
        <v>3769</v>
      </c>
      <c r="B3770" s="2">
        <v>45576</v>
      </c>
      <c r="C3770" s="1" t="s">
        <v>12</v>
      </c>
      <c r="D3770" s="1" t="s">
        <v>26</v>
      </c>
      <c r="E3770" s="1" t="s">
        <v>37</v>
      </c>
      <c r="F3770" s="1" t="s">
        <v>40</v>
      </c>
      <c r="G3770" s="1">
        <v>3</v>
      </c>
      <c r="H3770" s="1">
        <v>495</v>
      </c>
      <c r="I3770" s="1">
        <v>20</v>
      </c>
      <c r="J3770" s="4">
        <v>1188</v>
      </c>
      <c r="K3770" s="4">
        <v>839.83</v>
      </c>
      <c r="L3770" s="4">
        <v>348.17</v>
      </c>
      <c r="M3770" s="1" t="str">
        <f>TEXT(Table1[[#This Row],[Order_Date]], "MMM")</f>
        <v>Oct</v>
      </c>
      <c r="N3770" s="1">
        <f>YEAR(Table1[[#This Row],[Order_Date]])</f>
        <v>2024</v>
      </c>
      <c r="O3770" s="7">
        <f>Table1[[#This Row],[Profit]]/Table1[[#This Row],[Total_Sales]]</f>
        <v>0.2930723905723906</v>
      </c>
    </row>
    <row r="3771" spans="1:15" x14ac:dyDescent="0.25">
      <c r="A3771" s="1">
        <v>3770</v>
      </c>
      <c r="B3771" s="2">
        <v>45533</v>
      </c>
      <c r="C3771" s="1" t="s">
        <v>19</v>
      </c>
      <c r="D3771" s="1" t="s">
        <v>13</v>
      </c>
      <c r="E3771" s="1" t="s">
        <v>38</v>
      </c>
      <c r="F3771" s="1" t="s">
        <v>31</v>
      </c>
      <c r="G3771" s="1">
        <v>5</v>
      </c>
      <c r="H3771" s="1">
        <v>311</v>
      </c>
      <c r="I3771" s="1">
        <v>5</v>
      </c>
      <c r="J3771" s="4">
        <v>1477.25</v>
      </c>
      <c r="K3771" s="4">
        <v>1006.44</v>
      </c>
      <c r="L3771" s="4">
        <v>470.81</v>
      </c>
      <c r="M3771" s="1" t="str">
        <f>TEXT(Table1[[#This Row],[Order_Date]], "MMM")</f>
        <v>Aug</v>
      </c>
      <c r="N3771" s="1">
        <f>YEAR(Table1[[#This Row],[Order_Date]])</f>
        <v>2024</v>
      </c>
      <c r="O3771" s="7">
        <f>Table1[[#This Row],[Profit]]/Table1[[#This Row],[Total_Sales]]</f>
        <v>0.31870705703164665</v>
      </c>
    </row>
    <row r="3772" spans="1:15" x14ac:dyDescent="0.25">
      <c r="A3772" s="1">
        <v>3771</v>
      </c>
      <c r="B3772" s="2">
        <v>45105</v>
      </c>
      <c r="C3772" s="1" t="s">
        <v>19</v>
      </c>
      <c r="D3772" s="1" t="s">
        <v>13</v>
      </c>
      <c r="E3772" s="1" t="s">
        <v>17</v>
      </c>
      <c r="F3772" s="1" t="s">
        <v>18</v>
      </c>
      <c r="G3772" s="1">
        <v>2</v>
      </c>
      <c r="H3772" s="1">
        <v>206</v>
      </c>
      <c r="I3772" s="1">
        <v>15</v>
      </c>
      <c r="J3772" s="4">
        <v>350.2</v>
      </c>
      <c r="K3772" s="4">
        <v>236.53</v>
      </c>
      <c r="L3772" s="4">
        <v>113.67</v>
      </c>
      <c r="M3772" s="1" t="str">
        <f>TEXT(Table1[[#This Row],[Order_Date]], "MMM")</f>
        <v>Jun</v>
      </c>
      <c r="N3772" s="1">
        <f>YEAR(Table1[[#This Row],[Order_Date]])</f>
        <v>2023</v>
      </c>
      <c r="O3772" s="7">
        <f>Table1[[#This Row],[Profit]]/Table1[[#This Row],[Total_Sales]]</f>
        <v>0.32458595088520847</v>
      </c>
    </row>
    <row r="3773" spans="1:15" x14ac:dyDescent="0.25">
      <c r="A3773" s="1">
        <v>3772</v>
      </c>
      <c r="B3773" s="2">
        <v>45367</v>
      </c>
      <c r="C3773" s="1" t="s">
        <v>25</v>
      </c>
      <c r="D3773" s="1" t="s">
        <v>26</v>
      </c>
      <c r="E3773" s="1" t="s">
        <v>42</v>
      </c>
      <c r="F3773" s="1" t="s">
        <v>35</v>
      </c>
      <c r="G3773" s="1">
        <v>9</v>
      </c>
      <c r="H3773" s="1">
        <v>71</v>
      </c>
      <c r="I3773" s="1">
        <v>20</v>
      </c>
      <c r="J3773" s="4">
        <v>511.2</v>
      </c>
      <c r="K3773" s="4">
        <v>378.91</v>
      </c>
      <c r="L3773" s="4">
        <v>132.29</v>
      </c>
      <c r="M3773" s="1" t="str">
        <f>TEXT(Table1[[#This Row],[Order_Date]], "MMM")</f>
        <v>Mar</v>
      </c>
      <c r="N3773" s="1">
        <f>YEAR(Table1[[#This Row],[Order_Date]])</f>
        <v>2024</v>
      </c>
      <c r="O3773" s="7">
        <f>Table1[[#This Row],[Profit]]/Table1[[#This Row],[Total_Sales]]</f>
        <v>0.25878325508607197</v>
      </c>
    </row>
    <row r="3774" spans="1:15" x14ac:dyDescent="0.25">
      <c r="A3774" s="1">
        <v>3773</v>
      </c>
      <c r="B3774" s="2">
        <v>45538</v>
      </c>
      <c r="C3774" s="1" t="s">
        <v>19</v>
      </c>
      <c r="D3774" s="1" t="s">
        <v>26</v>
      </c>
      <c r="E3774" s="1" t="s">
        <v>37</v>
      </c>
      <c r="F3774" s="1" t="s">
        <v>40</v>
      </c>
      <c r="G3774" s="1">
        <v>7</v>
      </c>
      <c r="H3774" s="1">
        <v>659</v>
      </c>
      <c r="I3774" s="1">
        <v>15</v>
      </c>
      <c r="J3774" s="4">
        <v>3921.05</v>
      </c>
      <c r="K3774" s="4">
        <v>2259.34</v>
      </c>
      <c r="L3774" s="4">
        <v>1661.71</v>
      </c>
      <c r="M3774" s="1" t="str">
        <f>TEXT(Table1[[#This Row],[Order_Date]], "MMM")</f>
        <v>Sep</v>
      </c>
      <c r="N3774" s="1">
        <f>YEAR(Table1[[#This Row],[Order_Date]])</f>
        <v>2024</v>
      </c>
      <c r="O3774" s="7">
        <f>Table1[[#This Row],[Profit]]/Table1[[#This Row],[Total_Sales]]</f>
        <v>0.42379209650476274</v>
      </c>
    </row>
    <row r="3775" spans="1:15" x14ac:dyDescent="0.25">
      <c r="A3775" s="1">
        <v>3774</v>
      </c>
      <c r="B3775" s="2">
        <v>45348</v>
      </c>
      <c r="C3775" s="1" t="s">
        <v>19</v>
      </c>
      <c r="D3775" s="1" t="s">
        <v>32</v>
      </c>
      <c r="E3775" s="1" t="s">
        <v>41</v>
      </c>
      <c r="F3775" s="1" t="s">
        <v>24</v>
      </c>
      <c r="G3775" s="1">
        <v>5</v>
      </c>
      <c r="H3775" s="1">
        <v>844</v>
      </c>
      <c r="I3775" s="1">
        <v>0</v>
      </c>
      <c r="J3775" s="4">
        <v>4220</v>
      </c>
      <c r="K3775" s="4">
        <v>2367.83</v>
      </c>
      <c r="L3775" s="4">
        <v>1852.17</v>
      </c>
      <c r="M3775" s="1" t="str">
        <f>TEXT(Table1[[#This Row],[Order_Date]], "MMM")</f>
        <v>Feb</v>
      </c>
      <c r="N3775" s="1">
        <f>YEAR(Table1[[#This Row],[Order_Date]])</f>
        <v>2024</v>
      </c>
      <c r="O3775" s="7">
        <f>Table1[[#This Row],[Profit]]/Table1[[#This Row],[Total_Sales]]</f>
        <v>0.43890284360189574</v>
      </c>
    </row>
    <row r="3776" spans="1:15" x14ac:dyDescent="0.25">
      <c r="A3776" s="1">
        <v>3775</v>
      </c>
      <c r="B3776" s="2">
        <v>45570</v>
      </c>
      <c r="C3776" s="1" t="s">
        <v>12</v>
      </c>
      <c r="D3776" s="1" t="s">
        <v>32</v>
      </c>
      <c r="E3776" s="1" t="s">
        <v>34</v>
      </c>
      <c r="F3776" s="1" t="s">
        <v>24</v>
      </c>
      <c r="G3776" s="1">
        <v>3</v>
      </c>
      <c r="H3776" s="1">
        <v>860</v>
      </c>
      <c r="I3776" s="1">
        <v>10</v>
      </c>
      <c r="J3776" s="4">
        <v>2322</v>
      </c>
      <c r="K3776" s="4">
        <v>1588.65</v>
      </c>
      <c r="L3776" s="4">
        <v>733.35</v>
      </c>
      <c r="M3776" s="1" t="str">
        <f>TEXT(Table1[[#This Row],[Order_Date]], "MMM")</f>
        <v>Oct</v>
      </c>
      <c r="N3776" s="1">
        <f>YEAR(Table1[[#This Row],[Order_Date]])</f>
        <v>2024</v>
      </c>
      <c r="O3776" s="7">
        <f>Table1[[#This Row],[Profit]]/Table1[[#This Row],[Total_Sales]]</f>
        <v>0.31582687338501292</v>
      </c>
    </row>
    <row r="3777" spans="1:15" x14ac:dyDescent="0.25">
      <c r="A3777" s="1">
        <v>3776</v>
      </c>
      <c r="B3777" s="2">
        <v>45277</v>
      </c>
      <c r="C3777" s="1" t="s">
        <v>25</v>
      </c>
      <c r="D3777" s="1" t="s">
        <v>22</v>
      </c>
      <c r="E3777" s="1" t="s">
        <v>36</v>
      </c>
      <c r="F3777" s="1" t="s">
        <v>31</v>
      </c>
      <c r="G3777" s="1">
        <v>8</v>
      </c>
      <c r="H3777" s="1">
        <v>440</v>
      </c>
      <c r="I3777" s="1">
        <v>20</v>
      </c>
      <c r="J3777" s="4">
        <v>2816</v>
      </c>
      <c r="K3777" s="4">
        <v>1651.36</v>
      </c>
      <c r="L3777" s="4">
        <v>1164.6400000000001</v>
      </c>
      <c r="M3777" s="1" t="str">
        <f>TEXT(Table1[[#This Row],[Order_Date]], "MMM")</f>
        <v>Dec</v>
      </c>
      <c r="N3777" s="1">
        <f>YEAR(Table1[[#This Row],[Order_Date]])</f>
        <v>2023</v>
      </c>
      <c r="O3777" s="7">
        <f>Table1[[#This Row],[Profit]]/Table1[[#This Row],[Total_Sales]]</f>
        <v>0.41357954545454551</v>
      </c>
    </row>
    <row r="3778" spans="1:15" x14ac:dyDescent="0.25">
      <c r="A3778" s="1">
        <v>3777</v>
      </c>
      <c r="B3778" s="2">
        <v>45247</v>
      </c>
      <c r="C3778" s="1" t="s">
        <v>12</v>
      </c>
      <c r="D3778" s="1" t="s">
        <v>13</v>
      </c>
      <c r="E3778" s="1" t="s">
        <v>38</v>
      </c>
      <c r="F3778" s="1" t="s">
        <v>40</v>
      </c>
      <c r="G3778" s="1">
        <v>4</v>
      </c>
      <c r="H3778" s="1">
        <v>444</v>
      </c>
      <c r="I3778" s="1">
        <v>10</v>
      </c>
      <c r="J3778" s="4">
        <v>1598.4</v>
      </c>
      <c r="K3778" s="4">
        <v>957.53</v>
      </c>
      <c r="L3778" s="4">
        <v>640.87</v>
      </c>
      <c r="M3778" s="1" t="str">
        <f>TEXT(Table1[[#This Row],[Order_Date]], "MMM")</f>
        <v>Nov</v>
      </c>
      <c r="N3778" s="1">
        <f>YEAR(Table1[[#This Row],[Order_Date]])</f>
        <v>2023</v>
      </c>
      <c r="O3778" s="7">
        <f>Table1[[#This Row],[Profit]]/Table1[[#This Row],[Total_Sales]]</f>
        <v>0.40094469469469468</v>
      </c>
    </row>
    <row r="3779" spans="1:15" x14ac:dyDescent="0.25">
      <c r="A3779" s="1">
        <v>3778</v>
      </c>
      <c r="B3779" s="2">
        <v>44953</v>
      </c>
      <c r="C3779" s="1" t="s">
        <v>25</v>
      </c>
      <c r="D3779" s="1" t="s">
        <v>20</v>
      </c>
      <c r="E3779" s="1" t="s">
        <v>43</v>
      </c>
      <c r="F3779" s="1" t="s">
        <v>15</v>
      </c>
      <c r="G3779" s="1">
        <v>4</v>
      </c>
      <c r="H3779" s="1">
        <v>307</v>
      </c>
      <c r="I3779" s="1">
        <v>15</v>
      </c>
      <c r="J3779" s="4">
        <v>1043.8</v>
      </c>
      <c r="K3779" s="4">
        <v>816.14</v>
      </c>
      <c r="L3779" s="4">
        <v>227.66</v>
      </c>
      <c r="M3779" s="1" t="str">
        <f>TEXT(Table1[[#This Row],[Order_Date]], "MMM")</f>
        <v>Jan</v>
      </c>
      <c r="N3779" s="1">
        <f>YEAR(Table1[[#This Row],[Order_Date]])</f>
        <v>2023</v>
      </c>
      <c r="O3779" s="7">
        <f>Table1[[#This Row],[Profit]]/Table1[[#This Row],[Total_Sales]]</f>
        <v>0.21810691703391455</v>
      </c>
    </row>
    <row r="3780" spans="1:15" x14ac:dyDescent="0.25">
      <c r="A3780" s="1">
        <v>3779</v>
      </c>
      <c r="B3780" s="2">
        <v>45489</v>
      </c>
      <c r="C3780" s="1" t="s">
        <v>25</v>
      </c>
      <c r="D3780" s="1" t="s">
        <v>20</v>
      </c>
      <c r="E3780" s="1" t="s">
        <v>43</v>
      </c>
      <c r="F3780" s="1" t="s">
        <v>24</v>
      </c>
      <c r="G3780" s="1">
        <v>6</v>
      </c>
      <c r="H3780" s="1">
        <v>720</v>
      </c>
      <c r="I3780" s="1">
        <v>0</v>
      </c>
      <c r="J3780" s="4">
        <v>4320</v>
      </c>
      <c r="K3780" s="4">
        <v>2494.9</v>
      </c>
      <c r="L3780" s="4">
        <v>1825.1</v>
      </c>
      <c r="M3780" s="1" t="str">
        <f>TEXT(Table1[[#This Row],[Order_Date]], "MMM")</f>
        <v>Jul</v>
      </c>
      <c r="N3780" s="1">
        <f>YEAR(Table1[[#This Row],[Order_Date]])</f>
        <v>2024</v>
      </c>
      <c r="O3780" s="7">
        <f>Table1[[#This Row],[Profit]]/Table1[[#This Row],[Total_Sales]]</f>
        <v>0.42247685185185185</v>
      </c>
    </row>
    <row r="3781" spans="1:15" x14ac:dyDescent="0.25">
      <c r="A3781" s="1">
        <v>3780</v>
      </c>
      <c r="B3781" s="2">
        <v>45528</v>
      </c>
      <c r="C3781" s="1" t="s">
        <v>12</v>
      </c>
      <c r="D3781" s="1" t="s">
        <v>13</v>
      </c>
      <c r="E3781" s="1" t="s">
        <v>14</v>
      </c>
      <c r="F3781" s="1" t="s">
        <v>24</v>
      </c>
      <c r="G3781" s="1">
        <v>6</v>
      </c>
      <c r="H3781" s="1">
        <v>222</v>
      </c>
      <c r="I3781" s="1">
        <v>15</v>
      </c>
      <c r="J3781" s="4">
        <v>1132.2</v>
      </c>
      <c r="K3781" s="4">
        <v>650.51</v>
      </c>
      <c r="L3781" s="4">
        <v>481.69</v>
      </c>
      <c r="M3781" s="1" t="str">
        <f>TEXT(Table1[[#This Row],[Order_Date]], "MMM")</f>
        <v>Aug</v>
      </c>
      <c r="N3781" s="1">
        <f>YEAR(Table1[[#This Row],[Order_Date]])</f>
        <v>2024</v>
      </c>
      <c r="O3781" s="7">
        <f>Table1[[#This Row],[Profit]]/Table1[[#This Row],[Total_Sales]]</f>
        <v>0.42544603426956368</v>
      </c>
    </row>
    <row r="3782" spans="1:15" x14ac:dyDescent="0.25">
      <c r="A3782" s="1">
        <v>3781</v>
      </c>
      <c r="B3782" s="2">
        <v>45019</v>
      </c>
      <c r="C3782" s="1" t="s">
        <v>25</v>
      </c>
      <c r="D3782" s="1" t="s">
        <v>32</v>
      </c>
      <c r="E3782" s="1" t="s">
        <v>34</v>
      </c>
      <c r="F3782" s="1" t="s">
        <v>31</v>
      </c>
      <c r="G3782" s="1">
        <v>1</v>
      </c>
      <c r="H3782" s="1">
        <v>90</v>
      </c>
      <c r="I3782" s="1">
        <v>15</v>
      </c>
      <c r="J3782" s="4">
        <v>76.5</v>
      </c>
      <c r="K3782" s="4">
        <v>51.91</v>
      </c>
      <c r="L3782" s="4">
        <v>24.59</v>
      </c>
      <c r="M3782" s="1" t="str">
        <f>TEXT(Table1[[#This Row],[Order_Date]], "MMM")</f>
        <v>Apr</v>
      </c>
      <c r="N3782" s="1">
        <f>YEAR(Table1[[#This Row],[Order_Date]])</f>
        <v>2023</v>
      </c>
      <c r="O3782" s="7">
        <f>Table1[[#This Row],[Profit]]/Table1[[#This Row],[Total_Sales]]</f>
        <v>0.32143790849673204</v>
      </c>
    </row>
    <row r="3783" spans="1:15" x14ac:dyDescent="0.25">
      <c r="A3783" s="1">
        <v>3782</v>
      </c>
      <c r="B3783" s="2">
        <v>45306</v>
      </c>
      <c r="C3783" s="1" t="s">
        <v>25</v>
      </c>
      <c r="D3783" s="1" t="s">
        <v>20</v>
      </c>
      <c r="E3783" s="1" t="s">
        <v>30</v>
      </c>
      <c r="F3783" s="1" t="s">
        <v>31</v>
      </c>
      <c r="G3783" s="1">
        <v>3</v>
      </c>
      <c r="H3783" s="1">
        <v>346</v>
      </c>
      <c r="I3783" s="1">
        <v>10</v>
      </c>
      <c r="J3783" s="4">
        <v>934.2</v>
      </c>
      <c r="K3783" s="4">
        <v>521.92999999999995</v>
      </c>
      <c r="L3783" s="4">
        <v>412.27</v>
      </c>
      <c r="M3783" s="1" t="str">
        <f>TEXT(Table1[[#This Row],[Order_Date]], "MMM")</f>
        <v>Jan</v>
      </c>
      <c r="N3783" s="1">
        <f>YEAR(Table1[[#This Row],[Order_Date]])</f>
        <v>2024</v>
      </c>
      <c r="O3783" s="7">
        <f>Table1[[#This Row],[Profit]]/Table1[[#This Row],[Total_Sales]]</f>
        <v>0.44130807107685716</v>
      </c>
    </row>
    <row r="3784" spans="1:15" x14ac:dyDescent="0.25">
      <c r="A3784" s="1">
        <v>3783</v>
      </c>
      <c r="B3784" s="2">
        <v>45210</v>
      </c>
      <c r="C3784" s="1" t="s">
        <v>12</v>
      </c>
      <c r="D3784" s="1" t="s">
        <v>32</v>
      </c>
      <c r="E3784" s="1" t="s">
        <v>33</v>
      </c>
      <c r="F3784" s="1" t="s">
        <v>15</v>
      </c>
      <c r="G3784" s="1">
        <v>2</v>
      </c>
      <c r="H3784" s="1">
        <v>147</v>
      </c>
      <c r="I3784" s="1">
        <v>15</v>
      </c>
      <c r="J3784" s="4">
        <v>249.9</v>
      </c>
      <c r="K3784" s="4">
        <v>165.92</v>
      </c>
      <c r="L3784" s="4">
        <v>83.98</v>
      </c>
      <c r="M3784" s="1" t="str">
        <f>TEXT(Table1[[#This Row],[Order_Date]], "MMM")</f>
        <v>Oct</v>
      </c>
      <c r="N3784" s="1">
        <f>YEAR(Table1[[#This Row],[Order_Date]])</f>
        <v>2023</v>
      </c>
      <c r="O3784" s="7">
        <f>Table1[[#This Row],[Profit]]/Table1[[#This Row],[Total_Sales]]</f>
        <v>0.33605442176870748</v>
      </c>
    </row>
    <row r="3785" spans="1:15" x14ac:dyDescent="0.25">
      <c r="A3785" s="1">
        <v>3784</v>
      </c>
      <c r="B3785" s="2">
        <v>45115</v>
      </c>
      <c r="C3785" s="1" t="s">
        <v>16</v>
      </c>
      <c r="D3785" s="1" t="s">
        <v>22</v>
      </c>
      <c r="E3785" s="1" t="s">
        <v>44</v>
      </c>
      <c r="F3785" s="1" t="s">
        <v>31</v>
      </c>
      <c r="G3785" s="1">
        <v>10</v>
      </c>
      <c r="H3785" s="1">
        <v>917</v>
      </c>
      <c r="I3785" s="1">
        <v>15</v>
      </c>
      <c r="J3785" s="4">
        <v>7794.5</v>
      </c>
      <c r="K3785" s="4">
        <v>3940.96</v>
      </c>
      <c r="L3785" s="4">
        <v>3853.54</v>
      </c>
      <c r="M3785" s="1" t="str">
        <f>TEXT(Table1[[#This Row],[Order_Date]], "MMM")</f>
        <v>Jul</v>
      </c>
      <c r="N3785" s="1">
        <f>YEAR(Table1[[#This Row],[Order_Date]])</f>
        <v>2023</v>
      </c>
      <c r="O3785" s="7">
        <f>Table1[[#This Row],[Profit]]/Table1[[#This Row],[Total_Sales]]</f>
        <v>0.49439219962794279</v>
      </c>
    </row>
    <row r="3786" spans="1:15" x14ac:dyDescent="0.25">
      <c r="A3786" s="1">
        <v>3785</v>
      </c>
      <c r="B3786" s="2">
        <v>45430</v>
      </c>
      <c r="C3786" s="1" t="s">
        <v>25</v>
      </c>
      <c r="D3786" s="1" t="s">
        <v>20</v>
      </c>
      <c r="E3786" s="1" t="s">
        <v>43</v>
      </c>
      <c r="F3786" s="1" t="s">
        <v>15</v>
      </c>
      <c r="G3786" s="1">
        <v>3</v>
      </c>
      <c r="H3786" s="1">
        <v>910</v>
      </c>
      <c r="I3786" s="1">
        <v>5</v>
      </c>
      <c r="J3786" s="4">
        <v>2593.5</v>
      </c>
      <c r="K3786" s="4">
        <v>1307.18</v>
      </c>
      <c r="L3786" s="4">
        <v>1286.32</v>
      </c>
      <c r="M3786" s="1" t="str">
        <f>TEXT(Table1[[#This Row],[Order_Date]], "MMM")</f>
        <v>May</v>
      </c>
      <c r="N3786" s="1">
        <f>YEAR(Table1[[#This Row],[Order_Date]])</f>
        <v>2024</v>
      </c>
      <c r="O3786" s="7">
        <f>Table1[[#This Row],[Profit]]/Table1[[#This Row],[Total_Sales]]</f>
        <v>0.49597840755735489</v>
      </c>
    </row>
    <row r="3787" spans="1:15" x14ac:dyDescent="0.25">
      <c r="A3787" s="1">
        <v>3786</v>
      </c>
      <c r="B3787" s="2">
        <v>45009</v>
      </c>
      <c r="C3787" s="1" t="s">
        <v>16</v>
      </c>
      <c r="D3787" s="1" t="s">
        <v>20</v>
      </c>
      <c r="E3787" s="1" t="s">
        <v>21</v>
      </c>
      <c r="F3787" s="1" t="s">
        <v>18</v>
      </c>
      <c r="G3787" s="1">
        <v>3</v>
      </c>
      <c r="H3787" s="1">
        <v>195</v>
      </c>
      <c r="I3787" s="1">
        <v>20</v>
      </c>
      <c r="J3787" s="4">
        <v>468</v>
      </c>
      <c r="K3787" s="4">
        <v>360.29</v>
      </c>
      <c r="L3787" s="4">
        <v>107.71</v>
      </c>
      <c r="M3787" s="1" t="str">
        <f>TEXT(Table1[[#This Row],[Order_Date]], "MMM")</f>
        <v>Mar</v>
      </c>
      <c r="N3787" s="1">
        <f>YEAR(Table1[[#This Row],[Order_Date]])</f>
        <v>2023</v>
      </c>
      <c r="O3787" s="7">
        <f>Table1[[#This Row],[Profit]]/Table1[[#This Row],[Total_Sales]]</f>
        <v>0.23014957264957264</v>
      </c>
    </row>
    <row r="3788" spans="1:15" x14ac:dyDescent="0.25">
      <c r="A3788" s="1">
        <v>3787</v>
      </c>
      <c r="B3788" s="2">
        <v>45107</v>
      </c>
      <c r="C3788" s="1" t="s">
        <v>19</v>
      </c>
      <c r="D3788" s="1" t="s">
        <v>20</v>
      </c>
      <c r="E3788" s="1" t="s">
        <v>30</v>
      </c>
      <c r="F3788" s="1" t="s">
        <v>24</v>
      </c>
      <c r="G3788" s="1">
        <v>1</v>
      </c>
      <c r="H3788" s="1">
        <v>343</v>
      </c>
      <c r="I3788" s="1">
        <v>5</v>
      </c>
      <c r="J3788" s="4">
        <v>325.85000000000002</v>
      </c>
      <c r="K3788" s="4">
        <v>180.95</v>
      </c>
      <c r="L3788" s="4">
        <v>144.9</v>
      </c>
      <c r="M3788" s="1" t="str">
        <f>TEXT(Table1[[#This Row],[Order_Date]], "MMM")</f>
        <v>Jun</v>
      </c>
      <c r="N3788" s="1">
        <f>YEAR(Table1[[#This Row],[Order_Date]])</f>
        <v>2023</v>
      </c>
      <c r="O3788" s="7">
        <f>Table1[[#This Row],[Profit]]/Table1[[#This Row],[Total_Sales]]</f>
        <v>0.44468313641245971</v>
      </c>
    </row>
    <row r="3789" spans="1:15" x14ac:dyDescent="0.25">
      <c r="A3789" s="1">
        <v>3788</v>
      </c>
      <c r="B3789" s="2">
        <v>45561</v>
      </c>
      <c r="C3789" s="1" t="s">
        <v>25</v>
      </c>
      <c r="D3789" s="1" t="s">
        <v>20</v>
      </c>
      <c r="E3789" s="1" t="s">
        <v>21</v>
      </c>
      <c r="F3789" s="1" t="s">
        <v>15</v>
      </c>
      <c r="G3789" s="1">
        <v>5</v>
      </c>
      <c r="H3789" s="1">
        <v>161</v>
      </c>
      <c r="I3789" s="1">
        <v>15</v>
      </c>
      <c r="J3789" s="4">
        <v>684.25</v>
      </c>
      <c r="K3789" s="4">
        <v>532.78</v>
      </c>
      <c r="L3789" s="4">
        <v>151.47</v>
      </c>
      <c r="M3789" s="1" t="str">
        <f>TEXT(Table1[[#This Row],[Order_Date]], "MMM")</f>
        <v>Sep</v>
      </c>
      <c r="N3789" s="1">
        <f>YEAR(Table1[[#This Row],[Order_Date]])</f>
        <v>2024</v>
      </c>
      <c r="O3789" s="7">
        <f>Table1[[#This Row],[Profit]]/Table1[[#This Row],[Total_Sales]]</f>
        <v>0.2213664596273292</v>
      </c>
    </row>
    <row r="3790" spans="1:15" x14ac:dyDescent="0.25">
      <c r="A3790" s="1">
        <v>3789</v>
      </c>
      <c r="B3790" s="2">
        <v>45188</v>
      </c>
      <c r="C3790" s="1" t="s">
        <v>19</v>
      </c>
      <c r="D3790" s="1" t="s">
        <v>22</v>
      </c>
      <c r="E3790" s="1" t="s">
        <v>44</v>
      </c>
      <c r="F3790" s="1" t="s">
        <v>15</v>
      </c>
      <c r="G3790" s="1">
        <v>10</v>
      </c>
      <c r="H3790" s="1">
        <v>907</v>
      </c>
      <c r="I3790" s="1">
        <v>5</v>
      </c>
      <c r="J3790" s="4">
        <v>8616.5</v>
      </c>
      <c r="K3790" s="4">
        <v>4381.83</v>
      </c>
      <c r="L3790" s="4">
        <v>4234.67</v>
      </c>
      <c r="M3790" s="1" t="str">
        <f>TEXT(Table1[[#This Row],[Order_Date]], "MMM")</f>
        <v>Sep</v>
      </c>
      <c r="N3790" s="1">
        <f>YEAR(Table1[[#This Row],[Order_Date]])</f>
        <v>2023</v>
      </c>
      <c r="O3790" s="7">
        <f>Table1[[#This Row],[Profit]]/Table1[[#This Row],[Total_Sales]]</f>
        <v>0.49146056983694075</v>
      </c>
    </row>
    <row r="3791" spans="1:15" x14ac:dyDescent="0.25">
      <c r="A3791" s="1">
        <v>3790</v>
      </c>
      <c r="B3791" s="2">
        <v>45093</v>
      </c>
      <c r="C3791" s="1" t="s">
        <v>25</v>
      </c>
      <c r="D3791" s="1" t="s">
        <v>22</v>
      </c>
      <c r="E3791" s="1" t="s">
        <v>23</v>
      </c>
      <c r="F3791" s="1" t="s">
        <v>18</v>
      </c>
      <c r="G3791" s="1">
        <v>6</v>
      </c>
      <c r="H3791" s="1">
        <v>709</v>
      </c>
      <c r="I3791" s="1">
        <v>0</v>
      </c>
      <c r="J3791" s="4">
        <v>4254</v>
      </c>
      <c r="K3791" s="4">
        <v>2738.96</v>
      </c>
      <c r="L3791" s="4">
        <v>1515.04</v>
      </c>
      <c r="M3791" s="1" t="str">
        <f>TEXT(Table1[[#This Row],[Order_Date]], "MMM")</f>
        <v>Jun</v>
      </c>
      <c r="N3791" s="1">
        <f>YEAR(Table1[[#This Row],[Order_Date]])</f>
        <v>2023</v>
      </c>
      <c r="O3791" s="7">
        <f>Table1[[#This Row],[Profit]]/Table1[[#This Row],[Total_Sales]]</f>
        <v>0.35614480488951572</v>
      </c>
    </row>
    <row r="3792" spans="1:15" x14ac:dyDescent="0.25">
      <c r="A3792" s="1">
        <v>3791</v>
      </c>
      <c r="B3792" s="2">
        <v>45292</v>
      </c>
      <c r="C3792" s="1" t="s">
        <v>19</v>
      </c>
      <c r="D3792" s="1" t="s">
        <v>26</v>
      </c>
      <c r="E3792" s="1" t="s">
        <v>42</v>
      </c>
      <c r="F3792" s="1" t="s">
        <v>24</v>
      </c>
      <c r="G3792" s="1">
        <v>10</v>
      </c>
      <c r="H3792" s="1">
        <v>558</v>
      </c>
      <c r="I3792" s="1">
        <v>20</v>
      </c>
      <c r="J3792" s="4">
        <v>4464</v>
      </c>
      <c r="K3792" s="4">
        <v>2288.7199999999998</v>
      </c>
      <c r="L3792" s="4">
        <v>2175.2800000000002</v>
      </c>
      <c r="M3792" s="1" t="str">
        <f>TEXT(Table1[[#This Row],[Order_Date]], "MMM")</f>
        <v>Jan</v>
      </c>
      <c r="N3792" s="1">
        <f>YEAR(Table1[[#This Row],[Order_Date]])</f>
        <v>2024</v>
      </c>
      <c r="O3792" s="7">
        <f>Table1[[#This Row],[Profit]]/Table1[[#This Row],[Total_Sales]]</f>
        <v>0.48729390681003587</v>
      </c>
    </row>
    <row r="3793" spans="1:15" x14ac:dyDescent="0.25">
      <c r="A3793" s="1">
        <v>3792</v>
      </c>
      <c r="B3793" s="2">
        <v>45141</v>
      </c>
      <c r="C3793" s="1" t="s">
        <v>12</v>
      </c>
      <c r="D3793" s="1" t="s">
        <v>20</v>
      </c>
      <c r="E3793" s="1" t="s">
        <v>43</v>
      </c>
      <c r="F3793" s="1" t="s">
        <v>15</v>
      </c>
      <c r="G3793" s="1">
        <v>9</v>
      </c>
      <c r="H3793" s="1">
        <v>13</v>
      </c>
      <c r="I3793" s="1">
        <v>0</v>
      </c>
      <c r="J3793" s="4">
        <v>117</v>
      </c>
      <c r="K3793" s="4">
        <v>69.41</v>
      </c>
      <c r="L3793" s="4">
        <v>47.59</v>
      </c>
      <c r="M3793" s="1" t="str">
        <f>TEXT(Table1[[#This Row],[Order_Date]], "MMM")</f>
        <v>Aug</v>
      </c>
      <c r="N3793" s="1">
        <f>YEAR(Table1[[#This Row],[Order_Date]])</f>
        <v>2023</v>
      </c>
      <c r="O3793" s="7">
        <f>Table1[[#This Row],[Profit]]/Table1[[#This Row],[Total_Sales]]</f>
        <v>0.40675213675213678</v>
      </c>
    </row>
    <row r="3794" spans="1:15" x14ac:dyDescent="0.25">
      <c r="A3794" s="1">
        <v>3793</v>
      </c>
      <c r="B3794" s="2">
        <v>45136</v>
      </c>
      <c r="C3794" s="1" t="s">
        <v>19</v>
      </c>
      <c r="D3794" s="1" t="s">
        <v>13</v>
      </c>
      <c r="E3794" s="1" t="s">
        <v>14</v>
      </c>
      <c r="F3794" s="1" t="s">
        <v>18</v>
      </c>
      <c r="G3794" s="1">
        <v>7</v>
      </c>
      <c r="H3794" s="1">
        <v>379</v>
      </c>
      <c r="I3794" s="1">
        <v>15</v>
      </c>
      <c r="J3794" s="4">
        <v>2255.0500000000002</v>
      </c>
      <c r="K3794" s="4">
        <v>1672.26</v>
      </c>
      <c r="L3794" s="4">
        <v>582.79</v>
      </c>
      <c r="M3794" s="1" t="str">
        <f>TEXT(Table1[[#This Row],[Order_Date]], "MMM")</f>
        <v>Jul</v>
      </c>
      <c r="N3794" s="1">
        <f>YEAR(Table1[[#This Row],[Order_Date]])</f>
        <v>2023</v>
      </c>
      <c r="O3794" s="7">
        <f>Table1[[#This Row],[Profit]]/Table1[[#This Row],[Total_Sales]]</f>
        <v>0.25843772865346665</v>
      </c>
    </row>
    <row r="3795" spans="1:15" x14ac:dyDescent="0.25">
      <c r="A3795" s="1">
        <v>3794</v>
      </c>
      <c r="B3795" s="2">
        <v>45219</v>
      </c>
      <c r="C3795" s="1" t="s">
        <v>12</v>
      </c>
      <c r="D3795" s="1" t="s">
        <v>26</v>
      </c>
      <c r="E3795" s="1" t="s">
        <v>42</v>
      </c>
      <c r="F3795" s="1" t="s">
        <v>40</v>
      </c>
      <c r="G3795" s="1">
        <v>3</v>
      </c>
      <c r="H3795" s="1">
        <v>637</v>
      </c>
      <c r="I3795" s="1">
        <v>5</v>
      </c>
      <c r="J3795" s="4">
        <v>1815.45</v>
      </c>
      <c r="K3795" s="4">
        <v>1008.56</v>
      </c>
      <c r="L3795" s="4">
        <v>806.89</v>
      </c>
      <c r="M3795" s="1" t="str">
        <f>TEXT(Table1[[#This Row],[Order_Date]], "MMM")</f>
        <v>Oct</v>
      </c>
      <c r="N3795" s="1">
        <f>YEAR(Table1[[#This Row],[Order_Date]])</f>
        <v>2023</v>
      </c>
      <c r="O3795" s="7">
        <f>Table1[[#This Row],[Profit]]/Table1[[#This Row],[Total_Sales]]</f>
        <v>0.44445729708887599</v>
      </c>
    </row>
    <row r="3796" spans="1:15" x14ac:dyDescent="0.25">
      <c r="A3796" s="1">
        <v>3795</v>
      </c>
      <c r="B3796" s="2">
        <v>45058</v>
      </c>
      <c r="C3796" s="1" t="s">
        <v>25</v>
      </c>
      <c r="D3796" s="1" t="s">
        <v>26</v>
      </c>
      <c r="E3796" s="1" t="s">
        <v>46</v>
      </c>
      <c r="F3796" s="1" t="s">
        <v>18</v>
      </c>
      <c r="G3796" s="1">
        <v>5</v>
      </c>
      <c r="H3796" s="1">
        <v>196</v>
      </c>
      <c r="I3796" s="1">
        <v>10</v>
      </c>
      <c r="J3796" s="4">
        <v>882</v>
      </c>
      <c r="K3796" s="4">
        <v>451.05</v>
      </c>
      <c r="L3796" s="4">
        <v>430.95</v>
      </c>
      <c r="M3796" s="1" t="str">
        <f>TEXT(Table1[[#This Row],[Order_Date]], "MMM")</f>
        <v>May</v>
      </c>
      <c r="N3796" s="1">
        <f>YEAR(Table1[[#This Row],[Order_Date]])</f>
        <v>2023</v>
      </c>
      <c r="O3796" s="7">
        <f>Table1[[#This Row],[Profit]]/Table1[[#This Row],[Total_Sales]]</f>
        <v>0.48860544217687074</v>
      </c>
    </row>
    <row r="3797" spans="1:15" x14ac:dyDescent="0.25">
      <c r="A3797" s="1">
        <v>3796</v>
      </c>
      <c r="B3797" s="2">
        <v>45602</v>
      </c>
      <c r="C3797" s="1" t="s">
        <v>19</v>
      </c>
      <c r="D3797" s="1" t="s">
        <v>22</v>
      </c>
      <c r="E3797" s="1" t="s">
        <v>23</v>
      </c>
      <c r="F3797" s="1" t="s">
        <v>15</v>
      </c>
      <c r="G3797" s="1">
        <v>1</v>
      </c>
      <c r="H3797" s="1">
        <v>393</v>
      </c>
      <c r="I3797" s="1">
        <v>10</v>
      </c>
      <c r="J3797" s="4">
        <v>353.7</v>
      </c>
      <c r="K3797" s="4">
        <v>229.62</v>
      </c>
      <c r="L3797" s="4">
        <v>124.08</v>
      </c>
      <c r="M3797" s="1" t="str">
        <f>TEXT(Table1[[#This Row],[Order_Date]], "MMM")</f>
        <v>Nov</v>
      </c>
      <c r="N3797" s="1">
        <f>YEAR(Table1[[#This Row],[Order_Date]])</f>
        <v>2024</v>
      </c>
      <c r="O3797" s="7">
        <f>Table1[[#This Row],[Profit]]/Table1[[#This Row],[Total_Sales]]</f>
        <v>0.35080576759966076</v>
      </c>
    </row>
    <row r="3798" spans="1:15" x14ac:dyDescent="0.25">
      <c r="A3798" s="1">
        <v>3797</v>
      </c>
      <c r="B3798" s="2">
        <v>45147</v>
      </c>
      <c r="C3798" s="1" t="s">
        <v>25</v>
      </c>
      <c r="D3798" s="1" t="s">
        <v>13</v>
      </c>
      <c r="E3798" s="1" t="s">
        <v>39</v>
      </c>
      <c r="F3798" s="1" t="s">
        <v>31</v>
      </c>
      <c r="G3798" s="1">
        <v>4</v>
      </c>
      <c r="H3798" s="1">
        <v>215</v>
      </c>
      <c r="I3798" s="1">
        <v>15</v>
      </c>
      <c r="J3798" s="4">
        <v>731</v>
      </c>
      <c r="K3798" s="4">
        <v>396.61</v>
      </c>
      <c r="L3798" s="4">
        <v>334.39</v>
      </c>
      <c r="M3798" s="1" t="str">
        <f>TEXT(Table1[[#This Row],[Order_Date]], "MMM")</f>
        <v>Aug</v>
      </c>
      <c r="N3798" s="1">
        <f>YEAR(Table1[[#This Row],[Order_Date]])</f>
        <v>2023</v>
      </c>
      <c r="O3798" s="7">
        <f>Table1[[#This Row],[Profit]]/Table1[[#This Row],[Total_Sales]]</f>
        <v>0.45744186046511626</v>
      </c>
    </row>
    <row r="3799" spans="1:15" x14ac:dyDescent="0.25">
      <c r="A3799" s="1">
        <v>3798</v>
      </c>
      <c r="B3799" s="2">
        <v>45274</v>
      </c>
      <c r="C3799" s="1" t="s">
        <v>25</v>
      </c>
      <c r="D3799" s="1" t="s">
        <v>32</v>
      </c>
      <c r="E3799" s="1" t="s">
        <v>34</v>
      </c>
      <c r="F3799" s="1" t="s">
        <v>31</v>
      </c>
      <c r="G3799" s="1">
        <v>10</v>
      </c>
      <c r="H3799" s="1">
        <v>789</v>
      </c>
      <c r="I3799" s="1">
        <v>15</v>
      </c>
      <c r="J3799" s="4">
        <v>6706.5</v>
      </c>
      <c r="K3799" s="4">
        <v>4482.57</v>
      </c>
      <c r="L3799" s="4">
        <v>2223.9299999999998</v>
      </c>
      <c r="M3799" s="1" t="str">
        <f>TEXT(Table1[[#This Row],[Order_Date]], "MMM")</f>
        <v>Dec</v>
      </c>
      <c r="N3799" s="1">
        <f>YEAR(Table1[[#This Row],[Order_Date]])</f>
        <v>2023</v>
      </c>
      <c r="O3799" s="7">
        <f>Table1[[#This Row],[Profit]]/Table1[[#This Row],[Total_Sales]]</f>
        <v>0.33160814135540145</v>
      </c>
    </row>
    <row r="3800" spans="1:15" x14ac:dyDescent="0.25">
      <c r="A3800" s="1">
        <v>3799</v>
      </c>
      <c r="B3800" s="2">
        <v>45302</v>
      </c>
      <c r="C3800" s="1" t="s">
        <v>12</v>
      </c>
      <c r="D3800" s="1" t="s">
        <v>20</v>
      </c>
      <c r="E3800" s="1" t="s">
        <v>43</v>
      </c>
      <c r="F3800" s="1" t="s">
        <v>35</v>
      </c>
      <c r="G3800" s="1">
        <v>3</v>
      </c>
      <c r="H3800" s="1">
        <v>872</v>
      </c>
      <c r="I3800" s="1">
        <v>20</v>
      </c>
      <c r="J3800" s="4">
        <v>2092.8000000000002</v>
      </c>
      <c r="K3800" s="4">
        <v>1320.46</v>
      </c>
      <c r="L3800" s="4">
        <v>772.34</v>
      </c>
      <c r="M3800" s="1" t="str">
        <f>TEXT(Table1[[#This Row],[Order_Date]], "MMM")</f>
        <v>Jan</v>
      </c>
      <c r="N3800" s="1">
        <f>YEAR(Table1[[#This Row],[Order_Date]])</f>
        <v>2024</v>
      </c>
      <c r="O3800" s="7">
        <f>Table1[[#This Row],[Profit]]/Table1[[#This Row],[Total_Sales]]</f>
        <v>0.36904625382262995</v>
      </c>
    </row>
    <row r="3801" spans="1:15" x14ac:dyDescent="0.25">
      <c r="A3801" s="1">
        <v>3800</v>
      </c>
      <c r="B3801" s="2">
        <v>45295</v>
      </c>
      <c r="C3801" s="1" t="s">
        <v>25</v>
      </c>
      <c r="D3801" s="1" t="s">
        <v>13</v>
      </c>
      <c r="E3801" s="1" t="s">
        <v>38</v>
      </c>
      <c r="F3801" s="1" t="s">
        <v>35</v>
      </c>
      <c r="G3801" s="1">
        <v>3</v>
      </c>
      <c r="H3801" s="1">
        <v>955</v>
      </c>
      <c r="I3801" s="1">
        <v>20</v>
      </c>
      <c r="J3801" s="4">
        <v>2292</v>
      </c>
      <c r="K3801" s="4">
        <v>1769.68</v>
      </c>
      <c r="L3801" s="4">
        <v>522.32000000000005</v>
      </c>
      <c r="M3801" s="1" t="str">
        <f>TEXT(Table1[[#This Row],[Order_Date]], "MMM")</f>
        <v>Jan</v>
      </c>
      <c r="N3801" s="1">
        <f>YEAR(Table1[[#This Row],[Order_Date]])</f>
        <v>2024</v>
      </c>
      <c r="O3801" s="7">
        <f>Table1[[#This Row],[Profit]]/Table1[[#This Row],[Total_Sales]]</f>
        <v>0.22788830715532288</v>
      </c>
    </row>
    <row r="3802" spans="1:15" x14ac:dyDescent="0.25">
      <c r="A3802" s="1">
        <v>3801</v>
      </c>
      <c r="B3802" s="2">
        <v>45581</v>
      </c>
      <c r="C3802" s="1" t="s">
        <v>16</v>
      </c>
      <c r="D3802" s="1" t="s">
        <v>26</v>
      </c>
      <c r="E3802" s="1" t="s">
        <v>46</v>
      </c>
      <c r="F3802" s="1" t="s">
        <v>35</v>
      </c>
      <c r="G3802" s="1">
        <v>4</v>
      </c>
      <c r="H3802" s="1">
        <v>870</v>
      </c>
      <c r="I3802" s="1">
        <v>10</v>
      </c>
      <c r="J3802" s="4">
        <v>3132</v>
      </c>
      <c r="K3802" s="4">
        <v>1793.45</v>
      </c>
      <c r="L3802" s="4">
        <v>1338.55</v>
      </c>
      <c r="M3802" s="1" t="str">
        <f>TEXT(Table1[[#This Row],[Order_Date]], "MMM")</f>
        <v>Oct</v>
      </c>
      <c r="N3802" s="1">
        <f>YEAR(Table1[[#This Row],[Order_Date]])</f>
        <v>2024</v>
      </c>
      <c r="O3802" s="7">
        <f>Table1[[#This Row],[Profit]]/Table1[[#This Row],[Total_Sales]]</f>
        <v>0.42737867177522348</v>
      </c>
    </row>
    <row r="3803" spans="1:15" x14ac:dyDescent="0.25">
      <c r="A3803" s="1">
        <v>3802</v>
      </c>
      <c r="B3803" s="2">
        <v>45016</v>
      </c>
      <c r="C3803" s="1" t="s">
        <v>16</v>
      </c>
      <c r="D3803" s="1" t="s">
        <v>26</v>
      </c>
      <c r="E3803" s="1" t="s">
        <v>37</v>
      </c>
      <c r="F3803" s="1" t="s">
        <v>31</v>
      </c>
      <c r="G3803" s="1">
        <v>5</v>
      </c>
      <c r="H3803" s="1">
        <v>12</v>
      </c>
      <c r="I3803" s="1">
        <v>10</v>
      </c>
      <c r="J3803" s="4">
        <v>54</v>
      </c>
      <c r="K3803" s="4">
        <v>41.95</v>
      </c>
      <c r="L3803" s="4">
        <v>12.05</v>
      </c>
      <c r="M3803" s="1" t="str">
        <f>TEXT(Table1[[#This Row],[Order_Date]], "MMM")</f>
        <v>Mar</v>
      </c>
      <c r="N3803" s="1">
        <f>YEAR(Table1[[#This Row],[Order_Date]])</f>
        <v>2023</v>
      </c>
      <c r="O3803" s="7">
        <f>Table1[[#This Row],[Profit]]/Table1[[#This Row],[Total_Sales]]</f>
        <v>0.22314814814814815</v>
      </c>
    </row>
    <row r="3804" spans="1:15" x14ac:dyDescent="0.25">
      <c r="A3804" s="1">
        <v>3803</v>
      </c>
      <c r="B3804" s="2">
        <v>45328</v>
      </c>
      <c r="C3804" s="1" t="s">
        <v>19</v>
      </c>
      <c r="D3804" s="1" t="s">
        <v>20</v>
      </c>
      <c r="E3804" s="1" t="s">
        <v>43</v>
      </c>
      <c r="F3804" s="1" t="s">
        <v>15</v>
      </c>
      <c r="G3804" s="1">
        <v>10</v>
      </c>
      <c r="H3804" s="1">
        <v>812</v>
      </c>
      <c r="I3804" s="1">
        <v>10</v>
      </c>
      <c r="J3804" s="4">
        <v>7308</v>
      </c>
      <c r="K3804" s="4">
        <v>4889.72</v>
      </c>
      <c r="L3804" s="4">
        <v>2418.2800000000002</v>
      </c>
      <c r="M3804" s="1" t="str">
        <f>TEXT(Table1[[#This Row],[Order_Date]], "MMM")</f>
        <v>Feb</v>
      </c>
      <c r="N3804" s="1">
        <f>YEAR(Table1[[#This Row],[Order_Date]])</f>
        <v>2024</v>
      </c>
      <c r="O3804" s="7">
        <f>Table1[[#This Row],[Profit]]/Table1[[#This Row],[Total_Sales]]</f>
        <v>0.33090859332238648</v>
      </c>
    </row>
    <row r="3805" spans="1:15" x14ac:dyDescent="0.25">
      <c r="A3805" s="1">
        <v>3804</v>
      </c>
      <c r="B3805" s="2">
        <v>45589</v>
      </c>
      <c r="C3805" s="1" t="s">
        <v>19</v>
      </c>
      <c r="D3805" s="1" t="s">
        <v>20</v>
      </c>
      <c r="E3805" s="1" t="s">
        <v>43</v>
      </c>
      <c r="F3805" s="1" t="s">
        <v>24</v>
      </c>
      <c r="G3805" s="1">
        <v>8</v>
      </c>
      <c r="H3805" s="1">
        <v>385</v>
      </c>
      <c r="I3805" s="1">
        <v>0</v>
      </c>
      <c r="J3805" s="4">
        <v>3080</v>
      </c>
      <c r="K3805" s="4">
        <v>2284.29</v>
      </c>
      <c r="L3805" s="4">
        <v>795.71</v>
      </c>
      <c r="M3805" s="1" t="str">
        <f>TEXT(Table1[[#This Row],[Order_Date]], "MMM")</f>
        <v>Oct</v>
      </c>
      <c r="N3805" s="1">
        <f>YEAR(Table1[[#This Row],[Order_Date]])</f>
        <v>2024</v>
      </c>
      <c r="O3805" s="7">
        <f>Table1[[#This Row],[Profit]]/Table1[[#This Row],[Total_Sales]]</f>
        <v>0.25834740259740263</v>
      </c>
    </row>
    <row r="3806" spans="1:15" x14ac:dyDescent="0.25">
      <c r="A3806" s="1">
        <v>3805</v>
      </c>
      <c r="B3806" s="2">
        <v>45551</v>
      </c>
      <c r="C3806" s="1" t="s">
        <v>25</v>
      </c>
      <c r="D3806" s="1" t="s">
        <v>32</v>
      </c>
      <c r="E3806" s="1" t="s">
        <v>45</v>
      </c>
      <c r="F3806" s="1" t="s">
        <v>35</v>
      </c>
      <c r="G3806" s="1">
        <v>3</v>
      </c>
      <c r="H3806" s="1">
        <v>1000</v>
      </c>
      <c r="I3806" s="1">
        <v>5</v>
      </c>
      <c r="J3806" s="4">
        <v>2850</v>
      </c>
      <c r="K3806" s="4">
        <v>2037.85</v>
      </c>
      <c r="L3806" s="4">
        <v>812.15</v>
      </c>
      <c r="M3806" s="1" t="str">
        <f>TEXT(Table1[[#This Row],[Order_Date]], "MMM")</f>
        <v>Sep</v>
      </c>
      <c r="N3806" s="1">
        <f>YEAR(Table1[[#This Row],[Order_Date]])</f>
        <v>2024</v>
      </c>
      <c r="O3806" s="7">
        <f>Table1[[#This Row],[Profit]]/Table1[[#This Row],[Total_Sales]]</f>
        <v>0.28496491228070175</v>
      </c>
    </row>
    <row r="3807" spans="1:15" x14ac:dyDescent="0.25">
      <c r="A3807" s="1">
        <v>3806</v>
      </c>
      <c r="B3807" s="2">
        <v>45238</v>
      </c>
      <c r="C3807" s="1" t="s">
        <v>12</v>
      </c>
      <c r="D3807" s="1" t="s">
        <v>32</v>
      </c>
      <c r="E3807" s="1" t="s">
        <v>45</v>
      </c>
      <c r="F3807" s="1" t="s">
        <v>31</v>
      </c>
      <c r="G3807" s="1">
        <v>10</v>
      </c>
      <c r="H3807" s="1">
        <v>920</v>
      </c>
      <c r="I3807" s="1">
        <v>5</v>
      </c>
      <c r="J3807" s="4">
        <v>8740</v>
      </c>
      <c r="K3807" s="4">
        <v>4823.07</v>
      </c>
      <c r="L3807" s="4">
        <v>3916.93</v>
      </c>
      <c r="M3807" s="1" t="str">
        <f>TEXT(Table1[[#This Row],[Order_Date]], "MMM")</f>
        <v>Nov</v>
      </c>
      <c r="N3807" s="1">
        <f>YEAR(Table1[[#This Row],[Order_Date]])</f>
        <v>2023</v>
      </c>
      <c r="O3807" s="7">
        <f>Table1[[#This Row],[Profit]]/Table1[[#This Row],[Total_Sales]]</f>
        <v>0.44816132723112129</v>
      </c>
    </row>
    <row r="3808" spans="1:15" x14ac:dyDescent="0.25">
      <c r="A3808" s="1">
        <v>3807</v>
      </c>
      <c r="B3808" s="2">
        <v>45621</v>
      </c>
      <c r="C3808" s="1" t="s">
        <v>16</v>
      </c>
      <c r="D3808" s="1" t="s">
        <v>32</v>
      </c>
      <c r="E3808" s="1" t="s">
        <v>41</v>
      </c>
      <c r="F3808" s="1" t="s">
        <v>24</v>
      </c>
      <c r="G3808" s="1">
        <v>8</v>
      </c>
      <c r="H3808" s="1">
        <v>551</v>
      </c>
      <c r="I3808" s="1">
        <v>20</v>
      </c>
      <c r="J3808" s="4">
        <v>3526.4</v>
      </c>
      <c r="K3808" s="4">
        <v>2538.5</v>
      </c>
      <c r="L3808" s="4">
        <v>987.9</v>
      </c>
      <c r="M3808" s="1" t="str">
        <f>TEXT(Table1[[#This Row],[Order_Date]], "MMM")</f>
        <v>Nov</v>
      </c>
      <c r="N3808" s="1">
        <f>YEAR(Table1[[#This Row],[Order_Date]])</f>
        <v>2024</v>
      </c>
      <c r="O3808" s="7">
        <f>Table1[[#This Row],[Profit]]/Table1[[#This Row],[Total_Sales]]</f>
        <v>0.28014405626134298</v>
      </c>
    </row>
    <row r="3809" spans="1:15" x14ac:dyDescent="0.25">
      <c r="A3809" s="1">
        <v>3808</v>
      </c>
      <c r="B3809" s="2">
        <v>45171</v>
      </c>
      <c r="C3809" s="1" t="s">
        <v>25</v>
      </c>
      <c r="D3809" s="1" t="s">
        <v>20</v>
      </c>
      <c r="E3809" s="1" t="s">
        <v>21</v>
      </c>
      <c r="F3809" s="1" t="s">
        <v>31</v>
      </c>
      <c r="G3809" s="1">
        <v>6</v>
      </c>
      <c r="H3809" s="1">
        <v>172</v>
      </c>
      <c r="I3809" s="1">
        <v>5</v>
      </c>
      <c r="J3809" s="4">
        <v>980.4</v>
      </c>
      <c r="K3809" s="4">
        <v>673.18</v>
      </c>
      <c r="L3809" s="4">
        <v>307.22000000000003</v>
      </c>
      <c r="M3809" s="1" t="str">
        <f>TEXT(Table1[[#This Row],[Order_Date]], "MMM")</f>
        <v>Sep</v>
      </c>
      <c r="N3809" s="1">
        <f>YEAR(Table1[[#This Row],[Order_Date]])</f>
        <v>2023</v>
      </c>
      <c r="O3809" s="7">
        <f>Table1[[#This Row],[Profit]]/Table1[[#This Row],[Total_Sales]]</f>
        <v>0.31336189310485518</v>
      </c>
    </row>
    <row r="3810" spans="1:15" x14ac:dyDescent="0.25">
      <c r="A3810" s="1">
        <v>3809</v>
      </c>
      <c r="B3810" s="2">
        <v>45239</v>
      </c>
      <c r="C3810" s="1" t="s">
        <v>19</v>
      </c>
      <c r="D3810" s="1" t="s">
        <v>13</v>
      </c>
      <c r="E3810" s="1" t="s">
        <v>17</v>
      </c>
      <c r="F3810" s="1" t="s">
        <v>35</v>
      </c>
      <c r="G3810" s="1">
        <v>4</v>
      </c>
      <c r="H3810" s="1">
        <v>358</v>
      </c>
      <c r="I3810" s="1">
        <v>10</v>
      </c>
      <c r="J3810" s="4">
        <v>1288.8</v>
      </c>
      <c r="K3810" s="4">
        <v>1007.19</v>
      </c>
      <c r="L3810" s="4">
        <v>281.61</v>
      </c>
      <c r="M3810" s="1" t="str">
        <f>TEXT(Table1[[#This Row],[Order_Date]], "MMM")</f>
        <v>Nov</v>
      </c>
      <c r="N3810" s="1">
        <f>YEAR(Table1[[#This Row],[Order_Date]])</f>
        <v>2023</v>
      </c>
      <c r="O3810" s="7">
        <f>Table1[[#This Row],[Profit]]/Table1[[#This Row],[Total_Sales]]</f>
        <v>0.21850558659217878</v>
      </c>
    </row>
    <row r="3811" spans="1:15" x14ac:dyDescent="0.25">
      <c r="A3811" s="1">
        <v>3810</v>
      </c>
      <c r="B3811" s="2">
        <v>45524</v>
      </c>
      <c r="C3811" s="1" t="s">
        <v>19</v>
      </c>
      <c r="D3811" s="1" t="s">
        <v>26</v>
      </c>
      <c r="E3811" s="1" t="s">
        <v>37</v>
      </c>
      <c r="F3811" s="1" t="s">
        <v>24</v>
      </c>
      <c r="G3811" s="1">
        <v>5</v>
      </c>
      <c r="H3811" s="1">
        <v>579</v>
      </c>
      <c r="I3811" s="1">
        <v>5</v>
      </c>
      <c r="J3811" s="4">
        <v>2750.25</v>
      </c>
      <c r="K3811" s="4">
        <v>2167.33</v>
      </c>
      <c r="L3811" s="4">
        <v>582.91999999999996</v>
      </c>
      <c r="M3811" s="1" t="str">
        <f>TEXT(Table1[[#This Row],[Order_Date]], "MMM")</f>
        <v>Aug</v>
      </c>
      <c r="N3811" s="1">
        <f>YEAR(Table1[[#This Row],[Order_Date]])</f>
        <v>2024</v>
      </c>
      <c r="O3811" s="7">
        <f>Table1[[#This Row],[Profit]]/Table1[[#This Row],[Total_Sales]]</f>
        <v>0.21195164075993089</v>
      </c>
    </row>
    <row r="3812" spans="1:15" x14ac:dyDescent="0.25">
      <c r="A3812" s="1">
        <v>3811</v>
      </c>
      <c r="B3812" s="2">
        <v>45136</v>
      </c>
      <c r="C3812" s="1" t="s">
        <v>25</v>
      </c>
      <c r="D3812" s="1" t="s">
        <v>13</v>
      </c>
      <c r="E3812" s="1" t="s">
        <v>39</v>
      </c>
      <c r="F3812" s="1" t="s">
        <v>40</v>
      </c>
      <c r="G3812" s="1">
        <v>8</v>
      </c>
      <c r="H3812" s="1">
        <v>150</v>
      </c>
      <c r="I3812" s="1">
        <v>10</v>
      </c>
      <c r="J3812" s="4">
        <v>1080</v>
      </c>
      <c r="K3812" s="4">
        <v>842.96</v>
      </c>
      <c r="L3812" s="4">
        <v>237.04</v>
      </c>
      <c r="M3812" s="1" t="str">
        <f>TEXT(Table1[[#This Row],[Order_Date]], "MMM")</f>
        <v>Jul</v>
      </c>
      <c r="N3812" s="1">
        <f>YEAR(Table1[[#This Row],[Order_Date]])</f>
        <v>2023</v>
      </c>
      <c r="O3812" s="7">
        <f>Table1[[#This Row],[Profit]]/Table1[[#This Row],[Total_Sales]]</f>
        <v>0.21948148148148147</v>
      </c>
    </row>
    <row r="3813" spans="1:15" x14ac:dyDescent="0.25">
      <c r="A3813" s="1">
        <v>3812</v>
      </c>
      <c r="B3813" s="2">
        <v>44942</v>
      </c>
      <c r="C3813" s="1" t="s">
        <v>12</v>
      </c>
      <c r="D3813" s="1" t="s">
        <v>26</v>
      </c>
      <c r="E3813" s="1" t="s">
        <v>42</v>
      </c>
      <c r="F3813" s="1" t="s">
        <v>35</v>
      </c>
      <c r="G3813" s="1">
        <v>2</v>
      </c>
      <c r="H3813" s="1">
        <v>337</v>
      </c>
      <c r="I3813" s="1">
        <v>20</v>
      </c>
      <c r="J3813" s="4">
        <v>539.20000000000005</v>
      </c>
      <c r="K3813" s="4">
        <v>343.86</v>
      </c>
      <c r="L3813" s="4">
        <v>195.34</v>
      </c>
      <c r="M3813" s="1" t="str">
        <f>TEXT(Table1[[#This Row],[Order_Date]], "MMM")</f>
        <v>Jan</v>
      </c>
      <c r="N3813" s="1">
        <f>YEAR(Table1[[#This Row],[Order_Date]])</f>
        <v>2023</v>
      </c>
      <c r="O3813" s="7">
        <f>Table1[[#This Row],[Profit]]/Table1[[#This Row],[Total_Sales]]</f>
        <v>0.36227744807121659</v>
      </c>
    </row>
    <row r="3814" spans="1:15" x14ac:dyDescent="0.25">
      <c r="A3814" s="1">
        <v>3813</v>
      </c>
      <c r="B3814" s="2">
        <v>45383</v>
      </c>
      <c r="C3814" s="1" t="s">
        <v>25</v>
      </c>
      <c r="D3814" s="1" t="s">
        <v>32</v>
      </c>
      <c r="E3814" s="1" t="s">
        <v>33</v>
      </c>
      <c r="F3814" s="1" t="s">
        <v>15</v>
      </c>
      <c r="G3814" s="1">
        <v>4</v>
      </c>
      <c r="H3814" s="1">
        <v>865</v>
      </c>
      <c r="I3814" s="1">
        <v>0</v>
      </c>
      <c r="J3814" s="4">
        <v>3460</v>
      </c>
      <c r="K3814" s="4">
        <v>2030.26</v>
      </c>
      <c r="L3814" s="4">
        <v>1429.74</v>
      </c>
      <c r="M3814" s="1" t="str">
        <f>TEXT(Table1[[#This Row],[Order_Date]], "MMM")</f>
        <v>Apr</v>
      </c>
      <c r="N3814" s="1">
        <f>YEAR(Table1[[#This Row],[Order_Date]])</f>
        <v>2024</v>
      </c>
      <c r="O3814" s="7">
        <f>Table1[[#This Row],[Profit]]/Table1[[#This Row],[Total_Sales]]</f>
        <v>0.41321965317919074</v>
      </c>
    </row>
    <row r="3815" spans="1:15" x14ac:dyDescent="0.25">
      <c r="A3815" s="1">
        <v>3814</v>
      </c>
      <c r="B3815" s="2">
        <v>45603</v>
      </c>
      <c r="C3815" s="1" t="s">
        <v>25</v>
      </c>
      <c r="D3815" s="1" t="s">
        <v>32</v>
      </c>
      <c r="E3815" s="1" t="s">
        <v>41</v>
      </c>
      <c r="F3815" s="1" t="s">
        <v>35</v>
      </c>
      <c r="G3815" s="1">
        <v>9</v>
      </c>
      <c r="H3815" s="1">
        <v>767</v>
      </c>
      <c r="I3815" s="1">
        <v>10</v>
      </c>
      <c r="J3815" s="4">
        <v>6212.7</v>
      </c>
      <c r="K3815" s="4">
        <v>4732.53</v>
      </c>
      <c r="L3815" s="4">
        <v>1480.17</v>
      </c>
      <c r="M3815" s="1" t="str">
        <f>TEXT(Table1[[#This Row],[Order_Date]], "MMM")</f>
        <v>Nov</v>
      </c>
      <c r="N3815" s="1">
        <f>YEAR(Table1[[#This Row],[Order_Date]])</f>
        <v>2024</v>
      </c>
      <c r="O3815" s="7">
        <f>Table1[[#This Row],[Profit]]/Table1[[#This Row],[Total_Sales]]</f>
        <v>0.2382490704524603</v>
      </c>
    </row>
    <row r="3816" spans="1:15" x14ac:dyDescent="0.25">
      <c r="A3816" s="1">
        <v>3815</v>
      </c>
      <c r="B3816" s="2">
        <v>44987</v>
      </c>
      <c r="C3816" s="1" t="s">
        <v>19</v>
      </c>
      <c r="D3816" s="1" t="s">
        <v>32</v>
      </c>
      <c r="E3816" s="1" t="s">
        <v>34</v>
      </c>
      <c r="F3816" s="1" t="s">
        <v>18</v>
      </c>
      <c r="G3816" s="1">
        <v>7</v>
      </c>
      <c r="H3816" s="1">
        <v>908</v>
      </c>
      <c r="I3816" s="1">
        <v>15</v>
      </c>
      <c r="J3816" s="4">
        <v>5402.6</v>
      </c>
      <c r="K3816" s="4">
        <v>3006.36</v>
      </c>
      <c r="L3816" s="4">
        <v>2396.2399999999998</v>
      </c>
      <c r="M3816" s="1" t="str">
        <f>TEXT(Table1[[#This Row],[Order_Date]], "MMM")</f>
        <v>Mar</v>
      </c>
      <c r="N3816" s="1">
        <f>YEAR(Table1[[#This Row],[Order_Date]])</f>
        <v>2023</v>
      </c>
      <c r="O3816" s="7">
        <f>Table1[[#This Row],[Profit]]/Table1[[#This Row],[Total_Sales]]</f>
        <v>0.44353459445452181</v>
      </c>
    </row>
    <row r="3817" spans="1:15" x14ac:dyDescent="0.25">
      <c r="A3817" s="1">
        <v>3816</v>
      </c>
      <c r="B3817" s="2">
        <v>45631</v>
      </c>
      <c r="C3817" s="1" t="s">
        <v>12</v>
      </c>
      <c r="D3817" s="1" t="s">
        <v>32</v>
      </c>
      <c r="E3817" s="1" t="s">
        <v>34</v>
      </c>
      <c r="F3817" s="1" t="s">
        <v>18</v>
      </c>
      <c r="G3817" s="1">
        <v>2</v>
      </c>
      <c r="H3817" s="1">
        <v>469</v>
      </c>
      <c r="I3817" s="1">
        <v>15</v>
      </c>
      <c r="J3817" s="4">
        <v>797.3</v>
      </c>
      <c r="K3817" s="4">
        <v>411.46</v>
      </c>
      <c r="L3817" s="4">
        <v>385.84</v>
      </c>
      <c r="M3817" s="1" t="str">
        <f>TEXT(Table1[[#This Row],[Order_Date]], "MMM")</f>
        <v>Dec</v>
      </c>
      <c r="N3817" s="1">
        <f>YEAR(Table1[[#This Row],[Order_Date]])</f>
        <v>2024</v>
      </c>
      <c r="O3817" s="7">
        <f>Table1[[#This Row],[Profit]]/Table1[[#This Row],[Total_Sales]]</f>
        <v>0.48393327480245829</v>
      </c>
    </row>
    <row r="3818" spans="1:15" x14ac:dyDescent="0.25">
      <c r="A3818" s="1">
        <v>3817</v>
      </c>
      <c r="B3818" s="2">
        <v>45641</v>
      </c>
      <c r="C3818" s="1" t="s">
        <v>25</v>
      </c>
      <c r="D3818" s="1" t="s">
        <v>32</v>
      </c>
      <c r="E3818" s="1" t="s">
        <v>34</v>
      </c>
      <c r="F3818" s="1" t="s">
        <v>40</v>
      </c>
      <c r="G3818" s="1">
        <v>9</v>
      </c>
      <c r="H3818" s="1">
        <v>273</v>
      </c>
      <c r="I3818" s="1">
        <v>15</v>
      </c>
      <c r="J3818" s="4">
        <v>2088.4499999999998</v>
      </c>
      <c r="K3818" s="4">
        <v>1650.18</v>
      </c>
      <c r="L3818" s="4">
        <v>438.27</v>
      </c>
      <c r="M3818" s="1" t="str">
        <f>TEXT(Table1[[#This Row],[Order_Date]], "MMM")</f>
        <v>Dec</v>
      </c>
      <c r="N3818" s="1">
        <f>YEAR(Table1[[#This Row],[Order_Date]])</f>
        <v>2024</v>
      </c>
      <c r="O3818" s="7">
        <f>Table1[[#This Row],[Profit]]/Table1[[#This Row],[Total_Sales]]</f>
        <v>0.20985419808949221</v>
      </c>
    </row>
    <row r="3819" spans="1:15" x14ac:dyDescent="0.25">
      <c r="A3819" s="1">
        <v>3818</v>
      </c>
      <c r="B3819" s="2">
        <v>45257</v>
      </c>
      <c r="C3819" s="1" t="s">
        <v>12</v>
      </c>
      <c r="D3819" s="1" t="s">
        <v>20</v>
      </c>
      <c r="E3819" s="1" t="s">
        <v>30</v>
      </c>
      <c r="F3819" s="1" t="s">
        <v>18</v>
      </c>
      <c r="G3819" s="1">
        <v>3</v>
      </c>
      <c r="H3819" s="1">
        <v>959</v>
      </c>
      <c r="I3819" s="1">
        <v>0</v>
      </c>
      <c r="J3819" s="4">
        <v>2877</v>
      </c>
      <c r="K3819" s="4">
        <v>1883.53</v>
      </c>
      <c r="L3819" s="4">
        <v>993.47</v>
      </c>
      <c r="M3819" s="1" t="str">
        <f>TEXT(Table1[[#This Row],[Order_Date]], "MMM")</f>
        <v>Nov</v>
      </c>
      <c r="N3819" s="1">
        <f>YEAR(Table1[[#This Row],[Order_Date]])</f>
        <v>2023</v>
      </c>
      <c r="O3819" s="7">
        <f>Table1[[#This Row],[Profit]]/Table1[[#This Row],[Total_Sales]]</f>
        <v>0.3453145637817171</v>
      </c>
    </row>
    <row r="3820" spans="1:15" x14ac:dyDescent="0.25">
      <c r="A3820" s="1">
        <v>3819</v>
      </c>
      <c r="B3820" s="2">
        <v>45343</v>
      </c>
      <c r="C3820" s="1" t="s">
        <v>16</v>
      </c>
      <c r="D3820" s="1" t="s">
        <v>20</v>
      </c>
      <c r="E3820" s="1" t="s">
        <v>30</v>
      </c>
      <c r="F3820" s="1" t="s">
        <v>15</v>
      </c>
      <c r="G3820" s="1">
        <v>2</v>
      </c>
      <c r="H3820" s="1">
        <v>111</v>
      </c>
      <c r="I3820" s="1">
        <v>0</v>
      </c>
      <c r="J3820" s="4">
        <v>222</v>
      </c>
      <c r="K3820" s="4">
        <v>172.32</v>
      </c>
      <c r="L3820" s="4">
        <v>49.68</v>
      </c>
      <c r="M3820" s="1" t="str">
        <f>TEXT(Table1[[#This Row],[Order_Date]], "MMM")</f>
        <v>Feb</v>
      </c>
      <c r="N3820" s="1">
        <f>YEAR(Table1[[#This Row],[Order_Date]])</f>
        <v>2024</v>
      </c>
      <c r="O3820" s="7">
        <f>Table1[[#This Row],[Profit]]/Table1[[#This Row],[Total_Sales]]</f>
        <v>0.22378378378378377</v>
      </c>
    </row>
    <row r="3821" spans="1:15" x14ac:dyDescent="0.25">
      <c r="A3821" s="1">
        <v>3820</v>
      </c>
      <c r="B3821" s="2">
        <v>45453</v>
      </c>
      <c r="C3821" s="1" t="s">
        <v>12</v>
      </c>
      <c r="D3821" s="1" t="s">
        <v>22</v>
      </c>
      <c r="E3821" s="1" t="s">
        <v>44</v>
      </c>
      <c r="F3821" s="1" t="s">
        <v>24</v>
      </c>
      <c r="G3821" s="1">
        <v>3</v>
      </c>
      <c r="H3821" s="1">
        <v>298</v>
      </c>
      <c r="I3821" s="1">
        <v>0</v>
      </c>
      <c r="J3821" s="4">
        <v>894</v>
      </c>
      <c r="K3821" s="4">
        <v>659.39</v>
      </c>
      <c r="L3821" s="4">
        <v>234.61</v>
      </c>
      <c r="M3821" s="1" t="str">
        <f>TEXT(Table1[[#This Row],[Order_Date]], "MMM")</f>
        <v>Jun</v>
      </c>
      <c r="N3821" s="1">
        <f>YEAR(Table1[[#This Row],[Order_Date]])</f>
        <v>2024</v>
      </c>
      <c r="O3821" s="7">
        <f>Table1[[#This Row],[Profit]]/Table1[[#This Row],[Total_Sales]]</f>
        <v>0.262427293064877</v>
      </c>
    </row>
    <row r="3822" spans="1:15" x14ac:dyDescent="0.25">
      <c r="A3822" s="1">
        <v>3821</v>
      </c>
      <c r="B3822" s="2">
        <v>45632</v>
      </c>
      <c r="C3822" s="1" t="s">
        <v>16</v>
      </c>
      <c r="D3822" s="1" t="s">
        <v>20</v>
      </c>
      <c r="E3822" s="1" t="s">
        <v>28</v>
      </c>
      <c r="F3822" s="1" t="s">
        <v>18</v>
      </c>
      <c r="G3822" s="1">
        <v>3</v>
      </c>
      <c r="H3822" s="1">
        <v>283</v>
      </c>
      <c r="I3822" s="1">
        <v>20</v>
      </c>
      <c r="J3822" s="4">
        <v>679.2</v>
      </c>
      <c r="K3822" s="4">
        <v>541.03</v>
      </c>
      <c r="L3822" s="4">
        <v>138.16999999999999</v>
      </c>
      <c r="M3822" s="1" t="str">
        <f>TEXT(Table1[[#This Row],[Order_Date]], "MMM")</f>
        <v>Dec</v>
      </c>
      <c r="N3822" s="1">
        <f>YEAR(Table1[[#This Row],[Order_Date]])</f>
        <v>2024</v>
      </c>
      <c r="O3822" s="7">
        <f>Table1[[#This Row],[Profit]]/Table1[[#This Row],[Total_Sales]]</f>
        <v>0.20343050647820962</v>
      </c>
    </row>
    <row r="3823" spans="1:15" x14ac:dyDescent="0.25">
      <c r="A3823" s="1">
        <v>3822</v>
      </c>
      <c r="B3823" s="2">
        <v>45128</v>
      </c>
      <c r="C3823" s="1" t="s">
        <v>19</v>
      </c>
      <c r="D3823" s="1" t="s">
        <v>13</v>
      </c>
      <c r="E3823" s="1" t="s">
        <v>39</v>
      </c>
      <c r="F3823" s="1" t="s">
        <v>18</v>
      </c>
      <c r="G3823" s="1">
        <v>9</v>
      </c>
      <c r="H3823" s="1">
        <v>95</v>
      </c>
      <c r="I3823" s="1">
        <v>20</v>
      </c>
      <c r="J3823" s="4">
        <v>684</v>
      </c>
      <c r="K3823" s="4">
        <v>456.12</v>
      </c>
      <c r="L3823" s="4">
        <v>227.88</v>
      </c>
      <c r="M3823" s="1" t="str">
        <f>TEXT(Table1[[#This Row],[Order_Date]], "MMM")</f>
        <v>Jul</v>
      </c>
      <c r="N3823" s="1">
        <f>YEAR(Table1[[#This Row],[Order_Date]])</f>
        <v>2023</v>
      </c>
      <c r="O3823" s="7">
        <f>Table1[[#This Row],[Profit]]/Table1[[#This Row],[Total_Sales]]</f>
        <v>0.3331578947368421</v>
      </c>
    </row>
    <row r="3824" spans="1:15" x14ac:dyDescent="0.25">
      <c r="A3824" s="1">
        <v>3823</v>
      </c>
      <c r="B3824" s="2">
        <v>45040</v>
      </c>
      <c r="C3824" s="1" t="s">
        <v>25</v>
      </c>
      <c r="D3824" s="1" t="s">
        <v>20</v>
      </c>
      <c r="E3824" s="1" t="s">
        <v>28</v>
      </c>
      <c r="F3824" s="1" t="s">
        <v>31</v>
      </c>
      <c r="G3824" s="1">
        <v>7</v>
      </c>
      <c r="H3824" s="1">
        <v>444</v>
      </c>
      <c r="I3824" s="1">
        <v>20</v>
      </c>
      <c r="J3824" s="4">
        <v>2486.4</v>
      </c>
      <c r="K3824" s="4">
        <v>1712.3</v>
      </c>
      <c r="L3824" s="4">
        <v>774.1</v>
      </c>
      <c r="M3824" s="1" t="str">
        <f>TEXT(Table1[[#This Row],[Order_Date]], "MMM")</f>
        <v>Apr</v>
      </c>
      <c r="N3824" s="1">
        <f>YEAR(Table1[[#This Row],[Order_Date]])</f>
        <v>2023</v>
      </c>
      <c r="O3824" s="7">
        <f>Table1[[#This Row],[Profit]]/Table1[[#This Row],[Total_Sales]]</f>
        <v>0.31133365508365507</v>
      </c>
    </row>
    <row r="3825" spans="1:15" x14ac:dyDescent="0.25">
      <c r="A3825" s="1">
        <v>3824</v>
      </c>
      <c r="B3825" s="2">
        <v>44966</v>
      </c>
      <c r="C3825" s="1" t="s">
        <v>25</v>
      </c>
      <c r="D3825" s="1" t="s">
        <v>13</v>
      </c>
      <c r="E3825" s="1" t="s">
        <v>14</v>
      </c>
      <c r="F3825" s="1" t="s">
        <v>35</v>
      </c>
      <c r="G3825" s="1">
        <v>6</v>
      </c>
      <c r="H3825" s="1">
        <v>696</v>
      </c>
      <c r="I3825" s="1">
        <v>15</v>
      </c>
      <c r="J3825" s="4">
        <v>3549.6</v>
      </c>
      <c r="K3825" s="4">
        <v>2664.1</v>
      </c>
      <c r="L3825" s="4">
        <v>885.5</v>
      </c>
      <c r="M3825" s="1" t="str">
        <f>TEXT(Table1[[#This Row],[Order_Date]], "MMM")</f>
        <v>Feb</v>
      </c>
      <c r="N3825" s="1">
        <f>YEAR(Table1[[#This Row],[Order_Date]])</f>
        <v>2023</v>
      </c>
      <c r="O3825" s="7">
        <f>Table1[[#This Row],[Profit]]/Table1[[#This Row],[Total_Sales]]</f>
        <v>0.24946472842010367</v>
      </c>
    </row>
    <row r="3826" spans="1:15" x14ac:dyDescent="0.25">
      <c r="A3826" s="1">
        <v>3825</v>
      </c>
      <c r="B3826" s="2">
        <v>45129</v>
      </c>
      <c r="C3826" s="1" t="s">
        <v>25</v>
      </c>
      <c r="D3826" s="1" t="s">
        <v>22</v>
      </c>
      <c r="E3826" s="1" t="s">
        <v>36</v>
      </c>
      <c r="F3826" s="1" t="s">
        <v>40</v>
      </c>
      <c r="G3826" s="1">
        <v>7</v>
      </c>
      <c r="H3826" s="1">
        <v>728</v>
      </c>
      <c r="I3826" s="1">
        <v>20</v>
      </c>
      <c r="J3826" s="4">
        <v>4076.8</v>
      </c>
      <c r="K3826" s="4">
        <v>3253.75</v>
      </c>
      <c r="L3826" s="4">
        <v>823.05</v>
      </c>
      <c r="M3826" s="1" t="str">
        <f>TEXT(Table1[[#This Row],[Order_Date]], "MMM")</f>
        <v>Jul</v>
      </c>
      <c r="N3826" s="1">
        <f>YEAR(Table1[[#This Row],[Order_Date]])</f>
        <v>2023</v>
      </c>
      <c r="O3826" s="7">
        <f>Table1[[#This Row],[Profit]]/Table1[[#This Row],[Total_Sales]]</f>
        <v>0.20188628335949763</v>
      </c>
    </row>
    <row r="3827" spans="1:15" x14ac:dyDescent="0.25">
      <c r="A3827" s="1">
        <v>3826</v>
      </c>
      <c r="B3827" s="2">
        <v>45536</v>
      </c>
      <c r="C3827" s="1" t="s">
        <v>19</v>
      </c>
      <c r="D3827" s="1" t="s">
        <v>13</v>
      </c>
      <c r="E3827" s="1" t="s">
        <v>38</v>
      </c>
      <c r="F3827" s="1" t="s">
        <v>15</v>
      </c>
      <c r="G3827" s="1">
        <v>2</v>
      </c>
      <c r="H3827" s="1">
        <v>519</v>
      </c>
      <c r="I3827" s="1">
        <v>0</v>
      </c>
      <c r="J3827" s="4">
        <v>1038</v>
      </c>
      <c r="K3827" s="4">
        <v>746.43</v>
      </c>
      <c r="L3827" s="4">
        <v>291.57</v>
      </c>
      <c r="M3827" s="1" t="str">
        <f>TEXT(Table1[[#This Row],[Order_Date]], "MMM")</f>
        <v>Sep</v>
      </c>
      <c r="N3827" s="1">
        <f>YEAR(Table1[[#This Row],[Order_Date]])</f>
        <v>2024</v>
      </c>
      <c r="O3827" s="7">
        <f>Table1[[#This Row],[Profit]]/Table1[[#This Row],[Total_Sales]]</f>
        <v>0.28089595375722543</v>
      </c>
    </row>
    <row r="3828" spans="1:15" x14ac:dyDescent="0.25">
      <c r="A3828" s="1">
        <v>3827</v>
      </c>
      <c r="B3828" s="2">
        <v>45032</v>
      </c>
      <c r="C3828" s="1" t="s">
        <v>12</v>
      </c>
      <c r="D3828" s="1" t="s">
        <v>26</v>
      </c>
      <c r="E3828" s="1" t="s">
        <v>42</v>
      </c>
      <c r="F3828" s="1" t="s">
        <v>35</v>
      </c>
      <c r="G3828" s="1">
        <v>8</v>
      </c>
      <c r="H3828" s="1">
        <v>741</v>
      </c>
      <c r="I3828" s="1">
        <v>20</v>
      </c>
      <c r="J3828" s="4">
        <v>4742.3999999999996</v>
      </c>
      <c r="K3828" s="4">
        <v>3604.01</v>
      </c>
      <c r="L3828" s="4">
        <v>1138.3900000000001</v>
      </c>
      <c r="M3828" s="1" t="str">
        <f>TEXT(Table1[[#This Row],[Order_Date]], "MMM")</f>
        <v>Apr</v>
      </c>
      <c r="N3828" s="1">
        <f>YEAR(Table1[[#This Row],[Order_Date]])</f>
        <v>2023</v>
      </c>
      <c r="O3828" s="7">
        <f>Table1[[#This Row],[Profit]]/Table1[[#This Row],[Total_Sales]]</f>
        <v>0.24004512483130908</v>
      </c>
    </row>
    <row r="3829" spans="1:15" x14ac:dyDescent="0.25">
      <c r="A3829" s="1">
        <v>3828</v>
      </c>
      <c r="B3829" s="2">
        <v>45493</v>
      </c>
      <c r="C3829" s="1" t="s">
        <v>12</v>
      </c>
      <c r="D3829" s="1" t="s">
        <v>26</v>
      </c>
      <c r="E3829" s="1" t="s">
        <v>37</v>
      </c>
      <c r="F3829" s="1" t="s">
        <v>31</v>
      </c>
      <c r="G3829" s="1">
        <v>1</v>
      </c>
      <c r="H3829" s="1">
        <v>225</v>
      </c>
      <c r="I3829" s="1">
        <v>15</v>
      </c>
      <c r="J3829" s="4">
        <v>191.25</v>
      </c>
      <c r="K3829" s="4">
        <v>113.41</v>
      </c>
      <c r="L3829" s="4">
        <v>77.84</v>
      </c>
      <c r="M3829" s="1" t="str">
        <f>TEXT(Table1[[#This Row],[Order_Date]], "MMM")</f>
        <v>Jul</v>
      </c>
      <c r="N3829" s="1">
        <f>YEAR(Table1[[#This Row],[Order_Date]])</f>
        <v>2024</v>
      </c>
      <c r="O3829" s="7">
        <f>Table1[[#This Row],[Profit]]/Table1[[#This Row],[Total_Sales]]</f>
        <v>0.40700653594771241</v>
      </c>
    </row>
    <row r="3830" spans="1:15" x14ac:dyDescent="0.25">
      <c r="A3830" s="1">
        <v>3829</v>
      </c>
      <c r="B3830" s="2">
        <v>45170</v>
      </c>
      <c r="C3830" s="1" t="s">
        <v>12</v>
      </c>
      <c r="D3830" s="1" t="s">
        <v>13</v>
      </c>
      <c r="E3830" s="1" t="s">
        <v>39</v>
      </c>
      <c r="F3830" s="1" t="s">
        <v>31</v>
      </c>
      <c r="G3830" s="1">
        <v>7</v>
      </c>
      <c r="H3830" s="1">
        <v>214</v>
      </c>
      <c r="I3830" s="1">
        <v>20</v>
      </c>
      <c r="J3830" s="4">
        <v>1198.4000000000001</v>
      </c>
      <c r="K3830" s="4">
        <v>915.24</v>
      </c>
      <c r="L3830" s="4">
        <v>283.16000000000003</v>
      </c>
      <c r="M3830" s="1" t="str">
        <f>TEXT(Table1[[#This Row],[Order_Date]], "MMM")</f>
        <v>Sep</v>
      </c>
      <c r="N3830" s="1">
        <f>YEAR(Table1[[#This Row],[Order_Date]])</f>
        <v>2023</v>
      </c>
      <c r="O3830" s="7">
        <f>Table1[[#This Row],[Profit]]/Table1[[#This Row],[Total_Sales]]</f>
        <v>0.23628170894526035</v>
      </c>
    </row>
    <row r="3831" spans="1:15" x14ac:dyDescent="0.25">
      <c r="A3831" s="1">
        <v>3830</v>
      </c>
      <c r="B3831" s="2">
        <v>45020</v>
      </c>
      <c r="C3831" s="1" t="s">
        <v>25</v>
      </c>
      <c r="D3831" s="1" t="s">
        <v>22</v>
      </c>
      <c r="E3831" s="1" t="s">
        <v>44</v>
      </c>
      <c r="F3831" s="1" t="s">
        <v>40</v>
      </c>
      <c r="G3831" s="1">
        <v>4</v>
      </c>
      <c r="H3831" s="1">
        <v>550</v>
      </c>
      <c r="I3831" s="1">
        <v>15</v>
      </c>
      <c r="J3831" s="4">
        <v>1870</v>
      </c>
      <c r="K3831" s="4">
        <v>1463.36</v>
      </c>
      <c r="L3831" s="4">
        <v>406.64</v>
      </c>
      <c r="M3831" s="1" t="str">
        <f>TEXT(Table1[[#This Row],[Order_Date]], "MMM")</f>
        <v>Apr</v>
      </c>
      <c r="N3831" s="1">
        <f>YEAR(Table1[[#This Row],[Order_Date]])</f>
        <v>2023</v>
      </c>
      <c r="O3831" s="7">
        <f>Table1[[#This Row],[Profit]]/Table1[[#This Row],[Total_Sales]]</f>
        <v>0.21745454545454546</v>
      </c>
    </row>
    <row r="3832" spans="1:15" x14ac:dyDescent="0.25">
      <c r="A3832" s="1">
        <v>3831</v>
      </c>
      <c r="B3832" s="2">
        <v>45095</v>
      </c>
      <c r="C3832" s="1" t="s">
        <v>19</v>
      </c>
      <c r="D3832" s="1" t="s">
        <v>26</v>
      </c>
      <c r="E3832" s="1" t="s">
        <v>37</v>
      </c>
      <c r="F3832" s="1" t="s">
        <v>40</v>
      </c>
      <c r="G3832" s="1">
        <v>8</v>
      </c>
      <c r="H3832" s="1">
        <v>649</v>
      </c>
      <c r="I3832" s="1">
        <v>0</v>
      </c>
      <c r="J3832" s="4">
        <v>5192</v>
      </c>
      <c r="K3832" s="4">
        <v>2909.13</v>
      </c>
      <c r="L3832" s="4">
        <v>2282.87</v>
      </c>
      <c r="M3832" s="1" t="str">
        <f>TEXT(Table1[[#This Row],[Order_Date]], "MMM")</f>
        <v>Jun</v>
      </c>
      <c r="N3832" s="1">
        <f>YEAR(Table1[[#This Row],[Order_Date]])</f>
        <v>2023</v>
      </c>
      <c r="O3832" s="7">
        <f>Table1[[#This Row],[Profit]]/Table1[[#This Row],[Total_Sales]]</f>
        <v>0.43968990755007703</v>
      </c>
    </row>
    <row r="3833" spans="1:15" x14ac:dyDescent="0.25">
      <c r="A3833" s="1">
        <v>3832</v>
      </c>
      <c r="B3833" s="2">
        <v>45240</v>
      </c>
      <c r="C3833" s="1" t="s">
        <v>12</v>
      </c>
      <c r="D3833" s="1" t="s">
        <v>26</v>
      </c>
      <c r="E3833" s="1" t="s">
        <v>27</v>
      </c>
      <c r="F3833" s="1" t="s">
        <v>35</v>
      </c>
      <c r="G3833" s="1">
        <v>3</v>
      </c>
      <c r="H3833" s="1">
        <v>462</v>
      </c>
      <c r="I3833" s="1">
        <v>20</v>
      </c>
      <c r="J3833" s="4">
        <v>1108.8</v>
      </c>
      <c r="K3833" s="4">
        <v>568.4</v>
      </c>
      <c r="L3833" s="4">
        <v>540.4</v>
      </c>
      <c r="M3833" s="1" t="str">
        <f>TEXT(Table1[[#This Row],[Order_Date]], "MMM")</f>
        <v>Nov</v>
      </c>
      <c r="N3833" s="1">
        <f>YEAR(Table1[[#This Row],[Order_Date]])</f>
        <v>2023</v>
      </c>
      <c r="O3833" s="7">
        <f>Table1[[#This Row],[Profit]]/Table1[[#This Row],[Total_Sales]]</f>
        <v>0.48737373737373735</v>
      </c>
    </row>
    <row r="3834" spans="1:15" x14ac:dyDescent="0.25">
      <c r="A3834" s="1">
        <v>3833</v>
      </c>
      <c r="B3834" s="2">
        <v>45060</v>
      </c>
      <c r="C3834" s="1" t="s">
        <v>16</v>
      </c>
      <c r="D3834" s="1" t="s">
        <v>13</v>
      </c>
      <c r="E3834" s="1" t="s">
        <v>14</v>
      </c>
      <c r="F3834" s="1" t="s">
        <v>18</v>
      </c>
      <c r="G3834" s="1">
        <v>8</v>
      </c>
      <c r="H3834" s="1">
        <v>845</v>
      </c>
      <c r="I3834" s="1">
        <v>0</v>
      </c>
      <c r="J3834" s="4">
        <v>6760</v>
      </c>
      <c r="K3834" s="4">
        <v>3700.13</v>
      </c>
      <c r="L3834" s="4">
        <v>3059.87</v>
      </c>
      <c r="M3834" s="1" t="str">
        <f>TEXT(Table1[[#This Row],[Order_Date]], "MMM")</f>
        <v>May</v>
      </c>
      <c r="N3834" s="1">
        <f>YEAR(Table1[[#This Row],[Order_Date]])</f>
        <v>2023</v>
      </c>
      <c r="O3834" s="7">
        <f>Table1[[#This Row],[Profit]]/Table1[[#This Row],[Total_Sales]]</f>
        <v>0.45264349112426033</v>
      </c>
    </row>
    <row r="3835" spans="1:15" x14ac:dyDescent="0.25">
      <c r="A3835" s="1">
        <v>3834</v>
      </c>
      <c r="B3835" s="2">
        <v>45550</v>
      </c>
      <c r="C3835" s="1" t="s">
        <v>19</v>
      </c>
      <c r="D3835" s="1" t="s">
        <v>22</v>
      </c>
      <c r="E3835" s="1" t="s">
        <v>44</v>
      </c>
      <c r="F3835" s="1" t="s">
        <v>40</v>
      </c>
      <c r="G3835" s="1">
        <v>2</v>
      </c>
      <c r="H3835" s="1">
        <v>641</v>
      </c>
      <c r="I3835" s="1">
        <v>10</v>
      </c>
      <c r="J3835" s="4">
        <v>1153.8</v>
      </c>
      <c r="K3835" s="4">
        <v>845.43</v>
      </c>
      <c r="L3835" s="4">
        <v>308.37</v>
      </c>
      <c r="M3835" s="1" t="str">
        <f>TEXT(Table1[[#This Row],[Order_Date]], "MMM")</f>
        <v>Sep</v>
      </c>
      <c r="N3835" s="1">
        <f>YEAR(Table1[[#This Row],[Order_Date]])</f>
        <v>2024</v>
      </c>
      <c r="O3835" s="7">
        <f>Table1[[#This Row],[Profit]]/Table1[[#This Row],[Total_Sales]]</f>
        <v>0.26726469058762353</v>
      </c>
    </row>
    <row r="3836" spans="1:15" x14ac:dyDescent="0.25">
      <c r="A3836" s="1">
        <v>3835</v>
      </c>
      <c r="B3836" s="2">
        <v>45352</v>
      </c>
      <c r="C3836" s="1" t="s">
        <v>12</v>
      </c>
      <c r="D3836" s="1" t="s">
        <v>20</v>
      </c>
      <c r="E3836" s="1" t="s">
        <v>43</v>
      </c>
      <c r="F3836" s="1" t="s">
        <v>24</v>
      </c>
      <c r="G3836" s="1">
        <v>3</v>
      </c>
      <c r="H3836" s="1">
        <v>874</v>
      </c>
      <c r="I3836" s="1">
        <v>0</v>
      </c>
      <c r="J3836" s="4">
        <v>2622</v>
      </c>
      <c r="K3836" s="4">
        <v>1351.05</v>
      </c>
      <c r="L3836" s="4">
        <v>1270.95</v>
      </c>
      <c r="M3836" s="1" t="str">
        <f>TEXT(Table1[[#This Row],[Order_Date]], "MMM")</f>
        <v>Mar</v>
      </c>
      <c r="N3836" s="1">
        <f>YEAR(Table1[[#This Row],[Order_Date]])</f>
        <v>2024</v>
      </c>
      <c r="O3836" s="7">
        <f>Table1[[#This Row],[Profit]]/Table1[[#This Row],[Total_Sales]]</f>
        <v>0.48472540045766593</v>
      </c>
    </row>
    <row r="3837" spans="1:15" x14ac:dyDescent="0.25">
      <c r="A3837" s="1">
        <v>3836</v>
      </c>
      <c r="B3837" s="2">
        <v>45029</v>
      </c>
      <c r="C3837" s="1" t="s">
        <v>12</v>
      </c>
      <c r="D3837" s="1" t="s">
        <v>26</v>
      </c>
      <c r="E3837" s="1" t="s">
        <v>37</v>
      </c>
      <c r="F3837" s="1" t="s">
        <v>31</v>
      </c>
      <c r="G3837" s="1">
        <v>3</v>
      </c>
      <c r="H3837" s="1">
        <v>179</v>
      </c>
      <c r="I3837" s="1">
        <v>10</v>
      </c>
      <c r="J3837" s="4">
        <v>483.3</v>
      </c>
      <c r="K3837" s="4">
        <v>277.48</v>
      </c>
      <c r="L3837" s="4">
        <v>205.82</v>
      </c>
      <c r="M3837" s="1" t="str">
        <f>TEXT(Table1[[#This Row],[Order_Date]], "MMM")</f>
        <v>Apr</v>
      </c>
      <c r="N3837" s="1">
        <f>YEAR(Table1[[#This Row],[Order_Date]])</f>
        <v>2023</v>
      </c>
      <c r="O3837" s="7">
        <f>Table1[[#This Row],[Profit]]/Table1[[#This Row],[Total_Sales]]</f>
        <v>0.42586385267949511</v>
      </c>
    </row>
    <row r="3838" spans="1:15" x14ac:dyDescent="0.25">
      <c r="A3838" s="1">
        <v>3837</v>
      </c>
      <c r="B3838" s="2">
        <v>45286</v>
      </c>
      <c r="C3838" s="1" t="s">
        <v>19</v>
      </c>
      <c r="D3838" s="1" t="s">
        <v>20</v>
      </c>
      <c r="E3838" s="1" t="s">
        <v>30</v>
      </c>
      <c r="F3838" s="1" t="s">
        <v>35</v>
      </c>
      <c r="G3838" s="1">
        <v>8</v>
      </c>
      <c r="H3838" s="1">
        <v>417</v>
      </c>
      <c r="I3838" s="1">
        <v>15</v>
      </c>
      <c r="J3838" s="4">
        <v>2835.6</v>
      </c>
      <c r="K3838" s="4">
        <v>1722.97</v>
      </c>
      <c r="L3838" s="4">
        <v>1112.6300000000001</v>
      </c>
      <c r="M3838" s="1" t="str">
        <f>TEXT(Table1[[#This Row],[Order_Date]], "MMM")</f>
        <v>Dec</v>
      </c>
      <c r="N3838" s="1">
        <f>YEAR(Table1[[#This Row],[Order_Date]])</f>
        <v>2023</v>
      </c>
      <c r="O3838" s="7">
        <f>Table1[[#This Row],[Profit]]/Table1[[#This Row],[Total_Sales]]</f>
        <v>0.39237903794611373</v>
      </c>
    </row>
    <row r="3839" spans="1:15" x14ac:dyDescent="0.25">
      <c r="A3839" s="1">
        <v>3838</v>
      </c>
      <c r="B3839" s="2">
        <v>44945</v>
      </c>
      <c r="C3839" s="1" t="s">
        <v>16</v>
      </c>
      <c r="D3839" s="1" t="s">
        <v>20</v>
      </c>
      <c r="E3839" s="1" t="s">
        <v>21</v>
      </c>
      <c r="F3839" s="1" t="s">
        <v>15</v>
      </c>
      <c r="G3839" s="1">
        <v>5</v>
      </c>
      <c r="H3839" s="1">
        <v>544</v>
      </c>
      <c r="I3839" s="1">
        <v>15</v>
      </c>
      <c r="J3839" s="4">
        <v>2312</v>
      </c>
      <c r="K3839" s="4">
        <v>1173.92</v>
      </c>
      <c r="L3839" s="4">
        <v>1138.08</v>
      </c>
      <c r="M3839" s="1" t="str">
        <f>TEXT(Table1[[#This Row],[Order_Date]], "MMM")</f>
        <v>Jan</v>
      </c>
      <c r="N3839" s="1">
        <f>YEAR(Table1[[#This Row],[Order_Date]])</f>
        <v>2023</v>
      </c>
      <c r="O3839" s="7">
        <f>Table1[[#This Row],[Profit]]/Table1[[#This Row],[Total_Sales]]</f>
        <v>0.49224913494809686</v>
      </c>
    </row>
    <row r="3840" spans="1:15" x14ac:dyDescent="0.25">
      <c r="A3840" s="1">
        <v>3839</v>
      </c>
      <c r="B3840" s="2">
        <v>45168</v>
      </c>
      <c r="C3840" s="1" t="s">
        <v>16</v>
      </c>
      <c r="D3840" s="1" t="s">
        <v>22</v>
      </c>
      <c r="E3840" s="1" t="s">
        <v>36</v>
      </c>
      <c r="F3840" s="1" t="s">
        <v>31</v>
      </c>
      <c r="G3840" s="1">
        <v>4</v>
      </c>
      <c r="H3840" s="1">
        <v>520</v>
      </c>
      <c r="I3840" s="1">
        <v>5</v>
      </c>
      <c r="J3840" s="4">
        <v>1976</v>
      </c>
      <c r="K3840" s="4">
        <v>1130.48</v>
      </c>
      <c r="L3840" s="4">
        <v>845.52</v>
      </c>
      <c r="M3840" s="1" t="str">
        <f>TEXT(Table1[[#This Row],[Order_Date]], "MMM")</f>
        <v>Aug</v>
      </c>
      <c r="N3840" s="1">
        <f>YEAR(Table1[[#This Row],[Order_Date]])</f>
        <v>2023</v>
      </c>
      <c r="O3840" s="7">
        <f>Table1[[#This Row],[Profit]]/Table1[[#This Row],[Total_Sales]]</f>
        <v>0.42789473684210527</v>
      </c>
    </row>
    <row r="3841" spans="1:15" x14ac:dyDescent="0.25">
      <c r="A3841" s="1">
        <v>3840</v>
      </c>
      <c r="B3841" s="2">
        <v>45457</v>
      </c>
      <c r="C3841" s="1" t="s">
        <v>12</v>
      </c>
      <c r="D3841" s="1" t="s">
        <v>32</v>
      </c>
      <c r="E3841" s="1" t="s">
        <v>45</v>
      </c>
      <c r="F3841" s="1" t="s">
        <v>35</v>
      </c>
      <c r="G3841" s="1">
        <v>1</v>
      </c>
      <c r="H3841" s="1">
        <v>593</v>
      </c>
      <c r="I3841" s="1">
        <v>0</v>
      </c>
      <c r="J3841" s="4">
        <v>593</v>
      </c>
      <c r="K3841" s="4">
        <v>312.26</v>
      </c>
      <c r="L3841" s="4">
        <v>280.74</v>
      </c>
      <c r="M3841" s="1" t="str">
        <f>TEXT(Table1[[#This Row],[Order_Date]], "MMM")</f>
        <v>Jun</v>
      </c>
      <c r="N3841" s="1">
        <f>YEAR(Table1[[#This Row],[Order_Date]])</f>
        <v>2024</v>
      </c>
      <c r="O3841" s="7">
        <f>Table1[[#This Row],[Profit]]/Table1[[#This Row],[Total_Sales]]</f>
        <v>0.47342327150084318</v>
      </c>
    </row>
    <row r="3842" spans="1:15" x14ac:dyDescent="0.25">
      <c r="A3842" s="1">
        <v>3841</v>
      </c>
      <c r="B3842" s="2">
        <v>45484</v>
      </c>
      <c r="C3842" s="1" t="s">
        <v>16</v>
      </c>
      <c r="D3842" s="1" t="s">
        <v>20</v>
      </c>
      <c r="E3842" s="1" t="s">
        <v>28</v>
      </c>
      <c r="F3842" s="1" t="s">
        <v>35</v>
      </c>
      <c r="G3842" s="1">
        <v>3</v>
      </c>
      <c r="H3842" s="1">
        <v>451</v>
      </c>
      <c r="I3842" s="1">
        <v>20</v>
      </c>
      <c r="J3842" s="4">
        <v>1082.4000000000001</v>
      </c>
      <c r="K3842" s="4">
        <v>836.37</v>
      </c>
      <c r="L3842" s="4">
        <v>246.03</v>
      </c>
      <c r="M3842" s="1" t="str">
        <f>TEXT(Table1[[#This Row],[Order_Date]], "MMM")</f>
        <v>Jul</v>
      </c>
      <c r="N3842" s="1">
        <f>YEAR(Table1[[#This Row],[Order_Date]])</f>
        <v>2024</v>
      </c>
      <c r="O3842" s="7">
        <f>Table1[[#This Row],[Profit]]/Table1[[#This Row],[Total_Sales]]</f>
        <v>0.22730044345898004</v>
      </c>
    </row>
    <row r="3843" spans="1:15" x14ac:dyDescent="0.25">
      <c r="A3843" s="1">
        <v>3842</v>
      </c>
      <c r="B3843" s="2">
        <v>45500</v>
      </c>
      <c r="C3843" s="1" t="s">
        <v>19</v>
      </c>
      <c r="D3843" s="1" t="s">
        <v>20</v>
      </c>
      <c r="E3843" s="1" t="s">
        <v>43</v>
      </c>
      <c r="F3843" s="1" t="s">
        <v>15</v>
      </c>
      <c r="G3843" s="1">
        <v>1</v>
      </c>
      <c r="H3843" s="1">
        <v>95</v>
      </c>
      <c r="I3843" s="1">
        <v>20</v>
      </c>
      <c r="J3843" s="4">
        <v>76</v>
      </c>
      <c r="K3843" s="4">
        <v>52.44</v>
      </c>
      <c r="L3843" s="4">
        <v>23.56</v>
      </c>
      <c r="M3843" s="1" t="str">
        <f>TEXT(Table1[[#This Row],[Order_Date]], "MMM")</f>
        <v>Jul</v>
      </c>
      <c r="N3843" s="1">
        <f>YEAR(Table1[[#This Row],[Order_Date]])</f>
        <v>2024</v>
      </c>
      <c r="O3843" s="7">
        <f>Table1[[#This Row],[Profit]]/Table1[[#This Row],[Total_Sales]]</f>
        <v>0.31</v>
      </c>
    </row>
    <row r="3844" spans="1:15" x14ac:dyDescent="0.25">
      <c r="A3844" s="1">
        <v>3843</v>
      </c>
      <c r="B3844" s="2">
        <v>45562</v>
      </c>
      <c r="C3844" s="1" t="s">
        <v>19</v>
      </c>
      <c r="D3844" s="1" t="s">
        <v>13</v>
      </c>
      <c r="E3844" s="1" t="s">
        <v>17</v>
      </c>
      <c r="F3844" s="1" t="s">
        <v>24</v>
      </c>
      <c r="G3844" s="1">
        <v>2</v>
      </c>
      <c r="H3844" s="1">
        <v>266</v>
      </c>
      <c r="I3844" s="1">
        <v>0</v>
      </c>
      <c r="J3844" s="4">
        <v>532</v>
      </c>
      <c r="K3844" s="4">
        <v>389.29</v>
      </c>
      <c r="L3844" s="4">
        <v>142.71</v>
      </c>
      <c r="M3844" s="1" t="str">
        <f>TEXT(Table1[[#This Row],[Order_Date]], "MMM")</f>
        <v>Sep</v>
      </c>
      <c r="N3844" s="1">
        <f>YEAR(Table1[[#This Row],[Order_Date]])</f>
        <v>2024</v>
      </c>
      <c r="O3844" s="7">
        <f>Table1[[#This Row],[Profit]]/Table1[[#This Row],[Total_Sales]]</f>
        <v>0.26825187969924813</v>
      </c>
    </row>
    <row r="3845" spans="1:15" x14ac:dyDescent="0.25">
      <c r="A3845" s="1">
        <v>3844</v>
      </c>
      <c r="B3845" s="2">
        <v>45094</v>
      </c>
      <c r="C3845" s="1" t="s">
        <v>25</v>
      </c>
      <c r="D3845" s="1" t="s">
        <v>26</v>
      </c>
      <c r="E3845" s="1" t="s">
        <v>46</v>
      </c>
      <c r="F3845" s="1" t="s">
        <v>18</v>
      </c>
      <c r="G3845" s="1">
        <v>3</v>
      </c>
      <c r="H3845" s="1">
        <v>35</v>
      </c>
      <c r="I3845" s="1">
        <v>0</v>
      </c>
      <c r="J3845" s="4">
        <v>105</v>
      </c>
      <c r="K3845" s="4">
        <v>73.040000000000006</v>
      </c>
      <c r="L3845" s="4">
        <v>31.96</v>
      </c>
      <c r="M3845" s="1" t="str">
        <f>TEXT(Table1[[#This Row],[Order_Date]], "MMM")</f>
        <v>Jun</v>
      </c>
      <c r="N3845" s="1">
        <f>YEAR(Table1[[#This Row],[Order_Date]])</f>
        <v>2023</v>
      </c>
      <c r="O3845" s="7">
        <f>Table1[[#This Row],[Profit]]/Table1[[#This Row],[Total_Sales]]</f>
        <v>0.30438095238095236</v>
      </c>
    </row>
    <row r="3846" spans="1:15" x14ac:dyDescent="0.25">
      <c r="A3846" s="1">
        <v>3845</v>
      </c>
      <c r="B3846" s="2">
        <v>45285</v>
      </c>
      <c r="C3846" s="1" t="s">
        <v>12</v>
      </c>
      <c r="D3846" s="1" t="s">
        <v>32</v>
      </c>
      <c r="E3846" s="1" t="s">
        <v>33</v>
      </c>
      <c r="F3846" s="1" t="s">
        <v>35</v>
      </c>
      <c r="G3846" s="1">
        <v>8</v>
      </c>
      <c r="H3846" s="1">
        <v>260</v>
      </c>
      <c r="I3846" s="1">
        <v>10</v>
      </c>
      <c r="J3846" s="4">
        <v>1872</v>
      </c>
      <c r="K3846" s="4">
        <v>1189.17</v>
      </c>
      <c r="L3846" s="4">
        <v>682.83</v>
      </c>
      <c r="M3846" s="1" t="str">
        <f>TEXT(Table1[[#This Row],[Order_Date]], "MMM")</f>
        <v>Dec</v>
      </c>
      <c r="N3846" s="1">
        <f>YEAR(Table1[[#This Row],[Order_Date]])</f>
        <v>2023</v>
      </c>
      <c r="O3846" s="7">
        <f>Table1[[#This Row],[Profit]]/Table1[[#This Row],[Total_Sales]]</f>
        <v>0.36475961538461543</v>
      </c>
    </row>
    <row r="3847" spans="1:15" x14ac:dyDescent="0.25">
      <c r="A3847" s="1">
        <v>3846</v>
      </c>
      <c r="B3847" s="2">
        <v>45188</v>
      </c>
      <c r="C3847" s="1" t="s">
        <v>19</v>
      </c>
      <c r="D3847" s="1" t="s">
        <v>20</v>
      </c>
      <c r="E3847" s="1" t="s">
        <v>21</v>
      </c>
      <c r="F3847" s="1" t="s">
        <v>40</v>
      </c>
      <c r="G3847" s="1">
        <v>4</v>
      </c>
      <c r="H3847" s="1">
        <v>737</v>
      </c>
      <c r="I3847" s="1">
        <v>15</v>
      </c>
      <c r="J3847" s="4">
        <v>2505.8000000000002</v>
      </c>
      <c r="K3847" s="4">
        <v>1988.1</v>
      </c>
      <c r="L3847" s="4">
        <v>517.70000000000005</v>
      </c>
      <c r="M3847" s="1" t="str">
        <f>TEXT(Table1[[#This Row],[Order_Date]], "MMM")</f>
        <v>Sep</v>
      </c>
      <c r="N3847" s="1">
        <f>YEAR(Table1[[#This Row],[Order_Date]])</f>
        <v>2023</v>
      </c>
      <c r="O3847" s="7">
        <f>Table1[[#This Row],[Profit]]/Table1[[#This Row],[Total_Sales]]</f>
        <v>0.20660068640753451</v>
      </c>
    </row>
    <row r="3848" spans="1:15" x14ac:dyDescent="0.25">
      <c r="A3848" s="1">
        <v>3847</v>
      </c>
      <c r="B3848" s="2">
        <v>45022</v>
      </c>
      <c r="C3848" s="1" t="s">
        <v>19</v>
      </c>
      <c r="D3848" s="1" t="s">
        <v>32</v>
      </c>
      <c r="E3848" s="1" t="s">
        <v>45</v>
      </c>
      <c r="F3848" s="1" t="s">
        <v>15</v>
      </c>
      <c r="G3848" s="1">
        <v>4</v>
      </c>
      <c r="H3848" s="1">
        <v>653</v>
      </c>
      <c r="I3848" s="1">
        <v>10</v>
      </c>
      <c r="J3848" s="4">
        <v>2350.8000000000002</v>
      </c>
      <c r="K3848" s="4">
        <v>1261.23</v>
      </c>
      <c r="L3848" s="4">
        <v>1089.57</v>
      </c>
      <c r="M3848" s="1" t="str">
        <f>TEXT(Table1[[#This Row],[Order_Date]], "MMM")</f>
        <v>Apr</v>
      </c>
      <c r="N3848" s="1">
        <f>YEAR(Table1[[#This Row],[Order_Date]])</f>
        <v>2023</v>
      </c>
      <c r="O3848" s="7">
        <f>Table1[[#This Row],[Profit]]/Table1[[#This Row],[Total_Sales]]</f>
        <v>0.46348902501276157</v>
      </c>
    </row>
    <row r="3849" spans="1:15" x14ac:dyDescent="0.25">
      <c r="A3849" s="1">
        <v>3848</v>
      </c>
      <c r="B3849" s="2">
        <v>45445</v>
      </c>
      <c r="C3849" s="1" t="s">
        <v>12</v>
      </c>
      <c r="D3849" s="1" t="s">
        <v>22</v>
      </c>
      <c r="E3849" s="1" t="s">
        <v>29</v>
      </c>
      <c r="F3849" s="1" t="s">
        <v>35</v>
      </c>
      <c r="G3849" s="1">
        <v>4</v>
      </c>
      <c r="H3849" s="1">
        <v>523</v>
      </c>
      <c r="I3849" s="1">
        <v>5</v>
      </c>
      <c r="J3849" s="4">
        <v>1987.4</v>
      </c>
      <c r="K3849" s="4">
        <v>1146.6099999999999</v>
      </c>
      <c r="L3849" s="4">
        <v>840.79</v>
      </c>
      <c r="M3849" s="1" t="str">
        <f>TEXT(Table1[[#This Row],[Order_Date]], "MMM")</f>
        <v>Jun</v>
      </c>
      <c r="N3849" s="1">
        <f>YEAR(Table1[[#This Row],[Order_Date]])</f>
        <v>2024</v>
      </c>
      <c r="O3849" s="7">
        <f>Table1[[#This Row],[Profit]]/Table1[[#This Row],[Total_Sales]]</f>
        <v>0.42306027976250371</v>
      </c>
    </row>
    <row r="3850" spans="1:15" x14ac:dyDescent="0.25">
      <c r="A3850" s="1">
        <v>3849</v>
      </c>
      <c r="B3850" s="2">
        <v>45345</v>
      </c>
      <c r="C3850" s="1" t="s">
        <v>16</v>
      </c>
      <c r="D3850" s="1" t="s">
        <v>22</v>
      </c>
      <c r="E3850" s="1" t="s">
        <v>23</v>
      </c>
      <c r="F3850" s="1" t="s">
        <v>18</v>
      </c>
      <c r="G3850" s="1">
        <v>10</v>
      </c>
      <c r="H3850" s="1">
        <v>243</v>
      </c>
      <c r="I3850" s="1">
        <v>10</v>
      </c>
      <c r="J3850" s="4">
        <v>2187</v>
      </c>
      <c r="K3850" s="4">
        <v>1487.27</v>
      </c>
      <c r="L3850" s="4">
        <v>699.73</v>
      </c>
      <c r="M3850" s="1" t="str">
        <f>TEXT(Table1[[#This Row],[Order_Date]], "MMM")</f>
        <v>Feb</v>
      </c>
      <c r="N3850" s="1">
        <f>YEAR(Table1[[#This Row],[Order_Date]])</f>
        <v>2024</v>
      </c>
      <c r="O3850" s="7">
        <f>Table1[[#This Row],[Profit]]/Table1[[#This Row],[Total_Sales]]</f>
        <v>0.31994970278920898</v>
      </c>
    </row>
    <row r="3851" spans="1:15" x14ac:dyDescent="0.25">
      <c r="A3851" s="1">
        <v>3850</v>
      </c>
      <c r="B3851" s="2">
        <v>45378</v>
      </c>
      <c r="C3851" s="1" t="s">
        <v>19</v>
      </c>
      <c r="D3851" s="1" t="s">
        <v>26</v>
      </c>
      <c r="E3851" s="1" t="s">
        <v>46</v>
      </c>
      <c r="F3851" s="1" t="s">
        <v>35</v>
      </c>
      <c r="G3851" s="1">
        <v>2</v>
      </c>
      <c r="H3851" s="1">
        <v>679</v>
      </c>
      <c r="I3851" s="1">
        <v>10</v>
      </c>
      <c r="J3851" s="4">
        <v>1222.2</v>
      </c>
      <c r="K3851" s="4">
        <v>925.98</v>
      </c>
      <c r="L3851" s="4">
        <v>296.22000000000003</v>
      </c>
      <c r="M3851" s="1" t="str">
        <f>TEXT(Table1[[#This Row],[Order_Date]], "MMM")</f>
        <v>Mar</v>
      </c>
      <c r="N3851" s="1">
        <f>YEAR(Table1[[#This Row],[Order_Date]])</f>
        <v>2024</v>
      </c>
      <c r="O3851" s="7">
        <f>Table1[[#This Row],[Profit]]/Table1[[#This Row],[Total_Sales]]</f>
        <v>0.24236622484045167</v>
      </c>
    </row>
    <row r="3852" spans="1:15" x14ac:dyDescent="0.25">
      <c r="A3852" s="1">
        <v>3851</v>
      </c>
      <c r="B3852" s="2">
        <v>45091</v>
      </c>
      <c r="C3852" s="1" t="s">
        <v>19</v>
      </c>
      <c r="D3852" s="1" t="s">
        <v>32</v>
      </c>
      <c r="E3852" s="1" t="s">
        <v>41</v>
      </c>
      <c r="F3852" s="1" t="s">
        <v>24</v>
      </c>
      <c r="G3852" s="1">
        <v>9</v>
      </c>
      <c r="H3852" s="1">
        <v>921</v>
      </c>
      <c r="I3852" s="1">
        <v>0</v>
      </c>
      <c r="J3852" s="4">
        <v>8289</v>
      </c>
      <c r="K3852" s="4">
        <v>5945.96</v>
      </c>
      <c r="L3852" s="4">
        <v>2343.04</v>
      </c>
      <c r="M3852" s="1" t="str">
        <f>TEXT(Table1[[#This Row],[Order_Date]], "MMM")</f>
        <v>Jun</v>
      </c>
      <c r="N3852" s="1">
        <f>YEAR(Table1[[#This Row],[Order_Date]])</f>
        <v>2023</v>
      </c>
      <c r="O3852" s="7">
        <f>Table1[[#This Row],[Profit]]/Table1[[#This Row],[Total_Sales]]</f>
        <v>0.2826685969356979</v>
      </c>
    </row>
    <row r="3853" spans="1:15" x14ac:dyDescent="0.25">
      <c r="A3853" s="1">
        <v>3852</v>
      </c>
      <c r="B3853" s="2">
        <v>45552</v>
      </c>
      <c r="C3853" s="1" t="s">
        <v>25</v>
      </c>
      <c r="D3853" s="1" t="s">
        <v>32</v>
      </c>
      <c r="E3853" s="1" t="s">
        <v>41</v>
      </c>
      <c r="F3853" s="1" t="s">
        <v>35</v>
      </c>
      <c r="G3853" s="1">
        <v>3</v>
      </c>
      <c r="H3853" s="1">
        <v>221</v>
      </c>
      <c r="I3853" s="1">
        <v>5</v>
      </c>
      <c r="J3853" s="4">
        <v>629.85</v>
      </c>
      <c r="K3853" s="4">
        <v>372.37</v>
      </c>
      <c r="L3853" s="4">
        <v>257.48</v>
      </c>
      <c r="M3853" s="1" t="str">
        <f>TEXT(Table1[[#This Row],[Order_Date]], "MMM")</f>
        <v>Sep</v>
      </c>
      <c r="N3853" s="1">
        <f>YEAR(Table1[[#This Row],[Order_Date]])</f>
        <v>2024</v>
      </c>
      <c r="O3853" s="7">
        <f>Table1[[#This Row],[Profit]]/Table1[[#This Row],[Total_Sales]]</f>
        <v>0.40879574501865523</v>
      </c>
    </row>
    <row r="3854" spans="1:15" x14ac:dyDescent="0.25">
      <c r="A3854" s="1">
        <v>3853</v>
      </c>
      <c r="B3854" s="2">
        <v>45094</v>
      </c>
      <c r="C3854" s="1" t="s">
        <v>19</v>
      </c>
      <c r="D3854" s="1" t="s">
        <v>32</v>
      </c>
      <c r="E3854" s="1" t="s">
        <v>33</v>
      </c>
      <c r="F3854" s="1" t="s">
        <v>31</v>
      </c>
      <c r="G3854" s="1">
        <v>1</v>
      </c>
      <c r="H3854" s="1">
        <v>430</v>
      </c>
      <c r="I3854" s="1">
        <v>20</v>
      </c>
      <c r="J3854" s="4">
        <v>344</v>
      </c>
      <c r="K3854" s="4">
        <v>237.33</v>
      </c>
      <c r="L3854" s="4">
        <v>106.67</v>
      </c>
      <c r="M3854" s="1" t="str">
        <f>TEXT(Table1[[#This Row],[Order_Date]], "MMM")</f>
        <v>Jun</v>
      </c>
      <c r="N3854" s="1">
        <f>YEAR(Table1[[#This Row],[Order_Date]])</f>
        <v>2023</v>
      </c>
      <c r="O3854" s="7">
        <f>Table1[[#This Row],[Profit]]/Table1[[#This Row],[Total_Sales]]</f>
        <v>0.31008720930232558</v>
      </c>
    </row>
    <row r="3855" spans="1:15" x14ac:dyDescent="0.25">
      <c r="A3855" s="1">
        <v>3854</v>
      </c>
      <c r="B3855" s="2">
        <v>45521</v>
      </c>
      <c r="C3855" s="1" t="s">
        <v>25</v>
      </c>
      <c r="D3855" s="1" t="s">
        <v>22</v>
      </c>
      <c r="E3855" s="1" t="s">
        <v>44</v>
      </c>
      <c r="F3855" s="1" t="s">
        <v>24</v>
      </c>
      <c r="G3855" s="1">
        <v>7</v>
      </c>
      <c r="H3855" s="1">
        <v>265</v>
      </c>
      <c r="I3855" s="1">
        <v>15</v>
      </c>
      <c r="J3855" s="4">
        <v>1576.75</v>
      </c>
      <c r="K3855" s="4">
        <v>804.74</v>
      </c>
      <c r="L3855" s="4">
        <v>772.01</v>
      </c>
      <c r="M3855" s="1" t="str">
        <f>TEXT(Table1[[#This Row],[Order_Date]], "MMM")</f>
        <v>Aug</v>
      </c>
      <c r="N3855" s="1">
        <f>YEAR(Table1[[#This Row],[Order_Date]])</f>
        <v>2024</v>
      </c>
      <c r="O3855" s="7">
        <f>Table1[[#This Row],[Profit]]/Table1[[#This Row],[Total_Sales]]</f>
        <v>0.48962105596955763</v>
      </c>
    </row>
    <row r="3856" spans="1:15" x14ac:dyDescent="0.25">
      <c r="A3856" s="1">
        <v>3855</v>
      </c>
      <c r="B3856" s="2">
        <v>45646</v>
      </c>
      <c r="C3856" s="1" t="s">
        <v>25</v>
      </c>
      <c r="D3856" s="1" t="s">
        <v>13</v>
      </c>
      <c r="E3856" s="1" t="s">
        <v>38</v>
      </c>
      <c r="F3856" s="1" t="s">
        <v>15</v>
      </c>
      <c r="G3856" s="1">
        <v>2</v>
      </c>
      <c r="H3856" s="1">
        <v>666</v>
      </c>
      <c r="I3856" s="1">
        <v>20</v>
      </c>
      <c r="J3856" s="4">
        <v>1065.5999999999999</v>
      </c>
      <c r="K3856" s="4">
        <v>849.27</v>
      </c>
      <c r="L3856" s="4">
        <v>216.33</v>
      </c>
      <c r="M3856" s="1" t="str">
        <f>TEXT(Table1[[#This Row],[Order_Date]], "MMM")</f>
        <v>Dec</v>
      </c>
      <c r="N3856" s="1">
        <f>YEAR(Table1[[#This Row],[Order_Date]])</f>
        <v>2024</v>
      </c>
      <c r="O3856" s="7">
        <f>Table1[[#This Row],[Profit]]/Table1[[#This Row],[Total_Sales]]</f>
        <v>0.20301238738738742</v>
      </c>
    </row>
    <row r="3857" spans="1:15" x14ac:dyDescent="0.25">
      <c r="A3857" s="1">
        <v>3856</v>
      </c>
      <c r="B3857" s="2">
        <v>45494</v>
      </c>
      <c r="C3857" s="1" t="s">
        <v>16</v>
      </c>
      <c r="D3857" s="1" t="s">
        <v>32</v>
      </c>
      <c r="E3857" s="1" t="s">
        <v>41</v>
      </c>
      <c r="F3857" s="1" t="s">
        <v>15</v>
      </c>
      <c r="G3857" s="1">
        <v>4</v>
      </c>
      <c r="H3857" s="1">
        <v>911</v>
      </c>
      <c r="I3857" s="1">
        <v>20</v>
      </c>
      <c r="J3857" s="4">
        <v>2915.2</v>
      </c>
      <c r="K3857" s="4">
        <v>1610.31</v>
      </c>
      <c r="L3857" s="4">
        <v>1304.8900000000001</v>
      </c>
      <c r="M3857" s="1" t="str">
        <f>TEXT(Table1[[#This Row],[Order_Date]], "MMM")</f>
        <v>Jul</v>
      </c>
      <c r="N3857" s="1">
        <f>YEAR(Table1[[#This Row],[Order_Date]])</f>
        <v>2024</v>
      </c>
      <c r="O3857" s="7">
        <f>Table1[[#This Row],[Profit]]/Table1[[#This Row],[Total_Sales]]</f>
        <v>0.44761594401756316</v>
      </c>
    </row>
    <row r="3858" spans="1:15" x14ac:dyDescent="0.25">
      <c r="A3858" s="1">
        <v>3857</v>
      </c>
      <c r="B3858" s="2">
        <v>45522</v>
      </c>
      <c r="C3858" s="1" t="s">
        <v>25</v>
      </c>
      <c r="D3858" s="1" t="s">
        <v>26</v>
      </c>
      <c r="E3858" s="1" t="s">
        <v>27</v>
      </c>
      <c r="F3858" s="1" t="s">
        <v>15</v>
      </c>
      <c r="G3858" s="1">
        <v>1</v>
      </c>
      <c r="H3858" s="1">
        <v>320</v>
      </c>
      <c r="I3858" s="1">
        <v>5</v>
      </c>
      <c r="J3858" s="4">
        <v>304</v>
      </c>
      <c r="K3858" s="4">
        <v>209.33</v>
      </c>
      <c r="L3858" s="4">
        <v>94.67</v>
      </c>
      <c r="M3858" s="1" t="str">
        <f>TEXT(Table1[[#This Row],[Order_Date]], "MMM")</f>
        <v>Aug</v>
      </c>
      <c r="N3858" s="1">
        <f>YEAR(Table1[[#This Row],[Order_Date]])</f>
        <v>2024</v>
      </c>
      <c r="O3858" s="7">
        <f>Table1[[#This Row],[Profit]]/Table1[[#This Row],[Total_Sales]]</f>
        <v>0.31141447368421055</v>
      </c>
    </row>
    <row r="3859" spans="1:15" x14ac:dyDescent="0.25">
      <c r="A3859" s="1">
        <v>3858</v>
      </c>
      <c r="B3859" s="2">
        <v>45629</v>
      </c>
      <c r="C3859" s="1" t="s">
        <v>25</v>
      </c>
      <c r="D3859" s="1" t="s">
        <v>13</v>
      </c>
      <c r="E3859" s="1" t="s">
        <v>17</v>
      </c>
      <c r="F3859" s="1" t="s">
        <v>40</v>
      </c>
      <c r="G3859" s="1">
        <v>6</v>
      </c>
      <c r="H3859" s="1">
        <v>849</v>
      </c>
      <c r="I3859" s="1">
        <v>15</v>
      </c>
      <c r="J3859" s="4">
        <v>4329.8999999999996</v>
      </c>
      <c r="K3859" s="4">
        <v>2538.12</v>
      </c>
      <c r="L3859" s="4">
        <v>1791.78</v>
      </c>
      <c r="M3859" s="1" t="str">
        <f>TEXT(Table1[[#This Row],[Order_Date]], "MMM")</f>
        <v>Dec</v>
      </c>
      <c r="N3859" s="1">
        <f>YEAR(Table1[[#This Row],[Order_Date]])</f>
        <v>2024</v>
      </c>
      <c r="O3859" s="7">
        <f>Table1[[#This Row],[Profit]]/Table1[[#This Row],[Total_Sales]]</f>
        <v>0.41381556156031318</v>
      </c>
    </row>
    <row r="3860" spans="1:15" x14ac:dyDescent="0.25">
      <c r="A3860" s="1">
        <v>3859</v>
      </c>
      <c r="B3860" s="2">
        <v>45248</v>
      </c>
      <c r="C3860" s="1" t="s">
        <v>19</v>
      </c>
      <c r="D3860" s="1" t="s">
        <v>26</v>
      </c>
      <c r="E3860" s="1" t="s">
        <v>27</v>
      </c>
      <c r="F3860" s="1" t="s">
        <v>40</v>
      </c>
      <c r="G3860" s="1">
        <v>5</v>
      </c>
      <c r="H3860" s="1">
        <v>769</v>
      </c>
      <c r="I3860" s="1">
        <v>0</v>
      </c>
      <c r="J3860" s="4">
        <v>3845</v>
      </c>
      <c r="K3860" s="4">
        <v>2751.35</v>
      </c>
      <c r="L3860" s="4">
        <v>1093.6500000000001</v>
      </c>
      <c r="M3860" s="1" t="str">
        <f>TEXT(Table1[[#This Row],[Order_Date]], "MMM")</f>
        <v>Nov</v>
      </c>
      <c r="N3860" s="1">
        <f>YEAR(Table1[[#This Row],[Order_Date]])</f>
        <v>2023</v>
      </c>
      <c r="O3860" s="7">
        <f>Table1[[#This Row],[Profit]]/Table1[[#This Row],[Total_Sales]]</f>
        <v>0.28443433029908977</v>
      </c>
    </row>
    <row r="3861" spans="1:15" x14ac:dyDescent="0.25">
      <c r="A3861" s="1">
        <v>3860</v>
      </c>
      <c r="B3861" s="2">
        <v>45125</v>
      </c>
      <c r="C3861" s="1" t="s">
        <v>16</v>
      </c>
      <c r="D3861" s="1" t="s">
        <v>26</v>
      </c>
      <c r="E3861" s="1" t="s">
        <v>42</v>
      </c>
      <c r="F3861" s="1" t="s">
        <v>15</v>
      </c>
      <c r="G3861" s="1">
        <v>8</v>
      </c>
      <c r="H3861" s="1">
        <v>290</v>
      </c>
      <c r="I3861" s="1">
        <v>0</v>
      </c>
      <c r="J3861" s="4">
        <v>2320</v>
      </c>
      <c r="K3861" s="4">
        <v>1386.6</v>
      </c>
      <c r="L3861" s="4">
        <v>933.4</v>
      </c>
      <c r="M3861" s="1" t="str">
        <f>TEXT(Table1[[#This Row],[Order_Date]], "MMM")</f>
        <v>Jul</v>
      </c>
      <c r="N3861" s="1">
        <f>YEAR(Table1[[#This Row],[Order_Date]])</f>
        <v>2023</v>
      </c>
      <c r="O3861" s="7">
        <f>Table1[[#This Row],[Profit]]/Table1[[#This Row],[Total_Sales]]</f>
        <v>0.40232758620689651</v>
      </c>
    </row>
    <row r="3862" spans="1:15" x14ac:dyDescent="0.25">
      <c r="A3862" s="1">
        <v>3861</v>
      </c>
      <c r="B3862" s="2">
        <v>45388</v>
      </c>
      <c r="C3862" s="1" t="s">
        <v>25</v>
      </c>
      <c r="D3862" s="1" t="s">
        <v>22</v>
      </c>
      <c r="E3862" s="1" t="s">
        <v>23</v>
      </c>
      <c r="F3862" s="1" t="s">
        <v>18</v>
      </c>
      <c r="G3862" s="1">
        <v>7</v>
      </c>
      <c r="H3862" s="1">
        <v>710</v>
      </c>
      <c r="I3862" s="1">
        <v>0</v>
      </c>
      <c r="J3862" s="4">
        <v>4970</v>
      </c>
      <c r="K3862" s="4">
        <v>3053.12</v>
      </c>
      <c r="L3862" s="4">
        <v>1916.88</v>
      </c>
      <c r="M3862" s="1" t="str">
        <f>TEXT(Table1[[#This Row],[Order_Date]], "MMM")</f>
        <v>Apr</v>
      </c>
      <c r="N3862" s="1">
        <f>YEAR(Table1[[#This Row],[Order_Date]])</f>
        <v>2024</v>
      </c>
      <c r="O3862" s="7">
        <f>Table1[[#This Row],[Profit]]/Table1[[#This Row],[Total_Sales]]</f>
        <v>0.38569014084507042</v>
      </c>
    </row>
    <row r="3863" spans="1:15" x14ac:dyDescent="0.25">
      <c r="A3863" s="1">
        <v>3862</v>
      </c>
      <c r="B3863" s="2">
        <v>45629</v>
      </c>
      <c r="C3863" s="1" t="s">
        <v>16</v>
      </c>
      <c r="D3863" s="1" t="s">
        <v>22</v>
      </c>
      <c r="E3863" s="1" t="s">
        <v>36</v>
      </c>
      <c r="F3863" s="1" t="s">
        <v>35</v>
      </c>
      <c r="G3863" s="1">
        <v>9</v>
      </c>
      <c r="H3863" s="1">
        <v>493</v>
      </c>
      <c r="I3863" s="1">
        <v>0</v>
      </c>
      <c r="J3863" s="4">
        <v>4437</v>
      </c>
      <c r="K3863" s="4">
        <v>3186.49</v>
      </c>
      <c r="L3863" s="4">
        <v>1250.51</v>
      </c>
      <c r="M3863" s="1" t="str">
        <f>TEXT(Table1[[#This Row],[Order_Date]], "MMM")</f>
        <v>Dec</v>
      </c>
      <c r="N3863" s="1">
        <f>YEAR(Table1[[#This Row],[Order_Date]])</f>
        <v>2024</v>
      </c>
      <c r="O3863" s="7">
        <f>Table1[[#This Row],[Profit]]/Table1[[#This Row],[Total_Sales]]</f>
        <v>0.28183682668469684</v>
      </c>
    </row>
    <row r="3864" spans="1:15" x14ac:dyDescent="0.25">
      <c r="A3864" s="1">
        <v>3863</v>
      </c>
      <c r="B3864" s="2">
        <v>45513</v>
      </c>
      <c r="C3864" s="1" t="s">
        <v>25</v>
      </c>
      <c r="D3864" s="1" t="s">
        <v>13</v>
      </c>
      <c r="E3864" s="1" t="s">
        <v>17</v>
      </c>
      <c r="F3864" s="1" t="s">
        <v>15</v>
      </c>
      <c r="G3864" s="1">
        <v>6</v>
      </c>
      <c r="H3864" s="1">
        <v>977</v>
      </c>
      <c r="I3864" s="1">
        <v>10</v>
      </c>
      <c r="J3864" s="4">
        <v>5275.8</v>
      </c>
      <c r="K3864" s="4">
        <v>3636.83</v>
      </c>
      <c r="L3864" s="4">
        <v>1638.97</v>
      </c>
      <c r="M3864" s="1" t="str">
        <f>TEXT(Table1[[#This Row],[Order_Date]], "MMM")</f>
        <v>Aug</v>
      </c>
      <c r="N3864" s="1">
        <f>YEAR(Table1[[#This Row],[Order_Date]])</f>
        <v>2024</v>
      </c>
      <c r="O3864" s="7">
        <f>Table1[[#This Row],[Profit]]/Table1[[#This Row],[Total_Sales]]</f>
        <v>0.31065809924561205</v>
      </c>
    </row>
    <row r="3865" spans="1:15" x14ac:dyDescent="0.25">
      <c r="A3865" s="1">
        <v>3864</v>
      </c>
      <c r="B3865" s="2">
        <v>45003</v>
      </c>
      <c r="C3865" s="1" t="s">
        <v>12</v>
      </c>
      <c r="D3865" s="1" t="s">
        <v>13</v>
      </c>
      <c r="E3865" s="1" t="s">
        <v>17</v>
      </c>
      <c r="F3865" s="1" t="s">
        <v>31</v>
      </c>
      <c r="G3865" s="1">
        <v>10</v>
      </c>
      <c r="H3865" s="1">
        <v>684</v>
      </c>
      <c r="I3865" s="1">
        <v>5</v>
      </c>
      <c r="J3865" s="4">
        <v>6498</v>
      </c>
      <c r="K3865" s="4">
        <v>3966.48</v>
      </c>
      <c r="L3865" s="4">
        <v>2531.52</v>
      </c>
      <c r="M3865" s="1" t="str">
        <f>TEXT(Table1[[#This Row],[Order_Date]], "MMM")</f>
        <v>Mar</v>
      </c>
      <c r="N3865" s="1">
        <f>YEAR(Table1[[#This Row],[Order_Date]])</f>
        <v>2023</v>
      </c>
      <c r="O3865" s="7">
        <f>Table1[[#This Row],[Profit]]/Table1[[#This Row],[Total_Sales]]</f>
        <v>0.38958448753462604</v>
      </c>
    </row>
    <row r="3866" spans="1:15" x14ac:dyDescent="0.25">
      <c r="A3866" s="1">
        <v>3865</v>
      </c>
      <c r="B3866" s="2">
        <v>44999</v>
      </c>
      <c r="C3866" s="1" t="s">
        <v>16</v>
      </c>
      <c r="D3866" s="1" t="s">
        <v>32</v>
      </c>
      <c r="E3866" s="1" t="s">
        <v>34</v>
      </c>
      <c r="F3866" s="1" t="s">
        <v>24</v>
      </c>
      <c r="G3866" s="1">
        <v>8</v>
      </c>
      <c r="H3866" s="1">
        <v>300</v>
      </c>
      <c r="I3866" s="1">
        <v>15</v>
      </c>
      <c r="J3866" s="4">
        <v>2040</v>
      </c>
      <c r="K3866" s="4">
        <v>1112.05</v>
      </c>
      <c r="L3866" s="4">
        <v>927.95</v>
      </c>
      <c r="M3866" s="1" t="str">
        <f>TEXT(Table1[[#This Row],[Order_Date]], "MMM")</f>
        <v>Mar</v>
      </c>
      <c r="N3866" s="1">
        <f>YEAR(Table1[[#This Row],[Order_Date]])</f>
        <v>2023</v>
      </c>
      <c r="O3866" s="7">
        <f>Table1[[#This Row],[Profit]]/Table1[[#This Row],[Total_Sales]]</f>
        <v>0.45487745098039217</v>
      </c>
    </row>
    <row r="3867" spans="1:15" x14ac:dyDescent="0.25">
      <c r="A3867" s="1">
        <v>3866</v>
      </c>
      <c r="B3867" s="2">
        <v>45284</v>
      </c>
      <c r="C3867" s="1" t="s">
        <v>12</v>
      </c>
      <c r="D3867" s="1" t="s">
        <v>20</v>
      </c>
      <c r="E3867" s="1" t="s">
        <v>30</v>
      </c>
      <c r="F3867" s="1" t="s">
        <v>31</v>
      </c>
      <c r="G3867" s="1">
        <v>1</v>
      </c>
      <c r="H3867" s="1">
        <v>225</v>
      </c>
      <c r="I3867" s="1">
        <v>20</v>
      </c>
      <c r="J3867" s="4">
        <v>180</v>
      </c>
      <c r="K3867" s="4">
        <v>112.47</v>
      </c>
      <c r="L3867" s="4">
        <v>67.53</v>
      </c>
      <c r="M3867" s="1" t="str">
        <f>TEXT(Table1[[#This Row],[Order_Date]], "MMM")</f>
        <v>Dec</v>
      </c>
      <c r="N3867" s="1">
        <f>YEAR(Table1[[#This Row],[Order_Date]])</f>
        <v>2023</v>
      </c>
      <c r="O3867" s="7">
        <f>Table1[[#This Row],[Profit]]/Table1[[#This Row],[Total_Sales]]</f>
        <v>0.37516666666666665</v>
      </c>
    </row>
    <row r="3868" spans="1:15" x14ac:dyDescent="0.25">
      <c r="A3868" s="1">
        <v>3867</v>
      </c>
      <c r="B3868" s="2">
        <v>45323</v>
      </c>
      <c r="C3868" s="1" t="s">
        <v>16</v>
      </c>
      <c r="D3868" s="1" t="s">
        <v>13</v>
      </c>
      <c r="E3868" s="1" t="s">
        <v>14</v>
      </c>
      <c r="F3868" s="1" t="s">
        <v>15</v>
      </c>
      <c r="G3868" s="1">
        <v>5</v>
      </c>
      <c r="H3868" s="1">
        <v>27</v>
      </c>
      <c r="I3868" s="1">
        <v>5</v>
      </c>
      <c r="J3868" s="4">
        <v>128.25</v>
      </c>
      <c r="K3868" s="4">
        <v>74.44</v>
      </c>
      <c r="L3868" s="4">
        <v>53.81</v>
      </c>
      <c r="M3868" s="1" t="str">
        <f>TEXT(Table1[[#This Row],[Order_Date]], "MMM")</f>
        <v>Feb</v>
      </c>
      <c r="N3868" s="1">
        <f>YEAR(Table1[[#This Row],[Order_Date]])</f>
        <v>2024</v>
      </c>
      <c r="O3868" s="7">
        <f>Table1[[#This Row],[Profit]]/Table1[[#This Row],[Total_Sales]]</f>
        <v>0.41957115009746593</v>
      </c>
    </row>
    <row r="3869" spans="1:15" x14ac:dyDescent="0.25">
      <c r="A3869" s="1">
        <v>3868</v>
      </c>
      <c r="B3869" s="2">
        <v>45206</v>
      </c>
      <c r="C3869" s="1" t="s">
        <v>25</v>
      </c>
      <c r="D3869" s="1" t="s">
        <v>20</v>
      </c>
      <c r="E3869" s="1" t="s">
        <v>30</v>
      </c>
      <c r="F3869" s="1" t="s">
        <v>31</v>
      </c>
      <c r="G3869" s="1">
        <v>10</v>
      </c>
      <c r="H3869" s="1">
        <v>208</v>
      </c>
      <c r="I3869" s="1">
        <v>10</v>
      </c>
      <c r="J3869" s="4">
        <v>1872</v>
      </c>
      <c r="K3869" s="4">
        <v>1256.78</v>
      </c>
      <c r="L3869" s="4">
        <v>615.22</v>
      </c>
      <c r="M3869" s="1" t="str">
        <f>TEXT(Table1[[#This Row],[Order_Date]], "MMM")</f>
        <v>Oct</v>
      </c>
      <c r="N3869" s="1">
        <f>YEAR(Table1[[#This Row],[Order_Date]])</f>
        <v>2023</v>
      </c>
      <c r="O3869" s="7">
        <f>Table1[[#This Row],[Profit]]/Table1[[#This Row],[Total_Sales]]</f>
        <v>0.32864316239316238</v>
      </c>
    </row>
    <row r="3870" spans="1:15" x14ac:dyDescent="0.25">
      <c r="A3870" s="1">
        <v>3869</v>
      </c>
      <c r="B3870" s="2">
        <v>45419</v>
      </c>
      <c r="C3870" s="1" t="s">
        <v>25</v>
      </c>
      <c r="D3870" s="1" t="s">
        <v>26</v>
      </c>
      <c r="E3870" s="1" t="s">
        <v>27</v>
      </c>
      <c r="F3870" s="1" t="s">
        <v>35</v>
      </c>
      <c r="G3870" s="1">
        <v>10</v>
      </c>
      <c r="H3870" s="1">
        <v>587</v>
      </c>
      <c r="I3870" s="1">
        <v>15</v>
      </c>
      <c r="J3870" s="4">
        <v>4989.5</v>
      </c>
      <c r="K3870" s="4">
        <v>2968.99</v>
      </c>
      <c r="L3870" s="4">
        <v>2020.51</v>
      </c>
      <c r="M3870" s="1" t="str">
        <f>TEXT(Table1[[#This Row],[Order_Date]], "MMM")</f>
        <v>May</v>
      </c>
      <c r="N3870" s="1">
        <f>YEAR(Table1[[#This Row],[Order_Date]])</f>
        <v>2024</v>
      </c>
      <c r="O3870" s="7">
        <f>Table1[[#This Row],[Profit]]/Table1[[#This Row],[Total_Sales]]</f>
        <v>0.40495240004008415</v>
      </c>
    </row>
    <row r="3871" spans="1:15" x14ac:dyDescent="0.25">
      <c r="A3871" s="1">
        <v>3870</v>
      </c>
      <c r="B3871" s="2">
        <v>45076</v>
      </c>
      <c r="C3871" s="1" t="s">
        <v>19</v>
      </c>
      <c r="D3871" s="1" t="s">
        <v>20</v>
      </c>
      <c r="E3871" s="1" t="s">
        <v>30</v>
      </c>
      <c r="F3871" s="1" t="s">
        <v>15</v>
      </c>
      <c r="G3871" s="1">
        <v>10</v>
      </c>
      <c r="H3871" s="1">
        <v>453</v>
      </c>
      <c r="I3871" s="1">
        <v>15</v>
      </c>
      <c r="J3871" s="4">
        <v>3850.5</v>
      </c>
      <c r="K3871" s="4">
        <v>2528.33</v>
      </c>
      <c r="L3871" s="4">
        <v>1322.17</v>
      </c>
      <c r="M3871" s="1" t="str">
        <f>TEXT(Table1[[#This Row],[Order_Date]], "MMM")</f>
        <v>May</v>
      </c>
      <c r="N3871" s="1">
        <f>YEAR(Table1[[#This Row],[Order_Date]])</f>
        <v>2023</v>
      </c>
      <c r="O3871" s="7">
        <f>Table1[[#This Row],[Profit]]/Table1[[#This Row],[Total_Sales]]</f>
        <v>0.34337618491105054</v>
      </c>
    </row>
    <row r="3872" spans="1:15" x14ac:dyDescent="0.25">
      <c r="A3872" s="1">
        <v>3871</v>
      </c>
      <c r="B3872" s="2">
        <v>45318</v>
      </c>
      <c r="C3872" s="1" t="s">
        <v>12</v>
      </c>
      <c r="D3872" s="1" t="s">
        <v>26</v>
      </c>
      <c r="E3872" s="1" t="s">
        <v>42</v>
      </c>
      <c r="F3872" s="1" t="s">
        <v>40</v>
      </c>
      <c r="G3872" s="1">
        <v>9</v>
      </c>
      <c r="H3872" s="1">
        <v>37</v>
      </c>
      <c r="I3872" s="1">
        <v>20</v>
      </c>
      <c r="J3872" s="4">
        <v>266.39999999999998</v>
      </c>
      <c r="K3872" s="4">
        <v>133.65</v>
      </c>
      <c r="L3872" s="4">
        <v>132.75</v>
      </c>
      <c r="M3872" s="1" t="str">
        <f>TEXT(Table1[[#This Row],[Order_Date]], "MMM")</f>
        <v>Jan</v>
      </c>
      <c r="N3872" s="1">
        <f>YEAR(Table1[[#This Row],[Order_Date]])</f>
        <v>2024</v>
      </c>
      <c r="O3872" s="7">
        <f>Table1[[#This Row],[Profit]]/Table1[[#This Row],[Total_Sales]]</f>
        <v>0.49831081081081086</v>
      </c>
    </row>
    <row r="3873" spans="1:15" x14ac:dyDescent="0.25">
      <c r="A3873" s="1">
        <v>3872</v>
      </c>
      <c r="B3873" s="2">
        <v>45070</v>
      </c>
      <c r="C3873" s="1" t="s">
        <v>12</v>
      </c>
      <c r="D3873" s="1" t="s">
        <v>26</v>
      </c>
      <c r="E3873" s="1" t="s">
        <v>37</v>
      </c>
      <c r="F3873" s="1" t="s">
        <v>35</v>
      </c>
      <c r="G3873" s="1">
        <v>10</v>
      </c>
      <c r="H3873" s="1">
        <v>150</v>
      </c>
      <c r="I3873" s="1">
        <v>10</v>
      </c>
      <c r="J3873" s="4">
        <v>1350</v>
      </c>
      <c r="K3873" s="4">
        <v>831.22</v>
      </c>
      <c r="L3873" s="4">
        <v>518.78</v>
      </c>
      <c r="M3873" s="1" t="str">
        <f>TEXT(Table1[[#This Row],[Order_Date]], "MMM")</f>
        <v>May</v>
      </c>
      <c r="N3873" s="1">
        <f>YEAR(Table1[[#This Row],[Order_Date]])</f>
        <v>2023</v>
      </c>
      <c r="O3873" s="7">
        <f>Table1[[#This Row],[Profit]]/Table1[[#This Row],[Total_Sales]]</f>
        <v>0.38428148148148145</v>
      </c>
    </row>
    <row r="3874" spans="1:15" x14ac:dyDescent="0.25">
      <c r="A3874" s="1">
        <v>3873</v>
      </c>
      <c r="B3874" s="2">
        <v>45307</v>
      </c>
      <c r="C3874" s="1" t="s">
        <v>19</v>
      </c>
      <c r="D3874" s="1" t="s">
        <v>32</v>
      </c>
      <c r="E3874" s="1" t="s">
        <v>33</v>
      </c>
      <c r="F3874" s="1" t="s">
        <v>35</v>
      </c>
      <c r="G3874" s="1">
        <v>10</v>
      </c>
      <c r="H3874" s="1">
        <v>933</v>
      </c>
      <c r="I3874" s="1">
        <v>0</v>
      </c>
      <c r="J3874" s="4">
        <v>9330</v>
      </c>
      <c r="K3874" s="4">
        <v>6554.73</v>
      </c>
      <c r="L3874" s="4">
        <v>2775.27</v>
      </c>
      <c r="M3874" s="1" t="str">
        <f>TEXT(Table1[[#This Row],[Order_Date]], "MMM")</f>
        <v>Jan</v>
      </c>
      <c r="N3874" s="1">
        <f>YEAR(Table1[[#This Row],[Order_Date]])</f>
        <v>2024</v>
      </c>
      <c r="O3874" s="7">
        <f>Table1[[#This Row],[Profit]]/Table1[[#This Row],[Total_Sales]]</f>
        <v>0.29745659163987137</v>
      </c>
    </row>
    <row r="3875" spans="1:15" x14ac:dyDescent="0.25">
      <c r="A3875" s="1">
        <v>3874</v>
      </c>
      <c r="B3875" s="2">
        <v>45261</v>
      </c>
      <c r="C3875" s="1" t="s">
        <v>12</v>
      </c>
      <c r="D3875" s="1" t="s">
        <v>13</v>
      </c>
      <c r="E3875" s="1" t="s">
        <v>14</v>
      </c>
      <c r="F3875" s="1" t="s">
        <v>31</v>
      </c>
      <c r="G3875" s="1">
        <v>7</v>
      </c>
      <c r="H3875" s="1">
        <v>194</v>
      </c>
      <c r="I3875" s="1">
        <v>5</v>
      </c>
      <c r="J3875" s="4">
        <v>1290.0999999999999</v>
      </c>
      <c r="K3875" s="4">
        <v>714.1</v>
      </c>
      <c r="L3875" s="4">
        <v>576</v>
      </c>
      <c r="M3875" s="1" t="str">
        <f>TEXT(Table1[[#This Row],[Order_Date]], "MMM")</f>
        <v>Dec</v>
      </c>
      <c r="N3875" s="1">
        <f>YEAR(Table1[[#This Row],[Order_Date]])</f>
        <v>2023</v>
      </c>
      <c r="O3875" s="7">
        <f>Table1[[#This Row],[Profit]]/Table1[[#This Row],[Total_Sales]]</f>
        <v>0.44647701728548178</v>
      </c>
    </row>
    <row r="3876" spans="1:15" x14ac:dyDescent="0.25">
      <c r="A3876" s="1">
        <v>3875</v>
      </c>
      <c r="B3876" s="2">
        <v>45484</v>
      </c>
      <c r="C3876" s="1" t="s">
        <v>25</v>
      </c>
      <c r="D3876" s="1" t="s">
        <v>26</v>
      </c>
      <c r="E3876" s="1" t="s">
        <v>37</v>
      </c>
      <c r="F3876" s="1" t="s">
        <v>24</v>
      </c>
      <c r="G3876" s="1">
        <v>2</v>
      </c>
      <c r="H3876" s="1">
        <v>629</v>
      </c>
      <c r="I3876" s="1">
        <v>5</v>
      </c>
      <c r="J3876" s="4">
        <v>1195.0999999999999</v>
      </c>
      <c r="K3876" s="4">
        <v>890.65</v>
      </c>
      <c r="L3876" s="4">
        <v>304.45</v>
      </c>
      <c r="M3876" s="1" t="str">
        <f>TEXT(Table1[[#This Row],[Order_Date]], "MMM")</f>
        <v>Jul</v>
      </c>
      <c r="N3876" s="1">
        <f>YEAR(Table1[[#This Row],[Order_Date]])</f>
        <v>2024</v>
      </c>
      <c r="O3876" s="7">
        <f>Table1[[#This Row],[Profit]]/Table1[[#This Row],[Total_Sales]]</f>
        <v>0.25474855660614176</v>
      </c>
    </row>
    <row r="3877" spans="1:15" x14ac:dyDescent="0.25">
      <c r="A3877" s="1">
        <v>3876</v>
      </c>
      <c r="B3877" s="2">
        <v>45518</v>
      </c>
      <c r="C3877" s="1" t="s">
        <v>16</v>
      </c>
      <c r="D3877" s="1" t="s">
        <v>22</v>
      </c>
      <c r="E3877" s="1" t="s">
        <v>29</v>
      </c>
      <c r="F3877" s="1" t="s">
        <v>31</v>
      </c>
      <c r="G3877" s="1">
        <v>1</v>
      </c>
      <c r="H3877" s="1">
        <v>273</v>
      </c>
      <c r="I3877" s="1">
        <v>0</v>
      </c>
      <c r="J3877" s="4">
        <v>273</v>
      </c>
      <c r="K3877" s="4">
        <v>185.38</v>
      </c>
      <c r="L3877" s="4">
        <v>87.62</v>
      </c>
      <c r="M3877" s="1" t="str">
        <f>TEXT(Table1[[#This Row],[Order_Date]], "MMM")</f>
        <v>Aug</v>
      </c>
      <c r="N3877" s="1">
        <f>YEAR(Table1[[#This Row],[Order_Date]])</f>
        <v>2024</v>
      </c>
      <c r="O3877" s="7">
        <f>Table1[[#This Row],[Profit]]/Table1[[#This Row],[Total_Sales]]</f>
        <v>0.32095238095238099</v>
      </c>
    </row>
    <row r="3878" spans="1:15" x14ac:dyDescent="0.25">
      <c r="A3878" s="1">
        <v>3877</v>
      </c>
      <c r="B3878" s="2">
        <v>45318</v>
      </c>
      <c r="C3878" s="1" t="s">
        <v>25</v>
      </c>
      <c r="D3878" s="1" t="s">
        <v>32</v>
      </c>
      <c r="E3878" s="1" t="s">
        <v>34</v>
      </c>
      <c r="F3878" s="1" t="s">
        <v>31</v>
      </c>
      <c r="G3878" s="1">
        <v>1</v>
      </c>
      <c r="H3878" s="1">
        <v>667</v>
      </c>
      <c r="I3878" s="1">
        <v>5</v>
      </c>
      <c r="J3878" s="4">
        <v>633.65</v>
      </c>
      <c r="K3878" s="4">
        <v>501.18</v>
      </c>
      <c r="L3878" s="4">
        <v>132.47</v>
      </c>
      <c r="M3878" s="1" t="str">
        <f>TEXT(Table1[[#This Row],[Order_Date]], "MMM")</f>
        <v>Jan</v>
      </c>
      <c r="N3878" s="1">
        <f>YEAR(Table1[[#This Row],[Order_Date]])</f>
        <v>2024</v>
      </c>
      <c r="O3878" s="7">
        <f>Table1[[#This Row],[Profit]]/Table1[[#This Row],[Total_Sales]]</f>
        <v>0.20905862858044663</v>
      </c>
    </row>
    <row r="3879" spans="1:15" x14ac:dyDescent="0.25">
      <c r="A3879" s="1">
        <v>3878</v>
      </c>
      <c r="B3879" s="2">
        <v>45553</v>
      </c>
      <c r="C3879" s="1" t="s">
        <v>16</v>
      </c>
      <c r="D3879" s="1" t="s">
        <v>22</v>
      </c>
      <c r="E3879" s="1" t="s">
        <v>44</v>
      </c>
      <c r="F3879" s="1" t="s">
        <v>15</v>
      </c>
      <c r="G3879" s="1">
        <v>1</v>
      </c>
      <c r="H3879" s="1">
        <v>222</v>
      </c>
      <c r="I3879" s="1">
        <v>5</v>
      </c>
      <c r="J3879" s="4">
        <v>210.9</v>
      </c>
      <c r="K3879" s="4">
        <v>164.91</v>
      </c>
      <c r="L3879" s="4">
        <v>45.99</v>
      </c>
      <c r="M3879" s="1" t="str">
        <f>TEXT(Table1[[#This Row],[Order_Date]], "MMM")</f>
        <v>Sep</v>
      </c>
      <c r="N3879" s="1">
        <f>YEAR(Table1[[#This Row],[Order_Date]])</f>
        <v>2024</v>
      </c>
      <c r="O3879" s="7">
        <f>Table1[[#This Row],[Profit]]/Table1[[#This Row],[Total_Sales]]</f>
        <v>0.21806543385490754</v>
      </c>
    </row>
    <row r="3880" spans="1:15" x14ac:dyDescent="0.25">
      <c r="A3880" s="1">
        <v>3879</v>
      </c>
      <c r="B3880" s="2">
        <v>45227</v>
      </c>
      <c r="C3880" s="1" t="s">
        <v>19</v>
      </c>
      <c r="D3880" s="1" t="s">
        <v>22</v>
      </c>
      <c r="E3880" s="1" t="s">
        <v>29</v>
      </c>
      <c r="F3880" s="1" t="s">
        <v>18</v>
      </c>
      <c r="G3880" s="1">
        <v>4</v>
      </c>
      <c r="H3880" s="1">
        <v>467</v>
      </c>
      <c r="I3880" s="1">
        <v>10</v>
      </c>
      <c r="J3880" s="4">
        <v>1681.2</v>
      </c>
      <c r="K3880" s="4">
        <v>1263.18</v>
      </c>
      <c r="L3880" s="4">
        <v>418.02</v>
      </c>
      <c r="M3880" s="1" t="str">
        <f>TEXT(Table1[[#This Row],[Order_Date]], "MMM")</f>
        <v>Oct</v>
      </c>
      <c r="N3880" s="1">
        <f>YEAR(Table1[[#This Row],[Order_Date]])</f>
        <v>2023</v>
      </c>
      <c r="O3880" s="7">
        <f>Table1[[#This Row],[Profit]]/Table1[[#This Row],[Total_Sales]]</f>
        <v>0.24864382583868663</v>
      </c>
    </row>
    <row r="3881" spans="1:15" x14ac:dyDescent="0.25">
      <c r="A3881" s="1">
        <v>3880</v>
      </c>
      <c r="B3881" s="2">
        <v>45235</v>
      </c>
      <c r="C3881" s="1" t="s">
        <v>12</v>
      </c>
      <c r="D3881" s="1" t="s">
        <v>26</v>
      </c>
      <c r="E3881" s="1" t="s">
        <v>42</v>
      </c>
      <c r="F3881" s="1" t="s">
        <v>40</v>
      </c>
      <c r="G3881" s="1">
        <v>9</v>
      </c>
      <c r="H3881" s="1">
        <v>973</v>
      </c>
      <c r="I3881" s="1">
        <v>10</v>
      </c>
      <c r="J3881" s="4">
        <v>7881.3</v>
      </c>
      <c r="K3881" s="4">
        <v>4110.88</v>
      </c>
      <c r="L3881" s="4">
        <v>3770.42</v>
      </c>
      <c r="M3881" s="1" t="str">
        <f>TEXT(Table1[[#This Row],[Order_Date]], "MMM")</f>
        <v>Nov</v>
      </c>
      <c r="N3881" s="1">
        <f>YEAR(Table1[[#This Row],[Order_Date]])</f>
        <v>2023</v>
      </c>
      <c r="O3881" s="7">
        <f>Table1[[#This Row],[Profit]]/Table1[[#This Row],[Total_Sales]]</f>
        <v>0.47840077144633497</v>
      </c>
    </row>
    <row r="3882" spans="1:15" x14ac:dyDescent="0.25">
      <c r="A3882" s="1">
        <v>3881</v>
      </c>
      <c r="B3882" s="2">
        <v>44993</v>
      </c>
      <c r="C3882" s="1" t="s">
        <v>25</v>
      </c>
      <c r="D3882" s="1" t="s">
        <v>22</v>
      </c>
      <c r="E3882" s="1" t="s">
        <v>23</v>
      </c>
      <c r="F3882" s="1" t="s">
        <v>18</v>
      </c>
      <c r="G3882" s="1">
        <v>10</v>
      </c>
      <c r="H3882" s="1">
        <v>406</v>
      </c>
      <c r="I3882" s="1">
        <v>5</v>
      </c>
      <c r="J3882" s="4">
        <v>3857</v>
      </c>
      <c r="K3882" s="4">
        <v>2197.98</v>
      </c>
      <c r="L3882" s="4">
        <v>1659.02</v>
      </c>
      <c r="M3882" s="1" t="str">
        <f>TEXT(Table1[[#This Row],[Order_Date]], "MMM")</f>
        <v>Mar</v>
      </c>
      <c r="N3882" s="1">
        <f>YEAR(Table1[[#This Row],[Order_Date]])</f>
        <v>2023</v>
      </c>
      <c r="O3882" s="7">
        <f>Table1[[#This Row],[Profit]]/Table1[[#This Row],[Total_Sales]]</f>
        <v>0.43013222711952293</v>
      </c>
    </row>
    <row r="3883" spans="1:15" x14ac:dyDescent="0.25">
      <c r="A3883" s="1">
        <v>3882</v>
      </c>
      <c r="B3883" s="2">
        <v>45334</v>
      </c>
      <c r="C3883" s="1" t="s">
        <v>25</v>
      </c>
      <c r="D3883" s="1" t="s">
        <v>20</v>
      </c>
      <c r="E3883" s="1" t="s">
        <v>28</v>
      </c>
      <c r="F3883" s="1" t="s">
        <v>40</v>
      </c>
      <c r="G3883" s="1">
        <v>1</v>
      </c>
      <c r="H3883" s="1">
        <v>649</v>
      </c>
      <c r="I3883" s="1">
        <v>10</v>
      </c>
      <c r="J3883" s="4">
        <v>584.1</v>
      </c>
      <c r="K3883" s="4">
        <v>391.33</v>
      </c>
      <c r="L3883" s="4">
        <v>192.77</v>
      </c>
      <c r="M3883" s="1" t="str">
        <f>TEXT(Table1[[#This Row],[Order_Date]], "MMM")</f>
        <v>Feb</v>
      </c>
      <c r="N3883" s="1">
        <f>YEAR(Table1[[#This Row],[Order_Date]])</f>
        <v>2024</v>
      </c>
      <c r="O3883" s="7">
        <f>Table1[[#This Row],[Profit]]/Table1[[#This Row],[Total_Sales]]</f>
        <v>0.33002910460537582</v>
      </c>
    </row>
    <row r="3884" spans="1:15" x14ac:dyDescent="0.25">
      <c r="A3884" s="1">
        <v>3883</v>
      </c>
      <c r="B3884" s="2">
        <v>44978</v>
      </c>
      <c r="C3884" s="1" t="s">
        <v>12</v>
      </c>
      <c r="D3884" s="1" t="s">
        <v>22</v>
      </c>
      <c r="E3884" s="1" t="s">
        <v>29</v>
      </c>
      <c r="F3884" s="1" t="s">
        <v>35</v>
      </c>
      <c r="G3884" s="1">
        <v>4</v>
      </c>
      <c r="H3884" s="1">
        <v>476</v>
      </c>
      <c r="I3884" s="1">
        <v>5</v>
      </c>
      <c r="J3884" s="4">
        <v>1808.8</v>
      </c>
      <c r="K3884" s="4">
        <v>1087.22</v>
      </c>
      <c r="L3884" s="4">
        <v>721.58</v>
      </c>
      <c r="M3884" s="1" t="str">
        <f>TEXT(Table1[[#This Row],[Order_Date]], "MMM")</f>
        <v>Feb</v>
      </c>
      <c r="N3884" s="1">
        <f>YEAR(Table1[[#This Row],[Order_Date]])</f>
        <v>2023</v>
      </c>
      <c r="O3884" s="7">
        <f>Table1[[#This Row],[Profit]]/Table1[[#This Row],[Total_Sales]]</f>
        <v>0.39892746572313137</v>
      </c>
    </row>
    <row r="3885" spans="1:15" x14ac:dyDescent="0.25">
      <c r="A3885" s="1">
        <v>3884</v>
      </c>
      <c r="B3885" s="2">
        <v>45373</v>
      </c>
      <c r="C3885" s="1" t="s">
        <v>16</v>
      </c>
      <c r="D3885" s="1" t="s">
        <v>20</v>
      </c>
      <c r="E3885" s="1" t="s">
        <v>21</v>
      </c>
      <c r="F3885" s="1" t="s">
        <v>40</v>
      </c>
      <c r="G3885" s="1">
        <v>1</v>
      </c>
      <c r="H3885" s="1">
        <v>650</v>
      </c>
      <c r="I3885" s="1">
        <v>15</v>
      </c>
      <c r="J3885" s="4">
        <v>552.5</v>
      </c>
      <c r="K3885" s="4">
        <v>318.10000000000002</v>
      </c>
      <c r="L3885" s="4">
        <v>234.4</v>
      </c>
      <c r="M3885" s="1" t="str">
        <f>TEXT(Table1[[#This Row],[Order_Date]], "MMM")</f>
        <v>Mar</v>
      </c>
      <c r="N3885" s="1">
        <f>YEAR(Table1[[#This Row],[Order_Date]])</f>
        <v>2024</v>
      </c>
      <c r="O3885" s="7">
        <f>Table1[[#This Row],[Profit]]/Table1[[#This Row],[Total_Sales]]</f>
        <v>0.42425339366515841</v>
      </c>
    </row>
    <row r="3886" spans="1:15" x14ac:dyDescent="0.25">
      <c r="A3886" s="1">
        <v>3885</v>
      </c>
      <c r="B3886" s="2">
        <v>45206</v>
      </c>
      <c r="C3886" s="1" t="s">
        <v>16</v>
      </c>
      <c r="D3886" s="1" t="s">
        <v>22</v>
      </c>
      <c r="E3886" s="1" t="s">
        <v>44</v>
      </c>
      <c r="F3886" s="1" t="s">
        <v>40</v>
      </c>
      <c r="G3886" s="1">
        <v>7</v>
      </c>
      <c r="H3886" s="1">
        <v>318</v>
      </c>
      <c r="I3886" s="1">
        <v>15</v>
      </c>
      <c r="J3886" s="4">
        <v>1892.1</v>
      </c>
      <c r="K3886" s="4">
        <v>962.1</v>
      </c>
      <c r="L3886" s="4">
        <v>930</v>
      </c>
      <c r="M3886" s="1" t="str">
        <f>TEXT(Table1[[#This Row],[Order_Date]], "MMM")</f>
        <v>Oct</v>
      </c>
      <c r="N3886" s="1">
        <f>YEAR(Table1[[#This Row],[Order_Date]])</f>
        <v>2023</v>
      </c>
      <c r="O3886" s="7">
        <f>Table1[[#This Row],[Profit]]/Table1[[#This Row],[Total_Sales]]</f>
        <v>0.49151736166164584</v>
      </c>
    </row>
    <row r="3887" spans="1:15" x14ac:dyDescent="0.25">
      <c r="A3887" s="1">
        <v>3886</v>
      </c>
      <c r="B3887" s="2">
        <v>45563</v>
      </c>
      <c r="C3887" s="1" t="s">
        <v>12</v>
      </c>
      <c r="D3887" s="1" t="s">
        <v>26</v>
      </c>
      <c r="E3887" s="1" t="s">
        <v>42</v>
      </c>
      <c r="F3887" s="1" t="s">
        <v>31</v>
      </c>
      <c r="G3887" s="1">
        <v>1</v>
      </c>
      <c r="H3887" s="1">
        <v>819</v>
      </c>
      <c r="I3887" s="1">
        <v>0</v>
      </c>
      <c r="J3887" s="4">
        <v>819</v>
      </c>
      <c r="K3887" s="4">
        <v>636.54999999999995</v>
      </c>
      <c r="L3887" s="4">
        <v>182.45</v>
      </c>
      <c r="M3887" s="1" t="str">
        <f>TEXT(Table1[[#This Row],[Order_Date]], "MMM")</f>
        <v>Sep</v>
      </c>
      <c r="N3887" s="1">
        <f>YEAR(Table1[[#This Row],[Order_Date]])</f>
        <v>2024</v>
      </c>
      <c r="O3887" s="7">
        <f>Table1[[#This Row],[Profit]]/Table1[[#This Row],[Total_Sales]]</f>
        <v>0.22277167277167276</v>
      </c>
    </row>
    <row r="3888" spans="1:15" x14ac:dyDescent="0.25">
      <c r="A3888" s="1">
        <v>3887</v>
      </c>
      <c r="B3888" s="2">
        <v>45323</v>
      </c>
      <c r="C3888" s="1" t="s">
        <v>16</v>
      </c>
      <c r="D3888" s="1" t="s">
        <v>22</v>
      </c>
      <c r="E3888" s="1" t="s">
        <v>23</v>
      </c>
      <c r="F3888" s="1" t="s">
        <v>15</v>
      </c>
      <c r="G3888" s="1">
        <v>9</v>
      </c>
      <c r="H3888" s="1">
        <v>316</v>
      </c>
      <c r="I3888" s="1">
        <v>20</v>
      </c>
      <c r="J3888" s="4">
        <v>2275.1999999999998</v>
      </c>
      <c r="K3888" s="4">
        <v>1336.59</v>
      </c>
      <c r="L3888" s="4">
        <v>938.61</v>
      </c>
      <c r="M3888" s="1" t="str">
        <f>TEXT(Table1[[#This Row],[Order_Date]], "MMM")</f>
        <v>Feb</v>
      </c>
      <c r="N3888" s="1">
        <f>YEAR(Table1[[#This Row],[Order_Date]])</f>
        <v>2024</v>
      </c>
      <c r="O3888" s="7">
        <f>Table1[[#This Row],[Profit]]/Table1[[#This Row],[Total_Sales]]</f>
        <v>0.41253955696202538</v>
      </c>
    </row>
    <row r="3889" spans="1:15" x14ac:dyDescent="0.25">
      <c r="A3889" s="1">
        <v>3888</v>
      </c>
      <c r="B3889" s="2">
        <v>45043</v>
      </c>
      <c r="C3889" s="1" t="s">
        <v>19</v>
      </c>
      <c r="D3889" s="1" t="s">
        <v>26</v>
      </c>
      <c r="E3889" s="1" t="s">
        <v>42</v>
      </c>
      <c r="F3889" s="1" t="s">
        <v>15</v>
      </c>
      <c r="G3889" s="1">
        <v>6</v>
      </c>
      <c r="H3889" s="1">
        <v>782</v>
      </c>
      <c r="I3889" s="1">
        <v>0</v>
      </c>
      <c r="J3889" s="4">
        <v>4692</v>
      </c>
      <c r="K3889" s="4">
        <v>3364.3</v>
      </c>
      <c r="L3889" s="4">
        <v>1327.7</v>
      </c>
      <c r="M3889" s="1" t="str">
        <f>TEXT(Table1[[#This Row],[Order_Date]], "MMM")</f>
        <v>Apr</v>
      </c>
      <c r="N3889" s="1">
        <f>YEAR(Table1[[#This Row],[Order_Date]])</f>
        <v>2023</v>
      </c>
      <c r="O3889" s="7">
        <f>Table1[[#This Row],[Profit]]/Table1[[#This Row],[Total_Sales]]</f>
        <v>0.28297101449275364</v>
      </c>
    </row>
    <row r="3890" spans="1:15" x14ac:dyDescent="0.25">
      <c r="A3890" s="1">
        <v>3889</v>
      </c>
      <c r="B3890" s="2">
        <v>45628</v>
      </c>
      <c r="C3890" s="1" t="s">
        <v>19</v>
      </c>
      <c r="D3890" s="1" t="s">
        <v>32</v>
      </c>
      <c r="E3890" s="1" t="s">
        <v>41</v>
      </c>
      <c r="F3890" s="1" t="s">
        <v>31</v>
      </c>
      <c r="G3890" s="1">
        <v>8</v>
      </c>
      <c r="H3890" s="1">
        <v>644</v>
      </c>
      <c r="I3890" s="1">
        <v>0</v>
      </c>
      <c r="J3890" s="4">
        <v>5152</v>
      </c>
      <c r="K3890" s="4">
        <v>4046.03</v>
      </c>
      <c r="L3890" s="4">
        <v>1105.97</v>
      </c>
      <c r="M3890" s="1" t="str">
        <f>TEXT(Table1[[#This Row],[Order_Date]], "MMM")</f>
        <v>Dec</v>
      </c>
      <c r="N3890" s="1">
        <f>YEAR(Table1[[#This Row],[Order_Date]])</f>
        <v>2024</v>
      </c>
      <c r="O3890" s="7">
        <f>Table1[[#This Row],[Profit]]/Table1[[#This Row],[Total_Sales]]</f>
        <v>0.21466809006211179</v>
      </c>
    </row>
    <row r="3891" spans="1:15" x14ac:dyDescent="0.25">
      <c r="A3891" s="1">
        <v>3890</v>
      </c>
      <c r="B3891" s="2">
        <v>45547</v>
      </c>
      <c r="C3891" s="1" t="s">
        <v>12</v>
      </c>
      <c r="D3891" s="1" t="s">
        <v>26</v>
      </c>
      <c r="E3891" s="1" t="s">
        <v>46</v>
      </c>
      <c r="F3891" s="1" t="s">
        <v>40</v>
      </c>
      <c r="G3891" s="1">
        <v>4</v>
      </c>
      <c r="H3891" s="1">
        <v>706</v>
      </c>
      <c r="I3891" s="1">
        <v>0</v>
      </c>
      <c r="J3891" s="4">
        <v>2824</v>
      </c>
      <c r="K3891" s="4">
        <v>1599.65</v>
      </c>
      <c r="L3891" s="4">
        <v>1224.3499999999999</v>
      </c>
      <c r="M3891" s="1" t="str">
        <f>TEXT(Table1[[#This Row],[Order_Date]], "MMM")</f>
        <v>Sep</v>
      </c>
      <c r="N3891" s="1">
        <f>YEAR(Table1[[#This Row],[Order_Date]])</f>
        <v>2024</v>
      </c>
      <c r="O3891" s="7">
        <f>Table1[[#This Row],[Profit]]/Table1[[#This Row],[Total_Sales]]</f>
        <v>0.43355169971671387</v>
      </c>
    </row>
    <row r="3892" spans="1:15" x14ac:dyDescent="0.25">
      <c r="A3892" s="1">
        <v>3891</v>
      </c>
      <c r="B3892" s="2">
        <v>45591</v>
      </c>
      <c r="C3892" s="1" t="s">
        <v>25</v>
      </c>
      <c r="D3892" s="1" t="s">
        <v>26</v>
      </c>
      <c r="E3892" s="1" t="s">
        <v>27</v>
      </c>
      <c r="F3892" s="1" t="s">
        <v>18</v>
      </c>
      <c r="G3892" s="1">
        <v>3</v>
      </c>
      <c r="H3892" s="1">
        <v>72</v>
      </c>
      <c r="I3892" s="1">
        <v>0</v>
      </c>
      <c r="J3892" s="4">
        <v>216</v>
      </c>
      <c r="K3892" s="4">
        <v>130.11000000000001</v>
      </c>
      <c r="L3892" s="4">
        <v>85.89</v>
      </c>
      <c r="M3892" s="1" t="str">
        <f>TEXT(Table1[[#This Row],[Order_Date]], "MMM")</f>
        <v>Oct</v>
      </c>
      <c r="N3892" s="1">
        <f>YEAR(Table1[[#This Row],[Order_Date]])</f>
        <v>2024</v>
      </c>
      <c r="O3892" s="7">
        <f>Table1[[#This Row],[Profit]]/Table1[[#This Row],[Total_Sales]]</f>
        <v>0.39763888888888888</v>
      </c>
    </row>
    <row r="3893" spans="1:15" x14ac:dyDescent="0.25">
      <c r="A3893" s="1">
        <v>3892</v>
      </c>
      <c r="B3893" s="2">
        <v>45159</v>
      </c>
      <c r="C3893" s="1" t="s">
        <v>12</v>
      </c>
      <c r="D3893" s="1" t="s">
        <v>32</v>
      </c>
      <c r="E3893" s="1" t="s">
        <v>41</v>
      </c>
      <c r="F3893" s="1" t="s">
        <v>40</v>
      </c>
      <c r="G3893" s="1">
        <v>10</v>
      </c>
      <c r="H3893" s="1">
        <v>244</v>
      </c>
      <c r="I3893" s="1">
        <v>10</v>
      </c>
      <c r="J3893" s="4">
        <v>2196</v>
      </c>
      <c r="K3893" s="4">
        <v>1194.54</v>
      </c>
      <c r="L3893" s="4">
        <v>1001.46</v>
      </c>
      <c r="M3893" s="1" t="str">
        <f>TEXT(Table1[[#This Row],[Order_Date]], "MMM")</f>
        <v>Aug</v>
      </c>
      <c r="N3893" s="1">
        <f>YEAR(Table1[[#This Row],[Order_Date]])</f>
        <v>2023</v>
      </c>
      <c r="O3893" s="7">
        <f>Table1[[#This Row],[Profit]]/Table1[[#This Row],[Total_Sales]]</f>
        <v>0.45603825136612025</v>
      </c>
    </row>
    <row r="3894" spans="1:15" x14ac:dyDescent="0.25">
      <c r="A3894" s="1">
        <v>3893</v>
      </c>
      <c r="B3894" s="2">
        <v>45047</v>
      </c>
      <c r="C3894" s="1" t="s">
        <v>16</v>
      </c>
      <c r="D3894" s="1" t="s">
        <v>13</v>
      </c>
      <c r="E3894" s="1" t="s">
        <v>17</v>
      </c>
      <c r="F3894" s="1" t="s">
        <v>18</v>
      </c>
      <c r="G3894" s="1">
        <v>6</v>
      </c>
      <c r="H3894" s="1">
        <v>299</v>
      </c>
      <c r="I3894" s="1">
        <v>10</v>
      </c>
      <c r="J3894" s="4">
        <v>1614.6</v>
      </c>
      <c r="K3894" s="4">
        <v>1019.48</v>
      </c>
      <c r="L3894" s="4">
        <v>595.12</v>
      </c>
      <c r="M3894" s="1" t="str">
        <f>TEXT(Table1[[#This Row],[Order_Date]], "MMM")</f>
        <v>May</v>
      </c>
      <c r="N3894" s="1">
        <f>YEAR(Table1[[#This Row],[Order_Date]])</f>
        <v>2023</v>
      </c>
      <c r="O3894" s="7">
        <f>Table1[[#This Row],[Profit]]/Table1[[#This Row],[Total_Sales]]</f>
        <v>0.36858664684751646</v>
      </c>
    </row>
    <row r="3895" spans="1:15" x14ac:dyDescent="0.25">
      <c r="A3895" s="1">
        <v>3894</v>
      </c>
      <c r="B3895" s="2">
        <v>45387</v>
      </c>
      <c r="C3895" s="1" t="s">
        <v>19</v>
      </c>
      <c r="D3895" s="1" t="s">
        <v>20</v>
      </c>
      <c r="E3895" s="1" t="s">
        <v>43</v>
      </c>
      <c r="F3895" s="1" t="s">
        <v>18</v>
      </c>
      <c r="G3895" s="1">
        <v>3</v>
      </c>
      <c r="H3895" s="1">
        <v>619</v>
      </c>
      <c r="I3895" s="1">
        <v>10</v>
      </c>
      <c r="J3895" s="4">
        <v>1671.3</v>
      </c>
      <c r="K3895" s="4">
        <v>1160.04</v>
      </c>
      <c r="L3895" s="4">
        <v>511.26</v>
      </c>
      <c r="M3895" s="1" t="str">
        <f>TEXT(Table1[[#This Row],[Order_Date]], "MMM")</f>
        <v>Apr</v>
      </c>
      <c r="N3895" s="1">
        <f>YEAR(Table1[[#This Row],[Order_Date]])</f>
        <v>2024</v>
      </c>
      <c r="O3895" s="7">
        <f>Table1[[#This Row],[Profit]]/Table1[[#This Row],[Total_Sales]]</f>
        <v>0.30590558248070365</v>
      </c>
    </row>
    <row r="3896" spans="1:15" x14ac:dyDescent="0.25">
      <c r="A3896" s="1">
        <v>3895</v>
      </c>
      <c r="B3896" s="2">
        <v>45314</v>
      </c>
      <c r="C3896" s="1" t="s">
        <v>12</v>
      </c>
      <c r="D3896" s="1" t="s">
        <v>13</v>
      </c>
      <c r="E3896" s="1" t="s">
        <v>39</v>
      </c>
      <c r="F3896" s="1" t="s">
        <v>40</v>
      </c>
      <c r="G3896" s="1">
        <v>8</v>
      </c>
      <c r="H3896" s="1">
        <v>73</v>
      </c>
      <c r="I3896" s="1">
        <v>5</v>
      </c>
      <c r="J3896" s="4">
        <v>554.79999999999995</v>
      </c>
      <c r="K3896" s="4">
        <v>405.9</v>
      </c>
      <c r="L3896" s="4">
        <v>148.9</v>
      </c>
      <c r="M3896" s="1" t="str">
        <f>TEXT(Table1[[#This Row],[Order_Date]], "MMM")</f>
        <v>Jan</v>
      </c>
      <c r="N3896" s="1">
        <f>YEAR(Table1[[#This Row],[Order_Date]])</f>
        <v>2024</v>
      </c>
      <c r="O3896" s="7">
        <f>Table1[[#This Row],[Profit]]/Table1[[#This Row],[Total_Sales]]</f>
        <v>0.26838500360490269</v>
      </c>
    </row>
    <row r="3897" spans="1:15" x14ac:dyDescent="0.25">
      <c r="A3897" s="1">
        <v>3896</v>
      </c>
      <c r="B3897" s="2">
        <v>45624</v>
      </c>
      <c r="C3897" s="1" t="s">
        <v>12</v>
      </c>
      <c r="D3897" s="1" t="s">
        <v>32</v>
      </c>
      <c r="E3897" s="1" t="s">
        <v>45</v>
      </c>
      <c r="F3897" s="1" t="s">
        <v>40</v>
      </c>
      <c r="G3897" s="1">
        <v>2</v>
      </c>
      <c r="H3897" s="1">
        <v>772</v>
      </c>
      <c r="I3897" s="1">
        <v>0</v>
      </c>
      <c r="J3897" s="4">
        <v>1544</v>
      </c>
      <c r="K3897" s="4">
        <v>977.22</v>
      </c>
      <c r="L3897" s="4">
        <v>566.78</v>
      </c>
      <c r="M3897" s="1" t="str">
        <f>TEXT(Table1[[#This Row],[Order_Date]], "MMM")</f>
        <v>Nov</v>
      </c>
      <c r="N3897" s="1">
        <f>YEAR(Table1[[#This Row],[Order_Date]])</f>
        <v>2024</v>
      </c>
      <c r="O3897" s="7">
        <f>Table1[[#This Row],[Profit]]/Table1[[#This Row],[Total_Sales]]</f>
        <v>0.36708549222797926</v>
      </c>
    </row>
    <row r="3898" spans="1:15" x14ac:dyDescent="0.25">
      <c r="A3898" s="1">
        <v>3897</v>
      </c>
      <c r="B3898" s="2">
        <v>45105</v>
      </c>
      <c r="C3898" s="1" t="s">
        <v>25</v>
      </c>
      <c r="D3898" s="1" t="s">
        <v>26</v>
      </c>
      <c r="E3898" s="1" t="s">
        <v>37</v>
      </c>
      <c r="F3898" s="1" t="s">
        <v>31</v>
      </c>
      <c r="G3898" s="1">
        <v>7</v>
      </c>
      <c r="H3898" s="1">
        <v>271</v>
      </c>
      <c r="I3898" s="1">
        <v>5</v>
      </c>
      <c r="J3898" s="4">
        <v>1802.15</v>
      </c>
      <c r="K3898" s="4">
        <v>1173.27</v>
      </c>
      <c r="L3898" s="4">
        <v>628.88</v>
      </c>
      <c r="M3898" s="1" t="str">
        <f>TEXT(Table1[[#This Row],[Order_Date]], "MMM")</f>
        <v>Jun</v>
      </c>
      <c r="N3898" s="1">
        <f>YEAR(Table1[[#This Row],[Order_Date]])</f>
        <v>2023</v>
      </c>
      <c r="O3898" s="7">
        <f>Table1[[#This Row],[Profit]]/Table1[[#This Row],[Total_Sales]]</f>
        <v>0.34896096329384346</v>
      </c>
    </row>
    <row r="3899" spans="1:15" x14ac:dyDescent="0.25">
      <c r="A3899" s="1">
        <v>3898</v>
      </c>
      <c r="B3899" s="2">
        <v>45086</v>
      </c>
      <c r="C3899" s="1" t="s">
        <v>12</v>
      </c>
      <c r="D3899" s="1" t="s">
        <v>22</v>
      </c>
      <c r="E3899" s="1" t="s">
        <v>23</v>
      </c>
      <c r="F3899" s="1" t="s">
        <v>35</v>
      </c>
      <c r="G3899" s="1">
        <v>7</v>
      </c>
      <c r="H3899" s="1">
        <v>84</v>
      </c>
      <c r="I3899" s="1">
        <v>10</v>
      </c>
      <c r="J3899" s="4">
        <v>529.20000000000005</v>
      </c>
      <c r="K3899" s="4">
        <v>322.83999999999997</v>
      </c>
      <c r="L3899" s="4">
        <v>206.36</v>
      </c>
      <c r="M3899" s="1" t="str">
        <f>TEXT(Table1[[#This Row],[Order_Date]], "MMM")</f>
        <v>Jun</v>
      </c>
      <c r="N3899" s="1">
        <f>YEAR(Table1[[#This Row],[Order_Date]])</f>
        <v>2023</v>
      </c>
      <c r="O3899" s="7">
        <f>Table1[[#This Row],[Profit]]/Table1[[#This Row],[Total_Sales]]</f>
        <v>0.38994708994708993</v>
      </c>
    </row>
    <row r="3900" spans="1:15" x14ac:dyDescent="0.25">
      <c r="A3900" s="1">
        <v>3899</v>
      </c>
      <c r="B3900" s="2">
        <v>45318</v>
      </c>
      <c r="C3900" s="1" t="s">
        <v>12</v>
      </c>
      <c r="D3900" s="1" t="s">
        <v>13</v>
      </c>
      <c r="E3900" s="1" t="s">
        <v>17</v>
      </c>
      <c r="F3900" s="1" t="s">
        <v>18</v>
      </c>
      <c r="G3900" s="1">
        <v>10</v>
      </c>
      <c r="H3900" s="1">
        <v>380</v>
      </c>
      <c r="I3900" s="1">
        <v>0</v>
      </c>
      <c r="J3900" s="4">
        <v>3800</v>
      </c>
      <c r="K3900" s="4">
        <v>1964.57</v>
      </c>
      <c r="L3900" s="4">
        <v>1835.43</v>
      </c>
      <c r="M3900" s="1" t="str">
        <f>TEXT(Table1[[#This Row],[Order_Date]], "MMM")</f>
        <v>Jan</v>
      </c>
      <c r="N3900" s="1">
        <f>YEAR(Table1[[#This Row],[Order_Date]])</f>
        <v>2024</v>
      </c>
      <c r="O3900" s="7">
        <f>Table1[[#This Row],[Profit]]/Table1[[#This Row],[Total_Sales]]</f>
        <v>0.48300789473684214</v>
      </c>
    </row>
    <row r="3901" spans="1:15" x14ac:dyDescent="0.25">
      <c r="A3901" s="1">
        <v>3900</v>
      </c>
      <c r="B3901" s="2">
        <v>44970</v>
      </c>
      <c r="C3901" s="1" t="s">
        <v>12</v>
      </c>
      <c r="D3901" s="1" t="s">
        <v>26</v>
      </c>
      <c r="E3901" s="1" t="s">
        <v>46</v>
      </c>
      <c r="F3901" s="1" t="s">
        <v>15</v>
      </c>
      <c r="G3901" s="1">
        <v>3</v>
      </c>
      <c r="H3901" s="1">
        <v>539</v>
      </c>
      <c r="I3901" s="1">
        <v>5</v>
      </c>
      <c r="J3901" s="4">
        <v>1536.15</v>
      </c>
      <c r="K3901" s="4">
        <v>844.35</v>
      </c>
      <c r="L3901" s="4">
        <v>691.8</v>
      </c>
      <c r="M3901" s="1" t="str">
        <f>TEXT(Table1[[#This Row],[Order_Date]], "MMM")</f>
        <v>Feb</v>
      </c>
      <c r="N3901" s="1">
        <f>YEAR(Table1[[#This Row],[Order_Date]])</f>
        <v>2023</v>
      </c>
      <c r="O3901" s="7">
        <f>Table1[[#This Row],[Profit]]/Table1[[#This Row],[Total_Sales]]</f>
        <v>0.4503466458353676</v>
      </c>
    </row>
    <row r="3902" spans="1:15" x14ac:dyDescent="0.25">
      <c r="A3902" s="1">
        <v>3901</v>
      </c>
      <c r="B3902" s="2">
        <v>45295</v>
      </c>
      <c r="C3902" s="1" t="s">
        <v>16</v>
      </c>
      <c r="D3902" s="1" t="s">
        <v>13</v>
      </c>
      <c r="E3902" s="1" t="s">
        <v>17</v>
      </c>
      <c r="F3902" s="1" t="s">
        <v>35</v>
      </c>
      <c r="G3902" s="1">
        <v>6</v>
      </c>
      <c r="H3902" s="1">
        <v>11</v>
      </c>
      <c r="I3902" s="1">
        <v>20</v>
      </c>
      <c r="J3902" s="4">
        <v>52.8</v>
      </c>
      <c r="K3902" s="4">
        <v>29.04</v>
      </c>
      <c r="L3902" s="4">
        <v>23.76</v>
      </c>
      <c r="M3902" s="1" t="str">
        <f>TEXT(Table1[[#This Row],[Order_Date]], "MMM")</f>
        <v>Jan</v>
      </c>
      <c r="N3902" s="1">
        <f>YEAR(Table1[[#This Row],[Order_Date]])</f>
        <v>2024</v>
      </c>
      <c r="O3902" s="7">
        <f>Table1[[#This Row],[Profit]]/Table1[[#This Row],[Total_Sales]]</f>
        <v>0.45000000000000007</v>
      </c>
    </row>
    <row r="3903" spans="1:15" x14ac:dyDescent="0.25">
      <c r="A3903" s="1">
        <v>3902</v>
      </c>
      <c r="B3903" s="2">
        <v>45260</v>
      </c>
      <c r="C3903" s="1" t="s">
        <v>12</v>
      </c>
      <c r="D3903" s="1" t="s">
        <v>22</v>
      </c>
      <c r="E3903" s="1" t="s">
        <v>29</v>
      </c>
      <c r="F3903" s="1" t="s">
        <v>18</v>
      </c>
      <c r="G3903" s="1">
        <v>1</v>
      </c>
      <c r="H3903" s="1">
        <v>551</v>
      </c>
      <c r="I3903" s="1">
        <v>15</v>
      </c>
      <c r="J3903" s="4">
        <v>468.35</v>
      </c>
      <c r="K3903" s="4">
        <v>299.64</v>
      </c>
      <c r="L3903" s="4">
        <v>168.71</v>
      </c>
      <c r="M3903" s="1" t="str">
        <f>TEXT(Table1[[#This Row],[Order_Date]], "MMM")</f>
        <v>Nov</v>
      </c>
      <c r="N3903" s="1">
        <f>YEAR(Table1[[#This Row],[Order_Date]])</f>
        <v>2023</v>
      </c>
      <c r="O3903" s="7">
        <f>Table1[[#This Row],[Profit]]/Table1[[#This Row],[Total_Sales]]</f>
        <v>0.36022205615458525</v>
      </c>
    </row>
    <row r="3904" spans="1:15" x14ac:dyDescent="0.25">
      <c r="A3904" s="1">
        <v>3903</v>
      </c>
      <c r="B3904" s="2">
        <v>44935</v>
      </c>
      <c r="C3904" s="1" t="s">
        <v>25</v>
      </c>
      <c r="D3904" s="1" t="s">
        <v>22</v>
      </c>
      <c r="E3904" s="1" t="s">
        <v>36</v>
      </c>
      <c r="F3904" s="1" t="s">
        <v>31</v>
      </c>
      <c r="G3904" s="1">
        <v>7</v>
      </c>
      <c r="H3904" s="1">
        <v>342</v>
      </c>
      <c r="I3904" s="1">
        <v>10</v>
      </c>
      <c r="J3904" s="4">
        <v>2154.6</v>
      </c>
      <c r="K3904" s="4">
        <v>1570.63</v>
      </c>
      <c r="L3904" s="4">
        <v>583.97</v>
      </c>
      <c r="M3904" s="1" t="str">
        <f>TEXT(Table1[[#This Row],[Order_Date]], "MMM")</f>
        <v>Jan</v>
      </c>
      <c r="N3904" s="1">
        <f>YEAR(Table1[[#This Row],[Order_Date]])</f>
        <v>2023</v>
      </c>
      <c r="O3904" s="7">
        <f>Table1[[#This Row],[Profit]]/Table1[[#This Row],[Total_Sales]]</f>
        <v>0.27103406664810176</v>
      </c>
    </row>
    <row r="3905" spans="1:15" x14ac:dyDescent="0.25">
      <c r="A3905" s="1">
        <v>3904</v>
      </c>
      <c r="B3905" s="2">
        <v>45622</v>
      </c>
      <c r="C3905" s="1" t="s">
        <v>19</v>
      </c>
      <c r="D3905" s="1" t="s">
        <v>32</v>
      </c>
      <c r="E3905" s="1" t="s">
        <v>33</v>
      </c>
      <c r="F3905" s="1" t="s">
        <v>18</v>
      </c>
      <c r="G3905" s="1">
        <v>7</v>
      </c>
      <c r="H3905" s="1">
        <v>758</v>
      </c>
      <c r="I3905" s="1">
        <v>5</v>
      </c>
      <c r="J3905" s="4">
        <v>5040.7</v>
      </c>
      <c r="K3905" s="4">
        <v>2792.91</v>
      </c>
      <c r="L3905" s="4">
        <v>2247.79</v>
      </c>
      <c r="M3905" s="1" t="str">
        <f>TEXT(Table1[[#This Row],[Order_Date]], "MMM")</f>
        <v>Nov</v>
      </c>
      <c r="N3905" s="1">
        <f>YEAR(Table1[[#This Row],[Order_Date]])</f>
        <v>2024</v>
      </c>
      <c r="O3905" s="7">
        <f>Table1[[#This Row],[Profit]]/Table1[[#This Row],[Total_Sales]]</f>
        <v>0.44592814490050986</v>
      </c>
    </row>
    <row r="3906" spans="1:15" x14ac:dyDescent="0.25">
      <c r="A3906" s="1">
        <v>3905</v>
      </c>
      <c r="B3906" s="2">
        <v>45285</v>
      </c>
      <c r="C3906" s="1" t="s">
        <v>25</v>
      </c>
      <c r="D3906" s="1" t="s">
        <v>20</v>
      </c>
      <c r="E3906" s="1" t="s">
        <v>21</v>
      </c>
      <c r="F3906" s="1" t="s">
        <v>24</v>
      </c>
      <c r="G3906" s="1">
        <v>3</v>
      </c>
      <c r="H3906" s="1">
        <v>882</v>
      </c>
      <c r="I3906" s="1">
        <v>0</v>
      </c>
      <c r="J3906" s="4">
        <v>2646</v>
      </c>
      <c r="K3906" s="4">
        <v>1820.44</v>
      </c>
      <c r="L3906" s="4">
        <v>825.56</v>
      </c>
      <c r="M3906" s="1" t="str">
        <f>TEXT(Table1[[#This Row],[Order_Date]], "MMM")</f>
        <v>Dec</v>
      </c>
      <c r="N3906" s="1">
        <f>YEAR(Table1[[#This Row],[Order_Date]])</f>
        <v>2023</v>
      </c>
      <c r="O3906" s="7">
        <f>Table1[[#This Row],[Profit]]/Table1[[#This Row],[Total_Sales]]</f>
        <v>0.31200302343159486</v>
      </c>
    </row>
    <row r="3907" spans="1:15" x14ac:dyDescent="0.25">
      <c r="A3907" s="1">
        <v>3906</v>
      </c>
      <c r="B3907" s="2">
        <v>45416</v>
      </c>
      <c r="C3907" s="1" t="s">
        <v>16</v>
      </c>
      <c r="D3907" s="1" t="s">
        <v>20</v>
      </c>
      <c r="E3907" s="1" t="s">
        <v>30</v>
      </c>
      <c r="F3907" s="1" t="s">
        <v>40</v>
      </c>
      <c r="G3907" s="1">
        <v>8</v>
      </c>
      <c r="H3907" s="1">
        <v>282</v>
      </c>
      <c r="I3907" s="1">
        <v>15</v>
      </c>
      <c r="J3907" s="4">
        <v>1917.6</v>
      </c>
      <c r="K3907" s="4">
        <v>964.98</v>
      </c>
      <c r="L3907" s="4">
        <v>952.62</v>
      </c>
      <c r="M3907" s="1" t="str">
        <f>TEXT(Table1[[#This Row],[Order_Date]], "MMM")</f>
        <v>May</v>
      </c>
      <c r="N3907" s="1">
        <f>YEAR(Table1[[#This Row],[Order_Date]])</f>
        <v>2024</v>
      </c>
      <c r="O3907" s="7">
        <f>Table1[[#This Row],[Profit]]/Table1[[#This Row],[Total_Sales]]</f>
        <v>0.49677722152690867</v>
      </c>
    </row>
    <row r="3908" spans="1:15" x14ac:dyDescent="0.25">
      <c r="A3908" s="1">
        <v>3907</v>
      </c>
      <c r="B3908" s="2">
        <v>45306</v>
      </c>
      <c r="C3908" s="1" t="s">
        <v>16</v>
      </c>
      <c r="D3908" s="1" t="s">
        <v>26</v>
      </c>
      <c r="E3908" s="1" t="s">
        <v>37</v>
      </c>
      <c r="F3908" s="1" t="s">
        <v>15</v>
      </c>
      <c r="G3908" s="1">
        <v>9</v>
      </c>
      <c r="H3908" s="1">
        <v>833</v>
      </c>
      <c r="I3908" s="1">
        <v>15</v>
      </c>
      <c r="J3908" s="4">
        <v>6372.45</v>
      </c>
      <c r="K3908" s="4">
        <v>3832.25</v>
      </c>
      <c r="L3908" s="4">
        <v>2540.1999999999998</v>
      </c>
      <c r="M3908" s="1" t="str">
        <f>TEXT(Table1[[#This Row],[Order_Date]], "MMM")</f>
        <v>Jan</v>
      </c>
      <c r="N3908" s="1">
        <f>YEAR(Table1[[#This Row],[Order_Date]])</f>
        <v>2024</v>
      </c>
      <c r="O3908" s="7">
        <f>Table1[[#This Row],[Profit]]/Table1[[#This Row],[Total_Sales]]</f>
        <v>0.39862219397562942</v>
      </c>
    </row>
    <row r="3909" spans="1:15" x14ac:dyDescent="0.25">
      <c r="A3909" s="1">
        <v>3908</v>
      </c>
      <c r="B3909" s="2">
        <v>45419</v>
      </c>
      <c r="C3909" s="1" t="s">
        <v>19</v>
      </c>
      <c r="D3909" s="1" t="s">
        <v>22</v>
      </c>
      <c r="E3909" s="1" t="s">
        <v>36</v>
      </c>
      <c r="F3909" s="1" t="s">
        <v>15</v>
      </c>
      <c r="G3909" s="1">
        <v>4</v>
      </c>
      <c r="H3909" s="1">
        <v>350</v>
      </c>
      <c r="I3909" s="1">
        <v>15</v>
      </c>
      <c r="J3909" s="4">
        <v>1190</v>
      </c>
      <c r="K3909" s="4">
        <v>695.73</v>
      </c>
      <c r="L3909" s="4">
        <v>494.27</v>
      </c>
      <c r="M3909" s="1" t="str">
        <f>TEXT(Table1[[#This Row],[Order_Date]], "MMM")</f>
        <v>May</v>
      </c>
      <c r="N3909" s="1">
        <f>YEAR(Table1[[#This Row],[Order_Date]])</f>
        <v>2024</v>
      </c>
      <c r="O3909" s="7">
        <f>Table1[[#This Row],[Profit]]/Table1[[#This Row],[Total_Sales]]</f>
        <v>0.41535294117647059</v>
      </c>
    </row>
    <row r="3910" spans="1:15" x14ac:dyDescent="0.25">
      <c r="A3910" s="1">
        <v>3909</v>
      </c>
      <c r="B3910" s="2">
        <v>45083</v>
      </c>
      <c r="C3910" s="1" t="s">
        <v>12</v>
      </c>
      <c r="D3910" s="1" t="s">
        <v>26</v>
      </c>
      <c r="E3910" s="1" t="s">
        <v>37</v>
      </c>
      <c r="F3910" s="1" t="s">
        <v>40</v>
      </c>
      <c r="G3910" s="1">
        <v>3</v>
      </c>
      <c r="H3910" s="1">
        <v>652</v>
      </c>
      <c r="I3910" s="1">
        <v>15</v>
      </c>
      <c r="J3910" s="4">
        <v>1662.6</v>
      </c>
      <c r="K3910" s="4">
        <v>891.54</v>
      </c>
      <c r="L3910" s="4">
        <v>771.06</v>
      </c>
      <c r="M3910" s="1" t="str">
        <f>TEXT(Table1[[#This Row],[Order_Date]], "MMM")</f>
        <v>Jun</v>
      </c>
      <c r="N3910" s="1">
        <f>YEAR(Table1[[#This Row],[Order_Date]])</f>
        <v>2023</v>
      </c>
      <c r="O3910" s="7">
        <f>Table1[[#This Row],[Profit]]/Table1[[#This Row],[Total_Sales]]</f>
        <v>0.46376759292674125</v>
      </c>
    </row>
    <row r="3911" spans="1:15" x14ac:dyDescent="0.25">
      <c r="A3911" s="1">
        <v>3910</v>
      </c>
      <c r="B3911" s="2">
        <v>45566</v>
      </c>
      <c r="C3911" s="1" t="s">
        <v>25</v>
      </c>
      <c r="D3911" s="1" t="s">
        <v>20</v>
      </c>
      <c r="E3911" s="1" t="s">
        <v>30</v>
      </c>
      <c r="F3911" s="1" t="s">
        <v>24</v>
      </c>
      <c r="G3911" s="1">
        <v>6</v>
      </c>
      <c r="H3911" s="1">
        <v>158</v>
      </c>
      <c r="I3911" s="1">
        <v>0</v>
      </c>
      <c r="J3911" s="4">
        <v>948</v>
      </c>
      <c r="K3911" s="4">
        <v>742.37</v>
      </c>
      <c r="L3911" s="4">
        <v>205.63</v>
      </c>
      <c r="M3911" s="1" t="str">
        <f>TEXT(Table1[[#This Row],[Order_Date]], "MMM")</f>
        <v>Oct</v>
      </c>
      <c r="N3911" s="1">
        <f>YEAR(Table1[[#This Row],[Order_Date]])</f>
        <v>2024</v>
      </c>
      <c r="O3911" s="7">
        <f>Table1[[#This Row],[Profit]]/Table1[[#This Row],[Total_Sales]]</f>
        <v>0.21690928270042192</v>
      </c>
    </row>
    <row r="3912" spans="1:15" x14ac:dyDescent="0.25">
      <c r="A3912" s="1">
        <v>3911</v>
      </c>
      <c r="B3912" s="2">
        <v>45571</v>
      </c>
      <c r="C3912" s="1" t="s">
        <v>12</v>
      </c>
      <c r="D3912" s="1" t="s">
        <v>13</v>
      </c>
      <c r="E3912" s="1" t="s">
        <v>14</v>
      </c>
      <c r="F3912" s="1" t="s">
        <v>40</v>
      </c>
      <c r="G3912" s="1">
        <v>3</v>
      </c>
      <c r="H3912" s="1">
        <v>414</v>
      </c>
      <c r="I3912" s="1">
        <v>15</v>
      </c>
      <c r="J3912" s="4">
        <v>1055.7</v>
      </c>
      <c r="K3912" s="4">
        <v>565.51</v>
      </c>
      <c r="L3912" s="4">
        <v>490.19</v>
      </c>
      <c r="M3912" s="1" t="str">
        <f>TEXT(Table1[[#This Row],[Order_Date]], "MMM")</f>
        <v>Oct</v>
      </c>
      <c r="N3912" s="1">
        <f>YEAR(Table1[[#This Row],[Order_Date]])</f>
        <v>2024</v>
      </c>
      <c r="O3912" s="7">
        <f>Table1[[#This Row],[Profit]]/Table1[[#This Row],[Total_Sales]]</f>
        <v>0.46432698683338069</v>
      </c>
    </row>
    <row r="3913" spans="1:15" x14ac:dyDescent="0.25">
      <c r="A3913" s="1">
        <v>3912</v>
      </c>
      <c r="B3913" s="2">
        <v>45434</v>
      </c>
      <c r="C3913" s="1" t="s">
        <v>16</v>
      </c>
      <c r="D3913" s="1" t="s">
        <v>20</v>
      </c>
      <c r="E3913" s="1" t="s">
        <v>43</v>
      </c>
      <c r="F3913" s="1" t="s">
        <v>15</v>
      </c>
      <c r="G3913" s="1">
        <v>3</v>
      </c>
      <c r="H3913" s="1">
        <v>957</v>
      </c>
      <c r="I3913" s="1">
        <v>15</v>
      </c>
      <c r="J3913" s="4">
        <v>2440.35</v>
      </c>
      <c r="K3913" s="4">
        <v>1510.13</v>
      </c>
      <c r="L3913" s="4">
        <v>930.22</v>
      </c>
      <c r="M3913" s="1" t="str">
        <f>TEXT(Table1[[#This Row],[Order_Date]], "MMM")</f>
        <v>May</v>
      </c>
      <c r="N3913" s="1">
        <f>YEAR(Table1[[#This Row],[Order_Date]])</f>
        <v>2024</v>
      </c>
      <c r="O3913" s="7">
        <f>Table1[[#This Row],[Profit]]/Table1[[#This Row],[Total_Sales]]</f>
        <v>0.38118302702481205</v>
      </c>
    </row>
    <row r="3914" spans="1:15" x14ac:dyDescent="0.25">
      <c r="A3914" s="1">
        <v>3913</v>
      </c>
      <c r="B3914" s="2">
        <v>45625</v>
      </c>
      <c r="C3914" s="1" t="s">
        <v>25</v>
      </c>
      <c r="D3914" s="1" t="s">
        <v>13</v>
      </c>
      <c r="E3914" s="1" t="s">
        <v>14</v>
      </c>
      <c r="F3914" s="1" t="s">
        <v>31</v>
      </c>
      <c r="G3914" s="1">
        <v>6</v>
      </c>
      <c r="H3914" s="1">
        <v>982</v>
      </c>
      <c r="I3914" s="1">
        <v>10</v>
      </c>
      <c r="J3914" s="4">
        <v>5302.8</v>
      </c>
      <c r="K3914" s="4">
        <v>2849.15</v>
      </c>
      <c r="L3914" s="4">
        <v>2453.65</v>
      </c>
      <c r="M3914" s="1" t="str">
        <f>TEXT(Table1[[#This Row],[Order_Date]], "MMM")</f>
        <v>Nov</v>
      </c>
      <c r="N3914" s="1">
        <f>YEAR(Table1[[#This Row],[Order_Date]])</f>
        <v>2024</v>
      </c>
      <c r="O3914" s="7">
        <f>Table1[[#This Row],[Profit]]/Table1[[#This Row],[Total_Sales]]</f>
        <v>0.46270838047823792</v>
      </c>
    </row>
    <row r="3915" spans="1:15" x14ac:dyDescent="0.25">
      <c r="A3915" s="1">
        <v>3914</v>
      </c>
      <c r="B3915" s="2">
        <v>45516</v>
      </c>
      <c r="C3915" s="1" t="s">
        <v>12</v>
      </c>
      <c r="D3915" s="1" t="s">
        <v>32</v>
      </c>
      <c r="E3915" s="1" t="s">
        <v>41</v>
      </c>
      <c r="F3915" s="1" t="s">
        <v>40</v>
      </c>
      <c r="G3915" s="1">
        <v>3</v>
      </c>
      <c r="H3915" s="1">
        <v>613</v>
      </c>
      <c r="I3915" s="1">
        <v>0</v>
      </c>
      <c r="J3915" s="4">
        <v>1839</v>
      </c>
      <c r="K3915" s="4">
        <v>1444</v>
      </c>
      <c r="L3915" s="4">
        <v>395</v>
      </c>
      <c r="M3915" s="1" t="str">
        <f>TEXT(Table1[[#This Row],[Order_Date]], "MMM")</f>
        <v>Aug</v>
      </c>
      <c r="N3915" s="1">
        <f>YEAR(Table1[[#This Row],[Order_Date]])</f>
        <v>2024</v>
      </c>
      <c r="O3915" s="7">
        <f>Table1[[#This Row],[Profit]]/Table1[[#This Row],[Total_Sales]]</f>
        <v>0.21479064709081022</v>
      </c>
    </row>
    <row r="3916" spans="1:15" x14ac:dyDescent="0.25">
      <c r="A3916" s="1">
        <v>3915</v>
      </c>
      <c r="B3916" s="2">
        <v>45165</v>
      </c>
      <c r="C3916" s="1" t="s">
        <v>16</v>
      </c>
      <c r="D3916" s="1" t="s">
        <v>26</v>
      </c>
      <c r="E3916" s="1" t="s">
        <v>27</v>
      </c>
      <c r="F3916" s="1" t="s">
        <v>15</v>
      </c>
      <c r="G3916" s="1">
        <v>1</v>
      </c>
      <c r="H3916" s="1">
        <v>413</v>
      </c>
      <c r="I3916" s="1">
        <v>0</v>
      </c>
      <c r="J3916" s="4">
        <v>413</v>
      </c>
      <c r="K3916" s="4">
        <v>270.04000000000002</v>
      </c>
      <c r="L3916" s="4">
        <v>142.96</v>
      </c>
      <c r="M3916" s="1" t="str">
        <f>TEXT(Table1[[#This Row],[Order_Date]], "MMM")</f>
        <v>Aug</v>
      </c>
      <c r="N3916" s="1">
        <f>YEAR(Table1[[#This Row],[Order_Date]])</f>
        <v>2023</v>
      </c>
      <c r="O3916" s="7">
        <f>Table1[[#This Row],[Profit]]/Table1[[#This Row],[Total_Sales]]</f>
        <v>0.34615012106537535</v>
      </c>
    </row>
    <row r="3917" spans="1:15" x14ac:dyDescent="0.25">
      <c r="A3917" s="1">
        <v>3916</v>
      </c>
      <c r="B3917" s="2">
        <v>45392</v>
      </c>
      <c r="C3917" s="1" t="s">
        <v>12</v>
      </c>
      <c r="D3917" s="1" t="s">
        <v>13</v>
      </c>
      <c r="E3917" s="1" t="s">
        <v>38</v>
      </c>
      <c r="F3917" s="1" t="s">
        <v>40</v>
      </c>
      <c r="G3917" s="1">
        <v>5</v>
      </c>
      <c r="H3917" s="1">
        <v>227</v>
      </c>
      <c r="I3917" s="1">
        <v>5</v>
      </c>
      <c r="J3917" s="4">
        <v>1078.25</v>
      </c>
      <c r="K3917" s="4">
        <v>691.57</v>
      </c>
      <c r="L3917" s="4">
        <v>386.68</v>
      </c>
      <c r="M3917" s="1" t="str">
        <f>TEXT(Table1[[#This Row],[Order_Date]], "MMM")</f>
        <v>Apr</v>
      </c>
      <c r="N3917" s="1">
        <f>YEAR(Table1[[#This Row],[Order_Date]])</f>
        <v>2024</v>
      </c>
      <c r="O3917" s="7">
        <f>Table1[[#This Row],[Profit]]/Table1[[#This Row],[Total_Sales]]</f>
        <v>0.3586181312311616</v>
      </c>
    </row>
    <row r="3918" spans="1:15" x14ac:dyDescent="0.25">
      <c r="A3918" s="1">
        <v>3917</v>
      </c>
      <c r="B3918" s="2">
        <v>45086</v>
      </c>
      <c r="C3918" s="1" t="s">
        <v>19</v>
      </c>
      <c r="D3918" s="1" t="s">
        <v>32</v>
      </c>
      <c r="E3918" s="1" t="s">
        <v>34</v>
      </c>
      <c r="F3918" s="1" t="s">
        <v>31</v>
      </c>
      <c r="G3918" s="1">
        <v>1</v>
      </c>
      <c r="H3918" s="1">
        <v>444</v>
      </c>
      <c r="I3918" s="1">
        <v>5</v>
      </c>
      <c r="J3918" s="4">
        <v>421.8</v>
      </c>
      <c r="K3918" s="4">
        <v>309.04000000000002</v>
      </c>
      <c r="L3918" s="4">
        <v>112.76</v>
      </c>
      <c r="M3918" s="1" t="str">
        <f>TEXT(Table1[[#This Row],[Order_Date]], "MMM")</f>
        <v>Jun</v>
      </c>
      <c r="N3918" s="1">
        <f>YEAR(Table1[[#This Row],[Order_Date]])</f>
        <v>2023</v>
      </c>
      <c r="O3918" s="7">
        <f>Table1[[#This Row],[Profit]]/Table1[[#This Row],[Total_Sales]]</f>
        <v>0.26733048838311996</v>
      </c>
    </row>
    <row r="3919" spans="1:15" x14ac:dyDescent="0.25">
      <c r="A3919" s="1">
        <v>3918</v>
      </c>
      <c r="B3919" s="2">
        <v>45123</v>
      </c>
      <c r="C3919" s="1" t="s">
        <v>19</v>
      </c>
      <c r="D3919" s="1" t="s">
        <v>13</v>
      </c>
      <c r="E3919" s="1" t="s">
        <v>17</v>
      </c>
      <c r="F3919" s="1" t="s">
        <v>40</v>
      </c>
      <c r="G3919" s="1">
        <v>6</v>
      </c>
      <c r="H3919" s="1">
        <v>430</v>
      </c>
      <c r="I3919" s="1">
        <v>5</v>
      </c>
      <c r="J3919" s="4">
        <v>2451</v>
      </c>
      <c r="K3919" s="4">
        <v>1600.71</v>
      </c>
      <c r="L3919" s="4">
        <v>850.29</v>
      </c>
      <c r="M3919" s="1" t="str">
        <f>TEXT(Table1[[#This Row],[Order_Date]], "MMM")</f>
        <v>Jul</v>
      </c>
      <c r="N3919" s="1">
        <f>YEAR(Table1[[#This Row],[Order_Date]])</f>
        <v>2023</v>
      </c>
      <c r="O3919" s="7">
        <f>Table1[[#This Row],[Profit]]/Table1[[#This Row],[Total_Sales]]</f>
        <v>0.34691554467564256</v>
      </c>
    </row>
    <row r="3920" spans="1:15" x14ac:dyDescent="0.25">
      <c r="A3920" s="1">
        <v>3919</v>
      </c>
      <c r="B3920" s="2">
        <v>45447</v>
      </c>
      <c r="C3920" s="1" t="s">
        <v>16</v>
      </c>
      <c r="D3920" s="1" t="s">
        <v>22</v>
      </c>
      <c r="E3920" s="1" t="s">
        <v>29</v>
      </c>
      <c r="F3920" s="1" t="s">
        <v>18</v>
      </c>
      <c r="G3920" s="1">
        <v>1</v>
      </c>
      <c r="H3920" s="1">
        <v>932</v>
      </c>
      <c r="I3920" s="1">
        <v>0</v>
      </c>
      <c r="J3920" s="4">
        <v>932</v>
      </c>
      <c r="K3920" s="4">
        <v>497.9</v>
      </c>
      <c r="L3920" s="4">
        <v>434.1</v>
      </c>
      <c r="M3920" s="1" t="str">
        <f>TEXT(Table1[[#This Row],[Order_Date]], "MMM")</f>
        <v>Jun</v>
      </c>
      <c r="N3920" s="1">
        <f>YEAR(Table1[[#This Row],[Order_Date]])</f>
        <v>2024</v>
      </c>
      <c r="O3920" s="7">
        <f>Table1[[#This Row],[Profit]]/Table1[[#This Row],[Total_Sales]]</f>
        <v>0.46577253218884124</v>
      </c>
    </row>
    <row r="3921" spans="1:15" x14ac:dyDescent="0.25">
      <c r="A3921" s="1">
        <v>3920</v>
      </c>
      <c r="B3921" s="2">
        <v>45019</v>
      </c>
      <c r="C3921" s="1" t="s">
        <v>19</v>
      </c>
      <c r="D3921" s="1" t="s">
        <v>20</v>
      </c>
      <c r="E3921" s="1" t="s">
        <v>28</v>
      </c>
      <c r="F3921" s="1" t="s">
        <v>31</v>
      </c>
      <c r="G3921" s="1">
        <v>3</v>
      </c>
      <c r="H3921" s="1">
        <v>661</v>
      </c>
      <c r="I3921" s="1">
        <v>5</v>
      </c>
      <c r="J3921" s="4">
        <v>1883.85</v>
      </c>
      <c r="K3921" s="4">
        <v>1493.5</v>
      </c>
      <c r="L3921" s="4">
        <v>390.35</v>
      </c>
      <c r="M3921" s="1" t="str">
        <f>TEXT(Table1[[#This Row],[Order_Date]], "MMM")</f>
        <v>Apr</v>
      </c>
      <c r="N3921" s="1">
        <f>YEAR(Table1[[#This Row],[Order_Date]])</f>
        <v>2023</v>
      </c>
      <c r="O3921" s="7">
        <f>Table1[[#This Row],[Profit]]/Table1[[#This Row],[Total_Sales]]</f>
        <v>0.20720864187700722</v>
      </c>
    </row>
    <row r="3922" spans="1:15" x14ac:dyDescent="0.25">
      <c r="A3922" s="1">
        <v>3921</v>
      </c>
      <c r="B3922" s="2">
        <v>44959</v>
      </c>
      <c r="C3922" s="1" t="s">
        <v>19</v>
      </c>
      <c r="D3922" s="1" t="s">
        <v>22</v>
      </c>
      <c r="E3922" s="1" t="s">
        <v>36</v>
      </c>
      <c r="F3922" s="1" t="s">
        <v>31</v>
      </c>
      <c r="G3922" s="1">
        <v>5</v>
      </c>
      <c r="H3922" s="1">
        <v>313</v>
      </c>
      <c r="I3922" s="1">
        <v>0</v>
      </c>
      <c r="J3922" s="4">
        <v>1565</v>
      </c>
      <c r="K3922" s="4">
        <v>903.94</v>
      </c>
      <c r="L3922" s="4">
        <v>661.06</v>
      </c>
      <c r="M3922" s="1" t="str">
        <f>TEXT(Table1[[#This Row],[Order_Date]], "MMM")</f>
        <v>Feb</v>
      </c>
      <c r="N3922" s="1">
        <f>YEAR(Table1[[#This Row],[Order_Date]])</f>
        <v>2023</v>
      </c>
      <c r="O3922" s="7">
        <f>Table1[[#This Row],[Profit]]/Table1[[#This Row],[Total_Sales]]</f>
        <v>0.4224025559105431</v>
      </c>
    </row>
    <row r="3923" spans="1:15" x14ac:dyDescent="0.25">
      <c r="A3923" s="1">
        <v>3922</v>
      </c>
      <c r="B3923" s="2">
        <v>44982</v>
      </c>
      <c r="C3923" s="1" t="s">
        <v>16</v>
      </c>
      <c r="D3923" s="1" t="s">
        <v>32</v>
      </c>
      <c r="E3923" s="1" t="s">
        <v>45</v>
      </c>
      <c r="F3923" s="1" t="s">
        <v>40</v>
      </c>
      <c r="G3923" s="1">
        <v>9</v>
      </c>
      <c r="H3923" s="1">
        <v>367</v>
      </c>
      <c r="I3923" s="1">
        <v>0</v>
      </c>
      <c r="J3923" s="4">
        <v>3303</v>
      </c>
      <c r="K3923" s="4">
        <v>2614.63</v>
      </c>
      <c r="L3923" s="4">
        <v>688.37</v>
      </c>
      <c r="M3923" s="1" t="str">
        <f>TEXT(Table1[[#This Row],[Order_Date]], "MMM")</f>
        <v>Feb</v>
      </c>
      <c r="N3923" s="1">
        <f>YEAR(Table1[[#This Row],[Order_Date]])</f>
        <v>2023</v>
      </c>
      <c r="O3923" s="7">
        <f>Table1[[#This Row],[Profit]]/Table1[[#This Row],[Total_Sales]]</f>
        <v>0.20840750832576446</v>
      </c>
    </row>
    <row r="3924" spans="1:15" x14ac:dyDescent="0.25">
      <c r="A3924" s="1">
        <v>3923</v>
      </c>
      <c r="B3924" s="2">
        <v>45594</v>
      </c>
      <c r="C3924" s="1" t="s">
        <v>25</v>
      </c>
      <c r="D3924" s="1" t="s">
        <v>26</v>
      </c>
      <c r="E3924" s="1" t="s">
        <v>27</v>
      </c>
      <c r="F3924" s="1" t="s">
        <v>15</v>
      </c>
      <c r="G3924" s="1">
        <v>1</v>
      </c>
      <c r="H3924" s="1">
        <v>935</v>
      </c>
      <c r="I3924" s="1">
        <v>20</v>
      </c>
      <c r="J3924" s="4">
        <v>748</v>
      </c>
      <c r="K3924" s="4">
        <v>403.23</v>
      </c>
      <c r="L3924" s="4">
        <v>344.77</v>
      </c>
      <c r="M3924" s="1" t="str">
        <f>TEXT(Table1[[#This Row],[Order_Date]], "MMM")</f>
        <v>Oct</v>
      </c>
      <c r="N3924" s="1">
        <f>YEAR(Table1[[#This Row],[Order_Date]])</f>
        <v>2024</v>
      </c>
      <c r="O3924" s="7">
        <f>Table1[[#This Row],[Profit]]/Table1[[#This Row],[Total_Sales]]</f>
        <v>0.46092245989304809</v>
      </c>
    </row>
    <row r="3925" spans="1:15" x14ac:dyDescent="0.25">
      <c r="A3925" s="1">
        <v>3924</v>
      </c>
      <c r="B3925" s="2">
        <v>45403</v>
      </c>
      <c r="C3925" s="1" t="s">
        <v>25</v>
      </c>
      <c r="D3925" s="1" t="s">
        <v>20</v>
      </c>
      <c r="E3925" s="1" t="s">
        <v>21</v>
      </c>
      <c r="F3925" s="1" t="s">
        <v>31</v>
      </c>
      <c r="G3925" s="1">
        <v>8</v>
      </c>
      <c r="H3925" s="1">
        <v>192</v>
      </c>
      <c r="I3925" s="1">
        <v>10</v>
      </c>
      <c r="J3925" s="4">
        <v>1382.4</v>
      </c>
      <c r="K3925" s="4">
        <v>1010.63</v>
      </c>
      <c r="L3925" s="4">
        <v>371.77</v>
      </c>
      <c r="M3925" s="1" t="str">
        <f>TEXT(Table1[[#This Row],[Order_Date]], "MMM")</f>
        <v>Apr</v>
      </c>
      <c r="N3925" s="1">
        <f>YEAR(Table1[[#This Row],[Order_Date]])</f>
        <v>2024</v>
      </c>
      <c r="O3925" s="7">
        <f>Table1[[#This Row],[Profit]]/Table1[[#This Row],[Total_Sales]]</f>
        <v>0.26893084490740737</v>
      </c>
    </row>
    <row r="3926" spans="1:15" x14ac:dyDescent="0.25">
      <c r="A3926" s="1">
        <v>3925</v>
      </c>
      <c r="B3926" s="2">
        <v>45340</v>
      </c>
      <c r="C3926" s="1" t="s">
        <v>16</v>
      </c>
      <c r="D3926" s="1" t="s">
        <v>22</v>
      </c>
      <c r="E3926" s="1" t="s">
        <v>36</v>
      </c>
      <c r="F3926" s="1" t="s">
        <v>35</v>
      </c>
      <c r="G3926" s="1">
        <v>9</v>
      </c>
      <c r="H3926" s="1">
        <v>876</v>
      </c>
      <c r="I3926" s="1">
        <v>0</v>
      </c>
      <c r="J3926" s="4">
        <v>7884</v>
      </c>
      <c r="K3926" s="4">
        <v>5747.95</v>
      </c>
      <c r="L3926" s="4">
        <v>2136.0500000000002</v>
      </c>
      <c r="M3926" s="1" t="str">
        <f>TEXT(Table1[[#This Row],[Order_Date]], "MMM")</f>
        <v>Feb</v>
      </c>
      <c r="N3926" s="1">
        <f>YEAR(Table1[[#This Row],[Order_Date]])</f>
        <v>2024</v>
      </c>
      <c r="O3926" s="7">
        <f>Table1[[#This Row],[Profit]]/Table1[[#This Row],[Total_Sales]]</f>
        <v>0.27093480466768138</v>
      </c>
    </row>
    <row r="3927" spans="1:15" x14ac:dyDescent="0.25">
      <c r="A3927" s="1">
        <v>3926</v>
      </c>
      <c r="B3927" s="2">
        <v>45138</v>
      </c>
      <c r="C3927" s="1" t="s">
        <v>12</v>
      </c>
      <c r="D3927" s="1" t="s">
        <v>32</v>
      </c>
      <c r="E3927" s="1" t="s">
        <v>41</v>
      </c>
      <c r="F3927" s="1" t="s">
        <v>31</v>
      </c>
      <c r="G3927" s="1">
        <v>9</v>
      </c>
      <c r="H3927" s="1">
        <v>37</v>
      </c>
      <c r="I3927" s="1">
        <v>15</v>
      </c>
      <c r="J3927" s="4">
        <v>283.05</v>
      </c>
      <c r="K3927" s="4">
        <v>149.41</v>
      </c>
      <c r="L3927" s="4">
        <v>133.63999999999999</v>
      </c>
      <c r="M3927" s="1" t="str">
        <f>TEXT(Table1[[#This Row],[Order_Date]], "MMM")</f>
        <v>Jul</v>
      </c>
      <c r="N3927" s="1">
        <f>YEAR(Table1[[#This Row],[Order_Date]])</f>
        <v>2023</v>
      </c>
      <c r="O3927" s="7">
        <f>Table1[[#This Row],[Profit]]/Table1[[#This Row],[Total_Sales]]</f>
        <v>0.4721427309662603</v>
      </c>
    </row>
    <row r="3928" spans="1:15" x14ac:dyDescent="0.25">
      <c r="A3928" s="1">
        <v>3927</v>
      </c>
      <c r="B3928" s="2">
        <v>45059</v>
      </c>
      <c r="C3928" s="1" t="s">
        <v>12</v>
      </c>
      <c r="D3928" s="1" t="s">
        <v>32</v>
      </c>
      <c r="E3928" s="1" t="s">
        <v>34</v>
      </c>
      <c r="F3928" s="1" t="s">
        <v>40</v>
      </c>
      <c r="G3928" s="1">
        <v>7</v>
      </c>
      <c r="H3928" s="1">
        <v>875</v>
      </c>
      <c r="I3928" s="1">
        <v>20</v>
      </c>
      <c r="J3928" s="4">
        <v>4900</v>
      </c>
      <c r="K3928" s="4">
        <v>3219.4</v>
      </c>
      <c r="L3928" s="4">
        <v>1680.6</v>
      </c>
      <c r="M3928" s="1" t="str">
        <f>TEXT(Table1[[#This Row],[Order_Date]], "MMM")</f>
        <v>May</v>
      </c>
      <c r="N3928" s="1">
        <f>YEAR(Table1[[#This Row],[Order_Date]])</f>
        <v>2023</v>
      </c>
      <c r="O3928" s="7">
        <f>Table1[[#This Row],[Profit]]/Table1[[#This Row],[Total_Sales]]</f>
        <v>0.34297959183673465</v>
      </c>
    </row>
    <row r="3929" spans="1:15" x14ac:dyDescent="0.25">
      <c r="A3929" s="1">
        <v>3928</v>
      </c>
      <c r="B3929" s="2">
        <v>45413</v>
      </c>
      <c r="C3929" s="1" t="s">
        <v>12</v>
      </c>
      <c r="D3929" s="1" t="s">
        <v>26</v>
      </c>
      <c r="E3929" s="1" t="s">
        <v>42</v>
      </c>
      <c r="F3929" s="1" t="s">
        <v>31</v>
      </c>
      <c r="G3929" s="1">
        <v>4</v>
      </c>
      <c r="H3929" s="1">
        <v>210</v>
      </c>
      <c r="I3929" s="1">
        <v>10</v>
      </c>
      <c r="J3929" s="4">
        <v>756</v>
      </c>
      <c r="K3929" s="4">
        <v>593.63</v>
      </c>
      <c r="L3929" s="4">
        <v>162.37</v>
      </c>
      <c r="M3929" s="1" t="str">
        <f>TEXT(Table1[[#This Row],[Order_Date]], "MMM")</f>
        <v>May</v>
      </c>
      <c r="N3929" s="1">
        <f>YEAR(Table1[[#This Row],[Order_Date]])</f>
        <v>2024</v>
      </c>
      <c r="O3929" s="7">
        <f>Table1[[#This Row],[Profit]]/Table1[[#This Row],[Total_Sales]]</f>
        <v>0.21477513227513229</v>
      </c>
    </row>
    <row r="3930" spans="1:15" x14ac:dyDescent="0.25">
      <c r="A3930" s="1">
        <v>3929</v>
      </c>
      <c r="B3930" s="2">
        <v>45640</v>
      </c>
      <c r="C3930" s="1" t="s">
        <v>19</v>
      </c>
      <c r="D3930" s="1" t="s">
        <v>20</v>
      </c>
      <c r="E3930" s="1" t="s">
        <v>43</v>
      </c>
      <c r="F3930" s="1" t="s">
        <v>31</v>
      </c>
      <c r="G3930" s="1">
        <v>6</v>
      </c>
      <c r="H3930" s="1">
        <v>772</v>
      </c>
      <c r="I3930" s="1">
        <v>5</v>
      </c>
      <c r="J3930" s="4">
        <v>4400.3999999999996</v>
      </c>
      <c r="K3930" s="4">
        <v>3049.15</v>
      </c>
      <c r="L3930" s="4">
        <v>1351.25</v>
      </c>
      <c r="M3930" s="1" t="str">
        <f>TEXT(Table1[[#This Row],[Order_Date]], "MMM")</f>
        <v>Dec</v>
      </c>
      <c r="N3930" s="1">
        <f>YEAR(Table1[[#This Row],[Order_Date]])</f>
        <v>2024</v>
      </c>
      <c r="O3930" s="7">
        <f>Table1[[#This Row],[Profit]]/Table1[[#This Row],[Total_Sales]]</f>
        <v>0.30707435687664758</v>
      </c>
    </row>
    <row r="3931" spans="1:15" x14ac:dyDescent="0.25">
      <c r="A3931" s="1">
        <v>3930</v>
      </c>
      <c r="B3931" s="2">
        <v>45558</v>
      </c>
      <c r="C3931" s="1" t="s">
        <v>19</v>
      </c>
      <c r="D3931" s="1" t="s">
        <v>22</v>
      </c>
      <c r="E3931" s="1" t="s">
        <v>44</v>
      </c>
      <c r="F3931" s="1" t="s">
        <v>24</v>
      </c>
      <c r="G3931" s="1">
        <v>8</v>
      </c>
      <c r="H3931" s="1">
        <v>764</v>
      </c>
      <c r="I3931" s="1">
        <v>5</v>
      </c>
      <c r="J3931" s="4">
        <v>5806.4</v>
      </c>
      <c r="K3931" s="4">
        <v>4623.33</v>
      </c>
      <c r="L3931" s="4">
        <v>1183.07</v>
      </c>
      <c r="M3931" s="1" t="str">
        <f>TEXT(Table1[[#This Row],[Order_Date]], "MMM")</f>
        <v>Sep</v>
      </c>
      <c r="N3931" s="1">
        <f>YEAR(Table1[[#This Row],[Order_Date]])</f>
        <v>2024</v>
      </c>
      <c r="O3931" s="7">
        <f>Table1[[#This Row],[Profit]]/Table1[[#This Row],[Total_Sales]]</f>
        <v>0.2037527555800496</v>
      </c>
    </row>
    <row r="3932" spans="1:15" x14ac:dyDescent="0.25">
      <c r="A3932" s="1">
        <v>3931</v>
      </c>
      <c r="B3932" s="2">
        <v>45650</v>
      </c>
      <c r="C3932" s="1" t="s">
        <v>16</v>
      </c>
      <c r="D3932" s="1" t="s">
        <v>20</v>
      </c>
      <c r="E3932" s="1" t="s">
        <v>28</v>
      </c>
      <c r="F3932" s="1" t="s">
        <v>31</v>
      </c>
      <c r="G3932" s="1">
        <v>2</v>
      </c>
      <c r="H3932" s="1">
        <v>651</v>
      </c>
      <c r="I3932" s="1">
        <v>20</v>
      </c>
      <c r="J3932" s="4">
        <v>1041.5999999999999</v>
      </c>
      <c r="K3932" s="4">
        <v>709.31</v>
      </c>
      <c r="L3932" s="4">
        <v>332.29</v>
      </c>
      <c r="M3932" s="1" t="str">
        <f>TEXT(Table1[[#This Row],[Order_Date]], "MMM")</f>
        <v>Dec</v>
      </c>
      <c r="N3932" s="1">
        <f>YEAR(Table1[[#This Row],[Order_Date]])</f>
        <v>2024</v>
      </c>
      <c r="O3932" s="7">
        <f>Table1[[#This Row],[Profit]]/Table1[[#This Row],[Total_Sales]]</f>
        <v>0.31901881720430114</v>
      </c>
    </row>
    <row r="3933" spans="1:15" x14ac:dyDescent="0.25">
      <c r="A3933" s="1">
        <v>3932</v>
      </c>
      <c r="B3933" s="2">
        <v>45216</v>
      </c>
      <c r="C3933" s="1" t="s">
        <v>16</v>
      </c>
      <c r="D3933" s="1" t="s">
        <v>32</v>
      </c>
      <c r="E3933" s="1" t="s">
        <v>34</v>
      </c>
      <c r="F3933" s="1" t="s">
        <v>18</v>
      </c>
      <c r="G3933" s="1">
        <v>3</v>
      </c>
      <c r="H3933" s="1">
        <v>603</v>
      </c>
      <c r="I3933" s="1">
        <v>15</v>
      </c>
      <c r="J3933" s="4">
        <v>1537.65</v>
      </c>
      <c r="K3933" s="4">
        <v>805.53</v>
      </c>
      <c r="L3933" s="4">
        <v>732.12</v>
      </c>
      <c r="M3933" s="1" t="str">
        <f>TEXT(Table1[[#This Row],[Order_Date]], "MMM")</f>
        <v>Oct</v>
      </c>
      <c r="N3933" s="1">
        <f>YEAR(Table1[[#This Row],[Order_Date]])</f>
        <v>2023</v>
      </c>
      <c r="O3933" s="7">
        <f>Table1[[#This Row],[Profit]]/Table1[[#This Row],[Total_Sales]]</f>
        <v>0.47612915813091405</v>
      </c>
    </row>
    <row r="3934" spans="1:15" x14ac:dyDescent="0.25">
      <c r="A3934" s="1">
        <v>3933</v>
      </c>
      <c r="B3934" s="2">
        <v>45010</v>
      </c>
      <c r="C3934" s="1" t="s">
        <v>16</v>
      </c>
      <c r="D3934" s="1" t="s">
        <v>26</v>
      </c>
      <c r="E3934" s="1" t="s">
        <v>27</v>
      </c>
      <c r="F3934" s="1" t="s">
        <v>18</v>
      </c>
      <c r="G3934" s="1">
        <v>1</v>
      </c>
      <c r="H3934" s="1">
        <v>532</v>
      </c>
      <c r="I3934" s="1">
        <v>10</v>
      </c>
      <c r="J3934" s="4">
        <v>478.8</v>
      </c>
      <c r="K3934" s="4">
        <v>301.39</v>
      </c>
      <c r="L3934" s="4">
        <v>177.41</v>
      </c>
      <c r="M3934" s="1" t="str">
        <f>TEXT(Table1[[#This Row],[Order_Date]], "MMM")</f>
        <v>Mar</v>
      </c>
      <c r="N3934" s="1">
        <f>YEAR(Table1[[#This Row],[Order_Date]])</f>
        <v>2023</v>
      </c>
      <c r="O3934" s="7">
        <f>Table1[[#This Row],[Profit]]/Table1[[#This Row],[Total_Sales]]</f>
        <v>0.37053049289891393</v>
      </c>
    </row>
    <row r="3935" spans="1:15" x14ac:dyDescent="0.25">
      <c r="A3935" s="1">
        <v>3934</v>
      </c>
      <c r="B3935" s="2">
        <v>45215</v>
      </c>
      <c r="C3935" s="1" t="s">
        <v>19</v>
      </c>
      <c r="D3935" s="1" t="s">
        <v>20</v>
      </c>
      <c r="E3935" s="1" t="s">
        <v>28</v>
      </c>
      <c r="F3935" s="1" t="s">
        <v>40</v>
      </c>
      <c r="G3935" s="1">
        <v>7</v>
      </c>
      <c r="H3935" s="1">
        <v>614</v>
      </c>
      <c r="I3935" s="1">
        <v>15</v>
      </c>
      <c r="J3935" s="4">
        <v>3653.3</v>
      </c>
      <c r="K3935" s="4">
        <v>2594.7600000000002</v>
      </c>
      <c r="L3935" s="4">
        <v>1058.54</v>
      </c>
      <c r="M3935" s="1" t="str">
        <f>TEXT(Table1[[#This Row],[Order_Date]], "MMM")</f>
        <v>Oct</v>
      </c>
      <c r="N3935" s="1">
        <f>YEAR(Table1[[#This Row],[Order_Date]])</f>
        <v>2023</v>
      </c>
      <c r="O3935" s="7">
        <f>Table1[[#This Row],[Profit]]/Table1[[#This Row],[Total_Sales]]</f>
        <v>0.28974899406016474</v>
      </c>
    </row>
    <row r="3936" spans="1:15" x14ac:dyDescent="0.25">
      <c r="A3936" s="1">
        <v>3935</v>
      </c>
      <c r="B3936" s="2">
        <v>45451</v>
      </c>
      <c r="C3936" s="1" t="s">
        <v>12</v>
      </c>
      <c r="D3936" s="1" t="s">
        <v>22</v>
      </c>
      <c r="E3936" s="1" t="s">
        <v>36</v>
      </c>
      <c r="F3936" s="1" t="s">
        <v>31</v>
      </c>
      <c r="G3936" s="1">
        <v>6</v>
      </c>
      <c r="H3936" s="1">
        <v>70</v>
      </c>
      <c r="I3936" s="1">
        <v>10</v>
      </c>
      <c r="J3936" s="4">
        <v>378</v>
      </c>
      <c r="K3936" s="4">
        <v>287.41000000000003</v>
      </c>
      <c r="L3936" s="4">
        <v>90.59</v>
      </c>
      <c r="M3936" s="1" t="str">
        <f>TEXT(Table1[[#This Row],[Order_Date]], "MMM")</f>
        <v>Jun</v>
      </c>
      <c r="N3936" s="1">
        <f>YEAR(Table1[[#This Row],[Order_Date]])</f>
        <v>2024</v>
      </c>
      <c r="O3936" s="7">
        <f>Table1[[#This Row],[Profit]]/Table1[[#This Row],[Total_Sales]]</f>
        <v>0.23965608465608468</v>
      </c>
    </row>
    <row r="3937" spans="1:15" x14ac:dyDescent="0.25">
      <c r="A3937" s="1">
        <v>3936</v>
      </c>
      <c r="B3937" s="2">
        <v>45136</v>
      </c>
      <c r="C3937" s="1" t="s">
        <v>25</v>
      </c>
      <c r="D3937" s="1" t="s">
        <v>22</v>
      </c>
      <c r="E3937" s="1" t="s">
        <v>44</v>
      </c>
      <c r="F3937" s="1" t="s">
        <v>40</v>
      </c>
      <c r="G3937" s="1">
        <v>1</v>
      </c>
      <c r="H3937" s="1">
        <v>249</v>
      </c>
      <c r="I3937" s="1">
        <v>0</v>
      </c>
      <c r="J3937" s="4">
        <v>249</v>
      </c>
      <c r="K3937" s="4">
        <v>151.05000000000001</v>
      </c>
      <c r="L3937" s="4">
        <v>97.95</v>
      </c>
      <c r="M3937" s="1" t="str">
        <f>TEXT(Table1[[#This Row],[Order_Date]], "MMM")</f>
        <v>Jul</v>
      </c>
      <c r="N3937" s="1">
        <f>YEAR(Table1[[#This Row],[Order_Date]])</f>
        <v>2023</v>
      </c>
      <c r="O3937" s="7">
        <f>Table1[[#This Row],[Profit]]/Table1[[#This Row],[Total_Sales]]</f>
        <v>0.3933734939759036</v>
      </c>
    </row>
    <row r="3938" spans="1:15" x14ac:dyDescent="0.25">
      <c r="A3938" s="1">
        <v>3937</v>
      </c>
      <c r="B3938" s="2">
        <v>45641</v>
      </c>
      <c r="C3938" s="1" t="s">
        <v>25</v>
      </c>
      <c r="D3938" s="1" t="s">
        <v>20</v>
      </c>
      <c r="E3938" s="1" t="s">
        <v>30</v>
      </c>
      <c r="F3938" s="1" t="s">
        <v>40</v>
      </c>
      <c r="G3938" s="1">
        <v>9</v>
      </c>
      <c r="H3938" s="1">
        <v>706</v>
      </c>
      <c r="I3938" s="1">
        <v>5</v>
      </c>
      <c r="J3938" s="4">
        <v>6036.3</v>
      </c>
      <c r="K3938" s="4">
        <v>4793.95</v>
      </c>
      <c r="L3938" s="4">
        <v>1242.3499999999999</v>
      </c>
      <c r="M3938" s="1" t="str">
        <f>TEXT(Table1[[#This Row],[Order_Date]], "MMM")</f>
        <v>Dec</v>
      </c>
      <c r="N3938" s="1">
        <f>YEAR(Table1[[#This Row],[Order_Date]])</f>
        <v>2024</v>
      </c>
      <c r="O3938" s="7">
        <f>Table1[[#This Row],[Profit]]/Table1[[#This Row],[Total_Sales]]</f>
        <v>0.20581316369299071</v>
      </c>
    </row>
    <row r="3939" spans="1:15" x14ac:dyDescent="0.25">
      <c r="A3939" s="1">
        <v>3938</v>
      </c>
      <c r="B3939" s="2">
        <v>45003</v>
      </c>
      <c r="C3939" s="1" t="s">
        <v>19</v>
      </c>
      <c r="D3939" s="1" t="s">
        <v>13</v>
      </c>
      <c r="E3939" s="1" t="s">
        <v>17</v>
      </c>
      <c r="F3939" s="1" t="s">
        <v>24</v>
      </c>
      <c r="G3939" s="1">
        <v>9</v>
      </c>
      <c r="H3939" s="1">
        <v>663</v>
      </c>
      <c r="I3939" s="1">
        <v>10</v>
      </c>
      <c r="J3939" s="4">
        <v>5370.3</v>
      </c>
      <c r="K3939" s="4">
        <v>3552.65</v>
      </c>
      <c r="L3939" s="4">
        <v>1817.65</v>
      </c>
      <c r="M3939" s="1" t="str">
        <f>TEXT(Table1[[#This Row],[Order_Date]], "MMM")</f>
        <v>Mar</v>
      </c>
      <c r="N3939" s="1">
        <f>YEAR(Table1[[#This Row],[Order_Date]])</f>
        <v>2023</v>
      </c>
      <c r="O3939" s="7">
        <f>Table1[[#This Row],[Profit]]/Table1[[#This Row],[Total_Sales]]</f>
        <v>0.33846340055490381</v>
      </c>
    </row>
    <row r="3940" spans="1:15" x14ac:dyDescent="0.25">
      <c r="A3940" s="1">
        <v>3939</v>
      </c>
      <c r="B3940" s="2">
        <v>44927</v>
      </c>
      <c r="C3940" s="1" t="s">
        <v>16</v>
      </c>
      <c r="D3940" s="1" t="s">
        <v>13</v>
      </c>
      <c r="E3940" s="1" t="s">
        <v>14</v>
      </c>
      <c r="F3940" s="1" t="s">
        <v>15</v>
      </c>
      <c r="G3940" s="1">
        <v>4</v>
      </c>
      <c r="H3940" s="1">
        <v>555</v>
      </c>
      <c r="I3940" s="1">
        <v>0</v>
      </c>
      <c r="J3940" s="4">
        <v>2220</v>
      </c>
      <c r="K3940" s="4">
        <v>1576.5</v>
      </c>
      <c r="L3940" s="4">
        <v>643.5</v>
      </c>
      <c r="M3940" s="1" t="str">
        <f>TEXT(Table1[[#This Row],[Order_Date]], "MMM")</f>
        <v>Jan</v>
      </c>
      <c r="N3940" s="1">
        <f>YEAR(Table1[[#This Row],[Order_Date]])</f>
        <v>2023</v>
      </c>
      <c r="O3940" s="7">
        <f>Table1[[#This Row],[Profit]]/Table1[[#This Row],[Total_Sales]]</f>
        <v>0.28986486486486485</v>
      </c>
    </row>
    <row r="3941" spans="1:15" x14ac:dyDescent="0.25">
      <c r="A3941" s="1">
        <v>3940</v>
      </c>
      <c r="B3941" s="2">
        <v>45187</v>
      </c>
      <c r="C3941" s="1" t="s">
        <v>25</v>
      </c>
      <c r="D3941" s="1" t="s">
        <v>13</v>
      </c>
      <c r="E3941" s="1" t="s">
        <v>38</v>
      </c>
      <c r="F3941" s="1" t="s">
        <v>15</v>
      </c>
      <c r="G3941" s="1">
        <v>2</v>
      </c>
      <c r="H3941" s="1">
        <v>780</v>
      </c>
      <c r="I3941" s="1">
        <v>5</v>
      </c>
      <c r="J3941" s="4">
        <v>1482</v>
      </c>
      <c r="K3941" s="4">
        <v>1025.69</v>
      </c>
      <c r="L3941" s="4">
        <v>456.31</v>
      </c>
      <c r="M3941" s="1" t="str">
        <f>TEXT(Table1[[#This Row],[Order_Date]], "MMM")</f>
        <v>Sep</v>
      </c>
      <c r="N3941" s="1">
        <f>YEAR(Table1[[#This Row],[Order_Date]])</f>
        <v>2023</v>
      </c>
      <c r="O3941" s="7">
        <f>Table1[[#This Row],[Profit]]/Table1[[#This Row],[Total_Sales]]</f>
        <v>0.30790148448043186</v>
      </c>
    </row>
    <row r="3942" spans="1:15" x14ac:dyDescent="0.25">
      <c r="A3942" s="1">
        <v>3941</v>
      </c>
      <c r="B3942" s="2">
        <v>45305</v>
      </c>
      <c r="C3942" s="1" t="s">
        <v>12</v>
      </c>
      <c r="D3942" s="1" t="s">
        <v>32</v>
      </c>
      <c r="E3942" s="1" t="s">
        <v>41</v>
      </c>
      <c r="F3942" s="1" t="s">
        <v>31</v>
      </c>
      <c r="G3942" s="1">
        <v>8</v>
      </c>
      <c r="H3942" s="1">
        <v>424</v>
      </c>
      <c r="I3942" s="1">
        <v>10</v>
      </c>
      <c r="J3942" s="4">
        <v>3052.8</v>
      </c>
      <c r="K3942" s="4">
        <v>2218.7600000000002</v>
      </c>
      <c r="L3942" s="4">
        <v>834.04</v>
      </c>
      <c r="M3942" s="1" t="str">
        <f>TEXT(Table1[[#This Row],[Order_Date]], "MMM")</f>
        <v>Jan</v>
      </c>
      <c r="N3942" s="1">
        <f>YEAR(Table1[[#This Row],[Order_Date]])</f>
        <v>2024</v>
      </c>
      <c r="O3942" s="7">
        <f>Table1[[#This Row],[Profit]]/Table1[[#This Row],[Total_Sales]]</f>
        <v>0.27320492662473794</v>
      </c>
    </row>
    <row r="3943" spans="1:15" x14ac:dyDescent="0.25">
      <c r="A3943" s="1">
        <v>3942</v>
      </c>
      <c r="B3943" s="2">
        <v>45227</v>
      </c>
      <c r="C3943" s="1" t="s">
        <v>16</v>
      </c>
      <c r="D3943" s="1" t="s">
        <v>26</v>
      </c>
      <c r="E3943" s="1" t="s">
        <v>37</v>
      </c>
      <c r="F3943" s="1" t="s">
        <v>40</v>
      </c>
      <c r="G3943" s="1">
        <v>9</v>
      </c>
      <c r="H3943" s="1">
        <v>748</v>
      </c>
      <c r="I3943" s="1">
        <v>15</v>
      </c>
      <c r="J3943" s="4">
        <v>5722.2</v>
      </c>
      <c r="K3943" s="4">
        <v>3681.39</v>
      </c>
      <c r="L3943" s="4">
        <v>2040.81</v>
      </c>
      <c r="M3943" s="1" t="str">
        <f>TEXT(Table1[[#This Row],[Order_Date]], "MMM")</f>
        <v>Oct</v>
      </c>
      <c r="N3943" s="1">
        <f>YEAR(Table1[[#This Row],[Order_Date]])</f>
        <v>2023</v>
      </c>
      <c r="O3943" s="7">
        <f>Table1[[#This Row],[Profit]]/Table1[[#This Row],[Total_Sales]]</f>
        <v>0.35664779280696235</v>
      </c>
    </row>
    <row r="3944" spans="1:15" x14ac:dyDescent="0.25">
      <c r="A3944" s="1">
        <v>3943</v>
      </c>
      <c r="B3944" s="2">
        <v>45180</v>
      </c>
      <c r="C3944" s="1" t="s">
        <v>19</v>
      </c>
      <c r="D3944" s="1" t="s">
        <v>20</v>
      </c>
      <c r="E3944" s="1" t="s">
        <v>30</v>
      </c>
      <c r="F3944" s="1" t="s">
        <v>18</v>
      </c>
      <c r="G3944" s="1">
        <v>6</v>
      </c>
      <c r="H3944" s="1">
        <v>810</v>
      </c>
      <c r="I3944" s="1">
        <v>5</v>
      </c>
      <c r="J3944" s="4">
        <v>4617</v>
      </c>
      <c r="K3944" s="4">
        <v>2467.54</v>
      </c>
      <c r="L3944" s="4">
        <v>2149.46</v>
      </c>
      <c r="M3944" s="1" t="str">
        <f>TEXT(Table1[[#This Row],[Order_Date]], "MMM")</f>
        <v>Sep</v>
      </c>
      <c r="N3944" s="1">
        <f>YEAR(Table1[[#This Row],[Order_Date]])</f>
        <v>2023</v>
      </c>
      <c r="O3944" s="7">
        <f>Table1[[#This Row],[Profit]]/Table1[[#This Row],[Total_Sales]]</f>
        <v>0.46555338964695692</v>
      </c>
    </row>
    <row r="3945" spans="1:15" x14ac:dyDescent="0.25">
      <c r="A3945" s="1">
        <v>3944</v>
      </c>
      <c r="B3945" s="2">
        <v>45515</v>
      </c>
      <c r="C3945" s="1" t="s">
        <v>16</v>
      </c>
      <c r="D3945" s="1" t="s">
        <v>20</v>
      </c>
      <c r="E3945" s="1" t="s">
        <v>30</v>
      </c>
      <c r="F3945" s="1" t="s">
        <v>35</v>
      </c>
      <c r="G3945" s="1">
        <v>2</v>
      </c>
      <c r="H3945" s="1">
        <v>934</v>
      </c>
      <c r="I3945" s="1">
        <v>10</v>
      </c>
      <c r="J3945" s="4">
        <v>1681.2</v>
      </c>
      <c r="K3945" s="4">
        <v>1321.42</v>
      </c>
      <c r="L3945" s="4">
        <v>359.78</v>
      </c>
      <c r="M3945" s="1" t="str">
        <f>TEXT(Table1[[#This Row],[Order_Date]], "MMM")</f>
        <v>Aug</v>
      </c>
      <c r="N3945" s="1">
        <f>YEAR(Table1[[#This Row],[Order_Date]])</f>
        <v>2024</v>
      </c>
      <c r="O3945" s="7">
        <f>Table1[[#This Row],[Profit]]/Table1[[#This Row],[Total_Sales]]</f>
        <v>0.21400190340233163</v>
      </c>
    </row>
    <row r="3946" spans="1:15" x14ac:dyDescent="0.25">
      <c r="A3946" s="1">
        <v>3945</v>
      </c>
      <c r="B3946" s="2">
        <v>45245</v>
      </c>
      <c r="C3946" s="1" t="s">
        <v>19</v>
      </c>
      <c r="D3946" s="1" t="s">
        <v>32</v>
      </c>
      <c r="E3946" s="1" t="s">
        <v>33</v>
      </c>
      <c r="F3946" s="1" t="s">
        <v>40</v>
      </c>
      <c r="G3946" s="1">
        <v>10</v>
      </c>
      <c r="H3946" s="1">
        <v>482</v>
      </c>
      <c r="I3946" s="1">
        <v>0</v>
      </c>
      <c r="J3946" s="4">
        <v>4820</v>
      </c>
      <c r="K3946" s="4">
        <v>2536.0100000000002</v>
      </c>
      <c r="L3946" s="4">
        <v>2283.9899999999998</v>
      </c>
      <c r="M3946" s="1" t="str">
        <f>TEXT(Table1[[#This Row],[Order_Date]], "MMM")</f>
        <v>Nov</v>
      </c>
      <c r="N3946" s="1">
        <f>YEAR(Table1[[#This Row],[Order_Date]])</f>
        <v>2023</v>
      </c>
      <c r="O3946" s="7">
        <f>Table1[[#This Row],[Profit]]/Table1[[#This Row],[Total_Sales]]</f>
        <v>0.473856846473029</v>
      </c>
    </row>
    <row r="3947" spans="1:15" x14ac:dyDescent="0.25">
      <c r="A3947" s="1">
        <v>3946</v>
      </c>
      <c r="B3947" s="2">
        <v>44997</v>
      </c>
      <c r="C3947" s="1" t="s">
        <v>25</v>
      </c>
      <c r="D3947" s="1" t="s">
        <v>20</v>
      </c>
      <c r="E3947" s="1" t="s">
        <v>43</v>
      </c>
      <c r="F3947" s="1" t="s">
        <v>18</v>
      </c>
      <c r="G3947" s="1">
        <v>9</v>
      </c>
      <c r="H3947" s="1">
        <v>937</v>
      </c>
      <c r="I3947" s="1">
        <v>20</v>
      </c>
      <c r="J3947" s="4">
        <v>6746.4</v>
      </c>
      <c r="K3947" s="4">
        <v>5221.8500000000004</v>
      </c>
      <c r="L3947" s="4">
        <v>1524.55</v>
      </c>
      <c r="M3947" s="1" t="str">
        <f>TEXT(Table1[[#This Row],[Order_Date]], "MMM")</f>
        <v>Mar</v>
      </c>
      <c r="N3947" s="1">
        <f>YEAR(Table1[[#This Row],[Order_Date]])</f>
        <v>2023</v>
      </c>
      <c r="O3947" s="7">
        <f>Table1[[#This Row],[Profit]]/Table1[[#This Row],[Total_Sales]]</f>
        <v>0.22597978180955769</v>
      </c>
    </row>
    <row r="3948" spans="1:15" x14ac:dyDescent="0.25">
      <c r="A3948" s="1">
        <v>3947</v>
      </c>
      <c r="B3948" s="2">
        <v>45252</v>
      </c>
      <c r="C3948" s="1" t="s">
        <v>19</v>
      </c>
      <c r="D3948" s="1" t="s">
        <v>20</v>
      </c>
      <c r="E3948" s="1" t="s">
        <v>28</v>
      </c>
      <c r="F3948" s="1" t="s">
        <v>35</v>
      </c>
      <c r="G3948" s="1">
        <v>10</v>
      </c>
      <c r="H3948" s="1">
        <v>283</v>
      </c>
      <c r="I3948" s="1">
        <v>15</v>
      </c>
      <c r="J3948" s="4">
        <v>2405.5</v>
      </c>
      <c r="K3948" s="4">
        <v>1763.04</v>
      </c>
      <c r="L3948" s="4">
        <v>642.46</v>
      </c>
      <c r="M3948" s="1" t="str">
        <f>TEXT(Table1[[#This Row],[Order_Date]], "MMM")</f>
        <v>Nov</v>
      </c>
      <c r="N3948" s="1">
        <f>YEAR(Table1[[#This Row],[Order_Date]])</f>
        <v>2023</v>
      </c>
      <c r="O3948" s="7">
        <f>Table1[[#This Row],[Profit]]/Table1[[#This Row],[Total_Sales]]</f>
        <v>0.26707960922885055</v>
      </c>
    </row>
    <row r="3949" spans="1:15" x14ac:dyDescent="0.25">
      <c r="A3949" s="1">
        <v>3948</v>
      </c>
      <c r="B3949" s="2">
        <v>45556</v>
      </c>
      <c r="C3949" s="1" t="s">
        <v>12</v>
      </c>
      <c r="D3949" s="1" t="s">
        <v>20</v>
      </c>
      <c r="E3949" s="1" t="s">
        <v>21</v>
      </c>
      <c r="F3949" s="1" t="s">
        <v>40</v>
      </c>
      <c r="G3949" s="1">
        <v>2</v>
      </c>
      <c r="H3949" s="1">
        <v>678</v>
      </c>
      <c r="I3949" s="1">
        <v>0</v>
      </c>
      <c r="J3949" s="4">
        <v>1356</v>
      </c>
      <c r="K3949" s="4">
        <v>1040.3800000000001</v>
      </c>
      <c r="L3949" s="4">
        <v>315.62</v>
      </c>
      <c r="M3949" s="1" t="str">
        <f>TEXT(Table1[[#This Row],[Order_Date]], "MMM")</f>
        <v>Sep</v>
      </c>
      <c r="N3949" s="1">
        <f>YEAR(Table1[[#This Row],[Order_Date]])</f>
        <v>2024</v>
      </c>
      <c r="O3949" s="7">
        <f>Table1[[#This Row],[Profit]]/Table1[[#This Row],[Total_Sales]]</f>
        <v>0.23275811209439529</v>
      </c>
    </row>
    <row r="3950" spans="1:15" x14ac:dyDescent="0.25">
      <c r="A3950" s="1">
        <v>3949</v>
      </c>
      <c r="B3950" s="2">
        <v>45439</v>
      </c>
      <c r="C3950" s="1" t="s">
        <v>19</v>
      </c>
      <c r="D3950" s="1" t="s">
        <v>26</v>
      </c>
      <c r="E3950" s="1" t="s">
        <v>42</v>
      </c>
      <c r="F3950" s="1" t="s">
        <v>18</v>
      </c>
      <c r="G3950" s="1">
        <v>5</v>
      </c>
      <c r="H3950" s="1">
        <v>647</v>
      </c>
      <c r="I3950" s="1">
        <v>0</v>
      </c>
      <c r="J3950" s="4">
        <v>3235</v>
      </c>
      <c r="K3950" s="4">
        <v>2209.4699999999998</v>
      </c>
      <c r="L3950" s="4">
        <v>1025.53</v>
      </c>
      <c r="M3950" s="1" t="str">
        <f>TEXT(Table1[[#This Row],[Order_Date]], "MMM")</f>
        <v>May</v>
      </c>
      <c r="N3950" s="1">
        <f>YEAR(Table1[[#This Row],[Order_Date]])</f>
        <v>2024</v>
      </c>
      <c r="O3950" s="7">
        <f>Table1[[#This Row],[Profit]]/Table1[[#This Row],[Total_Sales]]</f>
        <v>0.31701081916537865</v>
      </c>
    </row>
    <row r="3951" spans="1:15" x14ac:dyDescent="0.25">
      <c r="A3951" s="1">
        <v>3950</v>
      </c>
      <c r="B3951" s="2">
        <v>45115</v>
      </c>
      <c r="C3951" s="1" t="s">
        <v>16</v>
      </c>
      <c r="D3951" s="1" t="s">
        <v>32</v>
      </c>
      <c r="E3951" s="1" t="s">
        <v>33</v>
      </c>
      <c r="F3951" s="1" t="s">
        <v>15</v>
      </c>
      <c r="G3951" s="1">
        <v>4</v>
      </c>
      <c r="H3951" s="1">
        <v>357</v>
      </c>
      <c r="I3951" s="1">
        <v>5</v>
      </c>
      <c r="J3951" s="4">
        <v>1356.6</v>
      </c>
      <c r="K3951" s="4">
        <v>1076.3900000000001</v>
      </c>
      <c r="L3951" s="4">
        <v>280.20999999999998</v>
      </c>
      <c r="M3951" s="1" t="str">
        <f>TEXT(Table1[[#This Row],[Order_Date]], "MMM")</f>
        <v>Jul</v>
      </c>
      <c r="N3951" s="1">
        <f>YEAR(Table1[[#This Row],[Order_Date]])</f>
        <v>2023</v>
      </c>
      <c r="O3951" s="7">
        <f>Table1[[#This Row],[Profit]]/Table1[[#This Row],[Total_Sales]]</f>
        <v>0.20655314757481941</v>
      </c>
    </row>
    <row r="3952" spans="1:15" x14ac:dyDescent="0.25">
      <c r="A3952" s="1">
        <v>3951</v>
      </c>
      <c r="B3952" s="2">
        <v>45129</v>
      </c>
      <c r="C3952" s="1" t="s">
        <v>25</v>
      </c>
      <c r="D3952" s="1" t="s">
        <v>22</v>
      </c>
      <c r="E3952" s="1" t="s">
        <v>29</v>
      </c>
      <c r="F3952" s="1" t="s">
        <v>31</v>
      </c>
      <c r="G3952" s="1">
        <v>1</v>
      </c>
      <c r="H3952" s="1">
        <v>491</v>
      </c>
      <c r="I3952" s="1">
        <v>5</v>
      </c>
      <c r="J3952" s="4">
        <v>466.45</v>
      </c>
      <c r="K3952" s="4">
        <v>352.84</v>
      </c>
      <c r="L3952" s="4">
        <v>113.61</v>
      </c>
      <c r="M3952" s="1" t="str">
        <f>TEXT(Table1[[#This Row],[Order_Date]], "MMM")</f>
        <v>Jul</v>
      </c>
      <c r="N3952" s="1">
        <f>YEAR(Table1[[#This Row],[Order_Date]])</f>
        <v>2023</v>
      </c>
      <c r="O3952" s="7">
        <f>Table1[[#This Row],[Profit]]/Table1[[#This Row],[Total_Sales]]</f>
        <v>0.24356308285989925</v>
      </c>
    </row>
    <row r="3953" spans="1:15" x14ac:dyDescent="0.25">
      <c r="A3953" s="1">
        <v>3952</v>
      </c>
      <c r="B3953" s="2">
        <v>45542</v>
      </c>
      <c r="C3953" s="1" t="s">
        <v>12</v>
      </c>
      <c r="D3953" s="1" t="s">
        <v>22</v>
      </c>
      <c r="E3953" s="1" t="s">
        <v>44</v>
      </c>
      <c r="F3953" s="1" t="s">
        <v>35</v>
      </c>
      <c r="G3953" s="1">
        <v>4</v>
      </c>
      <c r="H3953" s="1">
        <v>708</v>
      </c>
      <c r="I3953" s="1">
        <v>20</v>
      </c>
      <c r="J3953" s="4">
        <v>2265.6</v>
      </c>
      <c r="K3953" s="4">
        <v>1550.48</v>
      </c>
      <c r="L3953" s="4">
        <v>715.12</v>
      </c>
      <c r="M3953" s="1" t="str">
        <f>TEXT(Table1[[#This Row],[Order_Date]], "MMM")</f>
        <v>Sep</v>
      </c>
      <c r="N3953" s="1">
        <f>YEAR(Table1[[#This Row],[Order_Date]])</f>
        <v>2024</v>
      </c>
      <c r="O3953" s="7">
        <f>Table1[[#This Row],[Profit]]/Table1[[#This Row],[Total_Sales]]</f>
        <v>0.31564265536723163</v>
      </c>
    </row>
    <row r="3954" spans="1:15" x14ac:dyDescent="0.25">
      <c r="A3954" s="1">
        <v>3953</v>
      </c>
      <c r="B3954" s="2">
        <v>45044</v>
      </c>
      <c r="C3954" s="1" t="s">
        <v>12</v>
      </c>
      <c r="D3954" s="1" t="s">
        <v>26</v>
      </c>
      <c r="E3954" s="1" t="s">
        <v>46</v>
      </c>
      <c r="F3954" s="1" t="s">
        <v>24</v>
      </c>
      <c r="G3954" s="1">
        <v>3</v>
      </c>
      <c r="H3954" s="1">
        <v>962</v>
      </c>
      <c r="I3954" s="1">
        <v>5</v>
      </c>
      <c r="J3954" s="4">
        <v>2741.7</v>
      </c>
      <c r="K3954" s="4">
        <v>1961.52</v>
      </c>
      <c r="L3954" s="4">
        <v>780.18</v>
      </c>
      <c r="M3954" s="1" t="str">
        <f>TEXT(Table1[[#This Row],[Order_Date]], "MMM")</f>
        <v>Apr</v>
      </c>
      <c r="N3954" s="1">
        <f>YEAR(Table1[[#This Row],[Order_Date]])</f>
        <v>2023</v>
      </c>
      <c r="O3954" s="7">
        <f>Table1[[#This Row],[Profit]]/Table1[[#This Row],[Total_Sales]]</f>
        <v>0.28456067403435825</v>
      </c>
    </row>
    <row r="3955" spans="1:15" x14ac:dyDescent="0.25">
      <c r="A3955" s="1">
        <v>3954</v>
      </c>
      <c r="B3955" s="2">
        <v>45121</v>
      </c>
      <c r="C3955" s="1" t="s">
        <v>25</v>
      </c>
      <c r="D3955" s="1" t="s">
        <v>22</v>
      </c>
      <c r="E3955" s="1" t="s">
        <v>23</v>
      </c>
      <c r="F3955" s="1" t="s">
        <v>24</v>
      </c>
      <c r="G3955" s="1">
        <v>4</v>
      </c>
      <c r="H3955" s="1">
        <v>484</v>
      </c>
      <c r="I3955" s="1">
        <v>15</v>
      </c>
      <c r="J3955" s="4">
        <v>1645.6</v>
      </c>
      <c r="K3955" s="4">
        <v>1255.9000000000001</v>
      </c>
      <c r="L3955" s="4">
        <v>389.7</v>
      </c>
      <c r="M3955" s="1" t="str">
        <f>TEXT(Table1[[#This Row],[Order_Date]], "MMM")</f>
        <v>Jul</v>
      </c>
      <c r="N3955" s="1">
        <f>YEAR(Table1[[#This Row],[Order_Date]])</f>
        <v>2023</v>
      </c>
      <c r="O3955" s="7">
        <f>Table1[[#This Row],[Profit]]/Table1[[#This Row],[Total_Sales]]</f>
        <v>0.23681332036947011</v>
      </c>
    </row>
    <row r="3956" spans="1:15" x14ac:dyDescent="0.25">
      <c r="A3956" s="1">
        <v>3955</v>
      </c>
      <c r="B3956" s="2">
        <v>45142</v>
      </c>
      <c r="C3956" s="1" t="s">
        <v>25</v>
      </c>
      <c r="D3956" s="1" t="s">
        <v>20</v>
      </c>
      <c r="E3956" s="1" t="s">
        <v>21</v>
      </c>
      <c r="F3956" s="1" t="s">
        <v>15</v>
      </c>
      <c r="G3956" s="1">
        <v>1</v>
      </c>
      <c r="H3956" s="1">
        <v>882</v>
      </c>
      <c r="I3956" s="1">
        <v>15</v>
      </c>
      <c r="J3956" s="4">
        <v>749.7</v>
      </c>
      <c r="K3956" s="4">
        <v>448.17</v>
      </c>
      <c r="L3956" s="4">
        <v>301.52999999999997</v>
      </c>
      <c r="M3956" s="1" t="str">
        <f>TEXT(Table1[[#This Row],[Order_Date]], "MMM")</f>
        <v>Aug</v>
      </c>
      <c r="N3956" s="1">
        <f>YEAR(Table1[[#This Row],[Order_Date]])</f>
        <v>2023</v>
      </c>
      <c r="O3956" s="7">
        <f>Table1[[#This Row],[Profit]]/Table1[[#This Row],[Total_Sales]]</f>
        <v>0.4022008803521408</v>
      </c>
    </row>
    <row r="3957" spans="1:15" x14ac:dyDescent="0.25">
      <c r="A3957" s="1">
        <v>3956</v>
      </c>
      <c r="B3957" s="2">
        <v>44929</v>
      </c>
      <c r="C3957" s="1" t="s">
        <v>19</v>
      </c>
      <c r="D3957" s="1" t="s">
        <v>13</v>
      </c>
      <c r="E3957" s="1" t="s">
        <v>39</v>
      </c>
      <c r="F3957" s="1" t="s">
        <v>15</v>
      </c>
      <c r="G3957" s="1">
        <v>8</v>
      </c>
      <c r="H3957" s="1">
        <v>101</v>
      </c>
      <c r="I3957" s="1">
        <v>10</v>
      </c>
      <c r="J3957" s="4">
        <v>727.2</v>
      </c>
      <c r="K3957" s="4">
        <v>401.74</v>
      </c>
      <c r="L3957" s="4">
        <v>325.45999999999998</v>
      </c>
      <c r="M3957" s="1" t="str">
        <f>TEXT(Table1[[#This Row],[Order_Date]], "MMM")</f>
        <v>Jan</v>
      </c>
      <c r="N3957" s="1">
        <f>YEAR(Table1[[#This Row],[Order_Date]])</f>
        <v>2023</v>
      </c>
      <c r="O3957" s="7">
        <f>Table1[[#This Row],[Profit]]/Table1[[#This Row],[Total_Sales]]</f>
        <v>0.4475522552255225</v>
      </c>
    </row>
    <row r="3958" spans="1:15" x14ac:dyDescent="0.25">
      <c r="A3958" s="1">
        <v>3957</v>
      </c>
      <c r="B3958" s="2">
        <v>45518</v>
      </c>
      <c r="C3958" s="1" t="s">
        <v>12</v>
      </c>
      <c r="D3958" s="1" t="s">
        <v>26</v>
      </c>
      <c r="E3958" s="1" t="s">
        <v>46</v>
      </c>
      <c r="F3958" s="1" t="s">
        <v>31</v>
      </c>
      <c r="G3958" s="1">
        <v>8</v>
      </c>
      <c r="H3958" s="1">
        <v>668</v>
      </c>
      <c r="I3958" s="1">
        <v>15</v>
      </c>
      <c r="J3958" s="4">
        <v>4542.3999999999996</v>
      </c>
      <c r="K3958" s="4">
        <v>2845.79</v>
      </c>
      <c r="L3958" s="4">
        <v>1696.61</v>
      </c>
      <c r="M3958" s="1" t="str">
        <f>TEXT(Table1[[#This Row],[Order_Date]], "MMM")</f>
        <v>Aug</v>
      </c>
      <c r="N3958" s="1">
        <f>YEAR(Table1[[#This Row],[Order_Date]])</f>
        <v>2024</v>
      </c>
      <c r="O3958" s="7">
        <f>Table1[[#This Row],[Profit]]/Table1[[#This Row],[Total_Sales]]</f>
        <v>0.37350519549137023</v>
      </c>
    </row>
    <row r="3959" spans="1:15" x14ac:dyDescent="0.25">
      <c r="A3959" s="1">
        <v>3958</v>
      </c>
      <c r="B3959" s="2">
        <v>45115</v>
      </c>
      <c r="C3959" s="1" t="s">
        <v>16</v>
      </c>
      <c r="D3959" s="1" t="s">
        <v>13</v>
      </c>
      <c r="E3959" s="1" t="s">
        <v>14</v>
      </c>
      <c r="F3959" s="1" t="s">
        <v>15</v>
      </c>
      <c r="G3959" s="1">
        <v>3</v>
      </c>
      <c r="H3959" s="1">
        <v>161</v>
      </c>
      <c r="I3959" s="1">
        <v>5</v>
      </c>
      <c r="J3959" s="4">
        <v>458.85</v>
      </c>
      <c r="K3959" s="4">
        <v>264.11</v>
      </c>
      <c r="L3959" s="4">
        <v>194.74</v>
      </c>
      <c r="M3959" s="1" t="str">
        <f>TEXT(Table1[[#This Row],[Order_Date]], "MMM")</f>
        <v>Jul</v>
      </c>
      <c r="N3959" s="1">
        <f>YEAR(Table1[[#This Row],[Order_Date]])</f>
        <v>2023</v>
      </c>
      <c r="O3959" s="7">
        <f>Table1[[#This Row],[Profit]]/Table1[[#This Row],[Total_Sales]]</f>
        <v>0.42440884820747521</v>
      </c>
    </row>
    <row r="3960" spans="1:15" x14ac:dyDescent="0.25">
      <c r="A3960" s="1">
        <v>3959</v>
      </c>
      <c r="B3960" s="2">
        <v>45241</v>
      </c>
      <c r="C3960" s="1" t="s">
        <v>25</v>
      </c>
      <c r="D3960" s="1" t="s">
        <v>20</v>
      </c>
      <c r="E3960" s="1" t="s">
        <v>30</v>
      </c>
      <c r="F3960" s="1" t="s">
        <v>18</v>
      </c>
      <c r="G3960" s="1">
        <v>10</v>
      </c>
      <c r="H3960" s="1">
        <v>452</v>
      </c>
      <c r="I3960" s="1">
        <v>10</v>
      </c>
      <c r="J3960" s="4">
        <v>4068</v>
      </c>
      <c r="K3960" s="4">
        <v>2958.08</v>
      </c>
      <c r="L3960" s="4">
        <v>1109.92</v>
      </c>
      <c r="M3960" s="1" t="str">
        <f>TEXT(Table1[[#This Row],[Order_Date]], "MMM")</f>
        <v>Nov</v>
      </c>
      <c r="N3960" s="1">
        <f>YEAR(Table1[[#This Row],[Order_Date]])</f>
        <v>2023</v>
      </c>
      <c r="O3960" s="7">
        <f>Table1[[#This Row],[Profit]]/Table1[[#This Row],[Total_Sales]]</f>
        <v>0.27284169124877089</v>
      </c>
    </row>
    <row r="3961" spans="1:15" x14ac:dyDescent="0.25">
      <c r="A3961" s="1">
        <v>3960</v>
      </c>
      <c r="B3961" s="2">
        <v>45003</v>
      </c>
      <c r="C3961" s="1" t="s">
        <v>19</v>
      </c>
      <c r="D3961" s="1" t="s">
        <v>20</v>
      </c>
      <c r="E3961" s="1" t="s">
        <v>28</v>
      </c>
      <c r="F3961" s="1" t="s">
        <v>35</v>
      </c>
      <c r="G3961" s="1">
        <v>7</v>
      </c>
      <c r="H3961" s="1">
        <v>353</v>
      </c>
      <c r="I3961" s="1">
        <v>20</v>
      </c>
      <c r="J3961" s="4">
        <v>1976.8</v>
      </c>
      <c r="K3961" s="4">
        <v>1079.51</v>
      </c>
      <c r="L3961" s="4">
        <v>897.29</v>
      </c>
      <c r="M3961" s="1" t="str">
        <f>TEXT(Table1[[#This Row],[Order_Date]], "MMM")</f>
        <v>Mar</v>
      </c>
      <c r="N3961" s="1">
        <f>YEAR(Table1[[#This Row],[Order_Date]])</f>
        <v>2023</v>
      </c>
      <c r="O3961" s="7">
        <f>Table1[[#This Row],[Profit]]/Table1[[#This Row],[Total_Sales]]</f>
        <v>0.45391036017806558</v>
      </c>
    </row>
    <row r="3962" spans="1:15" x14ac:dyDescent="0.25">
      <c r="A3962" s="1">
        <v>3961</v>
      </c>
      <c r="B3962" s="2">
        <v>45132</v>
      </c>
      <c r="C3962" s="1" t="s">
        <v>12</v>
      </c>
      <c r="D3962" s="1" t="s">
        <v>22</v>
      </c>
      <c r="E3962" s="1" t="s">
        <v>29</v>
      </c>
      <c r="F3962" s="1" t="s">
        <v>18</v>
      </c>
      <c r="G3962" s="1">
        <v>5</v>
      </c>
      <c r="H3962" s="1">
        <v>960</v>
      </c>
      <c r="I3962" s="1">
        <v>5</v>
      </c>
      <c r="J3962" s="4">
        <v>4560</v>
      </c>
      <c r="K3962" s="4">
        <v>3565.98</v>
      </c>
      <c r="L3962" s="4">
        <v>994.02</v>
      </c>
      <c r="M3962" s="1" t="str">
        <f>TEXT(Table1[[#This Row],[Order_Date]], "MMM")</f>
        <v>Jul</v>
      </c>
      <c r="N3962" s="1">
        <f>YEAR(Table1[[#This Row],[Order_Date]])</f>
        <v>2023</v>
      </c>
      <c r="O3962" s="7">
        <f>Table1[[#This Row],[Profit]]/Table1[[#This Row],[Total_Sales]]</f>
        <v>0.21798684210526315</v>
      </c>
    </row>
    <row r="3963" spans="1:15" x14ac:dyDescent="0.25">
      <c r="A3963" s="1">
        <v>3962</v>
      </c>
      <c r="B3963" s="2">
        <v>45472</v>
      </c>
      <c r="C3963" s="1" t="s">
        <v>16</v>
      </c>
      <c r="D3963" s="1" t="s">
        <v>20</v>
      </c>
      <c r="E3963" s="1" t="s">
        <v>43</v>
      </c>
      <c r="F3963" s="1" t="s">
        <v>18</v>
      </c>
      <c r="G3963" s="1">
        <v>2</v>
      </c>
      <c r="H3963" s="1">
        <v>885</v>
      </c>
      <c r="I3963" s="1">
        <v>10</v>
      </c>
      <c r="J3963" s="4">
        <v>1593</v>
      </c>
      <c r="K3963" s="4">
        <v>944.9</v>
      </c>
      <c r="L3963" s="4">
        <v>648.1</v>
      </c>
      <c r="M3963" s="1" t="str">
        <f>TEXT(Table1[[#This Row],[Order_Date]], "MMM")</f>
        <v>Jun</v>
      </c>
      <c r="N3963" s="1">
        <f>YEAR(Table1[[#This Row],[Order_Date]])</f>
        <v>2024</v>
      </c>
      <c r="O3963" s="7">
        <f>Table1[[#This Row],[Profit]]/Table1[[#This Row],[Total_Sales]]</f>
        <v>0.40684243565599498</v>
      </c>
    </row>
    <row r="3964" spans="1:15" x14ac:dyDescent="0.25">
      <c r="A3964" s="1">
        <v>3963</v>
      </c>
      <c r="B3964" s="2">
        <v>45610</v>
      </c>
      <c r="C3964" s="1" t="s">
        <v>19</v>
      </c>
      <c r="D3964" s="1" t="s">
        <v>13</v>
      </c>
      <c r="E3964" s="1" t="s">
        <v>38</v>
      </c>
      <c r="F3964" s="1" t="s">
        <v>18</v>
      </c>
      <c r="G3964" s="1">
        <v>9</v>
      </c>
      <c r="H3964" s="1">
        <v>281</v>
      </c>
      <c r="I3964" s="1">
        <v>20</v>
      </c>
      <c r="J3964" s="4">
        <v>2023.2</v>
      </c>
      <c r="K3964" s="4">
        <v>1538.58</v>
      </c>
      <c r="L3964" s="4">
        <v>484.62</v>
      </c>
      <c r="M3964" s="1" t="str">
        <f>TEXT(Table1[[#This Row],[Order_Date]], "MMM")</f>
        <v>Nov</v>
      </c>
      <c r="N3964" s="1">
        <f>YEAR(Table1[[#This Row],[Order_Date]])</f>
        <v>2024</v>
      </c>
      <c r="O3964" s="7">
        <f>Table1[[#This Row],[Profit]]/Table1[[#This Row],[Total_Sales]]</f>
        <v>0.23953143534994067</v>
      </c>
    </row>
    <row r="3965" spans="1:15" x14ac:dyDescent="0.25">
      <c r="A3965" s="1">
        <v>3964</v>
      </c>
      <c r="B3965" s="2">
        <v>45066</v>
      </c>
      <c r="C3965" s="1" t="s">
        <v>16</v>
      </c>
      <c r="D3965" s="1" t="s">
        <v>32</v>
      </c>
      <c r="E3965" s="1" t="s">
        <v>45</v>
      </c>
      <c r="F3965" s="1" t="s">
        <v>18</v>
      </c>
      <c r="G3965" s="1">
        <v>2</v>
      </c>
      <c r="H3965" s="1">
        <v>908</v>
      </c>
      <c r="I3965" s="1">
        <v>10</v>
      </c>
      <c r="J3965" s="4">
        <v>1634.4</v>
      </c>
      <c r="K3965" s="4">
        <v>968.61</v>
      </c>
      <c r="L3965" s="4">
        <v>665.79</v>
      </c>
      <c r="M3965" s="1" t="str">
        <f>TEXT(Table1[[#This Row],[Order_Date]], "MMM")</f>
        <v>May</v>
      </c>
      <c r="N3965" s="1">
        <f>YEAR(Table1[[#This Row],[Order_Date]])</f>
        <v>2023</v>
      </c>
      <c r="O3965" s="7">
        <f>Table1[[#This Row],[Profit]]/Table1[[#This Row],[Total_Sales]]</f>
        <v>0.40736049926578555</v>
      </c>
    </row>
    <row r="3966" spans="1:15" x14ac:dyDescent="0.25">
      <c r="A3966" s="1">
        <v>3965</v>
      </c>
      <c r="B3966" s="2">
        <v>45145</v>
      </c>
      <c r="C3966" s="1" t="s">
        <v>19</v>
      </c>
      <c r="D3966" s="1" t="s">
        <v>22</v>
      </c>
      <c r="E3966" s="1" t="s">
        <v>44</v>
      </c>
      <c r="F3966" s="1" t="s">
        <v>40</v>
      </c>
      <c r="G3966" s="1">
        <v>4</v>
      </c>
      <c r="H3966" s="1">
        <v>725</v>
      </c>
      <c r="I3966" s="1">
        <v>15</v>
      </c>
      <c r="J3966" s="4">
        <v>2465</v>
      </c>
      <c r="K3966" s="4">
        <v>1569.79</v>
      </c>
      <c r="L3966" s="4">
        <v>895.21</v>
      </c>
      <c r="M3966" s="1" t="str">
        <f>TEXT(Table1[[#This Row],[Order_Date]], "MMM")</f>
        <v>Aug</v>
      </c>
      <c r="N3966" s="1">
        <f>YEAR(Table1[[#This Row],[Order_Date]])</f>
        <v>2023</v>
      </c>
      <c r="O3966" s="7">
        <f>Table1[[#This Row],[Profit]]/Table1[[#This Row],[Total_Sales]]</f>
        <v>0.36316835699797162</v>
      </c>
    </row>
    <row r="3967" spans="1:15" x14ac:dyDescent="0.25">
      <c r="A3967" s="1">
        <v>3966</v>
      </c>
      <c r="B3967" s="2">
        <v>45239</v>
      </c>
      <c r="C3967" s="1" t="s">
        <v>19</v>
      </c>
      <c r="D3967" s="1" t="s">
        <v>20</v>
      </c>
      <c r="E3967" s="1" t="s">
        <v>28</v>
      </c>
      <c r="F3967" s="1" t="s">
        <v>18</v>
      </c>
      <c r="G3967" s="1">
        <v>8</v>
      </c>
      <c r="H3967" s="1">
        <v>567</v>
      </c>
      <c r="I3967" s="1">
        <v>0</v>
      </c>
      <c r="J3967" s="4">
        <v>4536</v>
      </c>
      <c r="K3967" s="4">
        <v>2841.1</v>
      </c>
      <c r="L3967" s="4">
        <v>1694.9</v>
      </c>
      <c r="M3967" s="1" t="str">
        <f>TEXT(Table1[[#This Row],[Order_Date]], "MMM")</f>
        <v>Nov</v>
      </c>
      <c r="N3967" s="1">
        <f>YEAR(Table1[[#This Row],[Order_Date]])</f>
        <v>2023</v>
      </c>
      <c r="O3967" s="7">
        <f>Table1[[#This Row],[Profit]]/Table1[[#This Row],[Total_Sales]]</f>
        <v>0.37365520282186948</v>
      </c>
    </row>
    <row r="3968" spans="1:15" x14ac:dyDescent="0.25">
      <c r="A3968" s="1">
        <v>3967</v>
      </c>
      <c r="B3968" s="2">
        <v>45424</v>
      </c>
      <c r="C3968" s="1" t="s">
        <v>25</v>
      </c>
      <c r="D3968" s="1" t="s">
        <v>32</v>
      </c>
      <c r="E3968" s="1" t="s">
        <v>45</v>
      </c>
      <c r="F3968" s="1" t="s">
        <v>24</v>
      </c>
      <c r="G3968" s="1">
        <v>10</v>
      </c>
      <c r="H3968" s="1">
        <v>213</v>
      </c>
      <c r="I3968" s="1">
        <v>20</v>
      </c>
      <c r="J3968" s="4">
        <v>1704</v>
      </c>
      <c r="K3968" s="4">
        <v>1235.17</v>
      </c>
      <c r="L3968" s="4">
        <v>468.83</v>
      </c>
      <c r="M3968" s="1" t="str">
        <f>TEXT(Table1[[#This Row],[Order_Date]], "MMM")</f>
        <v>May</v>
      </c>
      <c r="N3968" s="1">
        <f>YEAR(Table1[[#This Row],[Order_Date]])</f>
        <v>2024</v>
      </c>
      <c r="O3968" s="7">
        <f>Table1[[#This Row],[Profit]]/Table1[[#This Row],[Total_Sales]]</f>
        <v>0.27513497652582158</v>
      </c>
    </row>
    <row r="3969" spans="1:15" x14ac:dyDescent="0.25">
      <c r="A3969" s="1">
        <v>3968</v>
      </c>
      <c r="B3969" s="2">
        <v>45491</v>
      </c>
      <c r="C3969" s="1" t="s">
        <v>16</v>
      </c>
      <c r="D3969" s="1" t="s">
        <v>13</v>
      </c>
      <c r="E3969" s="1" t="s">
        <v>17</v>
      </c>
      <c r="F3969" s="1" t="s">
        <v>31</v>
      </c>
      <c r="G3969" s="1">
        <v>7</v>
      </c>
      <c r="H3969" s="1">
        <v>730</v>
      </c>
      <c r="I3969" s="1">
        <v>0</v>
      </c>
      <c r="J3969" s="4">
        <v>5110</v>
      </c>
      <c r="K3969" s="4">
        <v>3341.52</v>
      </c>
      <c r="L3969" s="4">
        <v>1768.48</v>
      </c>
      <c r="M3969" s="1" t="str">
        <f>TEXT(Table1[[#This Row],[Order_Date]], "MMM")</f>
        <v>Jul</v>
      </c>
      <c r="N3969" s="1">
        <f>YEAR(Table1[[#This Row],[Order_Date]])</f>
        <v>2024</v>
      </c>
      <c r="O3969" s="7">
        <f>Table1[[#This Row],[Profit]]/Table1[[#This Row],[Total_Sales]]</f>
        <v>0.34608219178082195</v>
      </c>
    </row>
    <row r="3970" spans="1:15" x14ac:dyDescent="0.25">
      <c r="A3970" s="1">
        <v>3969</v>
      </c>
      <c r="B3970" s="2">
        <v>45256</v>
      </c>
      <c r="C3970" s="1" t="s">
        <v>12</v>
      </c>
      <c r="D3970" s="1" t="s">
        <v>13</v>
      </c>
      <c r="E3970" s="1" t="s">
        <v>39</v>
      </c>
      <c r="F3970" s="1" t="s">
        <v>15</v>
      </c>
      <c r="G3970" s="1">
        <v>6</v>
      </c>
      <c r="H3970" s="1">
        <v>641</v>
      </c>
      <c r="I3970" s="1">
        <v>5</v>
      </c>
      <c r="J3970" s="4">
        <v>3653.7</v>
      </c>
      <c r="K3970" s="4">
        <v>2021.79</v>
      </c>
      <c r="L3970" s="4">
        <v>1631.91</v>
      </c>
      <c r="M3970" s="1" t="str">
        <f>TEXT(Table1[[#This Row],[Order_Date]], "MMM")</f>
        <v>Nov</v>
      </c>
      <c r="N3970" s="1">
        <f>YEAR(Table1[[#This Row],[Order_Date]])</f>
        <v>2023</v>
      </c>
      <c r="O3970" s="7">
        <f>Table1[[#This Row],[Profit]]/Table1[[#This Row],[Total_Sales]]</f>
        <v>0.44664586583463345</v>
      </c>
    </row>
    <row r="3971" spans="1:15" x14ac:dyDescent="0.25">
      <c r="A3971" s="1">
        <v>3970</v>
      </c>
      <c r="B3971" s="2">
        <v>45312</v>
      </c>
      <c r="C3971" s="1" t="s">
        <v>12</v>
      </c>
      <c r="D3971" s="1" t="s">
        <v>22</v>
      </c>
      <c r="E3971" s="1" t="s">
        <v>23</v>
      </c>
      <c r="F3971" s="1" t="s">
        <v>40</v>
      </c>
      <c r="G3971" s="1">
        <v>2</v>
      </c>
      <c r="H3971" s="1">
        <v>705</v>
      </c>
      <c r="I3971" s="1">
        <v>20</v>
      </c>
      <c r="J3971" s="4">
        <v>1128</v>
      </c>
      <c r="K3971" s="4">
        <v>895.25</v>
      </c>
      <c r="L3971" s="4">
        <v>232.75</v>
      </c>
      <c r="M3971" s="1" t="str">
        <f>TEXT(Table1[[#This Row],[Order_Date]], "MMM")</f>
        <v>Jan</v>
      </c>
      <c r="N3971" s="1">
        <f>YEAR(Table1[[#This Row],[Order_Date]])</f>
        <v>2024</v>
      </c>
      <c r="O3971" s="7">
        <f>Table1[[#This Row],[Profit]]/Table1[[#This Row],[Total_Sales]]</f>
        <v>0.20633865248226951</v>
      </c>
    </row>
    <row r="3972" spans="1:15" x14ac:dyDescent="0.25">
      <c r="A3972" s="1">
        <v>3971</v>
      </c>
      <c r="B3972" s="2">
        <v>45536</v>
      </c>
      <c r="C3972" s="1" t="s">
        <v>19</v>
      </c>
      <c r="D3972" s="1" t="s">
        <v>20</v>
      </c>
      <c r="E3972" s="1" t="s">
        <v>28</v>
      </c>
      <c r="F3972" s="1" t="s">
        <v>24</v>
      </c>
      <c r="G3972" s="1">
        <v>2</v>
      </c>
      <c r="H3972" s="1">
        <v>327</v>
      </c>
      <c r="I3972" s="1">
        <v>5</v>
      </c>
      <c r="J3972" s="4">
        <v>621.29999999999995</v>
      </c>
      <c r="K3972" s="4">
        <v>391.44</v>
      </c>
      <c r="L3972" s="4">
        <v>229.86</v>
      </c>
      <c r="M3972" s="1" t="str">
        <f>TEXT(Table1[[#This Row],[Order_Date]], "MMM")</f>
        <v>Sep</v>
      </c>
      <c r="N3972" s="1">
        <f>YEAR(Table1[[#This Row],[Order_Date]])</f>
        <v>2024</v>
      </c>
      <c r="O3972" s="7">
        <f>Table1[[#This Row],[Profit]]/Table1[[#This Row],[Total_Sales]]</f>
        <v>0.36996619990342833</v>
      </c>
    </row>
    <row r="3973" spans="1:15" x14ac:dyDescent="0.25">
      <c r="A3973" s="1">
        <v>3972</v>
      </c>
      <c r="B3973" s="2">
        <v>45303</v>
      </c>
      <c r="C3973" s="1" t="s">
        <v>16</v>
      </c>
      <c r="D3973" s="1" t="s">
        <v>22</v>
      </c>
      <c r="E3973" s="1" t="s">
        <v>23</v>
      </c>
      <c r="F3973" s="1" t="s">
        <v>35</v>
      </c>
      <c r="G3973" s="1">
        <v>3</v>
      </c>
      <c r="H3973" s="1">
        <v>911</v>
      </c>
      <c r="I3973" s="1">
        <v>5</v>
      </c>
      <c r="J3973" s="4">
        <v>2596.35</v>
      </c>
      <c r="K3973" s="4">
        <v>2059.77</v>
      </c>
      <c r="L3973" s="4">
        <v>536.58000000000004</v>
      </c>
      <c r="M3973" s="1" t="str">
        <f>TEXT(Table1[[#This Row],[Order_Date]], "MMM")</f>
        <v>Jan</v>
      </c>
      <c r="N3973" s="1">
        <f>YEAR(Table1[[#This Row],[Order_Date]])</f>
        <v>2024</v>
      </c>
      <c r="O3973" s="7">
        <f>Table1[[#This Row],[Profit]]/Table1[[#This Row],[Total_Sales]]</f>
        <v>0.20666705182275119</v>
      </c>
    </row>
    <row r="3974" spans="1:15" x14ac:dyDescent="0.25">
      <c r="A3974" s="1">
        <v>3973</v>
      </c>
      <c r="B3974" s="2">
        <v>45398</v>
      </c>
      <c r="C3974" s="1" t="s">
        <v>16</v>
      </c>
      <c r="D3974" s="1" t="s">
        <v>22</v>
      </c>
      <c r="E3974" s="1" t="s">
        <v>29</v>
      </c>
      <c r="F3974" s="1" t="s">
        <v>18</v>
      </c>
      <c r="G3974" s="1">
        <v>8</v>
      </c>
      <c r="H3974" s="1">
        <v>428</v>
      </c>
      <c r="I3974" s="1">
        <v>5</v>
      </c>
      <c r="J3974" s="4">
        <v>3252.8</v>
      </c>
      <c r="K3974" s="4">
        <v>2089.9299999999998</v>
      </c>
      <c r="L3974" s="4">
        <v>1162.8699999999999</v>
      </c>
      <c r="M3974" s="1" t="str">
        <f>TEXT(Table1[[#This Row],[Order_Date]], "MMM")</f>
        <v>Apr</v>
      </c>
      <c r="N3974" s="1">
        <f>YEAR(Table1[[#This Row],[Order_Date]])</f>
        <v>2024</v>
      </c>
      <c r="O3974" s="7">
        <f>Table1[[#This Row],[Profit]]/Table1[[#This Row],[Total_Sales]]</f>
        <v>0.35749815543531721</v>
      </c>
    </row>
    <row r="3975" spans="1:15" x14ac:dyDescent="0.25">
      <c r="A3975" s="1">
        <v>3974</v>
      </c>
      <c r="B3975" s="2">
        <v>45024</v>
      </c>
      <c r="C3975" s="1" t="s">
        <v>16</v>
      </c>
      <c r="D3975" s="1" t="s">
        <v>22</v>
      </c>
      <c r="E3975" s="1" t="s">
        <v>23</v>
      </c>
      <c r="F3975" s="1" t="s">
        <v>40</v>
      </c>
      <c r="G3975" s="1">
        <v>6</v>
      </c>
      <c r="H3975" s="1">
        <v>591</v>
      </c>
      <c r="I3975" s="1">
        <v>10</v>
      </c>
      <c r="J3975" s="4">
        <v>3191.4</v>
      </c>
      <c r="K3975" s="4">
        <v>2104.9299999999998</v>
      </c>
      <c r="L3975" s="4">
        <v>1086.47</v>
      </c>
      <c r="M3975" s="1" t="str">
        <f>TEXT(Table1[[#This Row],[Order_Date]], "MMM")</f>
        <v>Apr</v>
      </c>
      <c r="N3975" s="1">
        <f>YEAR(Table1[[#This Row],[Order_Date]])</f>
        <v>2023</v>
      </c>
      <c r="O3975" s="7">
        <f>Table1[[#This Row],[Profit]]/Table1[[#This Row],[Total_Sales]]</f>
        <v>0.34043679889703576</v>
      </c>
    </row>
    <row r="3976" spans="1:15" x14ac:dyDescent="0.25">
      <c r="A3976" s="1">
        <v>3975</v>
      </c>
      <c r="B3976" s="2">
        <v>45119</v>
      </c>
      <c r="C3976" s="1" t="s">
        <v>12</v>
      </c>
      <c r="D3976" s="1" t="s">
        <v>20</v>
      </c>
      <c r="E3976" s="1" t="s">
        <v>21</v>
      </c>
      <c r="F3976" s="1" t="s">
        <v>40</v>
      </c>
      <c r="G3976" s="1">
        <v>9</v>
      </c>
      <c r="H3976" s="1">
        <v>979</v>
      </c>
      <c r="I3976" s="1">
        <v>20</v>
      </c>
      <c r="J3976" s="4">
        <v>7048.8</v>
      </c>
      <c r="K3976" s="4">
        <v>4652.84</v>
      </c>
      <c r="L3976" s="4">
        <v>2395.96</v>
      </c>
      <c r="M3976" s="1" t="str">
        <f>TEXT(Table1[[#This Row],[Order_Date]], "MMM")</f>
        <v>Jul</v>
      </c>
      <c r="N3976" s="1">
        <f>YEAR(Table1[[#This Row],[Order_Date]])</f>
        <v>2023</v>
      </c>
      <c r="O3976" s="7">
        <f>Table1[[#This Row],[Profit]]/Table1[[#This Row],[Total_Sales]]</f>
        <v>0.33991033934854159</v>
      </c>
    </row>
    <row r="3977" spans="1:15" x14ac:dyDescent="0.25">
      <c r="A3977" s="1">
        <v>3976</v>
      </c>
      <c r="B3977" s="2">
        <v>45629</v>
      </c>
      <c r="C3977" s="1" t="s">
        <v>12</v>
      </c>
      <c r="D3977" s="1" t="s">
        <v>32</v>
      </c>
      <c r="E3977" s="1" t="s">
        <v>45</v>
      </c>
      <c r="F3977" s="1" t="s">
        <v>31</v>
      </c>
      <c r="G3977" s="1">
        <v>4</v>
      </c>
      <c r="H3977" s="1">
        <v>715</v>
      </c>
      <c r="I3977" s="1">
        <v>5</v>
      </c>
      <c r="J3977" s="4">
        <v>2717</v>
      </c>
      <c r="K3977" s="4">
        <v>1569.77</v>
      </c>
      <c r="L3977" s="4">
        <v>1147.23</v>
      </c>
      <c r="M3977" s="1" t="str">
        <f>TEXT(Table1[[#This Row],[Order_Date]], "MMM")</f>
        <v>Dec</v>
      </c>
      <c r="N3977" s="1">
        <f>YEAR(Table1[[#This Row],[Order_Date]])</f>
        <v>2024</v>
      </c>
      <c r="O3977" s="7">
        <f>Table1[[#This Row],[Profit]]/Table1[[#This Row],[Total_Sales]]</f>
        <v>0.42224144276775855</v>
      </c>
    </row>
    <row r="3978" spans="1:15" x14ac:dyDescent="0.25">
      <c r="A3978" s="1">
        <v>3977</v>
      </c>
      <c r="B3978" s="2">
        <v>45263</v>
      </c>
      <c r="C3978" s="1" t="s">
        <v>12</v>
      </c>
      <c r="D3978" s="1" t="s">
        <v>20</v>
      </c>
      <c r="E3978" s="1" t="s">
        <v>28</v>
      </c>
      <c r="F3978" s="1" t="s">
        <v>35</v>
      </c>
      <c r="G3978" s="1">
        <v>8</v>
      </c>
      <c r="H3978" s="1">
        <v>52</v>
      </c>
      <c r="I3978" s="1">
        <v>10</v>
      </c>
      <c r="J3978" s="4">
        <v>374.4</v>
      </c>
      <c r="K3978" s="4">
        <v>218.58</v>
      </c>
      <c r="L3978" s="4">
        <v>155.82</v>
      </c>
      <c r="M3978" s="1" t="str">
        <f>TEXT(Table1[[#This Row],[Order_Date]], "MMM")</f>
        <v>Dec</v>
      </c>
      <c r="N3978" s="1">
        <f>YEAR(Table1[[#This Row],[Order_Date]])</f>
        <v>2023</v>
      </c>
      <c r="O3978" s="7">
        <f>Table1[[#This Row],[Profit]]/Table1[[#This Row],[Total_Sales]]</f>
        <v>0.41618589743589746</v>
      </c>
    </row>
    <row r="3979" spans="1:15" x14ac:dyDescent="0.25">
      <c r="A3979" s="1">
        <v>3978</v>
      </c>
      <c r="B3979" s="2">
        <v>45598</v>
      </c>
      <c r="C3979" s="1" t="s">
        <v>16</v>
      </c>
      <c r="D3979" s="1" t="s">
        <v>20</v>
      </c>
      <c r="E3979" s="1" t="s">
        <v>43</v>
      </c>
      <c r="F3979" s="1" t="s">
        <v>18</v>
      </c>
      <c r="G3979" s="1">
        <v>4</v>
      </c>
      <c r="H3979" s="1">
        <v>115</v>
      </c>
      <c r="I3979" s="1">
        <v>5</v>
      </c>
      <c r="J3979" s="4">
        <v>437</v>
      </c>
      <c r="K3979" s="4">
        <v>264.49</v>
      </c>
      <c r="L3979" s="4">
        <v>172.51</v>
      </c>
      <c r="M3979" s="1" t="str">
        <f>TEXT(Table1[[#This Row],[Order_Date]], "MMM")</f>
        <v>Nov</v>
      </c>
      <c r="N3979" s="1">
        <f>YEAR(Table1[[#This Row],[Order_Date]])</f>
        <v>2024</v>
      </c>
      <c r="O3979" s="7">
        <f>Table1[[#This Row],[Profit]]/Table1[[#This Row],[Total_Sales]]</f>
        <v>0.39475972540045767</v>
      </c>
    </row>
    <row r="3980" spans="1:15" x14ac:dyDescent="0.25">
      <c r="A3980" s="1">
        <v>3979</v>
      </c>
      <c r="B3980" s="2">
        <v>45564</v>
      </c>
      <c r="C3980" s="1" t="s">
        <v>25</v>
      </c>
      <c r="D3980" s="1" t="s">
        <v>22</v>
      </c>
      <c r="E3980" s="1" t="s">
        <v>36</v>
      </c>
      <c r="F3980" s="1" t="s">
        <v>24</v>
      </c>
      <c r="G3980" s="1">
        <v>3</v>
      </c>
      <c r="H3980" s="1">
        <v>587</v>
      </c>
      <c r="I3980" s="1">
        <v>20</v>
      </c>
      <c r="J3980" s="4">
        <v>1408.8</v>
      </c>
      <c r="K3980" s="4">
        <v>1001.1</v>
      </c>
      <c r="L3980" s="4">
        <v>407.7</v>
      </c>
      <c r="M3980" s="1" t="str">
        <f>TEXT(Table1[[#This Row],[Order_Date]], "MMM")</f>
        <v>Sep</v>
      </c>
      <c r="N3980" s="1">
        <f>YEAR(Table1[[#This Row],[Order_Date]])</f>
        <v>2024</v>
      </c>
      <c r="O3980" s="7">
        <f>Table1[[#This Row],[Profit]]/Table1[[#This Row],[Total_Sales]]</f>
        <v>0.28939522998296424</v>
      </c>
    </row>
    <row r="3981" spans="1:15" x14ac:dyDescent="0.25">
      <c r="A3981" s="1">
        <v>3980</v>
      </c>
      <c r="B3981" s="2">
        <v>44973</v>
      </c>
      <c r="C3981" s="1" t="s">
        <v>16</v>
      </c>
      <c r="D3981" s="1" t="s">
        <v>13</v>
      </c>
      <c r="E3981" s="1" t="s">
        <v>39</v>
      </c>
      <c r="F3981" s="1" t="s">
        <v>18</v>
      </c>
      <c r="G3981" s="1">
        <v>5</v>
      </c>
      <c r="H3981" s="1">
        <v>262</v>
      </c>
      <c r="I3981" s="1">
        <v>5</v>
      </c>
      <c r="J3981" s="4">
        <v>1244.5</v>
      </c>
      <c r="K3981" s="4">
        <v>978.39</v>
      </c>
      <c r="L3981" s="4">
        <v>266.11</v>
      </c>
      <c r="M3981" s="1" t="str">
        <f>TEXT(Table1[[#This Row],[Order_Date]], "MMM")</f>
        <v>Feb</v>
      </c>
      <c r="N3981" s="1">
        <f>YEAR(Table1[[#This Row],[Order_Date]])</f>
        <v>2023</v>
      </c>
      <c r="O3981" s="7">
        <f>Table1[[#This Row],[Profit]]/Table1[[#This Row],[Total_Sales]]</f>
        <v>0.2138288469264765</v>
      </c>
    </row>
    <row r="3982" spans="1:15" x14ac:dyDescent="0.25">
      <c r="A3982" s="1">
        <v>3981</v>
      </c>
      <c r="B3982" s="2">
        <v>45611</v>
      </c>
      <c r="C3982" s="1" t="s">
        <v>16</v>
      </c>
      <c r="D3982" s="1" t="s">
        <v>13</v>
      </c>
      <c r="E3982" s="1" t="s">
        <v>17</v>
      </c>
      <c r="F3982" s="1" t="s">
        <v>35</v>
      </c>
      <c r="G3982" s="1">
        <v>1</v>
      </c>
      <c r="H3982" s="1">
        <v>420</v>
      </c>
      <c r="I3982" s="1">
        <v>20</v>
      </c>
      <c r="J3982" s="4">
        <v>336</v>
      </c>
      <c r="K3982" s="4">
        <v>199.04</v>
      </c>
      <c r="L3982" s="4">
        <v>136.96</v>
      </c>
      <c r="M3982" s="1" t="str">
        <f>TEXT(Table1[[#This Row],[Order_Date]], "MMM")</f>
        <v>Nov</v>
      </c>
      <c r="N3982" s="1">
        <f>YEAR(Table1[[#This Row],[Order_Date]])</f>
        <v>2024</v>
      </c>
      <c r="O3982" s="7">
        <f>Table1[[#This Row],[Profit]]/Table1[[#This Row],[Total_Sales]]</f>
        <v>0.40761904761904766</v>
      </c>
    </row>
    <row r="3983" spans="1:15" x14ac:dyDescent="0.25">
      <c r="A3983" s="1">
        <v>3982</v>
      </c>
      <c r="B3983" s="2">
        <v>45003</v>
      </c>
      <c r="C3983" s="1" t="s">
        <v>19</v>
      </c>
      <c r="D3983" s="1" t="s">
        <v>22</v>
      </c>
      <c r="E3983" s="1" t="s">
        <v>44</v>
      </c>
      <c r="F3983" s="1" t="s">
        <v>24</v>
      </c>
      <c r="G3983" s="1">
        <v>4</v>
      </c>
      <c r="H3983" s="1">
        <v>92</v>
      </c>
      <c r="I3983" s="1">
        <v>5</v>
      </c>
      <c r="J3983" s="4">
        <v>349.6</v>
      </c>
      <c r="K3983" s="4">
        <v>235.03</v>
      </c>
      <c r="L3983" s="4">
        <v>114.57</v>
      </c>
      <c r="M3983" s="1" t="str">
        <f>TEXT(Table1[[#This Row],[Order_Date]], "MMM")</f>
        <v>Mar</v>
      </c>
      <c r="N3983" s="1">
        <f>YEAR(Table1[[#This Row],[Order_Date]])</f>
        <v>2023</v>
      </c>
      <c r="O3983" s="7">
        <f>Table1[[#This Row],[Profit]]/Table1[[#This Row],[Total_Sales]]</f>
        <v>0.32771739130434779</v>
      </c>
    </row>
    <row r="3984" spans="1:15" x14ac:dyDescent="0.25">
      <c r="A3984" s="1">
        <v>3983</v>
      </c>
      <c r="B3984" s="2">
        <v>45046</v>
      </c>
      <c r="C3984" s="1" t="s">
        <v>19</v>
      </c>
      <c r="D3984" s="1" t="s">
        <v>20</v>
      </c>
      <c r="E3984" s="1" t="s">
        <v>28</v>
      </c>
      <c r="F3984" s="1" t="s">
        <v>40</v>
      </c>
      <c r="G3984" s="1">
        <v>2</v>
      </c>
      <c r="H3984" s="1">
        <v>962</v>
      </c>
      <c r="I3984" s="1">
        <v>15</v>
      </c>
      <c r="J3984" s="4">
        <v>1635.4</v>
      </c>
      <c r="K3984" s="4">
        <v>984.77</v>
      </c>
      <c r="L3984" s="4">
        <v>650.63</v>
      </c>
      <c r="M3984" s="1" t="str">
        <f>TEXT(Table1[[#This Row],[Order_Date]], "MMM")</f>
        <v>Apr</v>
      </c>
      <c r="N3984" s="1">
        <f>YEAR(Table1[[#This Row],[Order_Date]])</f>
        <v>2023</v>
      </c>
      <c r="O3984" s="7">
        <f>Table1[[#This Row],[Profit]]/Table1[[#This Row],[Total_Sales]]</f>
        <v>0.39784150666503604</v>
      </c>
    </row>
    <row r="3985" spans="1:15" x14ac:dyDescent="0.25">
      <c r="A3985" s="1">
        <v>3984</v>
      </c>
      <c r="B3985" s="2">
        <v>45505</v>
      </c>
      <c r="C3985" s="1" t="s">
        <v>12</v>
      </c>
      <c r="D3985" s="1" t="s">
        <v>22</v>
      </c>
      <c r="E3985" s="1" t="s">
        <v>44</v>
      </c>
      <c r="F3985" s="1" t="s">
        <v>31</v>
      </c>
      <c r="G3985" s="1">
        <v>7</v>
      </c>
      <c r="H3985" s="1">
        <v>464</v>
      </c>
      <c r="I3985" s="1">
        <v>15</v>
      </c>
      <c r="J3985" s="4">
        <v>2760.8</v>
      </c>
      <c r="K3985" s="4">
        <v>1940.48</v>
      </c>
      <c r="L3985" s="4">
        <v>820.32</v>
      </c>
      <c r="M3985" s="1" t="str">
        <f>TEXT(Table1[[#This Row],[Order_Date]], "MMM")</f>
        <v>Aug</v>
      </c>
      <c r="N3985" s="1">
        <f>YEAR(Table1[[#This Row],[Order_Date]])</f>
        <v>2024</v>
      </c>
      <c r="O3985" s="7">
        <f>Table1[[#This Row],[Profit]]/Table1[[#This Row],[Total_Sales]]</f>
        <v>0.29713126629962328</v>
      </c>
    </row>
    <row r="3986" spans="1:15" x14ac:dyDescent="0.25">
      <c r="A3986" s="1">
        <v>3985</v>
      </c>
      <c r="B3986" s="2">
        <v>45037</v>
      </c>
      <c r="C3986" s="1" t="s">
        <v>16</v>
      </c>
      <c r="D3986" s="1" t="s">
        <v>20</v>
      </c>
      <c r="E3986" s="1" t="s">
        <v>43</v>
      </c>
      <c r="F3986" s="1" t="s">
        <v>31</v>
      </c>
      <c r="G3986" s="1">
        <v>6</v>
      </c>
      <c r="H3986" s="1">
        <v>526</v>
      </c>
      <c r="I3986" s="1">
        <v>5</v>
      </c>
      <c r="J3986" s="4">
        <v>2998.2</v>
      </c>
      <c r="K3986" s="4">
        <v>2316.9899999999998</v>
      </c>
      <c r="L3986" s="4">
        <v>681.21</v>
      </c>
      <c r="M3986" s="1" t="str">
        <f>TEXT(Table1[[#This Row],[Order_Date]], "MMM")</f>
        <v>Apr</v>
      </c>
      <c r="N3986" s="1">
        <f>YEAR(Table1[[#This Row],[Order_Date]])</f>
        <v>2023</v>
      </c>
      <c r="O3986" s="7">
        <f>Table1[[#This Row],[Profit]]/Table1[[#This Row],[Total_Sales]]</f>
        <v>0.2272063237942766</v>
      </c>
    </row>
    <row r="3987" spans="1:15" x14ac:dyDescent="0.25">
      <c r="A3987" s="1">
        <v>3986</v>
      </c>
      <c r="B3987" s="2">
        <v>45624</v>
      </c>
      <c r="C3987" s="1" t="s">
        <v>25</v>
      </c>
      <c r="D3987" s="1" t="s">
        <v>32</v>
      </c>
      <c r="E3987" s="1" t="s">
        <v>33</v>
      </c>
      <c r="F3987" s="1" t="s">
        <v>31</v>
      </c>
      <c r="G3987" s="1">
        <v>4</v>
      </c>
      <c r="H3987" s="1">
        <v>132</v>
      </c>
      <c r="I3987" s="1">
        <v>20</v>
      </c>
      <c r="J3987" s="4">
        <v>422.4</v>
      </c>
      <c r="K3987" s="4">
        <v>299.86</v>
      </c>
      <c r="L3987" s="4">
        <v>122.54</v>
      </c>
      <c r="M3987" s="1" t="str">
        <f>TEXT(Table1[[#This Row],[Order_Date]], "MMM")</f>
        <v>Nov</v>
      </c>
      <c r="N3987" s="1">
        <f>YEAR(Table1[[#This Row],[Order_Date]])</f>
        <v>2024</v>
      </c>
      <c r="O3987" s="7">
        <f>Table1[[#This Row],[Profit]]/Table1[[#This Row],[Total_Sales]]</f>
        <v>0.29010416666666672</v>
      </c>
    </row>
    <row r="3988" spans="1:15" x14ac:dyDescent="0.25">
      <c r="A3988" s="1">
        <v>3987</v>
      </c>
      <c r="B3988" s="2">
        <v>45047</v>
      </c>
      <c r="C3988" s="1" t="s">
        <v>12</v>
      </c>
      <c r="D3988" s="1" t="s">
        <v>13</v>
      </c>
      <c r="E3988" s="1" t="s">
        <v>38</v>
      </c>
      <c r="F3988" s="1" t="s">
        <v>18</v>
      </c>
      <c r="G3988" s="1">
        <v>1</v>
      </c>
      <c r="H3988" s="1">
        <v>524</v>
      </c>
      <c r="I3988" s="1">
        <v>20</v>
      </c>
      <c r="J3988" s="4">
        <v>419.2</v>
      </c>
      <c r="K3988" s="4">
        <v>306.47000000000003</v>
      </c>
      <c r="L3988" s="4">
        <v>112.73</v>
      </c>
      <c r="M3988" s="1" t="str">
        <f>TEXT(Table1[[#This Row],[Order_Date]], "MMM")</f>
        <v>May</v>
      </c>
      <c r="N3988" s="1">
        <f>YEAR(Table1[[#This Row],[Order_Date]])</f>
        <v>2023</v>
      </c>
      <c r="O3988" s="7">
        <f>Table1[[#This Row],[Profit]]/Table1[[#This Row],[Total_Sales]]</f>
        <v>0.26891698473282444</v>
      </c>
    </row>
    <row r="3989" spans="1:15" x14ac:dyDescent="0.25">
      <c r="A3989" s="1">
        <v>3988</v>
      </c>
      <c r="B3989" s="2">
        <v>45372</v>
      </c>
      <c r="C3989" s="1" t="s">
        <v>19</v>
      </c>
      <c r="D3989" s="1" t="s">
        <v>32</v>
      </c>
      <c r="E3989" s="1" t="s">
        <v>33</v>
      </c>
      <c r="F3989" s="1" t="s">
        <v>35</v>
      </c>
      <c r="G3989" s="1">
        <v>4</v>
      </c>
      <c r="H3989" s="1">
        <v>54</v>
      </c>
      <c r="I3989" s="1">
        <v>15</v>
      </c>
      <c r="J3989" s="4">
        <v>183.6</v>
      </c>
      <c r="K3989" s="4">
        <v>114.96</v>
      </c>
      <c r="L3989" s="4">
        <v>68.64</v>
      </c>
      <c r="M3989" s="1" t="str">
        <f>TEXT(Table1[[#This Row],[Order_Date]], "MMM")</f>
        <v>Mar</v>
      </c>
      <c r="N3989" s="1">
        <f>YEAR(Table1[[#This Row],[Order_Date]])</f>
        <v>2024</v>
      </c>
      <c r="O3989" s="7">
        <f>Table1[[#This Row],[Profit]]/Table1[[#This Row],[Total_Sales]]</f>
        <v>0.3738562091503268</v>
      </c>
    </row>
    <row r="3990" spans="1:15" x14ac:dyDescent="0.25">
      <c r="A3990" s="1">
        <v>3989</v>
      </c>
      <c r="B3990" s="2">
        <v>45173</v>
      </c>
      <c r="C3990" s="1" t="s">
        <v>16</v>
      </c>
      <c r="D3990" s="1" t="s">
        <v>32</v>
      </c>
      <c r="E3990" s="1" t="s">
        <v>45</v>
      </c>
      <c r="F3990" s="1" t="s">
        <v>15</v>
      </c>
      <c r="G3990" s="1">
        <v>10</v>
      </c>
      <c r="H3990" s="1">
        <v>788</v>
      </c>
      <c r="I3990" s="1">
        <v>0</v>
      </c>
      <c r="J3990" s="4">
        <v>7880</v>
      </c>
      <c r="K3990" s="4">
        <v>4883.6899999999996</v>
      </c>
      <c r="L3990" s="4">
        <v>2996.31</v>
      </c>
      <c r="M3990" s="1" t="str">
        <f>TEXT(Table1[[#This Row],[Order_Date]], "MMM")</f>
        <v>Sep</v>
      </c>
      <c r="N3990" s="1">
        <f>YEAR(Table1[[#This Row],[Order_Date]])</f>
        <v>2023</v>
      </c>
      <c r="O3990" s="7">
        <f>Table1[[#This Row],[Profit]]/Table1[[#This Row],[Total_Sales]]</f>
        <v>0.38024238578680203</v>
      </c>
    </row>
    <row r="3991" spans="1:15" x14ac:dyDescent="0.25">
      <c r="A3991" s="1">
        <v>3990</v>
      </c>
      <c r="B3991" s="2">
        <v>45002</v>
      </c>
      <c r="C3991" s="1" t="s">
        <v>19</v>
      </c>
      <c r="D3991" s="1" t="s">
        <v>20</v>
      </c>
      <c r="E3991" s="1" t="s">
        <v>30</v>
      </c>
      <c r="F3991" s="1" t="s">
        <v>18</v>
      </c>
      <c r="G3991" s="1">
        <v>9</v>
      </c>
      <c r="H3991" s="1">
        <v>666</v>
      </c>
      <c r="I3991" s="1">
        <v>5</v>
      </c>
      <c r="J3991" s="4">
        <v>5694.3</v>
      </c>
      <c r="K3991" s="4">
        <v>3841.18</v>
      </c>
      <c r="L3991" s="4">
        <v>1853.12</v>
      </c>
      <c r="M3991" s="1" t="str">
        <f>TEXT(Table1[[#This Row],[Order_Date]], "MMM")</f>
        <v>Mar</v>
      </c>
      <c r="N3991" s="1">
        <f>YEAR(Table1[[#This Row],[Order_Date]])</f>
        <v>2023</v>
      </c>
      <c r="O3991" s="7">
        <f>Table1[[#This Row],[Profit]]/Table1[[#This Row],[Total_Sales]]</f>
        <v>0.32543420613596047</v>
      </c>
    </row>
    <row r="3992" spans="1:15" x14ac:dyDescent="0.25">
      <c r="A3992" s="1">
        <v>3991</v>
      </c>
      <c r="B3992" s="2">
        <v>45397</v>
      </c>
      <c r="C3992" s="1" t="s">
        <v>19</v>
      </c>
      <c r="D3992" s="1" t="s">
        <v>13</v>
      </c>
      <c r="E3992" s="1" t="s">
        <v>38</v>
      </c>
      <c r="F3992" s="1" t="s">
        <v>18</v>
      </c>
      <c r="G3992" s="1">
        <v>7</v>
      </c>
      <c r="H3992" s="1">
        <v>30</v>
      </c>
      <c r="I3992" s="1">
        <v>10</v>
      </c>
      <c r="J3992" s="4">
        <v>189</v>
      </c>
      <c r="K3992" s="4">
        <v>127.57</v>
      </c>
      <c r="L3992" s="4">
        <v>61.43</v>
      </c>
      <c r="M3992" s="1" t="str">
        <f>TEXT(Table1[[#This Row],[Order_Date]], "MMM")</f>
        <v>Apr</v>
      </c>
      <c r="N3992" s="1">
        <f>YEAR(Table1[[#This Row],[Order_Date]])</f>
        <v>2024</v>
      </c>
      <c r="O3992" s="7">
        <f>Table1[[#This Row],[Profit]]/Table1[[#This Row],[Total_Sales]]</f>
        <v>0.32502645502645505</v>
      </c>
    </row>
    <row r="3993" spans="1:15" x14ac:dyDescent="0.25">
      <c r="A3993" s="1">
        <v>3992</v>
      </c>
      <c r="B3993" s="2">
        <v>45002</v>
      </c>
      <c r="C3993" s="1" t="s">
        <v>16</v>
      </c>
      <c r="D3993" s="1" t="s">
        <v>22</v>
      </c>
      <c r="E3993" s="1" t="s">
        <v>36</v>
      </c>
      <c r="F3993" s="1" t="s">
        <v>35</v>
      </c>
      <c r="G3993" s="1">
        <v>7</v>
      </c>
      <c r="H3993" s="1">
        <v>404</v>
      </c>
      <c r="I3993" s="1">
        <v>0</v>
      </c>
      <c r="J3993" s="4">
        <v>2828</v>
      </c>
      <c r="K3993" s="4">
        <v>1865.09</v>
      </c>
      <c r="L3993" s="4">
        <v>962.91</v>
      </c>
      <c r="M3993" s="1" t="str">
        <f>TEXT(Table1[[#This Row],[Order_Date]], "MMM")</f>
        <v>Mar</v>
      </c>
      <c r="N3993" s="1">
        <f>YEAR(Table1[[#This Row],[Order_Date]])</f>
        <v>2023</v>
      </c>
      <c r="O3993" s="7">
        <f>Table1[[#This Row],[Profit]]/Table1[[#This Row],[Total_Sales]]</f>
        <v>0.34049151343705797</v>
      </c>
    </row>
    <row r="3994" spans="1:15" x14ac:dyDescent="0.25">
      <c r="A3994" s="1">
        <v>3993</v>
      </c>
      <c r="B3994" s="2">
        <v>45345</v>
      </c>
      <c r="C3994" s="1" t="s">
        <v>16</v>
      </c>
      <c r="D3994" s="1" t="s">
        <v>20</v>
      </c>
      <c r="E3994" s="1" t="s">
        <v>30</v>
      </c>
      <c r="F3994" s="1" t="s">
        <v>24</v>
      </c>
      <c r="G3994" s="1">
        <v>7</v>
      </c>
      <c r="H3994" s="1">
        <v>963</v>
      </c>
      <c r="I3994" s="1">
        <v>15</v>
      </c>
      <c r="J3994" s="4">
        <v>5729.85</v>
      </c>
      <c r="K3994" s="4">
        <v>4351.57</v>
      </c>
      <c r="L3994" s="4">
        <v>1378.28</v>
      </c>
      <c r="M3994" s="1" t="str">
        <f>TEXT(Table1[[#This Row],[Order_Date]], "MMM")</f>
        <v>Feb</v>
      </c>
      <c r="N3994" s="1">
        <f>YEAR(Table1[[#This Row],[Order_Date]])</f>
        <v>2024</v>
      </c>
      <c r="O3994" s="7">
        <f>Table1[[#This Row],[Profit]]/Table1[[#This Row],[Total_Sales]]</f>
        <v>0.24054381877361536</v>
      </c>
    </row>
    <row r="3995" spans="1:15" x14ac:dyDescent="0.25">
      <c r="A3995" s="1">
        <v>3994</v>
      </c>
      <c r="B3995" s="2">
        <v>44947</v>
      </c>
      <c r="C3995" s="1" t="s">
        <v>25</v>
      </c>
      <c r="D3995" s="1" t="s">
        <v>20</v>
      </c>
      <c r="E3995" s="1" t="s">
        <v>30</v>
      </c>
      <c r="F3995" s="1" t="s">
        <v>35</v>
      </c>
      <c r="G3995" s="1">
        <v>3</v>
      </c>
      <c r="H3995" s="1">
        <v>647</v>
      </c>
      <c r="I3995" s="1">
        <v>15</v>
      </c>
      <c r="J3995" s="4">
        <v>1649.85</v>
      </c>
      <c r="K3995" s="4">
        <v>1224.8900000000001</v>
      </c>
      <c r="L3995" s="4">
        <v>424.96</v>
      </c>
      <c r="M3995" s="1" t="str">
        <f>TEXT(Table1[[#This Row],[Order_Date]], "MMM")</f>
        <v>Jan</v>
      </c>
      <c r="N3995" s="1">
        <f>YEAR(Table1[[#This Row],[Order_Date]])</f>
        <v>2023</v>
      </c>
      <c r="O3995" s="7">
        <f>Table1[[#This Row],[Profit]]/Table1[[#This Row],[Total_Sales]]</f>
        <v>0.25757493105433826</v>
      </c>
    </row>
    <row r="3996" spans="1:15" x14ac:dyDescent="0.25">
      <c r="A3996" s="1">
        <v>3995</v>
      </c>
      <c r="B3996" s="2">
        <v>45360</v>
      </c>
      <c r="C3996" s="1" t="s">
        <v>12</v>
      </c>
      <c r="D3996" s="1" t="s">
        <v>20</v>
      </c>
      <c r="E3996" s="1" t="s">
        <v>21</v>
      </c>
      <c r="F3996" s="1" t="s">
        <v>18</v>
      </c>
      <c r="G3996" s="1">
        <v>6</v>
      </c>
      <c r="H3996" s="1">
        <v>796</v>
      </c>
      <c r="I3996" s="1">
        <v>0</v>
      </c>
      <c r="J3996" s="4">
        <v>4776</v>
      </c>
      <c r="K3996" s="4">
        <v>2636.34</v>
      </c>
      <c r="L3996" s="4">
        <v>2139.66</v>
      </c>
      <c r="M3996" s="1" t="str">
        <f>TEXT(Table1[[#This Row],[Order_Date]], "MMM")</f>
        <v>Mar</v>
      </c>
      <c r="N3996" s="1">
        <f>YEAR(Table1[[#This Row],[Order_Date]])</f>
        <v>2024</v>
      </c>
      <c r="O3996" s="7">
        <f>Table1[[#This Row],[Profit]]/Table1[[#This Row],[Total_Sales]]</f>
        <v>0.44800251256281404</v>
      </c>
    </row>
    <row r="3997" spans="1:15" x14ac:dyDescent="0.25">
      <c r="A3997" s="1">
        <v>3996</v>
      </c>
      <c r="B3997" s="2">
        <v>44982</v>
      </c>
      <c r="C3997" s="1" t="s">
        <v>16</v>
      </c>
      <c r="D3997" s="1" t="s">
        <v>13</v>
      </c>
      <c r="E3997" s="1" t="s">
        <v>14</v>
      </c>
      <c r="F3997" s="1" t="s">
        <v>31</v>
      </c>
      <c r="G3997" s="1">
        <v>1</v>
      </c>
      <c r="H3997" s="1">
        <v>972</v>
      </c>
      <c r="I3997" s="1">
        <v>0</v>
      </c>
      <c r="J3997" s="4">
        <v>972</v>
      </c>
      <c r="K3997" s="4">
        <v>542.30999999999995</v>
      </c>
      <c r="L3997" s="4">
        <v>429.69</v>
      </c>
      <c r="M3997" s="1" t="str">
        <f>TEXT(Table1[[#This Row],[Order_Date]], "MMM")</f>
        <v>Feb</v>
      </c>
      <c r="N3997" s="1">
        <f>YEAR(Table1[[#This Row],[Order_Date]])</f>
        <v>2023</v>
      </c>
      <c r="O3997" s="7">
        <f>Table1[[#This Row],[Profit]]/Table1[[#This Row],[Total_Sales]]</f>
        <v>0.44206790123456791</v>
      </c>
    </row>
    <row r="3998" spans="1:15" x14ac:dyDescent="0.25">
      <c r="A3998" s="1">
        <v>3997</v>
      </c>
      <c r="B3998" s="2">
        <v>45263</v>
      </c>
      <c r="C3998" s="1" t="s">
        <v>19</v>
      </c>
      <c r="D3998" s="1" t="s">
        <v>20</v>
      </c>
      <c r="E3998" s="1" t="s">
        <v>30</v>
      </c>
      <c r="F3998" s="1" t="s">
        <v>40</v>
      </c>
      <c r="G3998" s="1">
        <v>7</v>
      </c>
      <c r="H3998" s="1">
        <v>328</v>
      </c>
      <c r="I3998" s="1">
        <v>20</v>
      </c>
      <c r="J3998" s="4">
        <v>1836.8</v>
      </c>
      <c r="K3998" s="4">
        <v>1437.51</v>
      </c>
      <c r="L3998" s="4">
        <v>399.29</v>
      </c>
      <c r="M3998" s="1" t="str">
        <f>TEXT(Table1[[#This Row],[Order_Date]], "MMM")</f>
        <v>Dec</v>
      </c>
      <c r="N3998" s="1">
        <f>YEAR(Table1[[#This Row],[Order_Date]])</f>
        <v>2023</v>
      </c>
      <c r="O3998" s="7">
        <f>Table1[[#This Row],[Profit]]/Table1[[#This Row],[Total_Sales]]</f>
        <v>0.2173834930313589</v>
      </c>
    </row>
    <row r="3999" spans="1:15" x14ac:dyDescent="0.25">
      <c r="A3999" s="1">
        <v>3998</v>
      </c>
      <c r="B3999" s="2">
        <v>45594</v>
      </c>
      <c r="C3999" s="1" t="s">
        <v>19</v>
      </c>
      <c r="D3999" s="1" t="s">
        <v>22</v>
      </c>
      <c r="E3999" s="1" t="s">
        <v>36</v>
      </c>
      <c r="F3999" s="1" t="s">
        <v>15</v>
      </c>
      <c r="G3999" s="1">
        <v>1</v>
      </c>
      <c r="H3999" s="1">
        <v>335</v>
      </c>
      <c r="I3999" s="1">
        <v>10</v>
      </c>
      <c r="J3999" s="4">
        <v>301.5</v>
      </c>
      <c r="K3999" s="4">
        <v>229.09</v>
      </c>
      <c r="L3999" s="4">
        <v>72.41</v>
      </c>
      <c r="M3999" s="1" t="str">
        <f>TEXT(Table1[[#This Row],[Order_Date]], "MMM")</f>
        <v>Oct</v>
      </c>
      <c r="N3999" s="1">
        <f>YEAR(Table1[[#This Row],[Order_Date]])</f>
        <v>2024</v>
      </c>
      <c r="O3999" s="7">
        <f>Table1[[#This Row],[Profit]]/Table1[[#This Row],[Total_Sales]]</f>
        <v>0.24016583747927031</v>
      </c>
    </row>
    <row r="4000" spans="1:15" x14ac:dyDescent="0.25">
      <c r="A4000" s="1">
        <v>3999</v>
      </c>
      <c r="B4000" s="2">
        <v>45115</v>
      </c>
      <c r="C4000" s="1" t="s">
        <v>16</v>
      </c>
      <c r="D4000" s="1" t="s">
        <v>20</v>
      </c>
      <c r="E4000" s="1" t="s">
        <v>21</v>
      </c>
      <c r="F4000" s="1" t="s">
        <v>15</v>
      </c>
      <c r="G4000" s="1">
        <v>2</v>
      </c>
      <c r="H4000" s="1">
        <v>183</v>
      </c>
      <c r="I4000" s="1">
        <v>0</v>
      </c>
      <c r="J4000" s="4">
        <v>366</v>
      </c>
      <c r="K4000" s="4">
        <v>201.51</v>
      </c>
      <c r="L4000" s="4">
        <v>164.49</v>
      </c>
      <c r="M4000" s="1" t="str">
        <f>TEXT(Table1[[#This Row],[Order_Date]], "MMM")</f>
        <v>Jul</v>
      </c>
      <c r="N4000" s="1">
        <f>YEAR(Table1[[#This Row],[Order_Date]])</f>
        <v>2023</v>
      </c>
      <c r="O4000" s="7">
        <f>Table1[[#This Row],[Profit]]/Table1[[#This Row],[Total_Sales]]</f>
        <v>0.44942622950819677</v>
      </c>
    </row>
    <row r="4001" spans="1:15" x14ac:dyDescent="0.25">
      <c r="A4001" s="1">
        <v>4000</v>
      </c>
      <c r="B4001" s="2">
        <v>45282</v>
      </c>
      <c r="C4001" s="1" t="s">
        <v>12</v>
      </c>
      <c r="D4001" s="1" t="s">
        <v>20</v>
      </c>
      <c r="E4001" s="1" t="s">
        <v>43</v>
      </c>
      <c r="F4001" s="1" t="s">
        <v>18</v>
      </c>
      <c r="G4001" s="1">
        <v>2</v>
      </c>
      <c r="H4001" s="1">
        <v>132</v>
      </c>
      <c r="I4001" s="1">
        <v>20</v>
      </c>
      <c r="J4001" s="4">
        <v>211.2</v>
      </c>
      <c r="K4001" s="4">
        <v>149.71</v>
      </c>
      <c r="L4001" s="4">
        <v>61.49</v>
      </c>
      <c r="M4001" s="1" t="str">
        <f>TEXT(Table1[[#This Row],[Order_Date]], "MMM")</f>
        <v>Dec</v>
      </c>
      <c r="N4001" s="1">
        <f>YEAR(Table1[[#This Row],[Order_Date]])</f>
        <v>2023</v>
      </c>
      <c r="O4001" s="7">
        <f>Table1[[#This Row],[Profit]]/Table1[[#This Row],[Total_Sales]]</f>
        <v>0.29114583333333338</v>
      </c>
    </row>
    <row r="4002" spans="1:15" x14ac:dyDescent="0.25">
      <c r="A4002" s="1">
        <v>4001</v>
      </c>
      <c r="B4002" s="2">
        <v>45226</v>
      </c>
      <c r="C4002" s="1" t="s">
        <v>16</v>
      </c>
      <c r="D4002" s="1" t="s">
        <v>26</v>
      </c>
      <c r="E4002" s="1" t="s">
        <v>37</v>
      </c>
      <c r="F4002" s="1" t="s">
        <v>40</v>
      </c>
      <c r="G4002" s="1">
        <v>7</v>
      </c>
      <c r="H4002" s="1">
        <v>884</v>
      </c>
      <c r="I4002" s="1">
        <v>0</v>
      </c>
      <c r="J4002" s="4">
        <v>6188</v>
      </c>
      <c r="K4002" s="4">
        <v>4464.0600000000004</v>
      </c>
      <c r="L4002" s="4">
        <v>1723.94</v>
      </c>
      <c r="M4002" s="1" t="str">
        <f>TEXT(Table1[[#This Row],[Order_Date]], "MMM")</f>
        <v>Oct</v>
      </c>
      <c r="N4002" s="1">
        <f>YEAR(Table1[[#This Row],[Order_Date]])</f>
        <v>2023</v>
      </c>
      <c r="O4002" s="7">
        <f>Table1[[#This Row],[Profit]]/Table1[[#This Row],[Total_Sales]]</f>
        <v>0.27859405300581774</v>
      </c>
    </row>
    <row r="4003" spans="1:15" x14ac:dyDescent="0.25">
      <c r="A4003" s="1">
        <v>4002</v>
      </c>
      <c r="B4003" s="2">
        <v>44936</v>
      </c>
      <c r="C4003" s="1" t="s">
        <v>12</v>
      </c>
      <c r="D4003" s="1" t="s">
        <v>26</v>
      </c>
      <c r="E4003" s="1" t="s">
        <v>37</v>
      </c>
      <c r="F4003" s="1" t="s">
        <v>24</v>
      </c>
      <c r="G4003" s="1">
        <v>10</v>
      </c>
      <c r="H4003" s="1">
        <v>302</v>
      </c>
      <c r="I4003" s="1">
        <v>15</v>
      </c>
      <c r="J4003" s="4">
        <v>2567</v>
      </c>
      <c r="K4003" s="4">
        <v>1718.1</v>
      </c>
      <c r="L4003" s="4">
        <v>848.9</v>
      </c>
      <c r="M4003" s="1" t="str">
        <f>TEXT(Table1[[#This Row],[Order_Date]], "MMM")</f>
        <v>Jan</v>
      </c>
      <c r="N4003" s="1">
        <f>YEAR(Table1[[#This Row],[Order_Date]])</f>
        <v>2023</v>
      </c>
      <c r="O4003" s="7">
        <f>Table1[[#This Row],[Profit]]/Table1[[#This Row],[Total_Sales]]</f>
        <v>0.33069731203739772</v>
      </c>
    </row>
    <row r="4004" spans="1:15" x14ac:dyDescent="0.25">
      <c r="A4004" s="1">
        <v>4003</v>
      </c>
      <c r="B4004" s="2">
        <v>45314</v>
      </c>
      <c r="C4004" s="1" t="s">
        <v>19</v>
      </c>
      <c r="D4004" s="1" t="s">
        <v>32</v>
      </c>
      <c r="E4004" s="1" t="s">
        <v>41</v>
      </c>
      <c r="F4004" s="1" t="s">
        <v>18</v>
      </c>
      <c r="G4004" s="1">
        <v>10</v>
      </c>
      <c r="H4004" s="1">
        <v>851</v>
      </c>
      <c r="I4004" s="1">
        <v>10</v>
      </c>
      <c r="J4004" s="4">
        <v>7659</v>
      </c>
      <c r="K4004" s="4">
        <v>5528.19</v>
      </c>
      <c r="L4004" s="4">
        <v>2130.81</v>
      </c>
      <c r="M4004" s="1" t="str">
        <f>TEXT(Table1[[#This Row],[Order_Date]], "MMM")</f>
        <v>Jan</v>
      </c>
      <c r="N4004" s="1">
        <f>YEAR(Table1[[#This Row],[Order_Date]])</f>
        <v>2024</v>
      </c>
      <c r="O4004" s="7">
        <f>Table1[[#This Row],[Profit]]/Table1[[#This Row],[Total_Sales]]</f>
        <v>0.2782099490795143</v>
      </c>
    </row>
    <row r="4005" spans="1:15" x14ac:dyDescent="0.25">
      <c r="A4005" s="1">
        <v>4004</v>
      </c>
      <c r="B4005" s="2">
        <v>45088</v>
      </c>
      <c r="C4005" s="1" t="s">
        <v>25</v>
      </c>
      <c r="D4005" s="1" t="s">
        <v>32</v>
      </c>
      <c r="E4005" s="1" t="s">
        <v>34</v>
      </c>
      <c r="F4005" s="1" t="s">
        <v>24</v>
      </c>
      <c r="G4005" s="1">
        <v>3</v>
      </c>
      <c r="H4005" s="1">
        <v>400</v>
      </c>
      <c r="I4005" s="1">
        <v>5</v>
      </c>
      <c r="J4005" s="4">
        <v>1140</v>
      </c>
      <c r="K4005" s="4">
        <v>860.14</v>
      </c>
      <c r="L4005" s="4">
        <v>279.86</v>
      </c>
      <c r="M4005" s="1" t="str">
        <f>TEXT(Table1[[#This Row],[Order_Date]], "MMM")</f>
        <v>Jun</v>
      </c>
      <c r="N4005" s="1">
        <f>YEAR(Table1[[#This Row],[Order_Date]])</f>
        <v>2023</v>
      </c>
      <c r="O4005" s="7">
        <f>Table1[[#This Row],[Profit]]/Table1[[#This Row],[Total_Sales]]</f>
        <v>0.24549122807017545</v>
      </c>
    </row>
    <row r="4006" spans="1:15" x14ac:dyDescent="0.25">
      <c r="A4006" s="1">
        <v>4005</v>
      </c>
      <c r="B4006" s="2">
        <v>45405</v>
      </c>
      <c r="C4006" s="1" t="s">
        <v>25</v>
      </c>
      <c r="D4006" s="1" t="s">
        <v>26</v>
      </c>
      <c r="E4006" s="1" t="s">
        <v>42</v>
      </c>
      <c r="F4006" s="1" t="s">
        <v>31</v>
      </c>
      <c r="G4006" s="1">
        <v>8</v>
      </c>
      <c r="H4006" s="1">
        <v>775</v>
      </c>
      <c r="I4006" s="1">
        <v>10</v>
      </c>
      <c r="J4006" s="4">
        <v>5580</v>
      </c>
      <c r="K4006" s="4">
        <v>3038.58</v>
      </c>
      <c r="L4006" s="4">
        <v>2541.42</v>
      </c>
      <c r="M4006" s="1" t="str">
        <f>TEXT(Table1[[#This Row],[Order_Date]], "MMM")</f>
        <v>Apr</v>
      </c>
      <c r="N4006" s="1">
        <f>YEAR(Table1[[#This Row],[Order_Date]])</f>
        <v>2024</v>
      </c>
      <c r="O4006" s="7">
        <f>Table1[[#This Row],[Profit]]/Table1[[#This Row],[Total_Sales]]</f>
        <v>0.45545161290322583</v>
      </c>
    </row>
    <row r="4007" spans="1:15" x14ac:dyDescent="0.25">
      <c r="A4007" s="1">
        <v>4006</v>
      </c>
      <c r="B4007" s="2">
        <v>45127</v>
      </c>
      <c r="C4007" s="1" t="s">
        <v>25</v>
      </c>
      <c r="D4007" s="1" t="s">
        <v>26</v>
      </c>
      <c r="E4007" s="1" t="s">
        <v>37</v>
      </c>
      <c r="F4007" s="1" t="s">
        <v>24</v>
      </c>
      <c r="G4007" s="1">
        <v>4</v>
      </c>
      <c r="H4007" s="1">
        <v>108</v>
      </c>
      <c r="I4007" s="1">
        <v>20</v>
      </c>
      <c r="J4007" s="4">
        <v>345.6</v>
      </c>
      <c r="K4007" s="4">
        <v>179.41</v>
      </c>
      <c r="L4007" s="4">
        <v>166.19</v>
      </c>
      <c r="M4007" s="1" t="str">
        <f>TEXT(Table1[[#This Row],[Order_Date]], "MMM")</f>
        <v>Jul</v>
      </c>
      <c r="N4007" s="1">
        <f>YEAR(Table1[[#This Row],[Order_Date]])</f>
        <v>2023</v>
      </c>
      <c r="O4007" s="7">
        <f>Table1[[#This Row],[Profit]]/Table1[[#This Row],[Total_Sales]]</f>
        <v>0.48087384259259258</v>
      </c>
    </row>
    <row r="4008" spans="1:15" x14ac:dyDescent="0.25">
      <c r="A4008" s="1">
        <v>4007</v>
      </c>
      <c r="B4008" s="2">
        <v>45492</v>
      </c>
      <c r="C4008" s="1" t="s">
        <v>12</v>
      </c>
      <c r="D4008" s="1" t="s">
        <v>20</v>
      </c>
      <c r="E4008" s="1" t="s">
        <v>43</v>
      </c>
      <c r="F4008" s="1" t="s">
        <v>18</v>
      </c>
      <c r="G4008" s="1">
        <v>10</v>
      </c>
      <c r="H4008" s="1">
        <v>723</v>
      </c>
      <c r="I4008" s="1">
        <v>5</v>
      </c>
      <c r="J4008" s="4">
        <v>6868.5</v>
      </c>
      <c r="K4008" s="4">
        <v>5348.87</v>
      </c>
      <c r="L4008" s="4">
        <v>1519.63</v>
      </c>
      <c r="M4008" s="1" t="str">
        <f>TEXT(Table1[[#This Row],[Order_Date]], "MMM")</f>
        <v>Jul</v>
      </c>
      <c r="N4008" s="1">
        <f>YEAR(Table1[[#This Row],[Order_Date]])</f>
        <v>2024</v>
      </c>
      <c r="O4008" s="7">
        <f>Table1[[#This Row],[Profit]]/Table1[[#This Row],[Total_Sales]]</f>
        <v>0.2212462691999709</v>
      </c>
    </row>
    <row r="4009" spans="1:15" x14ac:dyDescent="0.25">
      <c r="A4009" s="1">
        <v>4008</v>
      </c>
      <c r="B4009" s="2">
        <v>45603</v>
      </c>
      <c r="C4009" s="1" t="s">
        <v>25</v>
      </c>
      <c r="D4009" s="1" t="s">
        <v>20</v>
      </c>
      <c r="E4009" s="1" t="s">
        <v>28</v>
      </c>
      <c r="F4009" s="1" t="s">
        <v>40</v>
      </c>
      <c r="G4009" s="1">
        <v>4</v>
      </c>
      <c r="H4009" s="1">
        <v>141</v>
      </c>
      <c r="I4009" s="1">
        <v>5</v>
      </c>
      <c r="J4009" s="4">
        <v>535.79999999999995</v>
      </c>
      <c r="K4009" s="4">
        <v>309.27999999999997</v>
      </c>
      <c r="L4009" s="4">
        <v>226.52</v>
      </c>
      <c r="M4009" s="1" t="str">
        <f>TEXT(Table1[[#This Row],[Order_Date]], "MMM")</f>
        <v>Nov</v>
      </c>
      <c r="N4009" s="1">
        <f>YEAR(Table1[[#This Row],[Order_Date]])</f>
        <v>2024</v>
      </c>
      <c r="O4009" s="7">
        <f>Table1[[#This Row],[Profit]]/Table1[[#This Row],[Total_Sales]]</f>
        <v>0.42276969018290411</v>
      </c>
    </row>
    <row r="4010" spans="1:15" x14ac:dyDescent="0.25">
      <c r="A4010" s="1">
        <v>4009</v>
      </c>
      <c r="B4010" s="2">
        <v>45295</v>
      </c>
      <c r="C4010" s="1" t="s">
        <v>16</v>
      </c>
      <c r="D4010" s="1" t="s">
        <v>22</v>
      </c>
      <c r="E4010" s="1" t="s">
        <v>23</v>
      </c>
      <c r="F4010" s="1" t="s">
        <v>35</v>
      </c>
      <c r="G4010" s="1">
        <v>3</v>
      </c>
      <c r="H4010" s="1">
        <v>686</v>
      </c>
      <c r="I4010" s="1">
        <v>10</v>
      </c>
      <c r="J4010" s="4">
        <v>1852.2</v>
      </c>
      <c r="K4010" s="4">
        <v>1059.49</v>
      </c>
      <c r="L4010" s="4">
        <v>792.71</v>
      </c>
      <c r="M4010" s="1" t="str">
        <f>TEXT(Table1[[#This Row],[Order_Date]], "MMM")</f>
        <v>Jan</v>
      </c>
      <c r="N4010" s="1">
        <f>YEAR(Table1[[#This Row],[Order_Date]])</f>
        <v>2024</v>
      </c>
      <c r="O4010" s="7">
        <f>Table1[[#This Row],[Profit]]/Table1[[#This Row],[Total_Sales]]</f>
        <v>0.42798293920742903</v>
      </c>
    </row>
    <row r="4011" spans="1:15" x14ac:dyDescent="0.25">
      <c r="A4011" s="1">
        <v>4010</v>
      </c>
      <c r="B4011" s="2">
        <v>44964</v>
      </c>
      <c r="C4011" s="1" t="s">
        <v>12</v>
      </c>
      <c r="D4011" s="1" t="s">
        <v>20</v>
      </c>
      <c r="E4011" s="1" t="s">
        <v>43</v>
      </c>
      <c r="F4011" s="1" t="s">
        <v>40</v>
      </c>
      <c r="G4011" s="1">
        <v>6</v>
      </c>
      <c r="H4011" s="1">
        <v>74</v>
      </c>
      <c r="I4011" s="1">
        <v>5</v>
      </c>
      <c r="J4011" s="4">
        <v>421.8</v>
      </c>
      <c r="K4011" s="4">
        <v>268.11</v>
      </c>
      <c r="L4011" s="4">
        <v>153.69</v>
      </c>
      <c r="M4011" s="1" t="str">
        <f>TEXT(Table1[[#This Row],[Order_Date]], "MMM")</f>
        <v>Feb</v>
      </c>
      <c r="N4011" s="1">
        <f>YEAR(Table1[[#This Row],[Order_Date]])</f>
        <v>2023</v>
      </c>
      <c r="O4011" s="7">
        <f>Table1[[#This Row],[Profit]]/Table1[[#This Row],[Total_Sales]]</f>
        <v>0.36436699857752486</v>
      </c>
    </row>
    <row r="4012" spans="1:15" x14ac:dyDescent="0.25">
      <c r="A4012" s="1">
        <v>4011</v>
      </c>
      <c r="B4012" s="2">
        <v>45546</v>
      </c>
      <c r="C4012" s="1" t="s">
        <v>12</v>
      </c>
      <c r="D4012" s="1" t="s">
        <v>32</v>
      </c>
      <c r="E4012" s="1" t="s">
        <v>41</v>
      </c>
      <c r="F4012" s="1" t="s">
        <v>15</v>
      </c>
      <c r="G4012" s="1">
        <v>6</v>
      </c>
      <c r="H4012" s="1">
        <v>371</v>
      </c>
      <c r="I4012" s="1">
        <v>20</v>
      </c>
      <c r="J4012" s="4">
        <v>1780.8</v>
      </c>
      <c r="K4012" s="4">
        <v>1029.5</v>
      </c>
      <c r="L4012" s="4">
        <v>751.3</v>
      </c>
      <c r="M4012" s="1" t="str">
        <f>TEXT(Table1[[#This Row],[Order_Date]], "MMM")</f>
        <v>Sep</v>
      </c>
      <c r="N4012" s="1">
        <f>YEAR(Table1[[#This Row],[Order_Date]])</f>
        <v>2024</v>
      </c>
      <c r="O4012" s="7">
        <f>Table1[[#This Row],[Profit]]/Table1[[#This Row],[Total_Sales]]</f>
        <v>0.42188903863432164</v>
      </c>
    </row>
    <row r="4013" spans="1:15" x14ac:dyDescent="0.25">
      <c r="A4013" s="1">
        <v>4012</v>
      </c>
      <c r="B4013" s="2">
        <v>45380</v>
      </c>
      <c r="C4013" s="1" t="s">
        <v>19</v>
      </c>
      <c r="D4013" s="1" t="s">
        <v>20</v>
      </c>
      <c r="E4013" s="1" t="s">
        <v>43</v>
      </c>
      <c r="F4013" s="1" t="s">
        <v>35</v>
      </c>
      <c r="G4013" s="1">
        <v>9</v>
      </c>
      <c r="H4013" s="1">
        <v>788</v>
      </c>
      <c r="I4013" s="1">
        <v>10</v>
      </c>
      <c r="J4013" s="4">
        <v>6382.8</v>
      </c>
      <c r="K4013" s="4">
        <v>3763.54</v>
      </c>
      <c r="L4013" s="4">
        <v>2619.2600000000002</v>
      </c>
      <c r="M4013" s="1" t="str">
        <f>TEXT(Table1[[#This Row],[Order_Date]], "MMM")</f>
        <v>Mar</v>
      </c>
      <c r="N4013" s="1">
        <f>YEAR(Table1[[#This Row],[Order_Date]])</f>
        <v>2024</v>
      </c>
      <c r="O4013" s="7">
        <f>Table1[[#This Row],[Profit]]/Table1[[#This Row],[Total_Sales]]</f>
        <v>0.41036222347559065</v>
      </c>
    </row>
    <row r="4014" spans="1:15" x14ac:dyDescent="0.25">
      <c r="A4014" s="1">
        <v>4013</v>
      </c>
      <c r="B4014" s="2">
        <v>45509</v>
      </c>
      <c r="C4014" s="1" t="s">
        <v>25</v>
      </c>
      <c r="D4014" s="1" t="s">
        <v>13</v>
      </c>
      <c r="E4014" s="1" t="s">
        <v>14</v>
      </c>
      <c r="F4014" s="1" t="s">
        <v>40</v>
      </c>
      <c r="G4014" s="1">
        <v>9</v>
      </c>
      <c r="H4014" s="1">
        <v>373</v>
      </c>
      <c r="I4014" s="1">
        <v>0</v>
      </c>
      <c r="J4014" s="4">
        <v>3357</v>
      </c>
      <c r="K4014" s="4">
        <v>2053.75</v>
      </c>
      <c r="L4014" s="4">
        <v>1303.25</v>
      </c>
      <c r="M4014" s="1" t="str">
        <f>TEXT(Table1[[#This Row],[Order_Date]], "MMM")</f>
        <v>Aug</v>
      </c>
      <c r="N4014" s="1">
        <f>YEAR(Table1[[#This Row],[Order_Date]])</f>
        <v>2024</v>
      </c>
      <c r="O4014" s="7">
        <f>Table1[[#This Row],[Profit]]/Table1[[#This Row],[Total_Sales]]</f>
        <v>0.38821864760202562</v>
      </c>
    </row>
    <row r="4015" spans="1:15" x14ac:dyDescent="0.25">
      <c r="A4015" s="1">
        <v>4014</v>
      </c>
      <c r="B4015" s="2">
        <v>44948</v>
      </c>
      <c r="C4015" s="1" t="s">
        <v>19</v>
      </c>
      <c r="D4015" s="1" t="s">
        <v>22</v>
      </c>
      <c r="E4015" s="1" t="s">
        <v>44</v>
      </c>
      <c r="F4015" s="1" t="s">
        <v>35</v>
      </c>
      <c r="G4015" s="1">
        <v>3</v>
      </c>
      <c r="H4015" s="1">
        <v>570</v>
      </c>
      <c r="I4015" s="1">
        <v>15</v>
      </c>
      <c r="J4015" s="4">
        <v>1453.5</v>
      </c>
      <c r="K4015" s="4">
        <v>940.7</v>
      </c>
      <c r="L4015" s="4">
        <v>512.79999999999995</v>
      </c>
      <c r="M4015" s="1" t="str">
        <f>TEXT(Table1[[#This Row],[Order_Date]], "MMM")</f>
        <v>Jan</v>
      </c>
      <c r="N4015" s="1">
        <f>YEAR(Table1[[#This Row],[Order_Date]])</f>
        <v>2023</v>
      </c>
      <c r="O4015" s="7">
        <f>Table1[[#This Row],[Profit]]/Table1[[#This Row],[Total_Sales]]</f>
        <v>0.35280357757137942</v>
      </c>
    </row>
    <row r="4016" spans="1:15" x14ac:dyDescent="0.25">
      <c r="A4016" s="1">
        <v>4015</v>
      </c>
      <c r="B4016" s="2">
        <v>45244</v>
      </c>
      <c r="C4016" s="1" t="s">
        <v>19</v>
      </c>
      <c r="D4016" s="1" t="s">
        <v>13</v>
      </c>
      <c r="E4016" s="1" t="s">
        <v>17</v>
      </c>
      <c r="F4016" s="1" t="s">
        <v>35</v>
      </c>
      <c r="G4016" s="1">
        <v>7</v>
      </c>
      <c r="H4016" s="1">
        <v>496</v>
      </c>
      <c r="I4016" s="1">
        <v>5</v>
      </c>
      <c r="J4016" s="4">
        <v>3298.4</v>
      </c>
      <c r="K4016" s="4">
        <v>2122.63</v>
      </c>
      <c r="L4016" s="4">
        <v>1175.77</v>
      </c>
      <c r="M4016" s="1" t="str">
        <f>TEXT(Table1[[#This Row],[Order_Date]], "MMM")</f>
        <v>Nov</v>
      </c>
      <c r="N4016" s="1">
        <f>YEAR(Table1[[#This Row],[Order_Date]])</f>
        <v>2023</v>
      </c>
      <c r="O4016" s="7">
        <f>Table1[[#This Row],[Profit]]/Table1[[#This Row],[Total_Sales]]</f>
        <v>0.35646677176812996</v>
      </c>
    </row>
    <row r="4017" spans="1:15" x14ac:dyDescent="0.25">
      <c r="A4017" s="1">
        <v>4016</v>
      </c>
      <c r="B4017" s="2">
        <v>45474</v>
      </c>
      <c r="C4017" s="1" t="s">
        <v>12</v>
      </c>
      <c r="D4017" s="1" t="s">
        <v>32</v>
      </c>
      <c r="E4017" s="1" t="s">
        <v>45</v>
      </c>
      <c r="F4017" s="1" t="s">
        <v>18</v>
      </c>
      <c r="G4017" s="1">
        <v>5</v>
      </c>
      <c r="H4017" s="1">
        <v>61</v>
      </c>
      <c r="I4017" s="1">
        <v>0</v>
      </c>
      <c r="J4017" s="4">
        <v>305</v>
      </c>
      <c r="K4017" s="4">
        <v>170.61</v>
      </c>
      <c r="L4017" s="4">
        <v>134.38999999999999</v>
      </c>
      <c r="M4017" s="1" t="str">
        <f>TEXT(Table1[[#This Row],[Order_Date]], "MMM")</f>
        <v>Jul</v>
      </c>
      <c r="N4017" s="1">
        <f>YEAR(Table1[[#This Row],[Order_Date]])</f>
        <v>2024</v>
      </c>
      <c r="O4017" s="7">
        <f>Table1[[#This Row],[Profit]]/Table1[[#This Row],[Total_Sales]]</f>
        <v>0.44062295081967207</v>
      </c>
    </row>
    <row r="4018" spans="1:15" x14ac:dyDescent="0.25">
      <c r="A4018" s="1">
        <v>4017</v>
      </c>
      <c r="B4018" s="2">
        <v>45389</v>
      </c>
      <c r="C4018" s="1" t="s">
        <v>12</v>
      </c>
      <c r="D4018" s="1" t="s">
        <v>20</v>
      </c>
      <c r="E4018" s="1" t="s">
        <v>28</v>
      </c>
      <c r="F4018" s="1" t="s">
        <v>31</v>
      </c>
      <c r="G4018" s="1">
        <v>4</v>
      </c>
      <c r="H4018" s="1">
        <v>437</v>
      </c>
      <c r="I4018" s="1">
        <v>20</v>
      </c>
      <c r="J4018" s="4">
        <v>1398.4</v>
      </c>
      <c r="K4018" s="4">
        <v>1023.87</v>
      </c>
      <c r="L4018" s="4">
        <v>374.53</v>
      </c>
      <c r="M4018" s="1" t="str">
        <f>TEXT(Table1[[#This Row],[Order_Date]], "MMM")</f>
        <v>Apr</v>
      </c>
      <c r="N4018" s="1">
        <f>YEAR(Table1[[#This Row],[Order_Date]])</f>
        <v>2024</v>
      </c>
      <c r="O4018" s="7">
        <f>Table1[[#This Row],[Profit]]/Table1[[#This Row],[Total_Sales]]</f>
        <v>0.26782751716247138</v>
      </c>
    </row>
    <row r="4019" spans="1:15" x14ac:dyDescent="0.25">
      <c r="A4019" s="1">
        <v>4018</v>
      </c>
      <c r="B4019" s="2">
        <v>45389</v>
      </c>
      <c r="C4019" s="1" t="s">
        <v>19</v>
      </c>
      <c r="D4019" s="1" t="s">
        <v>13</v>
      </c>
      <c r="E4019" s="1" t="s">
        <v>14</v>
      </c>
      <c r="F4019" s="1" t="s">
        <v>35</v>
      </c>
      <c r="G4019" s="1">
        <v>8</v>
      </c>
      <c r="H4019" s="1">
        <v>994</v>
      </c>
      <c r="I4019" s="1">
        <v>5</v>
      </c>
      <c r="J4019" s="4">
        <v>7554.4</v>
      </c>
      <c r="K4019" s="4">
        <v>4289.08</v>
      </c>
      <c r="L4019" s="4">
        <v>3265.32</v>
      </c>
      <c r="M4019" s="1" t="str">
        <f>TEXT(Table1[[#This Row],[Order_Date]], "MMM")</f>
        <v>Apr</v>
      </c>
      <c r="N4019" s="1">
        <f>YEAR(Table1[[#This Row],[Order_Date]])</f>
        <v>2024</v>
      </c>
      <c r="O4019" s="7">
        <f>Table1[[#This Row],[Profit]]/Table1[[#This Row],[Total_Sales]]</f>
        <v>0.43224081330085784</v>
      </c>
    </row>
    <row r="4020" spans="1:15" x14ac:dyDescent="0.25">
      <c r="A4020" s="1">
        <v>4019</v>
      </c>
      <c r="B4020" s="2">
        <v>45073</v>
      </c>
      <c r="C4020" s="1" t="s">
        <v>25</v>
      </c>
      <c r="D4020" s="1" t="s">
        <v>32</v>
      </c>
      <c r="E4020" s="1" t="s">
        <v>41</v>
      </c>
      <c r="F4020" s="1" t="s">
        <v>15</v>
      </c>
      <c r="G4020" s="1">
        <v>10</v>
      </c>
      <c r="H4020" s="1">
        <v>837</v>
      </c>
      <c r="I4020" s="1">
        <v>5</v>
      </c>
      <c r="J4020" s="4">
        <v>7951.5</v>
      </c>
      <c r="K4020" s="4">
        <v>4924.1000000000004</v>
      </c>
      <c r="L4020" s="4">
        <v>3027.4</v>
      </c>
      <c r="M4020" s="1" t="str">
        <f>TEXT(Table1[[#This Row],[Order_Date]], "MMM")</f>
        <v>May</v>
      </c>
      <c r="N4020" s="1">
        <f>YEAR(Table1[[#This Row],[Order_Date]])</f>
        <v>2023</v>
      </c>
      <c r="O4020" s="7">
        <f>Table1[[#This Row],[Profit]]/Table1[[#This Row],[Total_Sales]]</f>
        <v>0.38073319499465513</v>
      </c>
    </row>
    <row r="4021" spans="1:15" x14ac:dyDescent="0.25">
      <c r="A4021" s="1">
        <v>4020</v>
      </c>
      <c r="B4021" s="2">
        <v>45164</v>
      </c>
      <c r="C4021" s="1" t="s">
        <v>25</v>
      </c>
      <c r="D4021" s="1" t="s">
        <v>26</v>
      </c>
      <c r="E4021" s="1" t="s">
        <v>27</v>
      </c>
      <c r="F4021" s="1" t="s">
        <v>18</v>
      </c>
      <c r="G4021" s="1">
        <v>7</v>
      </c>
      <c r="H4021" s="1">
        <v>687</v>
      </c>
      <c r="I4021" s="1">
        <v>5</v>
      </c>
      <c r="J4021" s="4">
        <v>4568.55</v>
      </c>
      <c r="K4021" s="4">
        <v>3081.78</v>
      </c>
      <c r="L4021" s="4">
        <v>1486.77</v>
      </c>
      <c r="M4021" s="1" t="str">
        <f>TEXT(Table1[[#This Row],[Order_Date]], "MMM")</f>
        <v>Aug</v>
      </c>
      <c r="N4021" s="1">
        <f>YEAR(Table1[[#This Row],[Order_Date]])</f>
        <v>2023</v>
      </c>
      <c r="O4021" s="7">
        <f>Table1[[#This Row],[Profit]]/Table1[[#This Row],[Total_Sales]]</f>
        <v>0.32543586039334144</v>
      </c>
    </row>
    <row r="4022" spans="1:15" x14ac:dyDescent="0.25">
      <c r="A4022" s="1">
        <v>4021</v>
      </c>
      <c r="B4022" s="2">
        <v>45132</v>
      </c>
      <c r="C4022" s="1" t="s">
        <v>25</v>
      </c>
      <c r="D4022" s="1" t="s">
        <v>32</v>
      </c>
      <c r="E4022" s="1" t="s">
        <v>33</v>
      </c>
      <c r="F4022" s="1" t="s">
        <v>31</v>
      </c>
      <c r="G4022" s="1">
        <v>2</v>
      </c>
      <c r="H4022" s="1">
        <v>736</v>
      </c>
      <c r="I4022" s="1">
        <v>5</v>
      </c>
      <c r="J4022" s="4">
        <v>1398.4</v>
      </c>
      <c r="K4022" s="4">
        <v>770.55</v>
      </c>
      <c r="L4022" s="4">
        <v>627.85</v>
      </c>
      <c r="M4022" s="1" t="str">
        <f>TEXT(Table1[[#This Row],[Order_Date]], "MMM")</f>
        <v>Jul</v>
      </c>
      <c r="N4022" s="1">
        <f>YEAR(Table1[[#This Row],[Order_Date]])</f>
        <v>2023</v>
      </c>
      <c r="O4022" s="7">
        <f>Table1[[#This Row],[Profit]]/Table1[[#This Row],[Total_Sales]]</f>
        <v>0.4489774027459954</v>
      </c>
    </row>
    <row r="4023" spans="1:15" x14ac:dyDescent="0.25">
      <c r="A4023" s="1">
        <v>4022</v>
      </c>
      <c r="B4023" s="2">
        <v>44978</v>
      </c>
      <c r="C4023" s="1" t="s">
        <v>25</v>
      </c>
      <c r="D4023" s="1" t="s">
        <v>20</v>
      </c>
      <c r="E4023" s="1" t="s">
        <v>21</v>
      </c>
      <c r="F4023" s="1" t="s">
        <v>40</v>
      </c>
      <c r="G4023" s="1">
        <v>8</v>
      </c>
      <c r="H4023" s="1">
        <v>267</v>
      </c>
      <c r="I4023" s="1">
        <v>15</v>
      </c>
      <c r="J4023" s="4">
        <v>1815.6</v>
      </c>
      <c r="K4023" s="4">
        <v>1314.08</v>
      </c>
      <c r="L4023" s="4">
        <v>501.52</v>
      </c>
      <c r="M4023" s="1" t="str">
        <f>TEXT(Table1[[#This Row],[Order_Date]], "MMM")</f>
        <v>Feb</v>
      </c>
      <c r="N4023" s="1">
        <f>YEAR(Table1[[#This Row],[Order_Date]])</f>
        <v>2023</v>
      </c>
      <c r="O4023" s="7">
        <f>Table1[[#This Row],[Profit]]/Table1[[#This Row],[Total_Sales]]</f>
        <v>0.27622824410663144</v>
      </c>
    </row>
    <row r="4024" spans="1:15" x14ac:dyDescent="0.25">
      <c r="A4024" s="1">
        <v>4023</v>
      </c>
      <c r="B4024" s="2">
        <v>45539</v>
      </c>
      <c r="C4024" s="1" t="s">
        <v>19</v>
      </c>
      <c r="D4024" s="1" t="s">
        <v>22</v>
      </c>
      <c r="E4024" s="1" t="s">
        <v>29</v>
      </c>
      <c r="F4024" s="1" t="s">
        <v>35</v>
      </c>
      <c r="G4024" s="1">
        <v>7</v>
      </c>
      <c r="H4024" s="1">
        <v>724</v>
      </c>
      <c r="I4024" s="1">
        <v>15</v>
      </c>
      <c r="J4024" s="4">
        <v>4307.8</v>
      </c>
      <c r="K4024" s="4">
        <v>2393.92</v>
      </c>
      <c r="L4024" s="4">
        <v>1913.88</v>
      </c>
      <c r="M4024" s="1" t="str">
        <f>TEXT(Table1[[#This Row],[Order_Date]], "MMM")</f>
        <v>Sep</v>
      </c>
      <c r="N4024" s="1">
        <f>YEAR(Table1[[#This Row],[Order_Date]])</f>
        <v>2024</v>
      </c>
      <c r="O4024" s="7">
        <f>Table1[[#This Row],[Profit]]/Table1[[#This Row],[Total_Sales]]</f>
        <v>0.44428246436696228</v>
      </c>
    </row>
    <row r="4025" spans="1:15" x14ac:dyDescent="0.25">
      <c r="A4025" s="1">
        <v>4024</v>
      </c>
      <c r="B4025" s="2">
        <v>45050</v>
      </c>
      <c r="C4025" s="1" t="s">
        <v>25</v>
      </c>
      <c r="D4025" s="1" t="s">
        <v>22</v>
      </c>
      <c r="E4025" s="1" t="s">
        <v>36</v>
      </c>
      <c r="F4025" s="1" t="s">
        <v>18</v>
      </c>
      <c r="G4025" s="1">
        <v>7</v>
      </c>
      <c r="H4025" s="1">
        <v>418</v>
      </c>
      <c r="I4025" s="1">
        <v>15</v>
      </c>
      <c r="J4025" s="4">
        <v>2487.1</v>
      </c>
      <c r="K4025" s="4">
        <v>1878.72</v>
      </c>
      <c r="L4025" s="4">
        <v>608.38</v>
      </c>
      <c r="M4025" s="1" t="str">
        <f>TEXT(Table1[[#This Row],[Order_Date]], "MMM")</f>
        <v>May</v>
      </c>
      <c r="N4025" s="1">
        <f>YEAR(Table1[[#This Row],[Order_Date]])</f>
        <v>2023</v>
      </c>
      <c r="O4025" s="7">
        <f>Table1[[#This Row],[Profit]]/Table1[[#This Row],[Total_Sales]]</f>
        <v>0.24461420932009167</v>
      </c>
    </row>
    <row r="4026" spans="1:15" x14ac:dyDescent="0.25">
      <c r="A4026" s="1">
        <v>4025</v>
      </c>
      <c r="B4026" s="2">
        <v>45259</v>
      </c>
      <c r="C4026" s="1" t="s">
        <v>19</v>
      </c>
      <c r="D4026" s="1" t="s">
        <v>32</v>
      </c>
      <c r="E4026" s="1" t="s">
        <v>33</v>
      </c>
      <c r="F4026" s="1" t="s">
        <v>31</v>
      </c>
      <c r="G4026" s="1">
        <v>7</v>
      </c>
      <c r="H4026" s="1">
        <v>940</v>
      </c>
      <c r="I4026" s="1">
        <v>5</v>
      </c>
      <c r="J4026" s="4">
        <v>6251</v>
      </c>
      <c r="K4026" s="4">
        <v>3644.48</v>
      </c>
      <c r="L4026" s="4">
        <v>2606.52</v>
      </c>
      <c r="M4026" s="1" t="str">
        <f>TEXT(Table1[[#This Row],[Order_Date]], "MMM")</f>
        <v>Nov</v>
      </c>
      <c r="N4026" s="1">
        <f>YEAR(Table1[[#This Row],[Order_Date]])</f>
        <v>2023</v>
      </c>
      <c r="O4026" s="7">
        <f>Table1[[#This Row],[Profit]]/Table1[[#This Row],[Total_Sales]]</f>
        <v>0.41697648376259799</v>
      </c>
    </row>
    <row r="4027" spans="1:15" x14ac:dyDescent="0.25">
      <c r="A4027" s="1">
        <v>4026</v>
      </c>
      <c r="B4027" s="2">
        <v>44996</v>
      </c>
      <c r="C4027" s="1" t="s">
        <v>19</v>
      </c>
      <c r="D4027" s="1" t="s">
        <v>26</v>
      </c>
      <c r="E4027" s="1" t="s">
        <v>37</v>
      </c>
      <c r="F4027" s="1" t="s">
        <v>18</v>
      </c>
      <c r="G4027" s="1">
        <v>2</v>
      </c>
      <c r="H4027" s="1">
        <v>735</v>
      </c>
      <c r="I4027" s="1">
        <v>15</v>
      </c>
      <c r="J4027" s="4">
        <v>1249.5</v>
      </c>
      <c r="K4027" s="4">
        <v>709.41</v>
      </c>
      <c r="L4027" s="4">
        <v>540.09</v>
      </c>
      <c r="M4027" s="1" t="str">
        <f>TEXT(Table1[[#This Row],[Order_Date]], "MMM")</f>
        <v>Mar</v>
      </c>
      <c r="N4027" s="1">
        <f>YEAR(Table1[[#This Row],[Order_Date]])</f>
        <v>2023</v>
      </c>
      <c r="O4027" s="7">
        <f>Table1[[#This Row],[Profit]]/Table1[[#This Row],[Total_Sales]]</f>
        <v>0.43224489795918369</v>
      </c>
    </row>
    <row r="4028" spans="1:15" x14ac:dyDescent="0.25">
      <c r="A4028" s="1">
        <v>4027</v>
      </c>
      <c r="B4028" s="2">
        <v>45173</v>
      </c>
      <c r="C4028" s="1" t="s">
        <v>16</v>
      </c>
      <c r="D4028" s="1" t="s">
        <v>20</v>
      </c>
      <c r="E4028" s="1" t="s">
        <v>21</v>
      </c>
      <c r="F4028" s="1" t="s">
        <v>35</v>
      </c>
      <c r="G4028" s="1">
        <v>5</v>
      </c>
      <c r="H4028" s="1">
        <v>694</v>
      </c>
      <c r="I4028" s="1">
        <v>0</v>
      </c>
      <c r="J4028" s="4">
        <v>3470</v>
      </c>
      <c r="K4028" s="4">
        <v>2048.71</v>
      </c>
      <c r="L4028" s="4">
        <v>1421.29</v>
      </c>
      <c r="M4028" s="1" t="str">
        <f>TEXT(Table1[[#This Row],[Order_Date]], "MMM")</f>
        <v>Sep</v>
      </c>
      <c r="N4028" s="1">
        <f>YEAR(Table1[[#This Row],[Order_Date]])</f>
        <v>2023</v>
      </c>
      <c r="O4028" s="7">
        <f>Table1[[#This Row],[Profit]]/Table1[[#This Row],[Total_Sales]]</f>
        <v>0.40959365994236308</v>
      </c>
    </row>
    <row r="4029" spans="1:15" x14ac:dyDescent="0.25">
      <c r="A4029" s="1">
        <v>4028</v>
      </c>
      <c r="B4029" s="2">
        <v>45370</v>
      </c>
      <c r="C4029" s="1" t="s">
        <v>12</v>
      </c>
      <c r="D4029" s="1" t="s">
        <v>26</v>
      </c>
      <c r="E4029" s="1" t="s">
        <v>42</v>
      </c>
      <c r="F4029" s="1" t="s">
        <v>15</v>
      </c>
      <c r="G4029" s="1">
        <v>8</v>
      </c>
      <c r="H4029" s="1">
        <v>966</v>
      </c>
      <c r="I4029" s="1">
        <v>10</v>
      </c>
      <c r="J4029" s="4">
        <v>6955.2</v>
      </c>
      <c r="K4029" s="4">
        <v>5273.62</v>
      </c>
      <c r="L4029" s="4">
        <v>1681.58</v>
      </c>
      <c r="M4029" s="1" t="str">
        <f>TEXT(Table1[[#This Row],[Order_Date]], "MMM")</f>
        <v>Mar</v>
      </c>
      <c r="N4029" s="1">
        <f>YEAR(Table1[[#This Row],[Order_Date]])</f>
        <v>2024</v>
      </c>
      <c r="O4029" s="7">
        <f>Table1[[#This Row],[Profit]]/Table1[[#This Row],[Total_Sales]]</f>
        <v>0.24177306188175754</v>
      </c>
    </row>
    <row r="4030" spans="1:15" x14ac:dyDescent="0.25">
      <c r="A4030" s="1">
        <v>4029</v>
      </c>
      <c r="B4030" s="2">
        <v>45541</v>
      </c>
      <c r="C4030" s="1" t="s">
        <v>25</v>
      </c>
      <c r="D4030" s="1" t="s">
        <v>13</v>
      </c>
      <c r="E4030" s="1" t="s">
        <v>17</v>
      </c>
      <c r="F4030" s="1" t="s">
        <v>24</v>
      </c>
      <c r="G4030" s="1">
        <v>1</v>
      </c>
      <c r="H4030" s="1">
        <v>421</v>
      </c>
      <c r="I4030" s="1">
        <v>0</v>
      </c>
      <c r="J4030" s="4">
        <v>421</v>
      </c>
      <c r="K4030" s="4">
        <v>225.13</v>
      </c>
      <c r="L4030" s="4">
        <v>195.87</v>
      </c>
      <c r="M4030" s="1" t="str">
        <f>TEXT(Table1[[#This Row],[Order_Date]], "MMM")</f>
        <v>Sep</v>
      </c>
      <c r="N4030" s="1">
        <f>YEAR(Table1[[#This Row],[Order_Date]])</f>
        <v>2024</v>
      </c>
      <c r="O4030" s="7">
        <f>Table1[[#This Row],[Profit]]/Table1[[#This Row],[Total_Sales]]</f>
        <v>0.46524940617577198</v>
      </c>
    </row>
    <row r="4031" spans="1:15" x14ac:dyDescent="0.25">
      <c r="A4031" s="1">
        <v>4030</v>
      </c>
      <c r="B4031" s="2">
        <v>45174</v>
      </c>
      <c r="C4031" s="1" t="s">
        <v>19</v>
      </c>
      <c r="D4031" s="1" t="s">
        <v>32</v>
      </c>
      <c r="E4031" s="1" t="s">
        <v>41</v>
      </c>
      <c r="F4031" s="1" t="s">
        <v>24</v>
      </c>
      <c r="G4031" s="1">
        <v>6</v>
      </c>
      <c r="H4031" s="1">
        <v>523</v>
      </c>
      <c r="I4031" s="1">
        <v>5</v>
      </c>
      <c r="J4031" s="4">
        <v>2981.1</v>
      </c>
      <c r="K4031" s="4">
        <v>2074.1</v>
      </c>
      <c r="L4031" s="4">
        <v>907</v>
      </c>
      <c r="M4031" s="1" t="str">
        <f>TEXT(Table1[[#This Row],[Order_Date]], "MMM")</f>
        <v>Sep</v>
      </c>
      <c r="N4031" s="1">
        <f>YEAR(Table1[[#This Row],[Order_Date]])</f>
        <v>2023</v>
      </c>
      <c r="O4031" s="7">
        <f>Table1[[#This Row],[Profit]]/Table1[[#This Row],[Total_Sales]]</f>
        <v>0.30425010902016036</v>
      </c>
    </row>
    <row r="4032" spans="1:15" x14ac:dyDescent="0.25">
      <c r="A4032" s="1">
        <v>4031</v>
      </c>
      <c r="B4032" s="2">
        <v>45289</v>
      </c>
      <c r="C4032" s="1" t="s">
        <v>16</v>
      </c>
      <c r="D4032" s="1" t="s">
        <v>32</v>
      </c>
      <c r="E4032" s="1" t="s">
        <v>34</v>
      </c>
      <c r="F4032" s="1" t="s">
        <v>15</v>
      </c>
      <c r="G4032" s="1">
        <v>9</v>
      </c>
      <c r="H4032" s="1">
        <v>608</v>
      </c>
      <c r="I4032" s="1">
        <v>0</v>
      </c>
      <c r="J4032" s="4">
        <v>5472</v>
      </c>
      <c r="K4032" s="4">
        <v>2736.7</v>
      </c>
      <c r="L4032" s="4">
        <v>2735.3</v>
      </c>
      <c r="M4032" s="1" t="str">
        <f>TEXT(Table1[[#This Row],[Order_Date]], "MMM")</f>
        <v>Dec</v>
      </c>
      <c r="N4032" s="1">
        <f>YEAR(Table1[[#This Row],[Order_Date]])</f>
        <v>2023</v>
      </c>
      <c r="O4032" s="7">
        <f>Table1[[#This Row],[Profit]]/Table1[[#This Row],[Total_Sales]]</f>
        <v>0.49987207602339184</v>
      </c>
    </row>
    <row r="4033" spans="1:15" x14ac:dyDescent="0.25">
      <c r="A4033" s="1">
        <v>4032</v>
      </c>
      <c r="B4033" s="2">
        <v>45541</v>
      </c>
      <c r="C4033" s="1" t="s">
        <v>12</v>
      </c>
      <c r="D4033" s="1" t="s">
        <v>32</v>
      </c>
      <c r="E4033" s="1" t="s">
        <v>34</v>
      </c>
      <c r="F4033" s="1" t="s">
        <v>24</v>
      </c>
      <c r="G4033" s="1">
        <v>2</v>
      </c>
      <c r="H4033" s="1">
        <v>831</v>
      </c>
      <c r="I4033" s="1">
        <v>10</v>
      </c>
      <c r="J4033" s="4">
        <v>1495.8</v>
      </c>
      <c r="K4033" s="4">
        <v>1068.08</v>
      </c>
      <c r="L4033" s="4">
        <v>427.72</v>
      </c>
      <c r="M4033" s="1" t="str">
        <f>TEXT(Table1[[#This Row],[Order_Date]], "MMM")</f>
        <v>Sep</v>
      </c>
      <c r="N4033" s="1">
        <f>YEAR(Table1[[#This Row],[Order_Date]])</f>
        <v>2024</v>
      </c>
      <c r="O4033" s="7">
        <f>Table1[[#This Row],[Profit]]/Table1[[#This Row],[Total_Sales]]</f>
        <v>0.28594731916031557</v>
      </c>
    </row>
    <row r="4034" spans="1:15" x14ac:dyDescent="0.25">
      <c r="A4034" s="1">
        <v>4033</v>
      </c>
      <c r="B4034" s="2">
        <v>45185</v>
      </c>
      <c r="C4034" s="1" t="s">
        <v>19</v>
      </c>
      <c r="D4034" s="1" t="s">
        <v>26</v>
      </c>
      <c r="E4034" s="1" t="s">
        <v>37</v>
      </c>
      <c r="F4034" s="1" t="s">
        <v>18</v>
      </c>
      <c r="G4034" s="1">
        <v>7</v>
      </c>
      <c r="H4034" s="1">
        <v>569</v>
      </c>
      <c r="I4034" s="1">
        <v>20</v>
      </c>
      <c r="J4034" s="4">
        <v>3186.4</v>
      </c>
      <c r="K4034" s="4">
        <v>1724.82</v>
      </c>
      <c r="L4034" s="4">
        <v>1461.58</v>
      </c>
      <c r="M4034" s="1" t="str">
        <f>TEXT(Table1[[#This Row],[Order_Date]], "MMM")</f>
        <v>Sep</v>
      </c>
      <c r="N4034" s="1">
        <f>YEAR(Table1[[#This Row],[Order_Date]])</f>
        <v>2023</v>
      </c>
      <c r="O4034" s="7">
        <f>Table1[[#This Row],[Profit]]/Table1[[#This Row],[Total_Sales]]</f>
        <v>0.45869319608335424</v>
      </c>
    </row>
    <row r="4035" spans="1:15" x14ac:dyDescent="0.25">
      <c r="A4035" s="1">
        <v>4034</v>
      </c>
      <c r="B4035" s="2">
        <v>45135</v>
      </c>
      <c r="C4035" s="1" t="s">
        <v>16</v>
      </c>
      <c r="D4035" s="1" t="s">
        <v>32</v>
      </c>
      <c r="E4035" s="1" t="s">
        <v>34</v>
      </c>
      <c r="F4035" s="1" t="s">
        <v>18</v>
      </c>
      <c r="G4035" s="1">
        <v>7</v>
      </c>
      <c r="H4035" s="1">
        <v>82</v>
      </c>
      <c r="I4035" s="1">
        <v>20</v>
      </c>
      <c r="J4035" s="4">
        <v>459.2</v>
      </c>
      <c r="K4035" s="4">
        <v>348.77</v>
      </c>
      <c r="L4035" s="4">
        <v>110.43</v>
      </c>
      <c r="M4035" s="1" t="str">
        <f>TEXT(Table1[[#This Row],[Order_Date]], "MMM")</f>
        <v>Jul</v>
      </c>
      <c r="N4035" s="1">
        <f>YEAR(Table1[[#This Row],[Order_Date]])</f>
        <v>2023</v>
      </c>
      <c r="O4035" s="7">
        <f>Table1[[#This Row],[Profit]]/Table1[[#This Row],[Total_Sales]]</f>
        <v>0.24048344947735192</v>
      </c>
    </row>
    <row r="4036" spans="1:15" x14ac:dyDescent="0.25">
      <c r="A4036" s="1">
        <v>4035</v>
      </c>
      <c r="B4036" s="2">
        <v>44990</v>
      </c>
      <c r="C4036" s="1" t="s">
        <v>25</v>
      </c>
      <c r="D4036" s="1" t="s">
        <v>26</v>
      </c>
      <c r="E4036" s="1" t="s">
        <v>37</v>
      </c>
      <c r="F4036" s="1" t="s">
        <v>18</v>
      </c>
      <c r="G4036" s="1">
        <v>5</v>
      </c>
      <c r="H4036" s="1">
        <v>874</v>
      </c>
      <c r="I4036" s="1">
        <v>5</v>
      </c>
      <c r="J4036" s="4">
        <v>4151.5</v>
      </c>
      <c r="K4036" s="4">
        <v>2941.44</v>
      </c>
      <c r="L4036" s="4">
        <v>1210.06</v>
      </c>
      <c r="M4036" s="1" t="str">
        <f>TEXT(Table1[[#This Row],[Order_Date]], "MMM")</f>
        <v>Mar</v>
      </c>
      <c r="N4036" s="1">
        <f>YEAR(Table1[[#This Row],[Order_Date]])</f>
        <v>2023</v>
      </c>
      <c r="O4036" s="7">
        <f>Table1[[#This Row],[Profit]]/Table1[[#This Row],[Total_Sales]]</f>
        <v>0.29147537034806698</v>
      </c>
    </row>
    <row r="4037" spans="1:15" x14ac:dyDescent="0.25">
      <c r="A4037" s="1">
        <v>4036</v>
      </c>
      <c r="B4037" s="2">
        <v>45249</v>
      </c>
      <c r="C4037" s="1" t="s">
        <v>19</v>
      </c>
      <c r="D4037" s="1" t="s">
        <v>22</v>
      </c>
      <c r="E4037" s="1" t="s">
        <v>29</v>
      </c>
      <c r="F4037" s="1" t="s">
        <v>35</v>
      </c>
      <c r="G4037" s="1">
        <v>10</v>
      </c>
      <c r="H4037" s="1">
        <v>207</v>
      </c>
      <c r="I4037" s="1">
        <v>20</v>
      </c>
      <c r="J4037" s="4">
        <v>1656</v>
      </c>
      <c r="K4037" s="4">
        <v>1037.29</v>
      </c>
      <c r="L4037" s="4">
        <v>618.71</v>
      </c>
      <c r="M4037" s="1" t="str">
        <f>TEXT(Table1[[#This Row],[Order_Date]], "MMM")</f>
        <v>Nov</v>
      </c>
      <c r="N4037" s="1">
        <f>YEAR(Table1[[#This Row],[Order_Date]])</f>
        <v>2023</v>
      </c>
      <c r="O4037" s="7">
        <f>Table1[[#This Row],[Profit]]/Table1[[#This Row],[Total_Sales]]</f>
        <v>0.37361714975845411</v>
      </c>
    </row>
    <row r="4038" spans="1:15" x14ac:dyDescent="0.25">
      <c r="A4038" s="1">
        <v>4037</v>
      </c>
      <c r="B4038" s="2">
        <v>45250</v>
      </c>
      <c r="C4038" s="1" t="s">
        <v>25</v>
      </c>
      <c r="D4038" s="1" t="s">
        <v>20</v>
      </c>
      <c r="E4038" s="1" t="s">
        <v>43</v>
      </c>
      <c r="F4038" s="1" t="s">
        <v>15</v>
      </c>
      <c r="G4038" s="1">
        <v>5</v>
      </c>
      <c r="H4038" s="1">
        <v>365</v>
      </c>
      <c r="I4038" s="1">
        <v>10</v>
      </c>
      <c r="J4038" s="4">
        <v>1642.5</v>
      </c>
      <c r="K4038" s="4">
        <v>1055.07</v>
      </c>
      <c r="L4038" s="4">
        <v>587.42999999999995</v>
      </c>
      <c r="M4038" s="1" t="str">
        <f>TEXT(Table1[[#This Row],[Order_Date]], "MMM")</f>
        <v>Nov</v>
      </c>
      <c r="N4038" s="1">
        <f>YEAR(Table1[[#This Row],[Order_Date]])</f>
        <v>2023</v>
      </c>
      <c r="O4038" s="7">
        <f>Table1[[#This Row],[Profit]]/Table1[[#This Row],[Total_Sales]]</f>
        <v>0.35764383561643831</v>
      </c>
    </row>
    <row r="4039" spans="1:15" x14ac:dyDescent="0.25">
      <c r="A4039" s="1">
        <v>4038</v>
      </c>
      <c r="B4039" s="2">
        <v>45066</v>
      </c>
      <c r="C4039" s="1" t="s">
        <v>25</v>
      </c>
      <c r="D4039" s="1" t="s">
        <v>20</v>
      </c>
      <c r="E4039" s="1" t="s">
        <v>28</v>
      </c>
      <c r="F4039" s="1" t="s">
        <v>35</v>
      </c>
      <c r="G4039" s="1">
        <v>2</v>
      </c>
      <c r="H4039" s="1">
        <v>930</v>
      </c>
      <c r="I4039" s="1">
        <v>5</v>
      </c>
      <c r="J4039" s="4">
        <v>1767</v>
      </c>
      <c r="K4039" s="4">
        <v>1299.8399999999999</v>
      </c>
      <c r="L4039" s="4">
        <v>467.16</v>
      </c>
      <c r="M4039" s="1" t="str">
        <f>TEXT(Table1[[#This Row],[Order_Date]], "MMM")</f>
        <v>May</v>
      </c>
      <c r="N4039" s="1">
        <f>YEAR(Table1[[#This Row],[Order_Date]])</f>
        <v>2023</v>
      </c>
      <c r="O4039" s="7">
        <f>Table1[[#This Row],[Profit]]/Table1[[#This Row],[Total_Sales]]</f>
        <v>0.26438030560271647</v>
      </c>
    </row>
    <row r="4040" spans="1:15" x14ac:dyDescent="0.25">
      <c r="A4040" s="1">
        <v>4039</v>
      </c>
      <c r="B4040" s="2">
        <v>45080</v>
      </c>
      <c r="C4040" s="1" t="s">
        <v>16</v>
      </c>
      <c r="D4040" s="1" t="s">
        <v>22</v>
      </c>
      <c r="E4040" s="1" t="s">
        <v>44</v>
      </c>
      <c r="F4040" s="1" t="s">
        <v>24</v>
      </c>
      <c r="G4040" s="1">
        <v>1</v>
      </c>
      <c r="H4040" s="1">
        <v>712</v>
      </c>
      <c r="I4040" s="1">
        <v>0</v>
      </c>
      <c r="J4040" s="4">
        <v>712</v>
      </c>
      <c r="K4040" s="4">
        <v>417.94</v>
      </c>
      <c r="L4040" s="4">
        <v>294.06</v>
      </c>
      <c r="M4040" s="1" t="str">
        <f>TEXT(Table1[[#This Row],[Order_Date]], "MMM")</f>
        <v>Jun</v>
      </c>
      <c r="N4040" s="1">
        <f>YEAR(Table1[[#This Row],[Order_Date]])</f>
        <v>2023</v>
      </c>
      <c r="O4040" s="7">
        <f>Table1[[#This Row],[Profit]]/Table1[[#This Row],[Total_Sales]]</f>
        <v>0.41300561797752811</v>
      </c>
    </row>
    <row r="4041" spans="1:15" x14ac:dyDescent="0.25">
      <c r="A4041" s="1">
        <v>4040</v>
      </c>
      <c r="B4041" s="2">
        <v>45536</v>
      </c>
      <c r="C4041" s="1" t="s">
        <v>25</v>
      </c>
      <c r="D4041" s="1" t="s">
        <v>20</v>
      </c>
      <c r="E4041" s="1" t="s">
        <v>28</v>
      </c>
      <c r="F4041" s="1" t="s">
        <v>24</v>
      </c>
      <c r="G4041" s="1">
        <v>2</v>
      </c>
      <c r="H4041" s="1">
        <v>315</v>
      </c>
      <c r="I4041" s="1">
        <v>5</v>
      </c>
      <c r="J4041" s="4">
        <v>598.5</v>
      </c>
      <c r="K4041" s="4">
        <v>315.08999999999997</v>
      </c>
      <c r="L4041" s="4">
        <v>283.41000000000003</v>
      </c>
      <c r="M4041" s="1" t="str">
        <f>TEXT(Table1[[#This Row],[Order_Date]], "MMM")</f>
        <v>Sep</v>
      </c>
      <c r="N4041" s="1">
        <f>YEAR(Table1[[#This Row],[Order_Date]])</f>
        <v>2024</v>
      </c>
      <c r="O4041" s="7">
        <f>Table1[[#This Row],[Profit]]/Table1[[#This Row],[Total_Sales]]</f>
        <v>0.4735338345864662</v>
      </c>
    </row>
    <row r="4042" spans="1:15" x14ac:dyDescent="0.25">
      <c r="A4042" s="1">
        <v>4041</v>
      </c>
      <c r="B4042" s="2">
        <v>45349</v>
      </c>
      <c r="C4042" s="1" t="s">
        <v>25</v>
      </c>
      <c r="D4042" s="1" t="s">
        <v>20</v>
      </c>
      <c r="E4042" s="1" t="s">
        <v>43</v>
      </c>
      <c r="F4042" s="1" t="s">
        <v>31</v>
      </c>
      <c r="G4042" s="1">
        <v>3</v>
      </c>
      <c r="H4042" s="1">
        <v>482</v>
      </c>
      <c r="I4042" s="1">
        <v>0</v>
      </c>
      <c r="J4042" s="4">
        <v>1446</v>
      </c>
      <c r="K4042" s="4">
        <v>960.96</v>
      </c>
      <c r="L4042" s="4">
        <v>485.04</v>
      </c>
      <c r="M4042" s="1" t="str">
        <f>TEXT(Table1[[#This Row],[Order_Date]], "MMM")</f>
        <v>Feb</v>
      </c>
      <c r="N4042" s="1">
        <f>YEAR(Table1[[#This Row],[Order_Date]])</f>
        <v>2024</v>
      </c>
      <c r="O4042" s="7">
        <f>Table1[[#This Row],[Profit]]/Table1[[#This Row],[Total_Sales]]</f>
        <v>0.33543568464730295</v>
      </c>
    </row>
    <row r="4043" spans="1:15" x14ac:dyDescent="0.25">
      <c r="A4043" s="1">
        <v>4042</v>
      </c>
      <c r="B4043" s="2">
        <v>45120</v>
      </c>
      <c r="C4043" s="1" t="s">
        <v>25</v>
      </c>
      <c r="D4043" s="1" t="s">
        <v>20</v>
      </c>
      <c r="E4043" s="1" t="s">
        <v>43</v>
      </c>
      <c r="F4043" s="1" t="s">
        <v>18</v>
      </c>
      <c r="G4043" s="1">
        <v>9</v>
      </c>
      <c r="H4043" s="1">
        <v>71</v>
      </c>
      <c r="I4043" s="1">
        <v>5</v>
      </c>
      <c r="J4043" s="4">
        <v>607.04999999999995</v>
      </c>
      <c r="K4043" s="4">
        <v>323.54000000000002</v>
      </c>
      <c r="L4043" s="4">
        <v>283.51</v>
      </c>
      <c r="M4043" s="1" t="str">
        <f>TEXT(Table1[[#This Row],[Order_Date]], "MMM")</f>
        <v>Jul</v>
      </c>
      <c r="N4043" s="1">
        <f>YEAR(Table1[[#This Row],[Order_Date]])</f>
        <v>2023</v>
      </c>
      <c r="O4043" s="7">
        <f>Table1[[#This Row],[Profit]]/Table1[[#This Row],[Total_Sales]]</f>
        <v>0.46702907503500535</v>
      </c>
    </row>
    <row r="4044" spans="1:15" x14ac:dyDescent="0.25">
      <c r="A4044" s="1">
        <v>4043</v>
      </c>
      <c r="B4044" s="2">
        <v>45383</v>
      </c>
      <c r="C4044" s="1" t="s">
        <v>25</v>
      </c>
      <c r="D4044" s="1" t="s">
        <v>22</v>
      </c>
      <c r="E4044" s="1" t="s">
        <v>23</v>
      </c>
      <c r="F4044" s="1" t="s">
        <v>31</v>
      </c>
      <c r="G4044" s="1">
        <v>6</v>
      </c>
      <c r="H4044" s="1">
        <v>982</v>
      </c>
      <c r="I4044" s="1">
        <v>20</v>
      </c>
      <c r="J4044" s="4">
        <v>4713.6000000000004</v>
      </c>
      <c r="K4044" s="4">
        <v>3036.97</v>
      </c>
      <c r="L4044" s="4">
        <v>1676.63</v>
      </c>
      <c r="M4044" s="1" t="str">
        <f>TEXT(Table1[[#This Row],[Order_Date]], "MMM")</f>
        <v>Apr</v>
      </c>
      <c r="N4044" s="1">
        <f>YEAR(Table1[[#This Row],[Order_Date]])</f>
        <v>2024</v>
      </c>
      <c r="O4044" s="7">
        <f>Table1[[#This Row],[Profit]]/Table1[[#This Row],[Total_Sales]]</f>
        <v>0.3557005261371351</v>
      </c>
    </row>
    <row r="4045" spans="1:15" x14ac:dyDescent="0.25">
      <c r="A4045" s="1">
        <v>4044</v>
      </c>
      <c r="B4045" s="2">
        <v>45556</v>
      </c>
      <c r="C4045" s="1" t="s">
        <v>12</v>
      </c>
      <c r="D4045" s="1" t="s">
        <v>13</v>
      </c>
      <c r="E4045" s="1" t="s">
        <v>17</v>
      </c>
      <c r="F4045" s="1" t="s">
        <v>31</v>
      </c>
      <c r="G4045" s="1">
        <v>7</v>
      </c>
      <c r="H4045" s="1">
        <v>876</v>
      </c>
      <c r="I4045" s="1">
        <v>10</v>
      </c>
      <c r="J4045" s="4">
        <v>5518.8</v>
      </c>
      <c r="K4045" s="4">
        <v>3232.99</v>
      </c>
      <c r="L4045" s="4">
        <v>2285.81</v>
      </c>
      <c r="M4045" s="1" t="str">
        <f>TEXT(Table1[[#This Row],[Order_Date]], "MMM")</f>
        <v>Sep</v>
      </c>
      <c r="N4045" s="1">
        <f>YEAR(Table1[[#This Row],[Order_Date]])</f>
        <v>2024</v>
      </c>
      <c r="O4045" s="7">
        <f>Table1[[#This Row],[Profit]]/Table1[[#This Row],[Total_Sales]]</f>
        <v>0.41418605493947958</v>
      </c>
    </row>
    <row r="4046" spans="1:15" x14ac:dyDescent="0.25">
      <c r="A4046" s="1">
        <v>4045</v>
      </c>
      <c r="B4046" s="2">
        <v>45440</v>
      </c>
      <c r="C4046" s="1" t="s">
        <v>19</v>
      </c>
      <c r="D4046" s="1" t="s">
        <v>20</v>
      </c>
      <c r="E4046" s="1" t="s">
        <v>30</v>
      </c>
      <c r="F4046" s="1" t="s">
        <v>18</v>
      </c>
      <c r="G4046" s="1">
        <v>8</v>
      </c>
      <c r="H4046" s="1">
        <v>656</v>
      </c>
      <c r="I4046" s="1">
        <v>15</v>
      </c>
      <c r="J4046" s="4">
        <v>4460.8</v>
      </c>
      <c r="K4046" s="4">
        <v>3563.83</v>
      </c>
      <c r="L4046" s="4">
        <v>896.97</v>
      </c>
      <c r="M4046" s="1" t="str">
        <f>TEXT(Table1[[#This Row],[Order_Date]], "MMM")</f>
        <v>May</v>
      </c>
      <c r="N4046" s="1">
        <f>YEAR(Table1[[#This Row],[Order_Date]])</f>
        <v>2024</v>
      </c>
      <c r="O4046" s="7">
        <f>Table1[[#This Row],[Profit]]/Table1[[#This Row],[Total_Sales]]</f>
        <v>0.20107828192252511</v>
      </c>
    </row>
    <row r="4047" spans="1:15" x14ac:dyDescent="0.25">
      <c r="A4047" s="1">
        <v>4046</v>
      </c>
      <c r="B4047" s="2">
        <v>45234</v>
      </c>
      <c r="C4047" s="1" t="s">
        <v>16</v>
      </c>
      <c r="D4047" s="1" t="s">
        <v>26</v>
      </c>
      <c r="E4047" s="1" t="s">
        <v>37</v>
      </c>
      <c r="F4047" s="1" t="s">
        <v>31</v>
      </c>
      <c r="G4047" s="1">
        <v>6</v>
      </c>
      <c r="H4047" s="1">
        <v>168</v>
      </c>
      <c r="I4047" s="1">
        <v>20</v>
      </c>
      <c r="J4047" s="4">
        <v>806.4</v>
      </c>
      <c r="K4047" s="4">
        <v>479.05</v>
      </c>
      <c r="L4047" s="4">
        <v>327.35000000000002</v>
      </c>
      <c r="M4047" s="1" t="str">
        <f>TEXT(Table1[[#This Row],[Order_Date]], "MMM")</f>
        <v>Nov</v>
      </c>
      <c r="N4047" s="1">
        <f>YEAR(Table1[[#This Row],[Order_Date]])</f>
        <v>2023</v>
      </c>
      <c r="O4047" s="7">
        <f>Table1[[#This Row],[Profit]]/Table1[[#This Row],[Total_Sales]]</f>
        <v>0.40593998015873017</v>
      </c>
    </row>
    <row r="4048" spans="1:15" x14ac:dyDescent="0.25">
      <c r="A4048" s="1">
        <v>4047</v>
      </c>
      <c r="B4048" s="2">
        <v>45320</v>
      </c>
      <c r="C4048" s="1" t="s">
        <v>19</v>
      </c>
      <c r="D4048" s="1" t="s">
        <v>26</v>
      </c>
      <c r="E4048" s="1" t="s">
        <v>27</v>
      </c>
      <c r="F4048" s="1" t="s">
        <v>40</v>
      </c>
      <c r="G4048" s="1">
        <v>8</v>
      </c>
      <c r="H4048" s="1">
        <v>426</v>
      </c>
      <c r="I4048" s="1">
        <v>0</v>
      </c>
      <c r="J4048" s="4">
        <v>3408</v>
      </c>
      <c r="K4048" s="4">
        <v>2033.04</v>
      </c>
      <c r="L4048" s="4">
        <v>1374.96</v>
      </c>
      <c r="M4048" s="1" t="str">
        <f>TEXT(Table1[[#This Row],[Order_Date]], "MMM")</f>
        <v>Jan</v>
      </c>
      <c r="N4048" s="1">
        <f>YEAR(Table1[[#This Row],[Order_Date]])</f>
        <v>2024</v>
      </c>
      <c r="O4048" s="7">
        <f>Table1[[#This Row],[Profit]]/Table1[[#This Row],[Total_Sales]]</f>
        <v>0.40345070422535212</v>
      </c>
    </row>
    <row r="4049" spans="1:15" x14ac:dyDescent="0.25">
      <c r="A4049" s="1">
        <v>4048</v>
      </c>
      <c r="B4049" s="2">
        <v>45650</v>
      </c>
      <c r="C4049" s="1" t="s">
        <v>12</v>
      </c>
      <c r="D4049" s="1" t="s">
        <v>26</v>
      </c>
      <c r="E4049" s="1" t="s">
        <v>42</v>
      </c>
      <c r="F4049" s="1" t="s">
        <v>24</v>
      </c>
      <c r="G4049" s="1">
        <v>7</v>
      </c>
      <c r="H4049" s="1">
        <v>510</v>
      </c>
      <c r="I4049" s="1">
        <v>5</v>
      </c>
      <c r="J4049" s="4">
        <v>3391.5</v>
      </c>
      <c r="K4049" s="4">
        <v>2546.44</v>
      </c>
      <c r="L4049" s="4">
        <v>845.06</v>
      </c>
      <c r="M4049" s="1" t="str">
        <f>TEXT(Table1[[#This Row],[Order_Date]], "MMM")</f>
        <v>Dec</v>
      </c>
      <c r="N4049" s="1">
        <f>YEAR(Table1[[#This Row],[Order_Date]])</f>
        <v>2024</v>
      </c>
      <c r="O4049" s="7">
        <f>Table1[[#This Row],[Profit]]/Table1[[#This Row],[Total_Sales]]</f>
        <v>0.24916998378298685</v>
      </c>
    </row>
    <row r="4050" spans="1:15" x14ac:dyDescent="0.25">
      <c r="A4050" s="1">
        <v>4049</v>
      </c>
      <c r="B4050" s="2">
        <v>44949</v>
      </c>
      <c r="C4050" s="1" t="s">
        <v>19</v>
      </c>
      <c r="D4050" s="1" t="s">
        <v>22</v>
      </c>
      <c r="E4050" s="1" t="s">
        <v>29</v>
      </c>
      <c r="F4050" s="1" t="s">
        <v>40</v>
      </c>
      <c r="G4050" s="1">
        <v>1</v>
      </c>
      <c r="H4050" s="1">
        <v>372</v>
      </c>
      <c r="I4050" s="1">
        <v>5</v>
      </c>
      <c r="J4050" s="4">
        <v>353.4</v>
      </c>
      <c r="K4050" s="4">
        <v>241.38</v>
      </c>
      <c r="L4050" s="4">
        <v>112.02</v>
      </c>
      <c r="M4050" s="1" t="str">
        <f>TEXT(Table1[[#This Row],[Order_Date]], "MMM")</f>
        <v>Jan</v>
      </c>
      <c r="N4050" s="1">
        <f>YEAR(Table1[[#This Row],[Order_Date]])</f>
        <v>2023</v>
      </c>
      <c r="O4050" s="7">
        <f>Table1[[#This Row],[Profit]]/Table1[[#This Row],[Total_Sales]]</f>
        <v>0.31697792869269947</v>
      </c>
    </row>
    <row r="4051" spans="1:15" x14ac:dyDescent="0.25">
      <c r="A4051" s="1">
        <v>4050</v>
      </c>
      <c r="B4051" s="2">
        <v>45298</v>
      </c>
      <c r="C4051" s="1" t="s">
        <v>16</v>
      </c>
      <c r="D4051" s="1" t="s">
        <v>26</v>
      </c>
      <c r="E4051" s="1" t="s">
        <v>42</v>
      </c>
      <c r="F4051" s="1" t="s">
        <v>40</v>
      </c>
      <c r="G4051" s="1">
        <v>5</v>
      </c>
      <c r="H4051" s="1">
        <v>362</v>
      </c>
      <c r="I4051" s="1">
        <v>10</v>
      </c>
      <c r="J4051" s="4">
        <v>1629</v>
      </c>
      <c r="K4051" s="4">
        <v>1109.56</v>
      </c>
      <c r="L4051" s="4">
        <v>519.44000000000005</v>
      </c>
      <c r="M4051" s="1" t="str">
        <f>TEXT(Table1[[#This Row],[Order_Date]], "MMM")</f>
        <v>Jan</v>
      </c>
      <c r="N4051" s="1">
        <f>YEAR(Table1[[#This Row],[Order_Date]])</f>
        <v>2024</v>
      </c>
      <c r="O4051" s="7">
        <f>Table1[[#This Row],[Profit]]/Table1[[#This Row],[Total_Sales]]</f>
        <v>0.31887047268262741</v>
      </c>
    </row>
    <row r="4052" spans="1:15" x14ac:dyDescent="0.25">
      <c r="A4052" s="1">
        <v>4051</v>
      </c>
      <c r="B4052" s="2">
        <v>44988</v>
      </c>
      <c r="C4052" s="1" t="s">
        <v>16</v>
      </c>
      <c r="D4052" s="1" t="s">
        <v>22</v>
      </c>
      <c r="E4052" s="1" t="s">
        <v>29</v>
      </c>
      <c r="F4052" s="1" t="s">
        <v>18</v>
      </c>
      <c r="G4052" s="1">
        <v>7</v>
      </c>
      <c r="H4052" s="1">
        <v>273</v>
      </c>
      <c r="I4052" s="1">
        <v>5</v>
      </c>
      <c r="J4052" s="4">
        <v>1815.45</v>
      </c>
      <c r="K4052" s="4">
        <v>1274.22</v>
      </c>
      <c r="L4052" s="4">
        <v>541.23</v>
      </c>
      <c r="M4052" s="1" t="str">
        <f>TEXT(Table1[[#This Row],[Order_Date]], "MMM")</f>
        <v>Mar</v>
      </c>
      <c r="N4052" s="1">
        <f>YEAR(Table1[[#This Row],[Order_Date]])</f>
        <v>2023</v>
      </c>
      <c r="O4052" s="7">
        <f>Table1[[#This Row],[Profit]]/Table1[[#This Row],[Total_Sales]]</f>
        <v>0.29812443195901844</v>
      </c>
    </row>
    <row r="4053" spans="1:15" x14ac:dyDescent="0.25">
      <c r="A4053" s="1">
        <v>4052</v>
      </c>
      <c r="B4053" s="2">
        <v>45024</v>
      </c>
      <c r="C4053" s="1" t="s">
        <v>12</v>
      </c>
      <c r="D4053" s="1" t="s">
        <v>22</v>
      </c>
      <c r="E4053" s="1" t="s">
        <v>36</v>
      </c>
      <c r="F4053" s="1" t="s">
        <v>35</v>
      </c>
      <c r="G4053" s="1">
        <v>1</v>
      </c>
      <c r="H4053" s="1">
        <v>585</v>
      </c>
      <c r="I4053" s="1">
        <v>20</v>
      </c>
      <c r="J4053" s="4">
        <v>468</v>
      </c>
      <c r="K4053" s="4">
        <v>277.08</v>
      </c>
      <c r="L4053" s="4">
        <v>190.92</v>
      </c>
      <c r="M4053" s="1" t="str">
        <f>TEXT(Table1[[#This Row],[Order_Date]], "MMM")</f>
        <v>Apr</v>
      </c>
      <c r="N4053" s="1">
        <f>YEAR(Table1[[#This Row],[Order_Date]])</f>
        <v>2023</v>
      </c>
      <c r="O4053" s="7">
        <f>Table1[[#This Row],[Profit]]/Table1[[#This Row],[Total_Sales]]</f>
        <v>0.4079487179487179</v>
      </c>
    </row>
    <row r="4054" spans="1:15" x14ac:dyDescent="0.25">
      <c r="A4054" s="1">
        <v>4053</v>
      </c>
      <c r="B4054" s="2">
        <v>45355</v>
      </c>
      <c r="C4054" s="1" t="s">
        <v>12</v>
      </c>
      <c r="D4054" s="1" t="s">
        <v>13</v>
      </c>
      <c r="E4054" s="1" t="s">
        <v>38</v>
      </c>
      <c r="F4054" s="1" t="s">
        <v>40</v>
      </c>
      <c r="G4054" s="1">
        <v>5</v>
      </c>
      <c r="H4054" s="1">
        <v>984</v>
      </c>
      <c r="I4054" s="1">
        <v>5</v>
      </c>
      <c r="J4054" s="4">
        <v>4674</v>
      </c>
      <c r="K4054" s="4">
        <v>3137.97</v>
      </c>
      <c r="L4054" s="4">
        <v>1536.03</v>
      </c>
      <c r="M4054" s="1" t="str">
        <f>TEXT(Table1[[#This Row],[Order_Date]], "MMM")</f>
        <v>Mar</v>
      </c>
      <c r="N4054" s="1">
        <f>YEAR(Table1[[#This Row],[Order_Date]])</f>
        <v>2024</v>
      </c>
      <c r="O4054" s="7">
        <f>Table1[[#This Row],[Profit]]/Table1[[#This Row],[Total_Sales]]</f>
        <v>0.32863286264441594</v>
      </c>
    </row>
    <row r="4055" spans="1:15" x14ac:dyDescent="0.25">
      <c r="A4055" s="1">
        <v>4054</v>
      </c>
      <c r="B4055" s="2">
        <v>44990</v>
      </c>
      <c r="C4055" s="1" t="s">
        <v>16</v>
      </c>
      <c r="D4055" s="1" t="s">
        <v>13</v>
      </c>
      <c r="E4055" s="1" t="s">
        <v>17</v>
      </c>
      <c r="F4055" s="1" t="s">
        <v>31</v>
      </c>
      <c r="G4055" s="1">
        <v>10</v>
      </c>
      <c r="H4055" s="1">
        <v>62</v>
      </c>
      <c r="I4055" s="1">
        <v>0</v>
      </c>
      <c r="J4055" s="4">
        <v>620</v>
      </c>
      <c r="K4055" s="4">
        <v>336.15</v>
      </c>
      <c r="L4055" s="4">
        <v>283.85000000000002</v>
      </c>
      <c r="M4055" s="1" t="str">
        <f>TEXT(Table1[[#This Row],[Order_Date]], "MMM")</f>
        <v>Mar</v>
      </c>
      <c r="N4055" s="1">
        <f>YEAR(Table1[[#This Row],[Order_Date]])</f>
        <v>2023</v>
      </c>
      <c r="O4055" s="7">
        <f>Table1[[#This Row],[Profit]]/Table1[[#This Row],[Total_Sales]]</f>
        <v>0.45782258064516135</v>
      </c>
    </row>
    <row r="4056" spans="1:15" x14ac:dyDescent="0.25">
      <c r="A4056" s="1">
        <v>4055</v>
      </c>
      <c r="B4056" s="2">
        <v>45307</v>
      </c>
      <c r="C4056" s="1" t="s">
        <v>25</v>
      </c>
      <c r="D4056" s="1" t="s">
        <v>22</v>
      </c>
      <c r="E4056" s="1" t="s">
        <v>23</v>
      </c>
      <c r="F4056" s="1" t="s">
        <v>15</v>
      </c>
      <c r="G4056" s="1">
        <v>10</v>
      </c>
      <c r="H4056" s="1">
        <v>172</v>
      </c>
      <c r="I4056" s="1">
        <v>0</v>
      </c>
      <c r="J4056" s="4">
        <v>1720</v>
      </c>
      <c r="K4056" s="4">
        <v>1346.29</v>
      </c>
      <c r="L4056" s="4">
        <v>373.71</v>
      </c>
      <c r="M4056" s="1" t="str">
        <f>TEXT(Table1[[#This Row],[Order_Date]], "MMM")</f>
        <v>Jan</v>
      </c>
      <c r="N4056" s="1">
        <f>YEAR(Table1[[#This Row],[Order_Date]])</f>
        <v>2024</v>
      </c>
      <c r="O4056" s="7">
        <f>Table1[[#This Row],[Profit]]/Table1[[#This Row],[Total_Sales]]</f>
        <v>0.21727325581395349</v>
      </c>
    </row>
    <row r="4057" spans="1:15" x14ac:dyDescent="0.25">
      <c r="A4057" s="1">
        <v>4056</v>
      </c>
      <c r="B4057" s="2">
        <v>45203</v>
      </c>
      <c r="C4057" s="1" t="s">
        <v>12</v>
      </c>
      <c r="D4057" s="1" t="s">
        <v>32</v>
      </c>
      <c r="E4057" s="1" t="s">
        <v>41</v>
      </c>
      <c r="F4057" s="1" t="s">
        <v>31</v>
      </c>
      <c r="G4057" s="1">
        <v>7</v>
      </c>
      <c r="H4057" s="1">
        <v>366</v>
      </c>
      <c r="I4057" s="1">
        <v>15</v>
      </c>
      <c r="J4057" s="4">
        <v>2177.6999999999998</v>
      </c>
      <c r="K4057" s="4">
        <v>1382.9</v>
      </c>
      <c r="L4057" s="4">
        <v>794.8</v>
      </c>
      <c r="M4057" s="1" t="str">
        <f>TEXT(Table1[[#This Row],[Order_Date]], "MMM")</f>
        <v>Oct</v>
      </c>
      <c r="N4057" s="1">
        <f>YEAR(Table1[[#This Row],[Order_Date]])</f>
        <v>2023</v>
      </c>
      <c r="O4057" s="7">
        <f>Table1[[#This Row],[Profit]]/Table1[[#This Row],[Total_Sales]]</f>
        <v>0.36497221839555494</v>
      </c>
    </row>
    <row r="4058" spans="1:15" x14ac:dyDescent="0.25">
      <c r="A4058" s="1">
        <v>4057</v>
      </c>
      <c r="B4058" s="2">
        <v>45458</v>
      </c>
      <c r="C4058" s="1" t="s">
        <v>16</v>
      </c>
      <c r="D4058" s="1" t="s">
        <v>20</v>
      </c>
      <c r="E4058" s="1" t="s">
        <v>28</v>
      </c>
      <c r="F4058" s="1" t="s">
        <v>18</v>
      </c>
      <c r="G4058" s="1">
        <v>4</v>
      </c>
      <c r="H4058" s="1">
        <v>586</v>
      </c>
      <c r="I4058" s="1">
        <v>20</v>
      </c>
      <c r="J4058" s="4">
        <v>1875.2</v>
      </c>
      <c r="K4058" s="4">
        <v>1136.71</v>
      </c>
      <c r="L4058" s="4">
        <v>738.49</v>
      </c>
      <c r="M4058" s="1" t="str">
        <f>TEXT(Table1[[#This Row],[Order_Date]], "MMM")</f>
        <v>Jun</v>
      </c>
      <c r="N4058" s="1">
        <f>YEAR(Table1[[#This Row],[Order_Date]])</f>
        <v>2024</v>
      </c>
      <c r="O4058" s="7">
        <f>Table1[[#This Row],[Profit]]/Table1[[#This Row],[Total_Sales]]</f>
        <v>0.39381932593856656</v>
      </c>
    </row>
    <row r="4059" spans="1:15" x14ac:dyDescent="0.25">
      <c r="A4059" s="1">
        <v>4058</v>
      </c>
      <c r="B4059" s="2">
        <v>45218</v>
      </c>
      <c r="C4059" s="1" t="s">
        <v>25</v>
      </c>
      <c r="D4059" s="1" t="s">
        <v>22</v>
      </c>
      <c r="E4059" s="1" t="s">
        <v>23</v>
      </c>
      <c r="F4059" s="1" t="s">
        <v>15</v>
      </c>
      <c r="G4059" s="1">
        <v>6</v>
      </c>
      <c r="H4059" s="1">
        <v>747</v>
      </c>
      <c r="I4059" s="1">
        <v>5</v>
      </c>
      <c r="J4059" s="4">
        <v>4257.8999999999996</v>
      </c>
      <c r="K4059" s="4">
        <v>2928.7</v>
      </c>
      <c r="L4059" s="4">
        <v>1329.2</v>
      </c>
      <c r="M4059" s="1" t="str">
        <f>TEXT(Table1[[#This Row],[Order_Date]], "MMM")</f>
        <v>Oct</v>
      </c>
      <c r="N4059" s="1">
        <f>YEAR(Table1[[#This Row],[Order_Date]])</f>
        <v>2023</v>
      </c>
      <c r="O4059" s="7">
        <f>Table1[[#This Row],[Profit]]/Table1[[#This Row],[Total_Sales]]</f>
        <v>0.31217266727729637</v>
      </c>
    </row>
    <row r="4060" spans="1:15" x14ac:dyDescent="0.25">
      <c r="A4060" s="1">
        <v>4059</v>
      </c>
      <c r="B4060" s="2">
        <v>45617</v>
      </c>
      <c r="C4060" s="1" t="s">
        <v>19</v>
      </c>
      <c r="D4060" s="1" t="s">
        <v>20</v>
      </c>
      <c r="E4060" s="1" t="s">
        <v>28</v>
      </c>
      <c r="F4060" s="1" t="s">
        <v>15</v>
      </c>
      <c r="G4060" s="1">
        <v>4</v>
      </c>
      <c r="H4060" s="1">
        <v>78</v>
      </c>
      <c r="I4060" s="1">
        <v>20</v>
      </c>
      <c r="J4060" s="4">
        <v>249.6</v>
      </c>
      <c r="K4060" s="4">
        <v>182.93</v>
      </c>
      <c r="L4060" s="4">
        <v>66.67</v>
      </c>
      <c r="M4060" s="1" t="str">
        <f>TEXT(Table1[[#This Row],[Order_Date]], "MMM")</f>
        <v>Nov</v>
      </c>
      <c r="N4060" s="1">
        <f>YEAR(Table1[[#This Row],[Order_Date]])</f>
        <v>2024</v>
      </c>
      <c r="O4060" s="7">
        <f>Table1[[#This Row],[Profit]]/Table1[[#This Row],[Total_Sales]]</f>
        <v>0.26710737179487182</v>
      </c>
    </row>
    <row r="4061" spans="1:15" x14ac:dyDescent="0.25">
      <c r="A4061" s="1">
        <v>4060</v>
      </c>
      <c r="B4061" s="2">
        <v>45546</v>
      </c>
      <c r="C4061" s="1" t="s">
        <v>19</v>
      </c>
      <c r="D4061" s="1" t="s">
        <v>32</v>
      </c>
      <c r="E4061" s="1" t="s">
        <v>34</v>
      </c>
      <c r="F4061" s="1" t="s">
        <v>31</v>
      </c>
      <c r="G4061" s="1">
        <v>1</v>
      </c>
      <c r="H4061" s="1">
        <v>399</v>
      </c>
      <c r="I4061" s="1">
        <v>20</v>
      </c>
      <c r="J4061" s="4">
        <v>319.2</v>
      </c>
      <c r="K4061" s="4">
        <v>219.34</v>
      </c>
      <c r="L4061" s="4">
        <v>99.86</v>
      </c>
      <c r="M4061" s="1" t="str">
        <f>TEXT(Table1[[#This Row],[Order_Date]], "MMM")</f>
        <v>Sep</v>
      </c>
      <c r="N4061" s="1">
        <f>YEAR(Table1[[#This Row],[Order_Date]])</f>
        <v>2024</v>
      </c>
      <c r="O4061" s="7">
        <f>Table1[[#This Row],[Profit]]/Table1[[#This Row],[Total_Sales]]</f>
        <v>0.31284461152882209</v>
      </c>
    </row>
    <row r="4062" spans="1:15" x14ac:dyDescent="0.25">
      <c r="A4062" s="1">
        <v>4061</v>
      </c>
      <c r="B4062" s="2">
        <v>45521</v>
      </c>
      <c r="C4062" s="1" t="s">
        <v>25</v>
      </c>
      <c r="D4062" s="1" t="s">
        <v>26</v>
      </c>
      <c r="E4062" s="1" t="s">
        <v>37</v>
      </c>
      <c r="F4062" s="1" t="s">
        <v>18</v>
      </c>
      <c r="G4062" s="1">
        <v>6</v>
      </c>
      <c r="H4062" s="1">
        <v>679</v>
      </c>
      <c r="I4062" s="1">
        <v>15</v>
      </c>
      <c r="J4062" s="4">
        <v>3462.9</v>
      </c>
      <c r="K4062" s="4">
        <v>2146.58</v>
      </c>
      <c r="L4062" s="4">
        <v>1316.32</v>
      </c>
      <c r="M4062" s="1" t="str">
        <f>TEXT(Table1[[#This Row],[Order_Date]], "MMM")</f>
        <v>Aug</v>
      </c>
      <c r="N4062" s="1">
        <f>YEAR(Table1[[#This Row],[Order_Date]])</f>
        <v>2024</v>
      </c>
      <c r="O4062" s="7">
        <f>Table1[[#This Row],[Profit]]/Table1[[#This Row],[Total_Sales]]</f>
        <v>0.38012070807704523</v>
      </c>
    </row>
    <row r="4063" spans="1:15" x14ac:dyDescent="0.25">
      <c r="A4063" s="1">
        <v>4062</v>
      </c>
      <c r="B4063" s="2">
        <v>45369</v>
      </c>
      <c r="C4063" s="1" t="s">
        <v>19</v>
      </c>
      <c r="D4063" s="1" t="s">
        <v>26</v>
      </c>
      <c r="E4063" s="1" t="s">
        <v>27</v>
      </c>
      <c r="F4063" s="1" t="s">
        <v>35</v>
      </c>
      <c r="G4063" s="1">
        <v>1</v>
      </c>
      <c r="H4063" s="1">
        <v>498</v>
      </c>
      <c r="I4063" s="1">
        <v>20</v>
      </c>
      <c r="J4063" s="4">
        <v>398.4</v>
      </c>
      <c r="K4063" s="4">
        <v>308.41000000000003</v>
      </c>
      <c r="L4063" s="4">
        <v>89.99</v>
      </c>
      <c r="M4063" s="1" t="str">
        <f>TEXT(Table1[[#This Row],[Order_Date]], "MMM")</f>
        <v>Mar</v>
      </c>
      <c r="N4063" s="1">
        <f>YEAR(Table1[[#This Row],[Order_Date]])</f>
        <v>2024</v>
      </c>
      <c r="O4063" s="7">
        <f>Table1[[#This Row],[Profit]]/Table1[[#This Row],[Total_Sales]]</f>
        <v>0.22587851405622489</v>
      </c>
    </row>
    <row r="4064" spans="1:15" x14ac:dyDescent="0.25">
      <c r="A4064" s="1">
        <v>4063</v>
      </c>
      <c r="B4064" s="2">
        <v>45208</v>
      </c>
      <c r="C4064" s="1" t="s">
        <v>19</v>
      </c>
      <c r="D4064" s="1" t="s">
        <v>26</v>
      </c>
      <c r="E4064" s="1" t="s">
        <v>46</v>
      </c>
      <c r="F4064" s="1" t="s">
        <v>18</v>
      </c>
      <c r="G4064" s="1">
        <v>10</v>
      </c>
      <c r="H4064" s="1">
        <v>423</v>
      </c>
      <c r="I4064" s="1">
        <v>20</v>
      </c>
      <c r="J4064" s="4">
        <v>3384</v>
      </c>
      <c r="K4064" s="4">
        <v>2683.62</v>
      </c>
      <c r="L4064" s="4">
        <v>700.38</v>
      </c>
      <c r="M4064" s="1" t="str">
        <f>TEXT(Table1[[#This Row],[Order_Date]], "MMM")</f>
        <v>Oct</v>
      </c>
      <c r="N4064" s="1">
        <f>YEAR(Table1[[#This Row],[Order_Date]])</f>
        <v>2023</v>
      </c>
      <c r="O4064" s="7">
        <f>Table1[[#This Row],[Profit]]/Table1[[#This Row],[Total_Sales]]</f>
        <v>0.20696808510638298</v>
      </c>
    </row>
    <row r="4065" spans="1:15" x14ac:dyDescent="0.25">
      <c r="A4065" s="1">
        <v>4064</v>
      </c>
      <c r="B4065" s="2">
        <v>45589</v>
      </c>
      <c r="C4065" s="1" t="s">
        <v>19</v>
      </c>
      <c r="D4065" s="1" t="s">
        <v>22</v>
      </c>
      <c r="E4065" s="1" t="s">
        <v>29</v>
      </c>
      <c r="F4065" s="1" t="s">
        <v>35</v>
      </c>
      <c r="G4065" s="1">
        <v>1</v>
      </c>
      <c r="H4065" s="1">
        <v>901</v>
      </c>
      <c r="I4065" s="1">
        <v>0</v>
      </c>
      <c r="J4065" s="4">
        <v>901</v>
      </c>
      <c r="K4065" s="4">
        <v>640.64</v>
      </c>
      <c r="L4065" s="4">
        <v>260.36</v>
      </c>
      <c r="M4065" s="1" t="str">
        <f>TEXT(Table1[[#This Row],[Order_Date]], "MMM")</f>
        <v>Oct</v>
      </c>
      <c r="N4065" s="1">
        <f>YEAR(Table1[[#This Row],[Order_Date]])</f>
        <v>2024</v>
      </c>
      <c r="O4065" s="7">
        <f>Table1[[#This Row],[Profit]]/Table1[[#This Row],[Total_Sales]]</f>
        <v>0.28896781354051054</v>
      </c>
    </row>
    <row r="4066" spans="1:15" x14ac:dyDescent="0.25">
      <c r="A4066" s="1">
        <v>4065</v>
      </c>
      <c r="B4066" s="2">
        <v>45500</v>
      </c>
      <c r="C4066" s="1" t="s">
        <v>16</v>
      </c>
      <c r="D4066" s="1" t="s">
        <v>26</v>
      </c>
      <c r="E4066" s="1" t="s">
        <v>42</v>
      </c>
      <c r="F4066" s="1" t="s">
        <v>24</v>
      </c>
      <c r="G4066" s="1">
        <v>10</v>
      </c>
      <c r="H4066" s="1">
        <v>221</v>
      </c>
      <c r="I4066" s="1">
        <v>5</v>
      </c>
      <c r="J4066" s="4">
        <v>2099.5</v>
      </c>
      <c r="K4066" s="4">
        <v>1138.0999999999999</v>
      </c>
      <c r="L4066" s="4">
        <v>961.4</v>
      </c>
      <c r="M4066" s="1" t="str">
        <f>TEXT(Table1[[#This Row],[Order_Date]], "MMM")</f>
        <v>Jul</v>
      </c>
      <c r="N4066" s="1">
        <f>YEAR(Table1[[#This Row],[Order_Date]])</f>
        <v>2024</v>
      </c>
      <c r="O4066" s="7">
        <f>Table1[[#This Row],[Profit]]/Table1[[#This Row],[Total_Sales]]</f>
        <v>0.45791855203619908</v>
      </c>
    </row>
    <row r="4067" spans="1:15" x14ac:dyDescent="0.25">
      <c r="A4067" s="1">
        <v>4066</v>
      </c>
      <c r="B4067" s="2">
        <v>44958</v>
      </c>
      <c r="C4067" s="1" t="s">
        <v>19</v>
      </c>
      <c r="D4067" s="1" t="s">
        <v>20</v>
      </c>
      <c r="E4067" s="1" t="s">
        <v>28</v>
      </c>
      <c r="F4067" s="1" t="s">
        <v>40</v>
      </c>
      <c r="G4067" s="1">
        <v>9</v>
      </c>
      <c r="H4067" s="1">
        <v>263</v>
      </c>
      <c r="I4067" s="1">
        <v>10</v>
      </c>
      <c r="J4067" s="4">
        <v>2130.3000000000002</v>
      </c>
      <c r="K4067" s="4">
        <v>1197.92</v>
      </c>
      <c r="L4067" s="4">
        <v>932.38</v>
      </c>
      <c r="M4067" s="1" t="str">
        <f>TEXT(Table1[[#This Row],[Order_Date]], "MMM")</f>
        <v>Feb</v>
      </c>
      <c r="N4067" s="1">
        <f>YEAR(Table1[[#This Row],[Order_Date]])</f>
        <v>2023</v>
      </c>
      <c r="O4067" s="7">
        <f>Table1[[#This Row],[Profit]]/Table1[[#This Row],[Total_Sales]]</f>
        <v>0.4376754447730366</v>
      </c>
    </row>
    <row r="4068" spans="1:15" x14ac:dyDescent="0.25">
      <c r="A4068" s="1">
        <v>4067</v>
      </c>
      <c r="B4068" s="2">
        <v>45310</v>
      </c>
      <c r="C4068" s="1" t="s">
        <v>12</v>
      </c>
      <c r="D4068" s="1" t="s">
        <v>20</v>
      </c>
      <c r="E4068" s="1" t="s">
        <v>28</v>
      </c>
      <c r="F4068" s="1" t="s">
        <v>35</v>
      </c>
      <c r="G4068" s="1">
        <v>2</v>
      </c>
      <c r="H4068" s="1">
        <v>238</v>
      </c>
      <c r="I4068" s="1">
        <v>0</v>
      </c>
      <c r="J4068" s="4">
        <v>476</v>
      </c>
      <c r="K4068" s="4">
        <v>368.88</v>
      </c>
      <c r="L4068" s="4">
        <v>107.12</v>
      </c>
      <c r="M4068" s="1" t="str">
        <f>TEXT(Table1[[#This Row],[Order_Date]], "MMM")</f>
        <v>Jan</v>
      </c>
      <c r="N4068" s="1">
        <f>YEAR(Table1[[#This Row],[Order_Date]])</f>
        <v>2024</v>
      </c>
      <c r="O4068" s="7">
        <f>Table1[[#This Row],[Profit]]/Table1[[#This Row],[Total_Sales]]</f>
        <v>0.2250420168067227</v>
      </c>
    </row>
    <row r="4069" spans="1:15" x14ac:dyDescent="0.25">
      <c r="A4069" s="1">
        <v>4068</v>
      </c>
      <c r="B4069" s="2">
        <v>45628</v>
      </c>
      <c r="C4069" s="1" t="s">
        <v>19</v>
      </c>
      <c r="D4069" s="1" t="s">
        <v>32</v>
      </c>
      <c r="E4069" s="1" t="s">
        <v>45</v>
      </c>
      <c r="F4069" s="1" t="s">
        <v>40</v>
      </c>
      <c r="G4069" s="1">
        <v>10</v>
      </c>
      <c r="H4069" s="1">
        <v>449</v>
      </c>
      <c r="I4069" s="1">
        <v>15</v>
      </c>
      <c r="J4069" s="4">
        <v>3816.5</v>
      </c>
      <c r="K4069" s="4">
        <v>2680.97</v>
      </c>
      <c r="L4069" s="4">
        <v>1135.53</v>
      </c>
      <c r="M4069" s="1" t="str">
        <f>TEXT(Table1[[#This Row],[Order_Date]], "MMM")</f>
        <v>Dec</v>
      </c>
      <c r="N4069" s="1">
        <f>YEAR(Table1[[#This Row],[Order_Date]])</f>
        <v>2024</v>
      </c>
      <c r="O4069" s="7">
        <f>Table1[[#This Row],[Profit]]/Table1[[#This Row],[Total_Sales]]</f>
        <v>0.29753176994628588</v>
      </c>
    </row>
    <row r="4070" spans="1:15" x14ac:dyDescent="0.25">
      <c r="A4070" s="1">
        <v>4069</v>
      </c>
      <c r="B4070" s="2">
        <v>45306</v>
      </c>
      <c r="C4070" s="1" t="s">
        <v>19</v>
      </c>
      <c r="D4070" s="1" t="s">
        <v>32</v>
      </c>
      <c r="E4070" s="1" t="s">
        <v>45</v>
      </c>
      <c r="F4070" s="1" t="s">
        <v>40</v>
      </c>
      <c r="G4070" s="1">
        <v>5</v>
      </c>
      <c r="H4070" s="1">
        <v>411</v>
      </c>
      <c r="I4070" s="1">
        <v>5</v>
      </c>
      <c r="J4070" s="4">
        <v>1952.25</v>
      </c>
      <c r="K4070" s="4">
        <v>1053.8</v>
      </c>
      <c r="L4070" s="4">
        <v>898.45</v>
      </c>
      <c r="M4070" s="1" t="str">
        <f>TEXT(Table1[[#This Row],[Order_Date]], "MMM")</f>
        <v>Jan</v>
      </c>
      <c r="N4070" s="1">
        <f>YEAR(Table1[[#This Row],[Order_Date]])</f>
        <v>2024</v>
      </c>
      <c r="O4070" s="7">
        <f>Table1[[#This Row],[Profit]]/Table1[[#This Row],[Total_Sales]]</f>
        <v>0.46021257523370473</v>
      </c>
    </row>
    <row r="4071" spans="1:15" x14ac:dyDescent="0.25">
      <c r="A4071" s="1">
        <v>4070</v>
      </c>
      <c r="B4071" s="2">
        <v>45331</v>
      </c>
      <c r="C4071" s="1" t="s">
        <v>12</v>
      </c>
      <c r="D4071" s="1" t="s">
        <v>26</v>
      </c>
      <c r="E4071" s="1" t="s">
        <v>37</v>
      </c>
      <c r="F4071" s="1" t="s">
        <v>18</v>
      </c>
      <c r="G4071" s="1">
        <v>9</v>
      </c>
      <c r="H4071" s="1">
        <v>321</v>
      </c>
      <c r="I4071" s="1">
        <v>5</v>
      </c>
      <c r="J4071" s="4">
        <v>2744.55</v>
      </c>
      <c r="K4071" s="4">
        <v>2134.69</v>
      </c>
      <c r="L4071" s="4">
        <v>609.86</v>
      </c>
      <c r="M4071" s="1" t="str">
        <f>TEXT(Table1[[#This Row],[Order_Date]], "MMM")</f>
        <v>Feb</v>
      </c>
      <c r="N4071" s="1">
        <f>YEAR(Table1[[#This Row],[Order_Date]])</f>
        <v>2024</v>
      </c>
      <c r="O4071" s="7">
        <f>Table1[[#This Row],[Profit]]/Table1[[#This Row],[Total_Sales]]</f>
        <v>0.22220764788398825</v>
      </c>
    </row>
    <row r="4072" spans="1:15" x14ac:dyDescent="0.25">
      <c r="A4072" s="1">
        <v>4071</v>
      </c>
      <c r="B4072" s="2">
        <v>45025</v>
      </c>
      <c r="C4072" s="1" t="s">
        <v>19</v>
      </c>
      <c r="D4072" s="1" t="s">
        <v>20</v>
      </c>
      <c r="E4072" s="1" t="s">
        <v>30</v>
      </c>
      <c r="F4072" s="1" t="s">
        <v>24</v>
      </c>
      <c r="G4072" s="1">
        <v>5</v>
      </c>
      <c r="H4072" s="1">
        <v>961</v>
      </c>
      <c r="I4072" s="1">
        <v>20</v>
      </c>
      <c r="J4072" s="4">
        <v>3844</v>
      </c>
      <c r="K4072" s="4">
        <v>2143.9699999999998</v>
      </c>
      <c r="L4072" s="4">
        <v>1700.03</v>
      </c>
      <c r="M4072" s="1" t="str">
        <f>TEXT(Table1[[#This Row],[Order_Date]], "MMM")</f>
        <v>Apr</v>
      </c>
      <c r="N4072" s="1">
        <f>YEAR(Table1[[#This Row],[Order_Date]])</f>
        <v>2023</v>
      </c>
      <c r="O4072" s="7">
        <f>Table1[[#This Row],[Profit]]/Table1[[#This Row],[Total_Sales]]</f>
        <v>0.44225546305931318</v>
      </c>
    </row>
    <row r="4073" spans="1:15" x14ac:dyDescent="0.25">
      <c r="A4073" s="1">
        <v>4072</v>
      </c>
      <c r="B4073" s="2">
        <v>45224</v>
      </c>
      <c r="C4073" s="1" t="s">
        <v>25</v>
      </c>
      <c r="D4073" s="1" t="s">
        <v>32</v>
      </c>
      <c r="E4073" s="1" t="s">
        <v>33</v>
      </c>
      <c r="F4073" s="1" t="s">
        <v>40</v>
      </c>
      <c r="G4073" s="1">
        <v>8</v>
      </c>
      <c r="H4073" s="1">
        <v>890</v>
      </c>
      <c r="I4073" s="1">
        <v>0</v>
      </c>
      <c r="J4073" s="4">
        <v>7120</v>
      </c>
      <c r="K4073" s="4">
        <v>4494.58</v>
      </c>
      <c r="L4073" s="4">
        <v>2625.42</v>
      </c>
      <c r="M4073" s="1" t="str">
        <f>TEXT(Table1[[#This Row],[Order_Date]], "MMM")</f>
        <v>Oct</v>
      </c>
      <c r="N4073" s="1">
        <f>YEAR(Table1[[#This Row],[Order_Date]])</f>
        <v>2023</v>
      </c>
      <c r="O4073" s="7">
        <f>Table1[[#This Row],[Profit]]/Table1[[#This Row],[Total_Sales]]</f>
        <v>0.36873876404494382</v>
      </c>
    </row>
    <row r="4074" spans="1:15" x14ac:dyDescent="0.25">
      <c r="A4074" s="1">
        <v>4073</v>
      </c>
      <c r="B4074" s="2">
        <v>45085</v>
      </c>
      <c r="C4074" s="1" t="s">
        <v>25</v>
      </c>
      <c r="D4074" s="1" t="s">
        <v>22</v>
      </c>
      <c r="E4074" s="1" t="s">
        <v>29</v>
      </c>
      <c r="F4074" s="1" t="s">
        <v>40</v>
      </c>
      <c r="G4074" s="1">
        <v>2</v>
      </c>
      <c r="H4074" s="1">
        <v>60</v>
      </c>
      <c r="I4074" s="1">
        <v>15</v>
      </c>
      <c r="J4074" s="4">
        <v>102</v>
      </c>
      <c r="K4074" s="4">
        <v>60.96</v>
      </c>
      <c r="L4074" s="4">
        <v>41.04</v>
      </c>
      <c r="M4074" s="1" t="str">
        <f>TEXT(Table1[[#This Row],[Order_Date]], "MMM")</f>
        <v>Jun</v>
      </c>
      <c r="N4074" s="1">
        <f>YEAR(Table1[[#This Row],[Order_Date]])</f>
        <v>2023</v>
      </c>
      <c r="O4074" s="7">
        <f>Table1[[#This Row],[Profit]]/Table1[[#This Row],[Total_Sales]]</f>
        <v>0.40235294117647058</v>
      </c>
    </row>
    <row r="4075" spans="1:15" x14ac:dyDescent="0.25">
      <c r="A4075" s="1">
        <v>4074</v>
      </c>
      <c r="B4075" s="2">
        <v>45114</v>
      </c>
      <c r="C4075" s="1" t="s">
        <v>19</v>
      </c>
      <c r="D4075" s="1" t="s">
        <v>26</v>
      </c>
      <c r="E4075" s="1" t="s">
        <v>46</v>
      </c>
      <c r="F4075" s="1" t="s">
        <v>15</v>
      </c>
      <c r="G4075" s="1">
        <v>4</v>
      </c>
      <c r="H4075" s="1">
        <v>564</v>
      </c>
      <c r="I4075" s="1">
        <v>10</v>
      </c>
      <c r="J4075" s="4">
        <v>2030.4</v>
      </c>
      <c r="K4075" s="4">
        <v>1105.69</v>
      </c>
      <c r="L4075" s="4">
        <v>924.71</v>
      </c>
      <c r="M4075" s="1" t="str">
        <f>TEXT(Table1[[#This Row],[Order_Date]], "MMM")</f>
        <v>Jul</v>
      </c>
      <c r="N4075" s="1">
        <f>YEAR(Table1[[#This Row],[Order_Date]])</f>
        <v>2023</v>
      </c>
      <c r="O4075" s="7">
        <f>Table1[[#This Row],[Profit]]/Table1[[#This Row],[Total_Sales]]</f>
        <v>0.455432427107959</v>
      </c>
    </row>
    <row r="4076" spans="1:15" x14ac:dyDescent="0.25">
      <c r="A4076" s="1">
        <v>4075</v>
      </c>
      <c r="B4076" s="2">
        <v>45564</v>
      </c>
      <c r="C4076" s="1" t="s">
        <v>19</v>
      </c>
      <c r="D4076" s="1" t="s">
        <v>26</v>
      </c>
      <c r="E4076" s="1" t="s">
        <v>37</v>
      </c>
      <c r="F4076" s="1" t="s">
        <v>31</v>
      </c>
      <c r="G4076" s="1">
        <v>7</v>
      </c>
      <c r="H4076" s="1">
        <v>374</v>
      </c>
      <c r="I4076" s="1">
        <v>20</v>
      </c>
      <c r="J4076" s="4">
        <v>2094.4</v>
      </c>
      <c r="K4076" s="4">
        <v>1193.69</v>
      </c>
      <c r="L4076" s="4">
        <v>900.71</v>
      </c>
      <c r="M4076" s="1" t="str">
        <f>TEXT(Table1[[#This Row],[Order_Date]], "MMM")</f>
        <v>Sep</v>
      </c>
      <c r="N4076" s="1">
        <f>YEAR(Table1[[#This Row],[Order_Date]])</f>
        <v>2024</v>
      </c>
      <c r="O4076" s="7">
        <f>Table1[[#This Row],[Profit]]/Table1[[#This Row],[Total_Sales]]</f>
        <v>0.43005634071810545</v>
      </c>
    </row>
    <row r="4077" spans="1:15" x14ac:dyDescent="0.25">
      <c r="A4077" s="1">
        <v>4076</v>
      </c>
      <c r="B4077" s="2">
        <v>45471</v>
      </c>
      <c r="C4077" s="1" t="s">
        <v>19</v>
      </c>
      <c r="D4077" s="1" t="s">
        <v>13</v>
      </c>
      <c r="E4077" s="1" t="s">
        <v>17</v>
      </c>
      <c r="F4077" s="1" t="s">
        <v>24</v>
      </c>
      <c r="G4077" s="1">
        <v>7</v>
      </c>
      <c r="H4077" s="1">
        <v>37</v>
      </c>
      <c r="I4077" s="1">
        <v>5</v>
      </c>
      <c r="J4077" s="4">
        <v>246.05</v>
      </c>
      <c r="K4077" s="4">
        <v>148.52000000000001</v>
      </c>
      <c r="L4077" s="4">
        <v>97.53</v>
      </c>
      <c r="M4077" s="1" t="str">
        <f>TEXT(Table1[[#This Row],[Order_Date]], "MMM")</f>
        <v>Jun</v>
      </c>
      <c r="N4077" s="1">
        <f>YEAR(Table1[[#This Row],[Order_Date]])</f>
        <v>2024</v>
      </c>
      <c r="O4077" s="7">
        <f>Table1[[#This Row],[Profit]]/Table1[[#This Row],[Total_Sales]]</f>
        <v>0.39638284901442794</v>
      </c>
    </row>
    <row r="4078" spans="1:15" x14ac:dyDescent="0.25">
      <c r="A4078" s="1">
        <v>4077</v>
      </c>
      <c r="B4078" s="2">
        <v>45273</v>
      </c>
      <c r="C4078" s="1" t="s">
        <v>16</v>
      </c>
      <c r="D4078" s="1" t="s">
        <v>22</v>
      </c>
      <c r="E4078" s="1" t="s">
        <v>23</v>
      </c>
      <c r="F4078" s="1" t="s">
        <v>40</v>
      </c>
      <c r="G4078" s="1">
        <v>4</v>
      </c>
      <c r="H4078" s="1">
        <v>689</v>
      </c>
      <c r="I4078" s="1">
        <v>0</v>
      </c>
      <c r="J4078" s="4">
        <v>2756</v>
      </c>
      <c r="K4078" s="4">
        <v>1723.9</v>
      </c>
      <c r="L4078" s="4">
        <v>1032.0999999999999</v>
      </c>
      <c r="M4078" s="1" t="str">
        <f>TEXT(Table1[[#This Row],[Order_Date]], "MMM")</f>
        <v>Dec</v>
      </c>
      <c r="N4078" s="1">
        <f>YEAR(Table1[[#This Row],[Order_Date]])</f>
        <v>2023</v>
      </c>
      <c r="O4078" s="7">
        <f>Table1[[#This Row],[Profit]]/Table1[[#This Row],[Total_Sales]]</f>
        <v>0.3744920174165457</v>
      </c>
    </row>
    <row r="4079" spans="1:15" x14ac:dyDescent="0.25">
      <c r="A4079" s="1">
        <v>4078</v>
      </c>
      <c r="B4079" s="2">
        <v>45463</v>
      </c>
      <c r="C4079" s="1" t="s">
        <v>25</v>
      </c>
      <c r="D4079" s="1" t="s">
        <v>20</v>
      </c>
      <c r="E4079" s="1" t="s">
        <v>28</v>
      </c>
      <c r="F4079" s="1" t="s">
        <v>18</v>
      </c>
      <c r="G4079" s="1">
        <v>9</v>
      </c>
      <c r="H4079" s="1">
        <v>454</v>
      </c>
      <c r="I4079" s="1">
        <v>0</v>
      </c>
      <c r="J4079" s="4">
        <v>4086</v>
      </c>
      <c r="K4079" s="4">
        <v>2355.59</v>
      </c>
      <c r="L4079" s="4">
        <v>1730.41</v>
      </c>
      <c r="M4079" s="1" t="str">
        <f>TEXT(Table1[[#This Row],[Order_Date]], "MMM")</f>
        <v>Jun</v>
      </c>
      <c r="N4079" s="1">
        <f>YEAR(Table1[[#This Row],[Order_Date]])</f>
        <v>2024</v>
      </c>
      <c r="O4079" s="7">
        <f>Table1[[#This Row],[Profit]]/Table1[[#This Row],[Total_Sales]]</f>
        <v>0.42349730788056783</v>
      </c>
    </row>
    <row r="4080" spans="1:15" x14ac:dyDescent="0.25">
      <c r="A4080" s="1">
        <v>4079</v>
      </c>
      <c r="B4080" s="2">
        <v>45437</v>
      </c>
      <c r="C4080" s="1" t="s">
        <v>25</v>
      </c>
      <c r="D4080" s="1" t="s">
        <v>20</v>
      </c>
      <c r="E4080" s="1" t="s">
        <v>30</v>
      </c>
      <c r="F4080" s="1" t="s">
        <v>18</v>
      </c>
      <c r="G4080" s="1">
        <v>8</v>
      </c>
      <c r="H4080" s="1">
        <v>700</v>
      </c>
      <c r="I4080" s="1">
        <v>5</v>
      </c>
      <c r="J4080" s="4">
        <v>5320</v>
      </c>
      <c r="K4080" s="4">
        <v>3690.66</v>
      </c>
      <c r="L4080" s="4">
        <v>1629.34</v>
      </c>
      <c r="M4080" s="1" t="str">
        <f>TEXT(Table1[[#This Row],[Order_Date]], "MMM")</f>
        <v>May</v>
      </c>
      <c r="N4080" s="1">
        <f>YEAR(Table1[[#This Row],[Order_Date]])</f>
        <v>2024</v>
      </c>
      <c r="O4080" s="7">
        <f>Table1[[#This Row],[Profit]]/Table1[[#This Row],[Total_Sales]]</f>
        <v>0.30626691729323308</v>
      </c>
    </row>
    <row r="4081" spans="1:15" x14ac:dyDescent="0.25">
      <c r="A4081" s="1">
        <v>4080</v>
      </c>
      <c r="B4081" s="2">
        <v>45437</v>
      </c>
      <c r="C4081" s="1" t="s">
        <v>25</v>
      </c>
      <c r="D4081" s="1" t="s">
        <v>26</v>
      </c>
      <c r="E4081" s="1" t="s">
        <v>27</v>
      </c>
      <c r="F4081" s="1" t="s">
        <v>18</v>
      </c>
      <c r="G4081" s="1">
        <v>9</v>
      </c>
      <c r="H4081" s="1">
        <v>376</v>
      </c>
      <c r="I4081" s="1">
        <v>20</v>
      </c>
      <c r="J4081" s="4">
        <v>2707.2</v>
      </c>
      <c r="K4081" s="4">
        <v>2044.64</v>
      </c>
      <c r="L4081" s="4">
        <v>662.56</v>
      </c>
      <c r="M4081" s="1" t="str">
        <f>TEXT(Table1[[#This Row],[Order_Date]], "MMM")</f>
        <v>May</v>
      </c>
      <c r="N4081" s="1">
        <f>YEAR(Table1[[#This Row],[Order_Date]])</f>
        <v>2024</v>
      </c>
      <c r="O4081" s="7">
        <f>Table1[[#This Row],[Profit]]/Table1[[#This Row],[Total_Sales]]</f>
        <v>0.24473995271867613</v>
      </c>
    </row>
    <row r="4082" spans="1:15" x14ac:dyDescent="0.25">
      <c r="A4082" s="1">
        <v>4081</v>
      </c>
      <c r="B4082" s="2">
        <v>45403</v>
      </c>
      <c r="C4082" s="1" t="s">
        <v>16</v>
      </c>
      <c r="D4082" s="1" t="s">
        <v>20</v>
      </c>
      <c r="E4082" s="1" t="s">
        <v>30</v>
      </c>
      <c r="F4082" s="1" t="s">
        <v>35</v>
      </c>
      <c r="G4082" s="1">
        <v>9</v>
      </c>
      <c r="H4082" s="1">
        <v>217</v>
      </c>
      <c r="I4082" s="1">
        <v>5</v>
      </c>
      <c r="J4082" s="4">
        <v>1855.35</v>
      </c>
      <c r="K4082" s="4">
        <v>1330.69</v>
      </c>
      <c r="L4082" s="4">
        <v>524.66</v>
      </c>
      <c r="M4082" s="1" t="str">
        <f>TEXT(Table1[[#This Row],[Order_Date]], "MMM")</f>
        <v>Apr</v>
      </c>
      <c r="N4082" s="1">
        <f>YEAR(Table1[[#This Row],[Order_Date]])</f>
        <v>2024</v>
      </c>
      <c r="O4082" s="7">
        <f>Table1[[#This Row],[Profit]]/Table1[[#This Row],[Total_Sales]]</f>
        <v>0.28278222437814965</v>
      </c>
    </row>
    <row r="4083" spans="1:15" x14ac:dyDescent="0.25">
      <c r="A4083" s="1">
        <v>4082</v>
      </c>
      <c r="B4083" s="2">
        <v>45101</v>
      </c>
      <c r="C4083" s="1" t="s">
        <v>16</v>
      </c>
      <c r="D4083" s="1" t="s">
        <v>22</v>
      </c>
      <c r="E4083" s="1" t="s">
        <v>29</v>
      </c>
      <c r="F4083" s="1" t="s">
        <v>35</v>
      </c>
      <c r="G4083" s="1">
        <v>2</v>
      </c>
      <c r="H4083" s="1">
        <v>338</v>
      </c>
      <c r="I4083" s="1">
        <v>5</v>
      </c>
      <c r="J4083" s="4">
        <v>642.20000000000005</v>
      </c>
      <c r="K4083" s="4">
        <v>346.24</v>
      </c>
      <c r="L4083" s="4">
        <v>295.95999999999998</v>
      </c>
      <c r="M4083" s="1" t="str">
        <f>TEXT(Table1[[#This Row],[Order_Date]], "MMM")</f>
        <v>Jun</v>
      </c>
      <c r="N4083" s="1">
        <f>YEAR(Table1[[#This Row],[Order_Date]])</f>
        <v>2023</v>
      </c>
      <c r="O4083" s="7">
        <f>Table1[[#This Row],[Profit]]/Table1[[#This Row],[Total_Sales]]</f>
        <v>0.46085331672376201</v>
      </c>
    </row>
    <row r="4084" spans="1:15" x14ac:dyDescent="0.25">
      <c r="A4084" s="1">
        <v>4083</v>
      </c>
      <c r="B4084" s="2">
        <v>45133</v>
      </c>
      <c r="C4084" s="1" t="s">
        <v>12</v>
      </c>
      <c r="D4084" s="1" t="s">
        <v>13</v>
      </c>
      <c r="E4084" s="1" t="s">
        <v>17</v>
      </c>
      <c r="F4084" s="1" t="s">
        <v>18</v>
      </c>
      <c r="G4084" s="1">
        <v>1</v>
      </c>
      <c r="H4084" s="1">
        <v>117</v>
      </c>
      <c r="I4084" s="1">
        <v>20</v>
      </c>
      <c r="J4084" s="4">
        <v>93.6</v>
      </c>
      <c r="K4084" s="4">
        <v>52.7</v>
      </c>
      <c r="L4084" s="4">
        <v>40.9</v>
      </c>
      <c r="M4084" s="1" t="str">
        <f>TEXT(Table1[[#This Row],[Order_Date]], "MMM")</f>
        <v>Jul</v>
      </c>
      <c r="N4084" s="1">
        <f>YEAR(Table1[[#This Row],[Order_Date]])</f>
        <v>2023</v>
      </c>
      <c r="O4084" s="7">
        <f>Table1[[#This Row],[Profit]]/Table1[[#This Row],[Total_Sales]]</f>
        <v>0.43696581196581197</v>
      </c>
    </row>
    <row r="4085" spans="1:15" x14ac:dyDescent="0.25">
      <c r="A4085" s="1">
        <v>4084</v>
      </c>
      <c r="B4085" s="2">
        <v>45480</v>
      </c>
      <c r="C4085" s="1" t="s">
        <v>25</v>
      </c>
      <c r="D4085" s="1" t="s">
        <v>13</v>
      </c>
      <c r="E4085" s="1" t="s">
        <v>39</v>
      </c>
      <c r="F4085" s="1" t="s">
        <v>18</v>
      </c>
      <c r="G4085" s="1">
        <v>5</v>
      </c>
      <c r="H4085" s="1">
        <v>331</v>
      </c>
      <c r="I4085" s="1">
        <v>10</v>
      </c>
      <c r="J4085" s="4">
        <v>1489.5</v>
      </c>
      <c r="K4085" s="4">
        <v>935.13</v>
      </c>
      <c r="L4085" s="4">
        <v>554.37</v>
      </c>
      <c r="M4085" s="1" t="str">
        <f>TEXT(Table1[[#This Row],[Order_Date]], "MMM")</f>
        <v>Jul</v>
      </c>
      <c r="N4085" s="1">
        <f>YEAR(Table1[[#This Row],[Order_Date]])</f>
        <v>2024</v>
      </c>
      <c r="O4085" s="7">
        <f>Table1[[#This Row],[Profit]]/Table1[[#This Row],[Total_Sales]]</f>
        <v>0.37218529707955689</v>
      </c>
    </row>
    <row r="4086" spans="1:15" x14ac:dyDescent="0.25">
      <c r="A4086" s="1">
        <v>4085</v>
      </c>
      <c r="B4086" s="2">
        <v>45503</v>
      </c>
      <c r="C4086" s="1" t="s">
        <v>12</v>
      </c>
      <c r="D4086" s="1" t="s">
        <v>26</v>
      </c>
      <c r="E4086" s="1" t="s">
        <v>42</v>
      </c>
      <c r="F4086" s="1" t="s">
        <v>15</v>
      </c>
      <c r="G4086" s="1">
        <v>8</v>
      </c>
      <c r="H4086" s="1">
        <v>293</v>
      </c>
      <c r="I4086" s="1">
        <v>20</v>
      </c>
      <c r="J4086" s="4">
        <v>1875.2</v>
      </c>
      <c r="K4086" s="4">
        <v>1022.73</v>
      </c>
      <c r="L4086" s="4">
        <v>852.47</v>
      </c>
      <c r="M4086" s="1" t="str">
        <f>TEXT(Table1[[#This Row],[Order_Date]], "MMM")</f>
        <v>Jul</v>
      </c>
      <c r="N4086" s="1">
        <f>YEAR(Table1[[#This Row],[Order_Date]])</f>
        <v>2024</v>
      </c>
      <c r="O4086" s="7">
        <f>Table1[[#This Row],[Profit]]/Table1[[#This Row],[Total_Sales]]</f>
        <v>0.45460217576791812</v>
      </c>
    </row>
    <row r="4087" spans="1:15" x14ac:dyDescent="0.25">
      <c r="A4087" s="1">
        <v>4086</v>
      </c>
      <c r="B4087" s="2">
        <v>45140</v>
      </c>
      <c r="C4087" s="1" t="s">
        <v>16</v>
      </c>
      <c r="D4087" s="1" t="s">
        <v>13</v>
      </c>
      <c r="E4087" s="1" t="s">
        <v>14</v>
      </c>
      <c r="F4087" s="1" t="s">
        <v>31</v>
      </c>
      <c r="G4087" s="1">
        <v>5</v>
      </c>
      <c r="H4087" s="1">
        <v>951</v>
      </c>
      <c r="I4087" s="1">
        <v>5</v>
      </c>
      <c r="J4087" s="4">
        <v>4517.25</v>
      </c>
      <c r="K4087" s="4">
        <v>3457.49</v>
      </c>
      <c r="L4087" s="4">
        <v>1059.76</v>
      </c>
      <c r="M4087" s="1" t="str">
        <f>TEXT(Table1[[#This Row],[Order_Date]], "MMM")</f>
        <v>Aug</v>
      </c>
      <c r="N4087" s="1">
        <f>YEAR(Table1[[#This Row],[Order_Date]])</f>
        <v>2023</v>
      </c>
      <c r="O4087" s="7">
        <f>Table1[[#This Row],[Profit]]/Table1[[#This Row],[Total_Sales]]</f>
        <v>0.23460291106314682</v>
      </c>
    </row>
    <row r="4088" spans="1:15" x14ac:dyDescent="0.25">
      <c r="A4088" s="1">
        <v>4087</v>
      </c>
      <c r="B4088" s="2">
        <v>45267</v>
      </c>
      <c r="C4088" s="1" t="s">
        <v>19</v>
      </c>
      <c r="D4088" s="1" t="s">
        <v>22</v>
      </c>
      <c r="E4088" s="1" t="s">
        <v>29</v>
      </c>
      <c r="F4088" s="1" t="s">
        <v>35</v>
      </c>
      <c r="G4088" s="1">
        <v>1</v>
      </c>
      <c r="H4088" s="1">
        <v>60</v>
      </c>
      <c r="I4088" s="1">
        <v>20</v>
      </c>
      <c r="J4088" s="4">
        <v>48</v>
      </c>
      <c r="K4088" s="4">
        <v>26.02</v>
      </c>
      <c r="L4088" s="4">
        <v>21.98</v>
      </c>
      <c r="M4088" s="1" t="str">
        <f>TEXT(Table1[[#This Row],[Order_Date]], "MMM")</f>
        <v>Dec</v>
      </c>
      <c r="N4088" s="1">
        <f>YEAR(Table1[[#This Row],[Order_Date]])</f>
        <v>2023</v>
      </c>
      <c r="O4088" s="7">
        <f>Table1[[#This Row],[Profit]]/Table1[[#This Row],[Total_Sales]]</f>
        <v>0.45791666666666669</v>
      </c>
    </row>
    <row r="4089" spans="1:15" x14ac:dyDescent="0.25">
      <c r="A4089" s="1">
        <v>4088</v>
      </c>
      <c r="B4089" s="2">
        <v>45463</v>
      </c>
      <c r="C4089" s="1" t="s">
        <v>16</v>
      </c>
      <c r="D4089" s="1" t="s">
        <v>13</v>
      </c>
      <c r="E4089" s="1" t="s">
        <v>38</v>
      </c>
      <c r="F4089" s="1" t="s">
        <v>40</v>
      </c>
      <c r="G4089" s="1">
        <v>6</v>
      </c>
      <c r="H4089" s="1">
        <v>934</v>
      </c>
      <c r="I4089" s="1">
        <v>10</v>
      </c>
      <c r="J4089" s="4">
        <v>5043.6000000000004</v>
      </c>
      <c r="K4089" s="4">
        <v>2653.68</v>
      </c>
      <c r="L4089" s="4">
        <v>2389.92</v>
      </c>
      <c r="M4089" s="1" t="str">
        <f>TEXT(Table1[[#This Row],[Order_Date]], "MMM")</f>
        <v>Jun</v>
      </c>
      <c r="N4089" s="1">
        <f>YEAR(Table1[[#This Row],[Order_Date]])</f>
        <v>2024</v>
      </c>
      <c r="O4089" s="7">
        <f>Table1[[#This Row],[Profit]]/Table1[[#This Row],[Total_Sales]]</f>
        <v>0.47385201046871278</v>
      </c>
    </row>
    <row r="4090" spans="1:15" x14ac:dyDescent="0.25">
      <c r="A4090" s="1">
        <v>4089</v>
      </c>
      <c r="B4090" s="2">
        <v>45287</v>
      </c>
      <c r="C4090" s="1" t="s">
        <v>12</v>
      </c>
      <c r="D4090" s="1" t="s">
        <v>32</v>
      </c>
      <c r="E4090" s="1" t="s">
        <v>34</v>
      </c>
      <c r="F4090" s="1" t="s">
        <v>15</v>
      </c>
      <c r="G4090" s="1">
        <v>8</v>
      </c>
      <c r="H4090" s="1">
        <v>604</v>
      </c>
      <c r="I4090" s="1">
        <v>5</v>
      </c>
      <c r="J4090" s="4">
        <v>4590.3999999999996</v>
      </c>
      <c r="K4090" s="4">
        <v>2887.46</v>
      </c>
      <c r="L4090" s="4">
        <v>1702.94</v>
      </c>
      <c r="M4090" s="1" t="str">
        <f>TEXT(Table1[[#This Row],[Order_Date]], "MMM")</f>
        <v>Dec</v>
      </c>
      <c r="N4090" s="1">
        <f>YEAR(Table1[[#This Row],[Order_Date]])</f>
        <v>2023</v>
      </c>
      <c r="O4090" s="7">
        <f>Table1[[#This Row],[Profit]]/Table1[[#This Row],[Total_Sales]]</f>
        <v>0.37097856395956785</v>
      </c>
    </row>
    <row r="4091" spans="1:15" x14ac:dyDescent="0.25">
      <c r="A4091" s="1">
        <v>4090</v>
      </c>
      <c r="B4091" s="2">
        <v>44955</v>
      </c>
      <c r="C4091" s="1" t="s">
        <v>25</v>
      </c>
      <c r="D4091" s="1" t="s">
        <v>22</v>
      </c>
      <c r="E4091" s="1" t="s">
        <v>36</v>
      </c>
      <c r="F4091" s="1" t="s">
        <v>24</v>
      </c>
      <c r="G4091" s="1">
        <v>8</v>
      </c>
      <c r="H4091" s="1">
        <v>763</v>
      </c>
      <c r="I4091" s="1">
        <v>15</v>
      </c>
      <c r="J4091" s="4">
        <v>5188.3999999999996</v>
      </c>
      <c r="K4091" s="4">
        <v>3025.32</v>
      </c>
      <c r="L4091" s="4">
        <v>2163.08</v>
      </c>
      <c r="M4091" s="1" t="str">
        <f>TEXT(Table1[[#This Row],[Order_Date]], "MMM")</f>
        <v>Jan</v>
      </c>
      <c r="N4091" s="1">
        <f>YEAR(Table1[[#This Row],[Order_Date]])</f>
        <v>2023</v>
      </c>
      <c r="O4091" s="7">
        <f>Table1[[#This Row],[Profit]]/Table1[[#This Row],[Total_Sales]]</f>
        <v>0.41690694626474445</v>
      </c>
    </row>
    <row r="4092" spans="1:15" x14ac:dyDescent="0.25">
      <c r="A4092" s="1">
        <v>4091</v>
      </c>
      <c r="B4092" s="2">
        <v>45311</v>
      </c>
      <c r="C4092" s="1" t="s">
        <v>12</v>
      </c>
      <c r="D4092" s="1" t="s">
        <v>26</v>
      </c>
      <c r="E4092" s="1" t="s">
        <v>27</v>
      </c>
      <c r="F4092" s="1" t="s">
        <v>31</v>
      </c>
      <c r="G4092" s="1">
        <v>2</v>
      </c>
      <c r="H4092" s="1">
        <v>866</v>
      </c>
      <c r="I4092" s="1">
        <v>5</v>
      </c>
      <c r="J4092" s="4">
        <v>1645.4</v>
      </c>
      <c r="K4092" s="4">
        <v>1160.55</v>
      </c>
      <c r="L4092" s="4">
        <v>484.85</v>
      </c>
      <c r="M4092" s="1" t="str">
        <f>TEXT(Table1[[#This Row],[Order_Date]], "MMM")</f>
        <v>Jan</v>
      </c>
      <c r="N4092" s="1">
        <f>YEAR(Table1[[#This Row],[Order_Date]])</f>
        <v>2024</v>
      </c>
      <c r="O4092" s="7">
        <f>Table1[[#This Row],[Profit]]/Table1[[#This Row],[Total_Sales]]</f>
        <v>0.29466998906041086</v>
      </c>
    </row>
    <row r="4093" spans="1:15" x14ac:dyDescent="0.25">
      <c r="A4093" s="1">
        <v>4092</v>
      </c>
      <c r="B4093" s="2">
        <v>45593</v>
      </c>
      <c r="C4093" s="1" t="s">
        <v>19</v>
      </c>
      <c r="D4093" s="1" t="s">
        <v>26</v>
      </c>
      <c r="E4093" s="1" t="s">
        <v>27</v>
      </c>
      <c r="F4093" s="1" t="s">
        <v>24</v>
      </c>
      <c r="G4093" s="1">
        <v>1</v>
      </c>
      <c r="H4093" s="1">
        <v>857</v>
      </c>
      <c r="I4093" s="1">
        <v>20</v>
      </c>
      <c r="J4093" s="4">
        <v>685.6</v>
      </c>
      <c r="K4093" s="4">
        <v>487.53</v>
      </c>
      <c r="L4093" s="4">
        <v>198.07</v>
      </c>
      <c r="M4093" s="1" t="str">
        <f>TEXT(Table1[[#This Row],[Order_Date]], "MMM")</f>
        <v>Oct</v>
      </c>
      <c r="N4093" s="1">
        <f>YEAR(Table1[[#This Row],[Order_Date]])</f>
        <v>2024</v>
      </c>
      <c r="O4093" s="7">
        <f>Table1[[#This Row],[Profit]]/Table1[[#This Row],[Total_Sales]]</f>
        <v>0.2889002333722287</v>
      </c>
    </row>
    <row r="4094" spans="1:15" x14ac:dyDescent="0.25">
      <c r="A4094" s="1">
        <v>4093</v>
      </c>
      <c r="B4094" s="2">
        <v>45173</v>
      </c>
      <c r="C4094" s="1" t="s">
        <v>12</v>
      </c>
      <c r="D4094" s="1" t="s">
        <v>20</v>
      </c>
      <c r="E4094" s="1" t="s">
        <v>43</v>
      </c>
      <c r="F4094" s="1" t="s">
        <v>31</v>
      </c>
      <c r="G4094" s="1">
        <v>6</v>
      </c>
      <c r="H4094" s="1">
        <v>278</v>
      </c>
      <c r="I4094" s="1">
        <v>10</v>
      </c>
      <c r="J4094" s="4">
        <v>1501.2</v>
      </c>
      <c r="K4094" s="4">
        <v>1131.8</v>
      </c>
      <c r="L4094" s="4">
        <v>369.4</v>
      </c>
      <c r="M4094" s="1" t="str">
        <f>TEXT(Table1[[#This Row],[Order_Date]], "MMM")</f>
        <v>Sep</v>
      </c>
      <c r="N4094" s="1">
        <f>YEAR(Table1[[#This Row],[Order_Date]])</f>
        <v>2023</v>
      </c>
      <c r="O4094" s="7">
        <f>Table1[[#This Row],[Profit]]/Table1[[#This Row],[Total_Sales]]</f>
        <v>0.24606981081801224</v>
      </c>
    </row>
    <row r="4095" spans="1:15" x14ac:dyDescent="0.25">
      <c r="A4095" s="1">
        <v>4094</v>
      </c>
      <c r="B4095" s="2">
        <v>45526</v>
      </c>
      <c r="C4095" s="1" t="s">
        <v>25</v>
      </c>
      <c r="D4095" s="1" t="s">
        <v>22</v>
      </c>
      <c r="E4095" s="1" t="s">
        <v>36</v>
      </c>
      <c r="F4095" s="1" t="s">
        <v>40</v>
      </c>
      <c r="G4095" s="1">
        <v>8</v>
      </c>
      <c r="H4095" s="1">
        <v>350</v>
      </c>
      <c r="I4095" s="1">
        <v>5</v>
      </c>
      <c r="J4095" s="4">
        <v>2660</v>
      </c>
      <c r="K4095" s="4">
        <v>1664.36</v>
      </c>
      <c r="L4095" s="4">
        <v>995.64</v>
      </c>
      <c r="M4095" s="1" t="str">
        <f>TEXT(Table1[[#This Row],[Order_Date]], "MMM")</f>
        <v>Aug</v>
      </c>
      <c r="N4095" s="1">
        <f>YEAR(Table1[[#This Row],[Order_Date]])</f>
        <v>2024</v>
      </c>
      <c r="O4095" s="7">
        <f>Table1[[#This Row],[Profit]]/Table1[[#This Row],[Total_Sales]]</f>
        <v>0.37430075187969924</v>
      </c>
    </row>
    <row r="4096" spans="1:15" x14ac:dyDescent="0.25">
      <c r="A4096" s="1">
        <v>4095</v>
      </c>
      <c r="B4096" s="2">
        <v>45495</v>
      </c>
      <c r="C4096" s="1" t="s">
        <v>25</v>
      </c>
      <c r="D4096" s="1" t="s">
        <v>26</v>
      </c>
      <c r="E4096" s="1" t="s">
        <v>46</v>
      </c>
      <c r="F4096" s="1" t="s">
        <v>40</v>
      </c>
      <c r="G4096" s="1">
        <v>7</v>
      </c>
      <c r="H4096" s="1">
        <v>751</v>
      </c>
      <c r="I4096" s="1">
        <v>10</v>
      </c>
      <c r="J4096" s="4">
        <v>4731.3</v>
      </c>
      <c r="K4096" s="4">
        <v>3111.64</v>
      </c>
      <c r="L4096" s="4">
        <v>1619.66</v>
      </c>
      <c r="M4096" s="1" t="str">
        <f>TEXT(Table1[[#This Row],[Order_Date]], "MMM")</f>
        <v>Jul</v>
      </c>
      <c r="N4096" s="1">
        <f>YEAR(Table1[[#This Row],[Order_Date]])</f>
        <v>2024</v>
      </c>
      <c r="O4096" s="7">
        <f>Table1[[#This Row],[Profit]]/Table1[[#This Row],[Total_Sales]]</f>
        <v>0.34232874685604381</v>
      </c>
    </row>
    <row r="4097" spans="1:15" x14ac:dyDescent="0.25">
      <c r="A4097" s="1">
        <v>4096</v>
      </c>
      <c r="B4097" s="2">
        <v>45631</v>
      </c>
      <c r="C4097" s="1" t="s">
        <v>25</v>
      </c>
      <c r="D4097" s="1" t="s">
        <v>20</v>
      </c>
      <c r="E4097" s="1" t="s">
        <v>30</v>
      </c>
      <c r="F4097" s="1" t="s">
        <v>35</v>
      </c>
      <c r="G4097" s="1">
        <v>8</v>
      </c>
      <c r="H4097" s="1">
        <v>952</v>
      </c>
      <c r="I4097" s="1">
        <v>20</v>
      </c>
      <c r="J4097" s="4">
        <v>6092.8</v>
      </c>
      <c r="K4097" s="4">
        <v>4353.8999999999996</v>
      </c>
      <c r="L4097" s="4">
        <v>1738.9</v>
      </c>
      <c r="M4097" s="1" t="str">
        <f>TEXT(Table1[[#This Row],[Order_Date]], "MMM")</f>
        <v>Dec</v>
      </c>
      <c r="N4097" s="1">
        <f>YEAR(Table1[[#This Row],[Order_Date]])</f>
        <v>2024</v>
      </c>
      <c r="O4097" s="7">
        <f>Table1[[#This Row],[Profit]]/Table1[[#This Row],[Total_Sales]]</f>
        <v>0.28540244222689076</v>
      </c>
    </row>
    <row r="4098" spans="1:15" x14ac:dyDescent="0.25">
      <c r="A4098" s="1">
        <v>4097</v>
      </c>
      <c r="B4098" s="2">
        <v>45134</v>
      </c>
      <c r="C4098" s="1" t="s">
        <v>16</v>
      </c>
      <c r="D4098" s="1" t="s">
        <v>26</v>
      </c>
      <c r="E4098" s="1" t="s">
        <v>37</v>
      </c>
      <c r="F4098" s="1" t="s">
        <v>35</v>
      </c>
      <c r="G4098" s="1">
        <v>4</v>
      </c>
      <c r="H4098" s="1">
        <v>917</v>
      </c>
      <c r="I4098" s="1">
        <v>20</v>
      </c>
      <c r="J4098" s="4">
        <v>2934.4</v>
      </c>
      <c r="K4098" s="4">
        <v>2201.36</v>
      </c>
      <c r="L4098" s="4">
        <v>733.04</v>
      </c>
      <c r="M4098" s="1" t="str">
        <f>TEXT(Table1[[#This Row],[Order_Date]], "MMM")</f>
        <v>Jul</v>
      </c>
      <c r="N4098" s="1">
        <f>YEAR(Table1[[#This Row],[Order_Date]])</f>
        <v>2023</v>
      </c>
      <c r="O4098" s="7">
        <f>Table1[[#This Row],[Profit]]/Table1[[#This Row],[Total_Sales]]</f>
        <v>0.2498091603053435</v>
      </c>
    </row>
    <row r="4099" spans="1:15" x14ac:dyDescent="0.25">
      <c r="A4099" s="1">
        <v>4098</v>
      </c>
      <c r="B4099" s="2">
        <v>45502</v>
      </c>
      <c r="C4099" s="1" t="s">
        <v>12</v>
      </c>
      <c r="D4099" s="1" t="s">
        <v>13</v>
      </c>
      <c r="E4099" s="1" t="s">
        <v>39</v>
      </c>
      <c r="F4099" s="1" t="s">
        <v>40</v>
      </c>
      <c r="G4099" s="1">
        <v>10</v>
      </c>
      <c r="H4099" s="1">
        <v>246</v>
      </c>
      <c r="I4099" s="1">
        <v>5</v>
      </c>
      <c r="J4099" s="4">
        <v>2337</v>
      </c>
      <c r="K4099" s="4">
        <v>1359.16</v>
      </c>
      <c r="L4099" s="4">
        <v>977.84</v>
      </c>
      <c r="M4099" s="1" t="str">
        <f>TEXT(Table1[[#This Row],[Order_Date]], "MMM")</f>
        <v>Jul</v>
      </c>
      <c r="N4099" s="1">
        <f>YEAR(Table1[[#This Row],[Order_Date]])</f>
        <v>2024</v>
      </c>
      <c r="O4099" s="7">
        <f>Table1[[#This Row],[Profit]]/Table1[[#This Row],[Total_Sales]]</f>
        <v>0.41841677364142066</v>
      </c>
    </row>
    <row r="4100" spans="1:15" x14ac:dyDescent="0.25">
      <c r="A4100" s="1">
        <v>4099</v>
      </c>
      <c r="B4100" s="2">
        <v>45257</v>
      </c>
      <c r="C4100" s="1" t="s">
        <v>16</v>
      </c>
      <c r="D4100" s="1" t="s">
        <v>20</v>
      </c>
      <c r="E4100" s="1" t="s">
        <v>43</v>
      </c>
      <c r="F4100" s="1" t="s">
        <v>24</v>
      </c>
      <c r="G4100" s="1">
        <v>10</v>
      </c>
      <c r="H4100" s="1">
        <v>122</v>
      </c>
      <c r="I4100" s="1">
        <v>10</v>
      </c>
      <c r="J4100" s="4">
        <v>1098</v>
      </c>
      <c r="K4100" s="4">
        <v>855.75</v>
      </c>
      <c r="L4100" s="4">
        <v>242.25</v>
      </c>
      <c r="M4100" s="1" t="str">
        <f>TEXT(Table1[[#This Row],[Order_Date]], "MMM")</f>
        <v>Nov</v>
      </c>
      <c r="N4100" s="1">
        <f>YEAR(Table1[[#This Row],[Order_Date]])</f>
        <v>2023</v>
      </c>
      <c r="O4100" s="7">
        <f>Table1[[#This Row],[Profit]]/Table1[[#This Row],[Total_Sales]]</f>
        <v>0.22062841530054644</v>
      </c>
    </row>
    <row r="4101" spans="1:15" x14ac:dyDescent="0.25">
      <c r="A4101" s="1">
        <v>4100</v>
      </c>
      <c r="B4101" s="2">
        <v>45240</v>
      </c>
      <c r="C4101" s="1" t="s">
        <v>12</v>
      </c>
      <c r="D4101" s="1" t="s">
        <v>32</v>
      </c>
      <c r="E4101" s="1" t="s">
        <v>45</v>
      </c>
      <c r="F4101" s="1" t="s">
        <v>35</v>
      </c>
      <c r="G4101" s="1">
        <v>10</v>
      </c>
      <c r="H4101" s="1">
        <v>961</v>
      </c>
      <c r="I4101" s="1">
        <v>0</v>
      </c>
      <c r="J4101" s="4">
        <v>9610</v>
      </c>
      <c r="K4101" s="4">
        <v>5424.04</v>
      </c>
      <c r="L4101" s="4">
        <v>4185.96</v>
      </c>
      <c r="M4101" s="1" t="str">
        <f>TEXT(Table1[[#This Row],[Order_Date]], "MMM")</f>
        <v>Nov</v>
      </c>
      <c r="N4101" s="1">
        <f>YEAR(Table1[[#This Row],[Order_Date]])</f>
        <v>2023</v>
      </c>
      <c r="O4101" s="7">
        <f>Table1[[#This Row],[Profit]]/Table1[[#This Row],[Total_Sales]]</f>
        <v>0.43558376690946932</v>
      </c>
    </row>
    <row r="4102" spans="1:15" x14ac:dyDescent="0.25">
      <c r="A4102" s="1">
        <v>4101</v>
      </c>
      <c r="B4102" s="2">
        <v>45080</v>
      </c>
      <c r="C4102" s="1" t="s">
        <v>25</v>
      </c>
      <c r="D4102" s="1" t="s">
        <v>32</v>
      </c>
      <c r="E4102" s="1" t="s">
        <v>41</v>
      </c>
      <c r="F4102" s="1" t="s">
        <v>35</v>
      </c>
      <c r="G4102" s="1">
        <v>1</v>
      </c>
      <c r="H4102" s="1">
        <v>467</v>
      </c>
      <c r="I4102" s="1">
        <v>10</v>
      </c>
      <c r="J4102" s="4">
        <v>420.3</v>
      </c>
      <c r="K4102" s="4">
        <v>305.98</v>
      </c>
      <c r="L4102" s="4">
        <v>114.32</v>
      </c>
      <c r="M4102" s="1" t="str">
        <f>TEXT(Table1[[#This Row],[Order_Date]], "MMM")</f>
        <v>Jun</v>
      </c>
      <c r="N4102" s="1">
        <f>YEAR(Table1[[#This Row],[Order_Date]])</f>
        <v>2023</v>
      </c>
      <c r="O4102" s="7">
        <f>Table1[[#This Row],[Profit]]/Table1[[#This Row],[Total_Sales]]</f>
        <v>0.27199619319533663</v>
      </c>
    </row>
    <row r="4103" spans="1:15" x14ac:dyDescent="0.25">
      <c r="A4103" s="1">
        <v>4102</v>
      </c>
      <c r="B4103" s="2">
        <v>45405</v>
      </c>
      <c r="C4103" s="1" t="s">
        <v>12</v>
      </c>
      <c r="D4103" s="1" t="s">
        <v>26</v>
      </c>
      <c r="E4103" s="1" t="s">
        <v>46</v>
      </c>
      <c r="F4103" s="1" t="s">
        <v>24</v>
      </c>
      <c r="G4103" s="1">
        <v>3</v>
      </c>
      <c r="H4103" s="1">
        <v>441</v>
      </c>
      <c r="I4103" s="1">
        <v>10</v>
      </c>
      <c r="J4103" s="4">
        <v>1190.7</v>
      </c>
      <c r="K4103" s="4">
        <v>616.62</v>
      </c>
      <c r="L4103" s="4">
        <v>574.08000000000004</v>
      </c>
      <c r="M4103" s="1" t="str">
        <f>TEXT(Table1[[#This Row],[Order_Date]], "MMM")</f>
        <v>Apr</v>
      </c>
      <c r="N4103" s="1">
        <f>YEAR(Table1[[#This Row],[Order_Date]])</f>
        <v>2024</v>
      </c>
      <c r="O4103" s="7">
        <f>Table1[[#This Row],[Profit]]/Table1[[#This Row],[Total_Sales]]</f>
        <v>0.48213655832703456</v>
      </c>
    </row>
    <row r="4104" spans="1:15" x14ac:dyDescent="0.25">
      <c r="A4104" s="1">
        <v>4103</v>
      </c>
      <c r="B4104" s="2">
        <v>45260</v>
      </c>
      <c r="C4104" s="1" t="s">
        <v>25</v>
      </c>
      <c r="D4104" s="1" t="s">
        <v>13</v>
      </c>
      <c r="E4104" s="1" t="s">
        <v>14</v>
      </c>
      <c r="F4104" s="1" t="s">
        <v>18</v>
      </c>
      <c r="G4104" s="1">
        <v>3</v>
      </c>
      <c r="H4104" s="1">
        <v>408</v>
      </c>
      <c r="I4104" s="1">
        <v>5</v>
      </c>
      <c r="J4104" s="4">
        <v>1162.8</v>
      </c>
      <c r="K4104" s="4">
        <v>730.96</v>
      </c>
      <c r="L4104" s="4">
        <v>431.84</v>
      </c>
      <c r="M4104" s="1" t="str">
        <f>TEXT(Table1[[#This Row],[Order_Date]], "MMM")</f>
        <v>Nov</v>
      </c>
      <c r="N4104" s="1">
        <f>YEAR(Table1[[#This Row],[Order_Date]])</f>
        <v>2023</v>
      </c>
      <c r="O4104" s="7">
        <f>Table1[[#This Row],[Profit]]/Table1[[#This Row],[Total_Sales]]</f>
        <v>0.37137942896456827</v>
      </c>
    </row>
    <row r="4105" spans="1:15" x14ac:dyDescent="0.25">
      <c r="A4105" s="1">
        <v>4104</v>
      </c>
      <c r="B4105" s="2">
        <v>44978</v>
      </c>
      <c r="C4105" s="1" t="s">
        <v>12</v>
      </c>
      <c r="D4105" s="1" t="s">
        <v>22</v>
      </c>
      <c r="E4105" s="1" t="s">
        <v>23</v>
      </c>
      <c r="F4105" s="1" t="s">
        <v>15</v>
      </c>
      <c r="G4105" s="1">
        <v>8</v>
      </c>
      <c r="H4105" s="1">
        <v>634</v>
      </c>
      <c r="I4105" s="1">
        <v>10</v>
      </c>
      <c r="J4105" s="4">
        <v>4564.8</v>
      </c>
      <c r="K4105" s="4">
        <v>3566.76</v>
      </c>
      <c r="L4105" s="4">
        <v>998.04</v>
      </c>
      <c r="M4105" s="1" t="str">
        <f>TEXT(Table1[[#This Row],[Order_Date]], "MMM")</f>
        <v>Feb</v>
      </c>
      <c r="N4105" s="1">
        <f>YEAR(Table1[[#This Row],[Order_Date]])</f>
        <v>2023</v>
      </c>
      <c r="O4105" s="7">
        <f>Table1[[#This Row],[Profit]]/Table1[[#This Row],[Total_Sales]]</f>
        <v>0.21863827549947423</v>
      </c>
    </row>
    <row r="4106" spans="1:15" x14ac:dyDescent="0.25">
      <c r="A4106" s="1">
        <v>4105</v>
      </c>
      <c r="B4106" s="2">
        <v>45156</v>
      </c>
      <c r="C4106" s="1" t="s">
        <v>12</v>
      </c>
      <c r="D4106" s="1" t="s">
        <v>26</v>
      </c>
      <c r="E4106" s="1" t="s">
        <v>42</v>
      </c>
      <c r="F4106" s="1" t="s">
        <v>18</v>
      </c>
      <c r="G4106" s="1">
        <v>6</v>
      </c>
      <c r="H4106" s="1">
        <v>876</v>
      </c>
      <c r="I4106" s="1">
        <v>15</v>
      </c>
      <c r="J4106" s="4">
        <v>4467.6000000000004</v>
      </c>
      <c r="K4106" s="4">
        <v>2757.5</v>
      </c>
      <c r="L4106" s="4">
        <v>1710.1</v>
      </c>
      <c r="M4106" s="1" t="str">
        <f>TEXT(Table1[[#This Row],[Order_Date]], "MMM")</f>
        <v>Aug</v>
      </c>
      <c r="N4106" s="1">
        <f>YEAR(Table1[[#This Row],[Order_Date]])</f>
        <v>2023</v>
      </c>
      <c r="O4106" s="7">
        <f>Table1[[#This Row],[Profit]]/Table1[[#This Row],[Total_Sales]]</f>
        <v>0.38277822544542928</v>
      </c>
    </row>
    <row r="4107" spans="1:15" x14ac:dyDescent="0.25">
      <c r="A4107" s="1">
        <v>4106</v>
      </c>
      <c r="B4107" s="2">
        <v>45072</v>
      </c>
      <c r="C4107" s="1" t="s">
        <v>19</v>
      </c>
      <c r="D4107" s="1" t="s">
        <v>32</v>
      </c>
      <c r="E4107" s="1" t="s">
        <v>41</v>
      </c>
      <c r="F4107" s="1" t="s">
        <v>24</v>
      </c>
      <c r="G4107" s="1">
        <v>9</v>
      </c>
      <c r="H4107" s="1">
        <v>164</v>
      </c>
      <c r="I4107" s="1">
        <v>20</v>
      </c>
      <c r="J4107" s="4">
        <v>1180.8</v>
      </c>
      <c r="K4107" s="4">
        <v>676.7</v>
      </c>
      <c r="L4107" s="4">
        <v>504.1</v>
      </c>
      <c r="M4107" s="1" t="str">
        <f>TEXT(Table1[[#This Row],[Order_Date]], "MMM")</f>
        <v>May</v>
      </c>
      <c r="N4107" s="1">
        <f>YEAR(Table1[[#This Row],[Order_Date]])</f>
        <v>2023</v>
      </c>
      <c r="O4107" s="7">
        <f>Table1[[#This Row],[Profit]]/Table1[[#This Row],[Total_Sales]]</f>
        <v>0.42691395663956644</v>
      </c>
    </row>
    <row r="4108" spans="1:15" x14ac:dyDescent="0.25">
      <c r="A4108" s="1">
        <v>4107</v>
      </c>
      <c r="B4108" s="2">
        <v>45368</v>
      </c>
      <c r="C4108" s="1" t="s">
        <v>12</v>
      </c>
      <c r="D4108" s="1" t="s">
        <v>13</v>
      </c>
      <c r="E4108" s="1" t="s">
        <v>14</v>
      </c>
      <c r="F4108" s="1" t="s">
        <v>40</v>
      </c>
      <c r="G4108" s="1">
        <v>1</v>
      </c>
      <c r="H4108" s="1">
        <v>36</v>
      </c>
      <c r="I4108" s="1">
        <v>5</v>
      </c>
      <c r="J4108" s="4">
        <v>34.200000000000003</v>
      </c>
      <c r="K4108" s="4">
        <v>19.59</v>
      </c>
      <c r="L4108" s="4">
        <v>14.61</v>
      </c>
      <c r="M4108" s="1" t="str">
        <f>TEXT(Table1[[#This Row],[Order_Date]], "MMM")</f>
        <v>Mar</v>
      </c>
      <c r="N4108" s="1">
        <f>YEAR(Table1[[#This Row],[Order_Date]])</f>
        <v>2024</v>
      </c>
      <c r="O4108" s="7">
        <f>Table1[[#This Row],[Profit]]/Table1[[#This Row],[Total_Sales]]</f>
        <v>0.42719298245614029</v>
      </c>
    </row>
    <row r="4109" spans="1:15" x14ac:dyDescent="0.25">
      <c r="A4109" s="1">
        <v>4108</v>
      </c>
      <c r="B4109" s="2">
        <v>45589</v>
      </c>
      <c r="C4109" s="1" t="s">
        <v>19</v>
      </c>
      <c r="D4109" s="1" t="s">
        <v>20</v>
      </c>
      <c r="E4109" s="1" t="s">
        <v>21</v>
      </c>
      <c r="F4109" s="1" t="s">
        <v>18</v>
      </c>
      <c r="G4109" s="1">
        <v>10</v>
      </c>
      <c r="H4109" s="1">
        <v>671</v>
      </c>
      <c r="I4109" s="1">
        <v>10</v>
      </c>
      <c r="J4109" s="4">
        <v>6039</v>
      </c>
      <c r="K4109" s="4">
        <v>4545.25</v>
      </c>
      <c r="L4109" s="4">
        <v>1493.75</v>
      </c>
      <c r="M4109" s="1" t="str">
        <f>TEXT(Table1[[#This Row],[Order_Date]], "MMM")</f>
        <v>Oct</v>
      </c>
      <c r="N4109" s="1">
        <f>YEAR(Table1[[#This Row],[Order_Date]])</f>
        <v>2024</v>
      </c>
      <c r="O4109" s="7">
        <f>Table1[[#This Row],[Profit]]/Table1[[#This Row],[Total_Sales]]</f>
        <v>0.24735055472760392</v>
      </c>
    </row>
    <row r="4110" spans="1:15" x14ac:dyDescent="0.25">
      <c r="A4110" s="1">
        <v>4109</v>
      </c>
      <c r="B4110" s="2">
        <v>45411</v>
      </c>
      <c r="C4110" s="1" t="s">
        <v>25</v>
      </c>
      <c r="D4110" s="1" t="s">
        <v>22</v>
      </c>
      <c r="E4110" s="1" t="s">
        <v>29</v>
      </c>
      <c r="F4110" s="1" t="s">
        <v>31</v>
      </c>
      <c r="G4110" s="1">
        <v>3</v>
      </c>
      <c r="H4110" s="1">
        <v>811</v>
      </c>
      <c r="I4110" s="1">
        <v>0</v>
      </c>
      <c r="J4110" s="4">
        <v>2433</v>
      </c>
      <c r="K4110" s="4">
        <v>1653.93</v>
      </c>
      <c r="L4110" s="4">
        <v>779.07</v>
      </c>
      <c r="M4110" s="1" t="str">
        <f>TEXT(Table1[[#This Row],[Order_Date]], "MMM")</f>
        <v>Apr</v>
      </c>
      <c r="N4110" s="1">
        <f>YEAR(Table1[[#This Row],[Order_Date]])</f>
        <v>2024</v>
      </c>
      <c r="O4110" s="7">
        <f>Table1[[#This Row],[Profit]]/Table1[[#This Row],[Total_Sales]]</f>
        <v>0.32020961775585699</v>
      </c>
    </row>
    <row r="4111" spans="1:15" x14ac:dyDescent="0.25">
      <c r="A4111" s="1">
        <v>4110</v>
      </c>
      <c r="B4111" s="2">
        <v>45414</v>
      </c>
      <c r="C4111" s="1" t="s">
        <v>12</v>
      </c>
      <c r="D4111" s="1" t="s">
        <v>22</v>
      </c>
      <c r="E4111" s="1" t="s">
        <v>29</v>
      </c>
      <c r="F4111" s="1" t="s">
        <v>18</v>
      </c>
      <c r="G4111" s="1">
        <v>7</v>
      </c>
      <c r="H4111" s="1">
        <v>341</v>
      </c>
      <c r="I4111" s="1">
        <v>5</v>
      </c>
      <c r="J4111" s="4">
        <v>2267.65</v>
      </c>
      <c r="K4111" s="4">
        <v>1285.01</v>
      </c>
      <c r="L4111" s="4">
        <v>982.64</v>
      </c>
      <c r="M4111" s="1" t="str">
        <f>TEXT(Table1[[#This Row],[Order_Date]], "MMM")</f>
        <v>May</v>
      </c>
      <c r="N4111" s="1">
        <f>YEAR(Table1[[#This Row],[Order_Date]])</f>
        <v>2024</v>
      </c>
      <c r="O4111" s="7">
        <f>Table1[[#This Row],[Profit]]/Table1[[#This Row],[Total_Sales]]</f>
        <v>0.43332965845699289</v>
      </c>
    </row>
    <row r="4112" spans="1:15" x14ac:dyDescent="0.25">
      <c r="A4112" s="1">
        <v>4111</v>
      </c>
      <c r="B4112" s="2">
        <v>45180</v>
      </c>
      <c r="C4112" s="1" t="s">
        <v>16</v>
      </c>
      <c r="D4112" s="1" t="s">
        <v>32</v>
      </c>
      <c r="E4112" s="1" t="s">
        <v>45</v>
      </c>
      <c r="F4112" s="1" t="s">
        <v>35</v>
      </c>
      <c r="G4112" s="1">
        <v>3</v>
      </c>
      <c r="H4112" s="1">
        <v>709</v>
      </c>
      <c r="I4112" s="1">
        <v>20</v>
      </c>
      <c r="J4112" s="4">
        <v>1701.6</v>
      </c>
      <c r="K4112" s="4">
        <v>943.51</v>
      </c>
      <c r="L4112" s="4">
        <v>758.09</v>
      </c>
      <c r="M4112" s="1" t="str">
        <f>TEXT(Table1[[#This Row],[Order_Date]], "MMM")</f>
        <v>Sep</v>
      </c>
      <c r="N4112" s="1">
        <f>YEAR(Table1[[#This Row],[Order_Date]])</f>
        <v>2023</v>
      </c>
      <c r="O4112" s="7">
        <f>Table1[[#This Row],[Profit]]/Table1[[#This Row],[Total_Sales]]</f>
        <v>0.44551598495533618</v>
      </c>
    </row>
    <row r="4113" spans="1:15" x14ac:dyDescent="0.25">
      <c r="A4113" s="1">
        <v>4112</v>
      </c>
      <c r="B4113" s="2">
        <v>45379</v>
      </c>
      <c r="C4113" s="1" t="s">
        <v>16</v>
      </c>
      <c r="D4113" s="1" t="s">
        <v>20</v>
      </c>
      <c r="E4113" s="1" t="s">
        <v>43</v>
      </c>
      <c r="F4113" s="1" t="s">
        <v>35</v>
      </c>
      <c r="G4113" s="1">
        <v>10</v>
      </c>
      <c r="H4113" s="1">
        <v>49</v>
      </c>
      <c r="I4113" s="1">
        <v>0</v>
      </c>
      <c r="J4113" s="4">
        <v>490</v>
      </c>
      <c r="K4113" s="4">
        <v>266.83</v>
      </c>
      <c r="L4113" s="4">
        <v>223.17</v>
      </c>
      <c r="M4113" s="1" t="str">
        <f>TEXT(Table1[[#This Row],[Order_Date]], "MMM")</f>
        <v>Mar</v>
      </c>
      <c r="N4113" s="1">
        <f>YEAR(Table1[[#This Row],[Order_Date]])</f>
        <v>2024</v>
      </c>
      <c r="O4113" s="7">
        <f>Table1[[#This Row],[Profit]]/Table1[[#This Row],[Total_Sales]]</f>
        <v>0.45544897959183672</v>
      </c>
    </row>
    <row r="4114" spans="1:15" x14ac:dyDescent="0.25">
      <c r="A4114" s="1">
        <v>4113</v>
      </c>
      <c r="B4114" s="2">
        <v>45360</v>
      </c>
      <c r="C4114" s="1" t="s">
        <v>25</v>
      </c>
      <c r="D4114" s="1" t="s">
        <v>26</v>
      </c>
      <c r="E4114" s="1" t="s">
        <v>46</v>
      </c>
      <c r="F4114" s="1" t="s">
        <v>35</v>
      </c>
      <c r="G4114" s="1">
        <v>5</v>
      </c>
      <c r="H4114" s="1">
        <v>28</v>
      </c>
      <c r="I4114" s="1">
        <v>0</v>
      </c>
      <c r="J4114" s="4">
        <v>140</v>
      </c>
      <c r="K4114" s="4">
        <v>111.25</v>
      </c>
      <c r="L4114" s="4">
        <v>28.75</v>
      </c>
      <c r="M4114" s="1" t="str">
        <f>TEXT(Table1[[#This Row],[Order_Date]], "MMM")</f>
        <v>Mar</v>
      </c>
      <c r="N4114" s="1">
        <f>YEAR(Table1[[#This Row],[Order_Date]])</f>
        <v>2024</v>
      </c>
      <c r="O4114" s="7">
        <f>Table1[[#This Row],[Profit]]/Table1[[#This Row],[Total_Sales]]</f>
        <v>0.20535714285714285</v>
      </c>
    </row>
    <row r="4115" spans="1:15" x14ac:dyDescent="0.25">
      <c r="A4115" s="1">
        <v>4114</v>
      </c>
      <c r="B4115" s="2">
        <v>45572</v>
      </c>
      <c r="C4115" s="1" t="s">
        <v>12</v>
      </c>
      <c r="D4115" s="1" t="s">
        <v>22</v>
      </c>
      <c r="E4115" s="1" t="s">
        <v>29</v>
      </c>
      <c r="F4115" s="1" t="s">
        <v>40</v>
      </c>
      <c r="G4115" s="1">
        <v>5</v>
      </c>
      <c r="H4115" s="1">
        <v>120</v>
      </c>
      <c r="I4115" s="1">
        <v>15</v>
      </c>
      <c r="J4115" s="4">
        <v>510</v>
      </c>
      <c r="K4115" s="4">
        <v>337.37</v>
      </c>
      <c r="L4115" s="4">
        <v>172.63</v>
      </c>
      <c r="M4115" s="1" t="str">
        <f>TEXT(Table1[[#This Row],[Order_Date]], "MMM")</f>
        <v>Oct</v>
      </c>
      <c r="N4115" s="1">
        <f>YEAR(Table1[[#This Row],[Order_Date]])</f>
        <v>2024</v>
      </c>
      <c r="O4115" s="7">
        <f>Table1[[#This Row],[Profit]]/Table1[[#This Row],[Total_Sales]]</f>
        <v>0.33849019607843134</v>
      </c>
    </row>
    <row r="4116" spans="1:15" x14ac:dyDescent="0.25">
      <c r="A4116" s="1">
        <v>4115</v>
      </c>
      <c r="B4116" s="2">
        <v>45389</v>
      </c>
      <c r="C4116" s="1" t="s">
        <v>16</v>
      </c>
      <c r="D4116" s="1" t="s">
        <v>20</v>
      </c>
      <c r="E4116" s="1" t="s">
        <v>43</v>
      </c>
      <c r="F4116" s="1" t="s">
        <v>18</v>
      </c>
      <c r="G4116" s="1">
        <v>2</v>
      </c>
      <c r="H4116" s="1">
        <v>520</v>
      </c>
      <c r="I4116" s="1">
        <v>10</v>
      </c>
      <c r="J4116" s="4">
        <v>936</v>
      </c>
      <c r="K4116" s="4">
        <v>577.08000000000004</v>
      </c>
      <c r="L4116" s="4">
        <v>358.92</v>
      </c>
      <c r="M4116" s="1" t="str">
        <f>TEXT(Table1[[#This Row],[Order_Date]], "MMM")</f>
        <v>Apr</v>
      </c>
      <c r="N4116" s="1">
        <f>YEAR(Table1[[#This Row],[Order_Date]])</f>
        <v>2024</v>
      </c>
      <c r="O4116" s="7">
        <f>Table1[[#This Row],[Profit]]/Table1[[#This Row],[Total_Sales]]</f>
        <v>0.38346153846153846</v>
      </c>
    </row>
    <row r="4117" spans="1:15" x14ac:dyDescent="0.25">
      <c r="A4117" s="1">
        <v>4116</v>
      </c>
      <c r="B4117" s="2">
        <v>45232</v>
      </c>
      <c r="C4117" s="1" t="s">
        <v>12</v>
      </c>
      <c r="D4117" s="1" t="s">
        <v>32</v>
      </c>
      <c r="E4117" s="1" t="s">
        <v>45</v>
      </c>
      <c r="F4117" s="1" t="s">
        <v>18</v>
      </c>
      <c r="G4117" s="1">
        <v>10</v>
      </c>
      <c r="H4117" s="1">
        <v>65</v>
      </c>
      <c r="I4117" s="1">
        <v>10</v>
      </c>
      <c r="J4117" s="4">
        <v>585</v>
      </c>
      <c r="K4117" s="4">
        <v>398.08</v>
      </c>
      <c r="L4117" s="4">
        <v>186.92</v>
      </c>
      <c r="M4117" s="1" t="str">
        <f>TEXT(Table1[[#This Row],[Order_Date]], "MMM")</f>
        <v>Nov</v>
      </c>
      <c r="N4117" s="1">
        <f>YEAR(Table1[[#This Row],[Order_Date]])</f>
        <v>2023</v>
      </c>
      <c r="O4117" s="7">
        <f>Table1[[#This Row],[Profit]]/Table1[[#This Row],[Total_Sales]]</f>
        <v>0.31952136752136751</v>
      </c>
    </row>
    <row r="4118" spans="1:15" x14ac:dyDescent="0.25">
      <c r="A4118" s="1">
        <v>4117</v>
      </c>
      <c r="B4118" s="2">
        <v>45319</v>
      </c>
      <c r="C4118" s="1" t="s">
        <v>12</v>
      </c>
      <c r="D4118" s="1" t="s">
        <v>13</v>
      </c>
      <c r="E4118" s="1" t="s">
        <v>17</v>
      </c>
      <c r="F4118" s="1" t="s">
        <v>35</v>
      </c>
      <c r="G4118" s="1">
        <v>5</v>
      </c>
      <c r="H4118" s="1">
        <v>404</v>
      </c>
      <c r="I4118" s="1">
        <v>0</v>
      </c>
      <c r="J4118" s="4">
        <v>2020</v>
      </c>
      <c r="K4118" s="4">
        <v>1292.26</v>
      </c>
      <c r="L4118" s="4">
        <v>727.74</v>
      </c>
      <c r="M4118" s="1" t="str">
        <f>TEXT(Table1[[#This Row],[Order_Date]], "MMM")</f>
        <v>Jan</v>
      </c>
      <c r="N4118" s="1">
        <f>YEAR(Table1[[#This Row],[Order_Date]])</f>
        <v>2024</v>
      </c>
      <c r="O4118" s="7">
        <f>Table1[[#This Row],[Profit]]/Table1[[#This Row],[Total_Sales]]</f>
        <v>0.36026732673267325</v>
      </c>
    </row>
    <row r="4119" spans="1:15" x14ac:dyDescent="0.25">
      <c r="A4119" s="1">
        <v>4118</v>
      </c>
      <c r="B4119" s="2">
        <v>45538</v>
      </c>
      <c r="C4119" s="1" t="s">
        <v>16</v>
      </c>
      <c r="D4119" s="1" t="s">
        <v>22</v>
      </c>
      <c r="E4119" s="1" t="s">
        <v>44</v>
      </c>
      <c r="F4119" s="1" t="s">
        <v>35</v>
      </c>
      <c r="G4119" s="1">
        <v>10</v>
      </c>
      <c r="H4119" s="1">
        <v>844</v>
      </c>
      <c r="I4119" s="1">
        <v>15</v>
      </c>
      <c r="J4119" s="4">
        <v>7174</v>
      </c>
      <c r="K4119" s="4">
        <v>4385.29</v>
      </c>
      <c r="L4119" s="4">
        <v>2788.71</v>
      </c>
      <c r="M4119" s="1" t="str">
        <f>TEXT(Table1[[#This Row],[Order_Date]], "MMM")</f>
        <v>Sep</v>
      </c>
      <c r="N4119" s="1">
        <f>YEAR(Table1[[#This Row],[Order_Date]])</f>
        <v>2024</v>
      </c>
      <c r="O4119" s="7">
        <f>Table1[[#This Row],[Profit]]/Table1[[#This Row],[Total_Sales]]</f>
        <v>0.38872456091441315</v>
      </c>
    </row>
    <row r="4120" spans="1:15" x14ac:dyDescent="0.25">
      <c r="A4120" s="1">
        <v>4119</v>
      </c>
      <c r="B4120" s="2">
        <v>45073</v>
      </c>
      <c r="C4120" s="1" t="s">
        <v>19</v>
      </c>
      <c r="D4120" s="1" t="s">
        <v>13</v>
      </c>
      <c r="E4120" s="1" t="s">
        <v>39</v>
      </c>
      <c r="F4120" s="1" t="s">
        <v>15</v>
      </c>
      <c r="G4120" s="1">
        <v>3</v>
      </c>
      <c r="H4120" s="1">
        <v>586</v>
      </c>
      <c r="I4120" s="1">
        <v>20</v>
      </c>
      <c r="J4120" s="4">
        <v>1406.4</v>
      </c>
      <c r="K4120" s="4">
        <v>752.43</v>
      </c>
      <c r="L4120" s="4">
        <v>653.97</v>
      </c>
      <c r="M4120" s="1" t="str">
        <f>TEXT(Table1[[#This Row],[Order_Date]], "MMM")</f>
        <v>May</v>
      </c>
      <c r="N4120" s="1">
        <f>YEAR(Table1[[#This Row],[Order_Date]])</f>
        <v>2023</v>
      </c>
      <c r="O4120" s="7">
        <f>Table1[[#This Row],[Profit]]/Table1[[#This Row],[Total_Sales]]</f>
        <v>0.46499573378839587</v>
      </c>
    </row>
    <row r="4121" spans="1:15" x14ac:dyDescent="0.25">
      <c r="A4121" s="1">
        <v>4120</v>
      </c>
      <c r="B4121" s="2">
        <v>45370</v>
      </c>
      <c r="C4121" s="1" t="s">
        <v>16</v>
      </c>
      <c r="D4121" s="1" t="s">
        <v>26</v>
      </c>
      <c r="E4121" s="1" t="s">
        <v>42</v>
      </c>
      <c r="F4121" s="1" t="s">
        <v>15</v>
      </c>
      <c r="G4121" s="1">
        <v>7</v>
      </c>
      <c r="H4121" s="1">
        <v>821</v>
      </c>
      <c r="I4121" s="1">
        <v>10</v>
      </c>
      <c r="J4121" s="4">
        <v>5172.3</v>
      </c>
      <c r="K4121" s="4">
        <v>3020.42</v>
      </c>
      <c r="L4121" s="4">
        <v>2151.88</v>
      </c>
      <c r="M4121" s="1" t="str">
        <f>TEXT(Table1[[#This Row],[Order_Date]], "MMM")</f>
        <v>Mar</v>
      </c>
      <c r="N4121" s="1">
        <f>YEAR(Table1[[#This Row],[Order_Date]])</f>
        <v>2024</v>
      </c>
      <c r="O4121" s="7">
        <f>Table1[[#This Row],[Profit]]/Table1[[#This Row],[Total_Sales]]</f>
        <v>0.4160392861976297</v>
      </c>
    </row>
    <row r="4122" spans="1:15" x14ac:dyDescent="0.25">
      <c r="A4122" s="1">
        <v>4121</v>
      </c>
      <c r="B4122" s="2">
        <v>45648</v>
      </c>
      <c r="C4122" s="1" t="s">
        <v>25</v>
      </c>
      <c r="D4122" s="1" t="s">
        <v>22</v>
      </c>
      <c r="E4122" s="1" t="s">
        <v>29</v>
      </c>
      <c r="F4122" s="1" t="s">
        <v>18</v>
      </c>
      <c r="G4122" s="1">
        <v>5</v>
      </c>
      <c r="H4122" s="1">
        <v>284</v>
      </c>
      <c r="I4122" s="1">
        <v>15</v>
      </c>
      <c r="J4122" s="4">
        <v>1207</v>
      </c>
      <c r="K4122" s="4">
        <v>816.73</v>
      </c>
      <c r="L4122" s="4">
        <v>390.27</v>
      </c>
      <c r="M4122" s="1" t="str">
        <f>TEXT(Table1[[#This Row],[Order_Date]], "MMM")</f>
        <v>Dec</v>
      </c>
      <c r="N4122" s="1">
        <f>YEAR(Table1[[#This Row],[Order_Date]])</f>
        <v>2024</v>
      </c>
      <c r="O4122" s="7">
        <f>Table1[[#This Row],[Profit]]/Table1[[#This Row],[Total_Sales]]</f>
        <v>0.3233388566694283</v>
      </c>
    </row>
    <row r="4123" spans="1:15" x14ac:dyDescent="0.25">
      <c r="A4123" s="1">
        <v>4122</v>
      </c>
      <c r="B4123" s="2">
        <v>45641</v>
      </c>
      <c r="C4123" s="1" t="s">
        <v>16</v>
      </c>
      <c r="D4123" s="1" t="s">
        <v>22</v>
      </c>
      <c r="E4123" s="1" t="s">
        <v>29</v>
      </c>
      <c r="F4123" s="1" t="s">
        <v>40</v>
      </c>
      <c r="G4123" s="1">
        <v>1</v>
      </c>
      <c r="H4123" s="1">
        <v>177</v>
      </c>
      <c r="I4123" s="1">
        <v>20</v>
      </c>
      <c r="J4123" s="4">
        <v>141.6</v>
      </c>
      <c r="K4123" s="4">
        <v>95.52</v>
      </c>
      <c r="L4123" s="4">
        <v>46.08</v>
      </c>
      <c r="M4123" s="1" t="str">
        <f>TEXT(Table1[[#This Row],[Order_Date]], "MMM")</f>
        <v>Dec</v>
      </c>
      <c r="N4123" s="1">
        <f>YEAR(Table1[[#This Row],[Order_Date]])</f>
        <v>2024</v>
      </c>
      <c r="O4123" s="7">
        <f>Table1[[#This Row],[Profit]]/Table1[[#This Row],[Total_Sales]]</f>
        <v>0.3254237288135593</v>
      </c>
    </row>
    <row r="4124" spans="1:15" x14ac:dyDescent="0.25">
      <c r="A4124" s="1">
        <v>4123</v>
      </c>
      <c r="B4124" s="2">
        <v>45333</v>
      </c>
      <c r="C4124" s="1" t="s">
        <v>19</v>
      </c>
      <c r="D4124" s="1" t="s">
        <v>13</v>
      </c>
      <c r="E4124" s="1" t="s">
        <v>17</v>
      </c>
      <c r="F4124" s="1" t="s">
        <v>24</v>
      </c>
      <c r="G4124" s="1">
        <v>8</v>
      </c>
      <c r="H4124" s="1">
        <v>178</v>
      </c>
      <c r="I4124" s="1">
        <v>20</v>
      </c>
      <c r="J4124" s="4">
        <v>1139.2</v>
      </c>
      <c r="K4124" s="4">
        <v>826.77</v>
      </c>
      <c r="L4124" s="4">
        <v>312.43</v>
      </c>
      <c r="M4124" s="1" t="str">
        <f>TEXT(Table1[[#This Row],[Order_Date]], "MMM")</f>
        <v>Feb</v>
      </c>
      <c r="N4124" s="1">
        <f>YEAR(Table1[[#This Row],[Order_Date]])</f>
        <v>2024</v>
      </c>
      <c r="O4124" s="7">
        <f>Table1[[#This Row],[Profit]]/Table1[[#This Row],[Total_Sales]]</f>
        <v>0.27425386235955057</v>
      </c>
    </row>
    <row r="4125" spans="1:15" x14ac:dyDescent="0.25">
      <c r="A4125" s="1">
        <v>4124</v>
      </c>
      <c r="B4125" s="2">
        <v>45388</v>
      </c>
      <c r="C4125" s="1" t="s">
        <v>25</v>
      </c>
      <c r="D4125" s="1" t="s">
        <v>13</v>
      </c>
      <c r="E4125" s="1" t="s">
        <v>17</v>
      </c>
      <c r="F4125" s="1" t="s">
        <v>31</v>
      </c>
      <c r="G4125" s="1">
        <v>7</v>
      </c>
      <c r="H4125" s="1">
        <v>325</v>
      </c>
      <c r="I4125" s="1">
        <v>5</v>
      </c>
      <c r="J4125" s="4">
        <v>2161.25</v>
      </c>
      <c r="K4125" s="4">
        <v>1688.8</v>
      </c>
      <c r="L4125" s="4">
        <v>472.45</v>
      </c>
      <c r="M4125" s="1" t="str">
        <f>TEXT(Table1[[#This Row],[Order_Date]], "MMM")</f>
        <v>Apr</v>
      </c>
      <c r="N4125" s="1">
        <f>YEAR(Table1[[#This Row],[Order_Date]])</f>
        <v>2024</v>
      </c>
      <c r="O4125" s="7">
        <f>Table1[[#This Row],[Profit]]/Table1[[#This Row],[Total_Sales]]</f>
        <v>0.21860034702139966</v>
      </c>
    </row>
    <row r="4126" spans="1:15" x14ac:dyDescent="0.25">
      <c r="A4126" s="1">
        <v>4125</v>
      </c>
      <c r="B4126" s="2">
        <v>45626</v>
      </c>
      <c r="C4126" s="1" t="s">
        <v>12</v>
      </c>
      <c r="D4126" s="1" t="s">
        <v>13</v>
      </c>
      <c r="E4126" s="1" t="s">
        <v>38</v>
      </c>
      <c r="F4126" s="1" t="s">
        <v>40</v>
      </c>
      <c r="G4126" s="1">
        <v>3</v>
      </c>
      <c r="H4126" s="1">
        <v>451</v>
      </c>
      <c r="I4126" s="1">
        <v>10</v>
      </c>
      <c r="J4126" s="4">
        <v>1217.7</v>
      </c>
      <c r="K4126" s="4">
        <v>929.42</v>
      </c>
      <c r="L4126" s="4">
        <v>288.27999999999997</v>
      </c>
      <c r="M4126" s="1" t="str">
        <f>TEXT(Table1[[#This Row],[Order_Date]], "MMM")</f>
        <v>Nov</v>
      </c>
      <c r="N4126" s="1">
        <f>YEAR(Table1[[#This Row],[Order_Date]])</f>
        <v>2024</v>
      </c>
      <c r="O4126" s="7">
        <f>Table1[[#This Row],[Profit]]/Table1[[#This Row],[Total_Sales]]</f>
        <v>0.23674139771700745</v>
      </c>
    </row>
    <row r="4127" spans="1:15" x14ac:dyDescent="0.25">
      <c r="A4127" s="1">
        <v>4126</v>
      </c>
      <c r="B4127" s="2">
        <v>45262</v>
      </c>
      <c r="C4127" s="1" t="s">
        <v>19</v>
      </c>
      <c r="D4127" s="1" t="s">
        <v>13</v>
      </c>
      <c r="E4127" s="1" t="s">
        <v>14</v>
      </c>
      <c r="F4127" s="1" t="s">
        <v>31</v>
      </c>
      <c r="G4127" s="1">
        <v>3</v>
      </c>
      <c r="H4127" s="1">
        <v>930</v>
      </c>
      <c r="I4127" s="1">
        <v>10</v>
      </c>
      <c r="J4127" s="4">
        <v>2511</v>
      </c>
      <c r="K4127" s="4">
        <v>1524.2</v>
      </c>
      <c r="L4127" s="4">
        <v>986.8</v>
      </c>
      <c r="M4127" s="1" t="str">
        <f>TEXT(Table1[[#This Row],[Order_Date]], "MMM")</f>
        <v>Dec</v>
      </c>
      <c r="N4127" s="1">
        <f>YEAR(Table1[[#This Row],[Order_Date]])</f>
        <v>2023</v>
      </c>
      <c r="O4127" s="7">
        <f>Table1[[#This Row],[Profit]]/Table1[[#This Row],[Total_Sales]]</f>
        <v>0.39299084030266823</v>
      </c>
    </row>
    <row r="4128" spans="1:15" x14ac:dyDescent="0.25">
      <c r="A4128" s="1">
        <v>4127</v>
      </c>
      <c r="B4128" s="2">
        <v>45295</v>
      </c>
      <c r="C4128" s="1" t="s">
        <v>12</v>
      </c>
      <c r="D4128" s="1" t="s">
        <v>20</v>
      </c>
      <c r="E4128" s="1" t="s">
        <v>43</v>
      </c>
      <c r="F4128" s="1" t="s">
        <v>15</v>
      </c>
      <c r="G4128" s="1">
        <v>10</v>
      </c>
      <c r="H4128" s="1">
        <v>717</v>
      </c>
      <c r="I4128" s="1">
        <v>0</v>
      </c>
      <c r="J4128" s="4">
        <v>7170</v>
      </c>
      <c r="K4128" s="4">
        <v>4013.74</v>
      </c>
      <c r="L4128" s="4">
        <v>3156.26</v>
      </c>
      <c r="M4128" s="1" t="str">
        <f>TEXT(Table1[[#This Row],[Order_Date]], "MMM")</f>
        <v>Jan</v>
      </c>
      <c r="N4128" s="1">
        <f>YEAR(Table1[[#This Row],[Order_Date]])</f>
        <v>2024</v>
      </c>
      <c r="O4128" s="7">
        <f>Table1[[#This Row],[Profit]]/Table1[[#This Row],[Total_Sales]]</f>
        <v>0.44020362622036263</v>
      </c>
    </row>
    <row r="4129" spans="1:15" x14ac:dyDescent="0.25">
      <c r="A4129" s="1">
        <v>4128</v>
      </c>
      <c r="B4129" s="2">
        <v>45444</v>
      </c>
      <c r="C4129" s="1" t="s">
        <v>16</v>
      </c>
      <c r="D4129" s="1" t="s">
        <v>13</v>
      </c>
      <c r="E4129" s="1" t="s">
        <v>17</v>
      </c>
      <c r="F4129" s="1" t="s">
        <v>18</v>
      </c>
      <c r="G4129" s="1">
        <v>1</v>
      </c>
      <c r="H4129" s="1">
        <v>555</v>
      </c>
      <c r="I4129" s="1">
        <v>0</v>
      </c>
      <c r="J4129" s="4">
        <v>555</v>
      </c>
      <c r="K4129" s="4">
        <v>281.07</v>
      </c>
      <c r="L4129" s="4">
        <v>273.93</v>
      </c>
      <c r="M4129" s="1" t="str">
        <f>TEXT(Table1[[#This Row],[Order_Date]], "MMM")</f>
        <v>Jun</v>
      </c>
      <c r="N4129" s="1">
        <f>YEAR(Table1[[#This Row],[Order_Date]])</f>
        <v>2024</v>
      </c>
      <c r="O4129" s="7">
        <f>Table1[[#This Row],[Profit]]/Table1[[#This Row],[Total_Sales]]</f>
        <v>0.49356756756756759</v>
      </c>
    </row>
    <row r="4130" spans="1:15" x14ac:dyDescent="0.25">
      <c r="A4130" s="1">
        <v>4129</v>
      </c>
      <c r="B4130" s="2">
        <v>45454</v>
      </c>
      <c r="C4130" s="1" t="s">
        <v>25</v>
      </c>
      <c r="D4130" s="1" t="s">
        <v>20</v>
      </c>
      <c r="E4130" s="1" t="s">
        <v>43</v>
      </c>
      <c r="F4130" s="1" t="s">
        <v>18</v>
      </c>
      <c r="G4130" s="1">
        <v>10</v>
      </c>
      <c r="H4130" s="1">
        <v>450</v>
      </c>
      <c r="I4130" s="1">
        <v>5</v>
      </c>
      <c r="J4130" s="4">
        <v>4275</v>
      </c>
      <c r="K4130" s="4">
        <v>2262.27</v>
      </c>
      <c r="L4130" s="4">
        <v>2012.73</v>
      </c>
      <c r="M4130" s="1" t="str">
        <f>TEXT(Table1[[#This Row],[Order_Date]], "MMM")</f>
        <v>Jun</v>
      </c>
      <c r="N4130" s="1">
        <f>YEAR(Table1[[#This Row],[Order_Date]])</f>
        <v>2024</v>
      </c>
      <c r="O4130" s="7">
        <f>Table1[[#This Row],[Profit]]/Table1[[#This Row],[Total_Sales]]</f>
        <v>0.4708140350877193</v>
      </c>
    </row>
    <row r="4131" spans="1:15" x14ac:dyDescent="0.25">
      <c r="A4131" s="1">
        <v>4130</v>
      </c>
      <c r="B4131" s="2">
        <v>45087</v>
      </c>
      <c r="C4131" s="1" t="s">
        <v>19</v>
      </c>
      <c r="D4131" s="1" t="s">
        <v>32</v>
      </c>
      <c r="E4131" s="1" t="s">
        <v>41</v>
      </c>
      <c r="F4131" s="1" t="s">
        <v>40</v>
      </c>
      <c r="G4131" s="1">
        <v>4</v>
      </c>
      <c r="H4131" s="1">
        <v>441</v>
      </c>
      <c r="I4131" s="1">
        <v>15</v>
      </c>
      <c r="J4131" s="4">
        <v>1499.4</v>
      </c>
      <c r="K4131" s="4">
        <v>1050.49</v>
      </c>
      <c r="L4131" s="4">
        <v>448.91</v>
      </c>
      <c r="M4131" s="1" t="str">
        <f>TEXT(Table1[[#This Row],[Order_Date]], "MMM")</f>
        <v>Jun</v>
      </c>
      <c r="N4131" s="1">
        <f>YEAR(Table1[[#This Row],[Order_Date]])</f>
        <v>2023</v>
      </c>
      <c r="O4131" s="7">
        <f>Table1[[#This Row],[Profit]]/Table1[[#This Row],[Total_Sales]]</f>
        <v>0.29939309056956115</v>
      </c>
    </row>
    <row r="4132" spans="1:15" x14ac:dyDescent="0.25">
      <c r="A4132" s="1">
        <v>4131</v>
      </c>
      <c r="B4132" s="2">
        <v>45014</v>
      </c>
      <c r="C4132" s="1" t="s">
        <v>19</v>
      </c>
      <c r="D4132" s="1" t="s">
        <v>20</v>
      </c>
      <c r="E4132" s="1" t="s">
        <v>30</v>
      </c>
      <c r="F4132" s="1" t="s">
        <v>15</v>
      </c>
      <c r="G4132" s="1">
        <v>3</v>
      </c>
      <c r="H4132" s="1">
        <v>327</v>
      </c>
      <c r="I4132" s="1">
        <v>10</v>
      </c>
      <c r="J4132" s="4">
        <v>882.9</v>
      </c>
      <c r="K4132" s="4">
        <v>568.44000000000005</v>
      </c>
      <c r="L4132" s="4">
        <v>314.45999999999998</v>
      </c>
      <c r="M4132" s="1" t="str">
        <f>TEXT(Table1[[#This Row],[Order_Date]], "MMM")</f>
        <v>Mar</v>
      </c>
      <c r="N4132" s="1">
        <f>YEAR(Table1[[#This Row],[Order_Date]])</f>
        <v>2023</v>
      </c>
      <c r="O4132" s="7">
        <f>Table1[[#This Row],[Profit]]/Table1[[#This Row],[Total_Sales]]</f>
        <v>0.35616717635066258</v>
      </c>
    </row>
    <row r="4133" spans="1:15" x14ac:dyDescent="0.25">
      <c r="A4133" s="1">
        <v>4132</v>
      </c>
      <c r="B4133" s="2">
        <v>45576</v>
      </c>
      <c r="C4133" s="1" t="s">
        <v>19</v>
      </c>
      <c r="D4133" s="1" t="s">
        <v>13</v>
      </c>
      <c r="E4133" s="1" t="s">
        <v>17</v>
      </c>
      <c r="F4133" s="1" t="s">
        <v>35</v>
      </c>
      <c r="G4133" s="1">
        <v>3</v>
      </c>
      <c r="H4133" s="1">
        <v>678</v>
      </c>
      <c r="I4133" s="1">
        <v>15</v>
      </c>
      <c r="J4133" s="4">
        <v>1728.9</v>
      </c>
      <c r="K4133" s="4">
        <v>1087.83</v>
      </c>
      <c r="L4133" s="4">
        <v>641.07000000000005</v>
      </c>
      <c r="M4133" s="1" t="str">
        <f>TEXT(Table1[[#This Row],[Order_Date]], "MMM")</f>
        <v>Oct</v>
      </c>
      <c r="N4133" s="1">
        <f>YEAR(Table1[[#This Row],[Order_Date]])</f>
        <v>2024</v>
      </c>
      <c r="O4133" s="7">
        <f>Table1[[#This Row],[Profit]]/Table1[[#This Row],[Total_Sales]]</f>
        <v>0.37079646017699114</v>
      </c>
    </row>
    <row r="4134" spans="1:15" x14ac:dyDescent="0.25">
      <c r="A4134" s="1">
        <v>4133</v>
      </c>
      <c r="B4134" s="2">
        <v>45282</v>
      </c>
      <c r="C4134" s="1" t="s">
        <v>25</v>
      </c>
      <c r="D4134" s="1" t="s">
        <v>22</v>
      </c>
      <c r="E4134" s="1" t="s">
        <v>23</v>
      </c>
      <c r="F4134" s="1" t="s">
        <v>31</v>
      </c>
      <c r="G4134" s="1">
        <v>9</v>
      </c>
      <c r="H4134" s="1">
        <v>396</v>
      </c>
      <c r="I4134" s="1">
        <v>10</v>
      </c>
      <c r="J4134" s="4">
        <v>3207.6</v>
      </c>
      <c r="K4134" s="4">
        <v>1886.93</v>
      </c>
      <c r="L4134" s="4">
        <v>1320.67</v>
      </c>
      <c r="M4134" s="1" t="str">
        <f>TEXT(Table1[[#This Row],[Order_Date]], "MMM")</f>
        <v>Dec</v>
      </c>
      <c r="N4134" s="1">
        <f>YEAR(Table1[[#This Row],[Order_Date]])</f>
        <v>2023</v>
      </c>
      <c r="O4134" s="7">
        <f>Table1[[#This Row],[Profit]]/Table1[[#This Row],[Total_Sales]]</f>
        <v>0.41173151265743863</v>
      </c>
    </row>
    <row r="4135" spans="1:15" x14ac:dyDescent="0.25">
      <c r="A4135" s="1">
        <v>4134</v>
      </c>
      <c r="B4135" s="2">
        <v>45118</v>
      </c>
      <c r="C4135" s="1" t="s">
        <v>25</v>
      </c>
      <c r="D4135" s="1" t="s">
        <v>22</v>
      </c>
      <c r="E4135" s="1" t="s">
        <v>44</v>
      </c>
      <c r="F4135" s="1" t="s">
        <v>15</v>
      </c>
      <c r="G4135" s="1">
        <v>9</v>
      </c>
      <c r="H4135" s="1">
        <v>723</v>
      </c>
      <c r="I4135" s="1">
        <v>0</v>
      </c>
      <c r="J4135" s="4">
        <v>6507</v>
      </c>
      <c r="K4135" s="4">
        <v>5053.33</v>
      </c>
      <c r="L4135" s="4">
        <v>1453.67</v>
      </c>
      <c r="M4135" s="1" t="str">
        <f>TEXT(Table1[[#This Row],[Order_Date]], "MMM")</f>
        <v>Jul</v>
      </c>
      <c r="N4135" s="1">
        <f>YEAR(Table1[[#This Row],[Order_Date]])</f>
        <v>2023</v>
      </c>
      <c r="O4135" s="7">
        <f>Table1[[#This Row],[Profit]]/Table1[[#This Row],[Total_Sales]]</f>
        <v>0.22340095282003997</v>
      </c>
    </row>
    <row r="4136" spans="1:15" x14ac:dyDescent="0.25">
      <c r="A4136" s="1">
        <v>4135</v>
      </c>
      <c r="B4136" s="2">
        <v>45223</v>
      </c>
      <c r="C4136" s="1" t="s">
        <v>12</v>
      </c>
      <c r="D4136" s="1" t="s">
        <v>22</v>
      </c>
      <c r="E4136" s="1" t="s">
        <v>23</v>
      </c>
      <c r="F4136" s="1" t="s">
        <v>31</v>
      </c>
      <c r="G4136" s="1">
        <v>2</v>
      </c>
      <c r="H4136" s="1">
        <v>337</v>
      </c>
      <c r="I4136" s="1">
        <v>0</v>
      </c>
      <c r="J4136" s="4">
        <v>674</v>
      </c>
      <c r="K4136" s="4">
        <v>525.49</v>
      </c>
      <c r="L4136" s="4">
        <v>148.51</v>
      </c>
      <c r="M4136" s="1" t="str">
        <f>TEXT(Table1[[#This Row],[Order_Date]], "MMM")</f>
        <v>Oct</v>
      </c>
      <c r="N4136" s="1">
        <f>YEAR(Table1[[#This Row],[Order_Date]])</f>
        <v>2023</v>
      </c>
      <c r="O4136" s="7">
        <f>Table1[[#This Row],[Profit]]/Table1[[#This Row],[Total_Sales]]</f>
        <v>0.22034124629080118</v>
      </c>
    </row>
    <row r="4137" spans="1:15" x14ac:dyDescent="0.25">
      <c r="A4137" s="1">
        <v>4136</v>
      </c>
      <c r="B4137" s="2">
        <v>45442</v>
      </c>
      <c r="C4137" s="1" t="s">
        <v>19</v>
      </c>
      <c r="D4137" s="1" t="s">
        <v>22</v>
      </c>
      <c r="E4137" s="1" t="s">
        <v>36</v>
      </c>
      <c r="F4137" s="1" t="s">
        <v>18</v>
      </c>
      <c r="G4137" s="1">
        <v>4</v>
      </c>
      <c r="H4137" s="1">
        <v>96</v>
      </c>
      <c r="I4137" s="1">
        <v>20</v>
      </c>
      <c r="J4137" s="4">
        <v>307.2</v>
      </c>
      <c r="K4137" s="4">
        <v>171.81</v>
      </c>
      <c r="L4137" s="4">
        <v>135.38999999999999</v>
      </c>
      <c r="M4137" s="1" t="str">
        <f>TEXT(Table1[[#This Row],[Order_Date]], "MMM")</f>
        <v>May</v>
      </c>
      <c r="N4137" s="1">
        <f>YEAR(Table1[[#This Row],[Order_Date]])</f>
        <v>2024</v>
      </c>
      <c r="O4137" s="7">
        <f>Table1[[#This Row],[Profit]]/Table1[[#This Row],[Total_Sales]]</f>
        <v>0.44072265624999996</v>
      </c>
    </row>
    <row r="4138" spans="1:15" x14ac:dyDescent="0.25">
      <c r="A4138" s="1">
        <v>4137</v>
      </c>
      <c r="B4138" s="2">
        <v>45312</v>
      </c>
      <c r="C4138" s="1" t="s">
        <v>19</v>
      </c>
      <c r="D4138" s="1" t="s">
        <v>20</v>
      </c>
      <c r="E4138" s="1" t="s">
        <v>21</v>
      </c>
      <c r="F4138" s="1" t="s">
        <v>35</v>
      </c>
      <c r="G4138" s="1">
        <v>8</v>
      </c>
      <c r="H4138" s="1">
        <v>14</v>
      </c>
      <c r="I4138" s="1">
        <v>15</v>
      </c>
      <c r="J4138" s="4">
        <v>95.2</v>
      </c>
      <c r="K4138" s="4">
        <v>53.27</v>
      </c>
      <c r="L4138" s="4">
        <v>41.93</v>
      </c>
      <c r="M4138" s="1" t="str">
        <f>TEXT(Table1[[#This Row],[Order_Date]], "MMM")</f>
        <v>Jan</v>
      </c>
      <c r="N4138" s="1">
        <f>YEAR(Table1[[#This Row],[Order_Date]])</f>
        <v>2024</v>
      </c>
      <c r="O4138" s="7">
        <f>Table1[[#This Row],[Profit]]/Table1[[#This Row],[Total_Sales]]</f>
        <v>0.44044117647058822</v>
      </c>
    </row>
    <row r="4139" spans="1:15" x14ac:dyDescent="0.25">
      <c r="A4139" s="1">
        <v>4138</v>
      </c>
      <c r="B4139" s="2">
        <v>45616</v>
      </c>
      <c r="C4139" s="1" t="s">
        <v>12</v>
      </c>
      <c r="D4139" s="1" t="s">
        <v>13</v>
      </c>
      <c r="E4139" s="1" t="s">
        <v>39</v>
      </c>
      <c r="F4139" s="1" t="s">
        <v>18</v>
      </c>
      <c r="G4139" s="1">
        <v>9</v>
      </c>
      <c r="H4139" s="1">
        <v>839</v>
      </c>
      <c r="I4139" s="1">
        <v>0</v>
      </c>
      <c r="J4139" s="4">
        <v>7551</v>
      </c>
      <c r="K4139" s="4">
        <v>5427.34</v>
      </c>
      <c r="L4139" s="4">
        <v>2123.66</v>
      </c>
      <c r="M4139" s="1" t="str">
        <f>TEXT(Table1[[#This Row],[Order_Date]], "MMM")</f>
        <v>Nov</v>
      </c>
      <c r="N4139" s="1">
        <f>YEAR(Table1[[#This Row],[Order_Date]])</f>
        <v>2024</v>
      </c>
      <c r="O4139" s="7">
        <f>Table1[[#This Row],[Profit]]/Table1[[#This Row],[Total_Sales]]</f>
        <v>0.28124221957356638</v>
      </c>
    </row>
    <row r="4140" spans="1:15" x14ac:dyDescent="0.25">
      <c r="A4140" s="1">
        <v>4139</v>
      </c>
      <c r="B4140" s="2">
        <v>45109</v>
      </c>
      <c r="C4140" s="1" t="s">
        <v>16</v>
      </c>
      <c r="D4140" s="1" t="s">
        <v>13</v>
      </c>
      <c r="E4140" s="1" t="s">
        <v>14</v>
      </c>
      <c r="F4140" s="1" t="s">
        <v>24</v>
      </c>
      <c r="G4140" s="1">
        <v>2</v>
      </c>
      <c r="H4140" s="1">
        <v>563</v>
      </c>
      <c r="I4140" s="1">
        <v>20</v>
      </c>
      <c r="J4140" s="4">
        <v>900.8</v>
      </c>
      <c r="K4140" s="4">
        <v>714.63</v>
      </c>
      <c r="L4140" s="4">
        <v>186.17</v>
      </c>
      <c r="M4140" s="1" t="str">
        <f>TEXT(Table1[[#This Row],[Order_Date]], "MMM")</f>
        <v>Jul</v>
      </c>
      <c r="N4140" s="1">
        <f>YEAR(Table1[[#This Row],[Order_Date]])</f>
        <v>2023</v>
      </c>
      <c r="O4140" s="7">
        <f>Table1[[#This Row],[Profit]]/Table1[[#This Row],[Total_Sales]]</f>
        <v>0.20667184724689164</v>
      </c>
    </row>
    <row r="4141" spans="1:15" x14ac:dyDescent="0.25">
      <c r="A4141" s="1">
        <v>4140</v>
      </c>
      <c r="B4141" s="2">
        <v>45156</v>
      </c>
      <c r="C4141" s="1" t="s">
        <v>16</v>
      </c>
      <c r="D4141" s="1" t="s">
        <v>32</v>
      </c>
      <c r="E4141" s="1" t="s">
        <v>33</v>
      </c>
      <c r="F4141" s="1" t="s">
        <v>18</v>
      </c>
      <c r="G4141" s="1">
        <v>6</v>
      </c>
      <c r="H4141" s="1">
        <v>206</v>
      </c>
      <c r="I4141" s="1">
        <v>5</v>
      </c>
      <c r="J4141" s="4">
        <v>1174.2</v>
      </c>
      <c r="K4141" s="4">
        <v>620.19000000000005</v>
      </c>
      <c r="L4141" s="4">
        <v>554.01</v>
      </c>
      <c r="M4141" s="1" t="str">
        <f>TEXT(Table1[[#This Row],[Order_Date]], "MMM")</f>
        <v>Aug</v>
      </c>
      <c r="N4141" s="1">
        <f>YEAR(Table1[[#This Row],[Order_Date]])</f>
        <v>2023</v>
      </c>
      <c r="O4141" s="7">
        <f>Table1[[#This Row],[Profit]]/Table1[[#This Row],[Total_Sales]]</f>
        <v>0.47181911088400613</v>
      </c>
    </row>
    <row r="4142" spans="1:15" x14ac:dyDescent="0.25">
      <c r="A4142" s="1">
        <v>4141</v>
      </c>
      <c r="B4142" s="2">
        <v>45638</v>
      </c>
      <c r="C4142" s="1" t="s">
        <v>25</v>
      </c>
      <c r="D4142" s="1" t="s">
        <v>20</v>
      </c>
      <c r="E4142" s="1" t="s">
        <v>21</v>
      </c>
      <c r="F4142" s="1" t="s">
        <v>24</v>
      </c>
      <c r="G4142" s="1">
        <v>8</v>
      </c>
      <c r="H4142" s="1">
        <v>39</v>
      </c>
      <c r="I4142" s="1">
        <v>20</v>
      </c>
      <c r="J4142" s="4">
        <v>249.6</v>
      </c>
      <c r="K4142" s="4">
        <v>153.6</v>
      </c>
      <c r="L4142" s="4">
        <v>96</v>
      </c>
      <c r="M4142" s="1" t="str">
        <f>TEXT(Table1[[#This Row],[Order_Date]], "MMM")</f>
        <v>Dec</v>
      </c>
      <c r="N4142" s="1">
        <f>YEAR(Table1[[#This Row],[Order_Date]])</f>
        <v>2024</v>
      </c>
      <c r="O4142" s="7">
        <f>Table1[[#This Row],[Profit]]/Table1[[#This Row],[Total_Sales]]</f>
        <v>0.38461538461538464</v>
      </c>
    </row>
    <row r="4143" spans="1:15" x14ac:dyDescent="0.25">
      <c r="A4143" s="1">
        <v>4142</v>
      </c>
      <c r="B4143" s="2">
        <v>45424</v>
      </c>
      <c r="C4143" s="1" t="s">
        <v>16</v>
      </c>
      <c r="D4143" s="1" t="s">
        <v>22</v>
      </c>
      <c r="E4143" s="1" t="s">
        <v>23</v>
      </c>
      <c r="F4143" s="1" t="s">
        <v>15</v>
      </c>
      <c r="G4143" s="1">
        <v>6</v>
      </c>
      <c r="H4143" s="1">
        <v>417</v>
      </c>
      <c r="I4143" s="1">
        <v>15</v>
      </c>
      <c r="J4143" s="4">
        <v>2126.6999999999998</v>
      </c>
      <c r="K4143" s="4">
        <v>1090.93</v>
      </c>
      <c r="L4143" s="4">
        <v>1035.77</v>
      </c>
      <c r="M4143" s="1" t="str">
        <f>TEXT(Table1[[#This Row],[Order_Date]], "MMM")</f>
        <v>May</v>
      </c>
      <c r="N4143" s="1">
        <f>YEAR(Table1[[#This Row],[Order_Date]])</f>
        <v>2024</v>
      </c>
      <c r="O4143" s="7">
        <f>Table1[[#This Row],[Profit]]/Table1[[#This Row],[Total_Sales]]</f>
        <v>0.48703155122960456</v>
      </c>
    </row>
    <row r="4144" spans="1:15" x14ac:dyDescent="0.25">
      <c r="A4144" s="1">
        <v>4143</v>
      </c>
      <c r="B4144" s="2">
        <v>45201</v>
      </c>
      <c r="C4144" s="1" t="s">
        <v>25</v>
      </c>
      <c r="D4144" s="1" t="s">
        <v>13</v>
      </c>
      <c r="E4144" s="1" t="s">
        <v>14</v>
      </c>
      <c r="F4144" s="1" t="s">
        <v>31</v>
      </c>
      <c r="G4144" s="1">
        <v>1</v>
      </c>
      <c r="H4144" s="1">
        <v>909</v>
      </c>
      <c r="I4144" s="1">
        <v>20</v>
      </c>
      <c r="J4144" s="4">
        <v>727.2</v>
      </c>
      <c r="K4144" s="4">
        <v>468.79</v>
      </c>
      <c r="L4144" s="4">
        <v>258.41000000000003</v>
      </c>
      <c r="M4144" s="1" t="str">
        <f>TEXT(Table1[[#This Row],[Order_Date]], "MMM")</f>
        <v>Oct</v>
      </c>
      <c r="N4144" s="1">
        <f>YEAR(Table1[[#This Row],[Order_Date]])</f>
        <v>2023</v>
      </c>
      <c r="O4144" s="7">
        <f>Table1[[#This Row],[Profit]]/Table1[[#This Row],[Total_Sales]]</f>
        <v>0.35534928492849288</v>
      </c>
    </row>
    <row r="4145" spans="1:15" x14ac:dyDescent="0.25">
      <c r="A4145" s="1">
        <v>4144</v>
      </c>
      <c r="B4145" s="2">
        <v>45616</v>
      </c>
      <c r="C4145" s="1" t="s">
        <v>16</v>
      </c>
      <c r="D4145" s="1" t="s">
        <v>26</v>
      </c>
      <c r="E4145" s="1" t="s">
        <v>42</v>
      </c>
      <c r="F4145" s="1" t="s">
        <v>31</v>
      </c>
      <c r="G4145" s="1">
        <v>6</v>
      </c>
      <c r="H4145" s="1">
        <v>777</v>
      </c>
      <c r="I4145" s="1">
        <v>20</v>
      </c>
      <c r="J4145" s="4">
        <v>3729.6</v>
      </c>
      <c r="K4145" s="4">
        <v>1981.52</v>
      </c>
      <c r="L4145" s="4">
        <v>1748.08</v>
      </c>
      <c r="M4145" s="1" t="str">
        <f>TEXT(Table1[[#This Row],[Order_Date]], "MMM")</f>
        <v>Nov</v>
      </c>
      <c r="N4145" s="1">
        <f>YEAR(Table1[[#This Row],[Order_Date]])</f>
        <v>2024</v>
      </c>
      <c r="O4145" s="7">
        <f>Table1[[#This Row],[Profit]]/Table1[[#This Row],[Total_Sales]]</f>
        <v>0.4687044187044187</v>
      </c>
    </row>
    <row r="4146" spans="1:15" x14ac:dyDescent="0.25">
      <c r="A4146" s="1">
        <v>4145</v>
      </c>
      <c r="B4146" s="2">
        <v>45549</v>
      </c>
      <c r="C4146" s="1" t="s">
        <v>12</v>
      </c>
      <c r="D4146" s="1" t="s">
        <v>32</v>
      </c>
      <c r="E4146" s="1" t="s">
        <v>45</v>
      </c>
      <c r="F4146" s="1" t="s">
        <v>31</v>
      </c>
      <c r="G4146" s="1">
        <v>2</v>
      </c>
      <c r="H4146" s="1">
        <v>456</v>
      </c>
      <c r="I4146" s="1">
        <v>0</v>
      </c>
      <c r="J4146" s="4">
        <v>912</v>
      </c>
      <c r="K4146" s="4">
        <v>670.72</v>
      </c>
      <c r="L4146" s="4">
        <v>241.28</v>
      </c>
      <c r="M4146" s="1" t="str">
        <f>TEXT(Table1[[#This Row],[Order_Date]], "MMM")</f>
        <v>Sep</v>
      </c>
      <c r="N4146" s="1">
        <f>YEAR(Table1[[#This Row],[Order_Date]])</f>
        <v>2024</v>
      </c>
      <c r="O4146" s="7">
        <f>Table1[[#This Row],[Profit]]/Table1[[#This Row],[Total_Sales]]</f>
        <v>0.26456140350877194</v>
      </c>
    </row>
    <row r="4147" spans="1:15" x14ac:dyDescent="0.25">
      <c r="A4147" s="1">
        <v>4146</v>
      </c>
      <c r="B4147" s="2">
        <v>45354</v>
      </c>
      <c r="C4147" s="1" t="s">
        <v>16</v>
      </c>
      <c r="D4147" s="1" t="s">
        <v>20</v>
      </c>
      <c r="E4147" s="1" t="s">
        <v>30</v>
      </c>
      <c r="F4147" s="1" t="s">
        <v>31</v>
      </c>
      <c r="G4147" s="1">
        <v>3</v>
      </c>
      <c r="H4147" s="1">
        <v>408</v>
      </c>
      <c r="I4147" s="1">
        <v>0</v>
      </c>
      <c r="J4147" s="4">
        <v>1224</v>
      </c>
      <c r="K4147" s="4">
        <v>968.7</v>
      </c>
      <c r="L4147" s="4">
        <v>255.3</v>
      </c>
      <c r="M4147" s="1" t="str">
        <f>TEXT(Table1[[#This Row],[Order_Date]], "MMM")</f>
        <v>Mar</v>
      </c>
      <c r="N4147" s="1">
        <f>YEAR(Table1[[#This Row],[Order_Date]])</f>
        <v>2024</v>
      </c>
      <c r="O4147" s="7">
        <f>Table1[[#This Row],[Profit]]/Table1[[#This Row],[Total_Sales]]</f>
        <v>0.20857843137254903</v>
      </c>
    </row>
    <row r="4148" spans="1:15" x14ac:dyDescent="0.25">
      <c r="A4148" s="1">
        <v>4147</v>
      </c>
      <c r="B4148" s="2">
        <v>45594</v>
      </c>
      <c r="C4148" s="1" t="s">
        <v>19</v>
      </c>
      <c r="D4148" s="1" t="s">
        <v>13</v>
      </c>
      <c r="E4148" s="1" t="s">
        <v>39</v>
      </c>
      <c r="F4148" s="1" t="s">
        <v>40</v>
      </c>
      <c r="G4148" s="1">
        <v>7</v>
      </c>
      <c r="H4148" s="1">
        <v>851</v>
      </c>
      <c r="I4148" s="1">
        <v>10</v>
      </c>
      <c r="J4148" s="4">
        <v>5361.3</v>
      </c>
      <c r="K4148" s="4">
        <v>3995.85</v>
      </c>
      <c r="L4148" s="4">
        <v>1365.45</v>
      </c>
      <c r="M4148" s="1" t="str">
        <f>TEXT(Table1[[#This Row],[Order_Date]], "MMM")</f>
        <v>Oct</v>
      </c>
      <c r="N4148" s="1">
        <f>YEAR(Table1[[#This Row],[Order_Date]])</f>
        <v>2024</v>
      </c>
      <c r="O4148" s="7">
        <f>Table1[[#This Row],[Profit]]/Table1[[#This Row],[Total_Sales]]</f>
        <v>0.25468636338201556</v>
      </c>
    </row>
    <row r="4149" spans="1:15" x14ac:dyDescent="0.25">
      <c r="A4149" s="1">
        <v>4148</v>
      </c>
      <c r="B4149" s="2">
        <v>45096</v>
      </c>
      <c r="C4149" s="1" t="s">
        <v>12</v>
      </c>
      <c r="D4149" s="1" t="s">
        <v>13</v>
      </c>
      <c r="E4149" s="1" t="s">
        <v>14</v>
      </c>
      <c r="F4149" s="1" t="s">
        <v>31</v>
      </c>
      <c r="G4149" s="1">
        <v>10</v>
      </c>
      <c r="H4149" s="1">
        <v>933</v>
      </c>
      <c r="I4149" s="1">
        <v>0</v>
      </c>
      <c r="J4149" s="4">
        <v>9330</v>
      </c>
      <c r="K4149" s="4">
        <v>4987.17</v>
      </c>
      <c r="L4149" s="4">
        <v>4342.83</v>
      </c>
      <c r="M4149" s="1" t="str">
        <f>TEXT(Table1[[#This Row],[Order_Date]], "MMM")</f>
        <v>Jun</v>
      </c>
      <c r="N4149" s="1">
        <f>YEAR(Table1[[#This Row],[Order_Date]])</f>
        <v>2023</v>
      </c>
      <c r="O4149" s="7">
        <f>Table1[[#This Row],[Profit]]/Table1[[#This Row],[Total_Sales]]</f>
        <v>0.46546945337620577</v>
      </c>
    </row>
    <row r="4150" spans="1:15" x14ac:dyDescent="0.25">
      <c r="A4150" s="1">
        <v>4149</v>
      </c>
      <c r="B4150" s="2">
        <v>45098</v>
      </c>
      <c r="C4150" s="1" t="s">
        <v>19</v>
      </c>
      <c r="D4150" s="1" t="s">
        <v>22</v>
      </c>
      <c r="E4150" s="1" t="s">
        <v>44</v>
      </c>
      <c r="F4150" s="1" t="s">
        <v>15</v>
      </c>
      <c r="G4150" s="1">
        <v>9</v>
      </c>
      <c r="H4150" s="1">
        <v>41</v>
      </c>
      <c r="I4150" s="1">
        <v>0</v>
      </c>
      <c r="J4150" s="4">
        <v>369</v>
      </c>
      <c r="K4150" s="4">
        <v>273.43</v>
      </c>
      <c r="L4150" s="4">
        <v>95.57</v>
      </c>
      <c r="M4150" s="1" t="str">
        <f>TEXT(Table1[[#This Row],[Order_Date]], "MMM")</f>
        <v>Jun</v>
      </c>
      <c r="N4150" s="1">
        <f>YEAR(Table1[[#This Row],[Order_Date]])</f>
        <v>2023</v>
      </c>
      <c r="O4150" s="7">
        <f>Table1[[#This Row],[Profit]]/Table1[[#This Row],[Total_Sales]]</f>
        <v>0.25899728997289972</v>
      </c>
    </row>
    <row r="4151" spans="1:15" x14ac:dyDescent="0.25">
      <c r="A4151" s="1">
        <v>4150</v>
      </c>
      <c r="B4151" s="2">
        <v>45537</v>
      </c>
      <c r="C4151" s="1" t="s">
        <v>19</v>
      </c>
      <c r="D4151" s="1" t="s">
        <v>26</v>
      </c>
      <c r="E4151" s="1" t="s">
        <v>46</v>
      </c>
      <c r="F4151" s="1" t="s">
        <v>24</v>
      </c>
      <c r="G4151" s="1">
        <v>3</v>
      </c>
      <c r="H4151" s="1">
        <v>317</v>
      </c>
      <c r="I4151" s="1">
        <v>15</v>
      </c>
      <c r="J4151" s="4">
        <v>808.35</v>
      </c>
      <c r="K4151" s="4">
        <v>552.66999999999996</v>
      </c>
      <c r="L4151" s="4">
        <v>255.68</v>
      </c>
      <c r="M4151" s="1" t="str">
        <f>TEXT(Table1[[#This Row],[Order_Date]], "MMM")</f>
        <v>Sep</v>
      </c>
      <c r="N4151" s="1">
        <f>YEAR(Table1[[#This Row],[Order_Date]])</f>
        <v>2024</v>
      </c>
      <c r="O4151" s="7">
        <f>Table1[[#This Row],[Profit]]/Table1[[#This Row],[Total_Sales]]</f>
        <v>0.31629863301787592</v>
      </c>
    </row>
    <row r="4152" spans="1:15" x14ac:dyDescent="0.25">
      <c r="A4152" s="1">
        <v>4151</v>
      </c>
      <c r="B4152" s="2">
        <v>45433</v>
      </c>
      <c r="C4152" s="1" t="s">
        <v>19</v>
      </c>
      <c r="D4152" s="1" t="s">
        <v>22</v>
      </c>
      <c r="E4152" s="1" t="s">
        <v>29</v>
      </c>
      <c r="F4152" s="1" t="s">
        <v>35</v>
      </c>
      <c r="G4152" s="1">
        <v>8</v>
      </c>
      <c r="H4152" s="1">
        <v>625</v>
      </c>
      <c r="I4152" s="1">
        <v>5</v>
      </c>
      <c r="J4152" s="4">
        <v>4750</v>
      </c>
      <c r="K4152" s="4">
        <v>3514.3</v>
      </c>
      <c r="L4152" s="4">
        <v>1235.7</v>
      </c>
      <c r="M4152" s="1" t="str">
        <f>TEXT(Table1[[#This Row],[Order_Date]], "MMM")</f>
        <v>May</v>
      </c>
      <c r="N4152" s="1">
        <f>YEAR(Table1[[#This Row],[Order_Date]])</f>
        <v>2024</v>
      </c>
      <c r="O4152" s="7">
        <f>Table1[[#This Row],[Profit]]/Table1[[#This Row],[Total_Sales]]</f>
        <v>0.26014736842105263</v>
      </c>
    </row>
    <row r="4153" spans="1:15" x14ac:dyDescent="0.25">
      <c r="A4153" s="1">
        <v>4152</v>
      </c>
      <c r="B4153" s="2">
        <v>45345</v>
      </c>
      <c r="C4153" s="1" t="s">
        <v>19</v>
      </c>
      <c r="D4153" s="1" t="s">
        <v>26</v>
      </c>
      <c r="E4153" s="1" t="s">
        <v>46</v>
      </c>
      <c r="F4153" s="1" t="s">
        <v>35</v>
      </c>
      <c r="G4153" s="1">
        <v>1</v>
      </c>
      <c r="H4153" s="1">
        <v>288</v>
      </c>
      <c r="I4153" s="1">
        <v>15</v>
      </c>
      <c r="J4153" s="4">
        <v>244.8</v>
      </c>
      <c r="K4153" s="4">
        <v>176.55</v>
      </c>
      <c r="L4153" s="4">
        <v>68.25</v>
      </c>
      <c r="M4153" s="1" t="str">
        <f>TEXT(Table1[[#This Row],[Order_Date]], "MMM")</f>
        <v>Feb</v>
      </c>
      <c r="N4153" s="1">
        <f>YEAR(Table1[[#This Row],[Order_Date]])</f>
        <v>2024</v>
      </c>
      <c r="O4153" s="7">
        <f>Table1[[#This Row],[Profit]]/Table1[[#This Row],[Total_Sales]]</f>
        <v>0.27879901960784315</v>
      </c>
    </row>
    <row r="4154" spans="1:15" x14ac:dyDescent="0.25">
      <c r="A4154" s="1">
        <v>4153</v>
      </c>
      <c r="B4154" s="2">
        <v>45222</v>
      </c>
      <c r="C4154" s="1" t="s">
        <v>25</v>
      </c>
      <c r="D4154" s="1" t="s">
        <v>22</v>
      </c>
      <c r="E4154" s="1" t="s">
        <v>44</v>
      </c>
      <c r="F4154" s="1" t="s">
        <v>31</v>
      </c>
      <c r="G4154" s="1">
        <v>2</v>
      </c>
      <c r="H4154" s="1">
        <v>564</v>
      </c>
      <c r="I4154" s="1">
        <v>0</v>
      </c>
      <c r="J4154" s="4">
        <v>1128</v>
      </c>
      <c r="K4154" s="4">
        <v>772.3</v>
      </c>
      <c r="L4154" s="4">
        <v>355.7</v>
      </c>
      <c r="M4154" s="1" t="str">
        <f>TEXT(Table1[[#This Row],[Order_Date]], "MMM")</f>
        <v>Oct</v>
      </c>
      <c r="N4154" s="1">
        <f>YEAR(Table1[[#This Row],[Order_Date]])</f>
        <v>2023</v>
      </c>
      <c r="O4154" s="7">
        <f>Table1[[#This Row],[Profit]]/Table1[[#This Row],[Total_Sales]]</f>
        <v>0.31533687943262412</v>
      </c>
    </row>
    <row r="4155" spans="1:15" x14ac:dyDescent="0.25">
      <c r="A4155" s="1">
        <v>4154</v>
      </c>
      <c r="B4155" s="2">
        <v>45322</v>
      </c>
      <c r="C4155" s="1" t="s">
        <v>12</v>
      </c>
      <c r="D4155" s="1" t="s">
        <v>26</v>
      </c>
      <c r="E4155" s="1" t="s">
        <v>46</v>
      </c>
      <c r="F4155" s="1" t="s">
        <v>40</v>
      </c>
      <c r="G4155" s="1">
        <v>10</v>
      </c>
      <c r="H4155" s="1">
        <v>451</v>
      </c>
      <c r="I4155" s="1">
        <v>5</v>
      </c>
      <c r="J4155" s="4">
        <v>4284.5</v>
      </c>
      <c r="K4155" s="4">
        <v>2449.25</v>
      </c>
      <c r="L4155" s="4">
        <v>1835.25</v>
      </c>
      <c r="M4155" s="1" t="str">
        <f>TEXT(Table1[[#This Row],[Order_Date]], "MMM")</f>
        <v>Jan</v>
      </c>
      <c r="N4155" s="1">
        <f>YEAR(Table1[[#This Row],[Order_Date]])</f>
        <v>2024</v>
      </c>
      <c r="O4155" s="7">
        <f>Table1[[#This Row],[Profit]]/Table1[[#This Row],[Total_Sales]]</f>
        <v>0.42834636480336097</v>
      </c>
    </row>
    <row r="4156" spans="1:15" x14ac:dyDescent="0.25">
      <c r="A4156" s="1">
        <v>4155</v>
      </c>
      <c r="B4156" s="2">
        <v>45139</v>
      </c>
      <c r="C4156" s="1" t="s">
        <v>19</v>
      </c>
      <c r="D4156" s="1" t="s">
        <v>22</v>
      </c>
      <c r="E4156" s="1" t="s">
        <v>29</v>
      </c>
      <c r="F4156" s="1" t="s">
        <v>15</v>
      </c>
      <c r="G4156" s="1">
        <v>4</v>
      </c>
      <c r="H4156" s="1">
        <v>340</v>
      </c>
      <c r="I4156" s="1">
        <v>10</v>
      </c>
      <c r="J4156" s="4">
        <v>1224</v>
      </c>
      <c r="K4156" s="4">
        <v>691.88</v>
      </c>
      <c r="L4156" s="4">
        <v>532.12</v>
      </c>
      <c r="M4156" s="1" t="str">
        <f>TEXT(Table1[[#This Row],[Order_Date]], "MMM")</f>
        <v>Aug</v>
      </c>
      <c r="N4156" s="1">
        <f>YEAR(Table1[[#This Row],[Order_Date]])</f>
        <v>2023</v>
      </c>
      <c r="O4156" s="7">
        <f>Table1[[#This Row],[Profit]]/Table1[[#This Row],[Total_Sales]]</f>
        <v>0.43473856209150324</v>
      </c>
    </row>
    <row r="4157" spans="1:15" x14ac:dyDescent="0.25">
      <c r="A4157" s="1">
        <v>4156</v>
      </c>
      <c r="B4157" s="2">
        <v>45382</v>
      </c>
      <c r="C4157" s="1" t="s">
        <v>12</v>
      </c>
      <c r="D4157" s="1" t="s">
        <v>13</v>
      </c>
      <c r="E4157" s="1" t="s">
        <v>14</v>
      </c>
      <c r="F4157" s="1" t="s">
        <v>35</v>
      </c>
      <c r="G4157" s="1">
        <v>3</v>
      </c>
      <c r="H4157" s="1">
        <v>834</v>
      </c>
      <c r="I4157" s="1">
        <v>15</v>
      </c>
      <c r="J4157" s="4">
        <v>2126.6999999999998</v>
      </c>
      <c r="K4157" s="4">
        <v>1653.9</v>
      </c>
      <c r="L4157" s="4">
        <v>472.8</v>
      </c>
      <c r="M4157" s="1" t="str">
        <f>TEXT(Table1[[#This Row],[Order_Date]], "MMM")</f>
        <v>Mar</v>
      </c>
      <c r="N4157" s="1">
        <f>YEAR(Table1[[#This Row],[Order_Date]])</f>
        <v>2024</v>
      </c>
      <c r="O4157" s="7">
        <f>Table1[[#This Row],[Profit]]/Table1[[#This Row],[Total_Sales]]</f>
        <v>0.22231626463535056</v>
      </c>
    </row>
    <row r="4158" spans="1:15" x14ac:dyDescent="0.25">
      <c r="A4158" s="1">
        <v>4157</v>
      </c>
      <c r="B4158" s="2">
        <v>45151</v>
      </c>
      <c r="C4158" s="1" t="s">
        <v>12</v>
      </c>
      <c r="D4158" s="1" t="s">
        <v>26</v>
      </c>
      <c r="E4158" s="1" t="s">
        <v>42</v>
      </c>
      <c r="F4158" s="1" t="s">
        <v>40</v>
      </c>
      <c r="G4158" s="1">
        <v>6</v>
      </c>
      <c r="H4158" s="1">
        <v>402</v>
      </c>
      <c r="I4158" s="1">
        <v>5</v>
      </c>
      <c r="J4158" s="4">
        <v>2291.4</v>
      </c>
      <c r="K4158" s="4">
        <v>1732.75</v>
      </c>
      <c r="L4158" s="4">
        <v>558.65</v>
      </c>
      <c r="M4158" s="1" t="str">
        <f>TEXT(Table1[[#This Row],[Order_Date]], "MMM")</f>
        <v>Aug</v>
      </c>
      <c r="N4158" s="1">
        <f>YEAR(Table1[[#This Row],[Order_Date]])</f>
        <v>2023</v>
      </c>
      <c r="O4158" s="7">
        <f>Table1[[#This Row],[Profit]]/Table1[[#This Row],[Total_Sales]]</f>
        <v>0.24380291524831979</v>
      </c>
    </row>
    <row r="4159" spans="1:15" x14ac:dyDescent="0.25">
      <c r="A4159" s="1">
        <v>4158</v>
      </c>
      <c r="B4159" s="2">
        <v>45393</v>
      </c>
      <c r="C4159" s="1" t="s">
        <v>19</v>
      </c>
      <c r="D4159" s="1" t="s">
        <v>26</v>
      </c>
      <c r="E4159" s="1" t="s">
        <v>27</v>
      </c>
      <c r="F4159" s="1" t="s">
        <v>24</v>
      </c>
      <c r="G4159" s="1">
        <v>1</v>
      </c>
      <c r="H4159" s="1">
        <v>967</v>
      </c>
      <c r="I4159" s="1">
        <v>10</v>
      </c>
      <c r="J4159" s="4">
        <v>870.3</v>
      </c>
      <c r="K4159" s="4">
        <v>517.13</v>
      </c>
      <c r="L4159" s="4">
        <v>353.17</v>
      </c>
      <c r="M4159" s="1" t="str">
        <f>TEXT(Table1[[#This Row],[Order_Date]], "MMM")</f>
        <v>Apr</v>
      </c>
      <c r="N4159" s="1">
        <f>YEAR(Table1[[#This Row],[Order_Date]])</f>
        <v>2024</v>
      </c>
      <c r="O4159" s="7">
        <f>Table1[[#This Row],[Profit]]/Table1[[#This Row],[Total_Sales]]</f>
        <v>0.40580259680569924</v>
      </c>
    </row>
    <row r="4160" spans="1:15" x14ac:dyDescent="0.25">
      <c r="A4160" s="1">
        <v>4159</v>
      </c>
      <c r="B4160" s="2">
        <v>45384</v>
      </c>
      <c r="C4160" s="1" t="s">
        <v>16</v>
      </c>
      <c r="D4160" s="1" t="s">
        <v>32</v>
      </c>
      <c r="E4160" s="1" t="s">
        <v>41</v>
      </c>
      <c r="F4160" s="1" t="s">
        <v>18</v>
      </c>
      <c r="G4160" s="1">
        <v>5</v>
      </c>
      <c r="H4160" s="1">
        <v>989</v>
      </c>
      <c r="I4160" s="1">
        <v>10</v>
      </c>
      <c r="J4160" s="4">
        <v>4450.5</v>
      </c>
      <c r="K4160" s="4">
        <v>3079.43</v>
      </c>
      <c r="L4160" s="4">
        <v>1371.07</v>
      </c>
      <c r="M4160" s="1" t="str">
        <f>TEXT(Table1[[#This Row],[Order_Date]], "MMM")</f>
        <v>Apr</v>
      </c>
      <c r="N4160" s="1">
        <f>YEAR(Table1[[#This Row],[Order_Date]])</f>
        <v>2024</v>
      </c>
      <c r="O4160" s="7">
        <f>Table1[[#This Row],[Profit]]/Table1[[#This Row],[Total_Sales]]</f>
        <v>0.30807100325806086</v>
      </c>
    </row>
    <row r="4161" spans="1:15" x14ac:dyDescent="0.25">
      <c r="A4161" s="1">
        <v>4160</v>
      </c>
      <c r="B4161" s="2">
        <v>45519</v>
      </c>
      <c r="C4161" s="1" t="s">
        <v>19</v>
      </c>
      <c r="D4161" s="1" t="s">
        <v>13</v>
      </c>
      <c r="E4161" s="1" t="s">
        <v>38</v>
      </c>
      <c r="F4161" s="1" t="s">
        <v>35</v>
      </c>
      <c r="G4161" s="1">
        <v>9</v>
      </c>
      <c r="H4161" s="1">
        <v>23</v>
      </c>
      <c r="I4161" s="1">
        <v>15</v>
      </c>
      <c r="J4161" s="4">
        <v>175.95</v>
      </c>
      <c r="K4161" s="4">
        <v>101.95</v>
      </c>
      <c r="L4161" s="4">
        <v>74</v>
      </c>
      <c r="M4161" s="1" t="str">
        <f>TEXT(Table1[[#This Row],[Order_Date]], "MMM")</f>
        <v>Aug</v>
      </c>
      <c r="N4161" s="1">
        <f>YEAR(Table1[[#This Row],[Order_Date]])</f>
        <v>2024</v>
      </c>
      <c r="O4161" s="7">
        <f>Table1[[#This Row],[Profit]]/Table1[[#This Row],[Total_Sales]]</f>
        <v>0.42057402671213417</v>
      </c>
    </row>
    <row r="4162" spans="1:15" x14ac:dyDescent="0.25">
      <c r="A4162" s="1">
        <v>4161</v>
      </c>
      <c r="B4162" s="2">
        <v>45162</v>
      </c>
      <c r="C4162" s="1" t="s">
        <v>16</v>
      </c>
      <c r="D4162" s="1" t="s">
        <v>13</v>
      </c>
      <c r="E4162" s="1" t="s">
        <v>14</v>
      </c>
      <c r="F4162" s="1" t="s">
        <v>18</v>
      </c>
      <c r="G4162" s="1">
        <v>10</v>
      </c>
      <c r="H4162" s="1">
        <v>710</v>
      </c>
      <c r="I4162" s="1">
        <v>5</v>
      </c>
      <c r="J4162" s="4">
        <v>6745</v>
      </c>
      <c r="K4162" s="4">
        <v>4188.43</v>
      </c>
      <c r="L4162" s="4">
        <v>2556.5700000000002</v>
      </c>
      <c r="M4162" s="1" t="str">
        <f>TEXT(Table1[[#This Row],[Order_Date]], "MMM")</f>
        <v>Aug</v>
      </c>
      <c r="N4162" s="1">
        <f>YEAR(Table1[[#This Row],[Order_Date]])</f>
        <v>2023</v>
      </c>
      <c r="O4162" s="7">
        <f>Table1[[#This Row],[Profit]]/Table1[[#This Row],[Total_Sales]]</f>
        <v>0.37903187546330619</v>
      </c>
    </row>
    <row r="4163" spans="1:15" x14ac:dyDescent="0.25">
      <c r="A4163" s="1">
        <v>4162</v>
      </c>
      <c r="B4163" s="2">
        <v>45369</v>
      </c>
      <c r="C4163" s="1" t="s">
        <v>19</v>
      </c>
      <c r="D4163" s="1" t="s">
        <v>22</v>
      </c>
      <c r="E4163" s="1" t="s">
        <v>36</v>
      </c>
      <c r="F4163" s="1" t="s">
        <v>18</v>
      </c>
      <c r="G4163" s="1">
        <v>6</v>
      </c>
      <c r="H4163" s="1">
        <v>526</v>
      </c>
      <c r="I4163" s="1">
        <v>5</v>
      </c>
      <c r="J4163" s="4">
        <v>2998.2</v>
      </c>
      <c r="K4163" s="4">
        <v>1904.91</v>
      </c>
      <c r="L4163" s="4">
        <v>1093.29</v>
      </c>
      <c r="M4163" s="1" t="str">
        <f>TEXT(Table1[[#This Row],[Order_Date]], "MMM")</f>
        <v>Mar</v>
      </c>
      <c r="N4163" s="1">
        <f>YEAR(Table1[[#This Row],[Order_Date]])</f>
        <v>2024</v>
      </c>
      <c r="O4163" s="7">
        <f>Table1[[#This Row],[Profit]]/Table1[[#This Row],[Total_Sales]]</f>
        <v>0.36464878927356414</v>
      </c>
    </row>
    <row r="4164" spans="1:15" x14ac:dyDescent="0.25">
      <c r="A4164" s="1">
        <v>4163</v>
      </c>
      <c r="B4164" s="2">
        <v>45523</v>
      </c>
      <c r="C4164" s="1" t="s">
        <v>25</v>
      </c>
      <c r="D4164" s="1" t="s">
        <v>32</v>
      </c>
      <c r="E4164" s="1" t="s">
        <v>34</v>
      </c>
      <c r="F4164" s="1" t="s">
        <v>35</v>
      </c>
      <c r="G4164" s="1">
        <v>8</v>
      </c>
      <c r="H4164" s="1">
        <v>848</v>
      </c>
      <c r="I4164" s="1">
        <v>15</v>
      </c>
      <c r="J4164" s="4">
        <v>5766.4</v>
      </c>
      <c r="K4164" s="4">
        <v>3341.29</v>
      </c>
      <c r="L4164" s="4">
        <v>2425.11</v>
      </c>
      <c r="M4164" s="1" t="str">
        <f>TEXT(Table1[[#This Row],[Order_Date]], "MMM")</f>
        <v>Aug</v>
      </c>
      <c r="N4164" s="1">
        <f>YEAR(Table1[[#This Row],[Order_Date]])</f>
        <v>2024</v>
      </c>
      <c r="O4164" s="7">
        <f>Table1[[#This Row],[Profit]]/Table1[[#This Row],[Total_Sales]]</f>
        <v>0.42055875416204225</v>
      </c>
    </row>
    <row r="4165" spans="1:15" x14ac:dyDescent="0.25">
      <c r="A4165" s="1">
        <v>4164</v>
      </c>
      <c r="B4165" s="2">
        <v>45187</v>
      </c>
      <c r="C4165" s="1" t="s">
        <v>19</v>
      </c>
      <c r="D4165" s="1" t="s">
        <v>26</v>
      </c>
      <c r="E4165" s="1" t="s">
        <v>46</v>
      </c>
      <c r="F4165" s="1" t="s">
        <v>24</v>
      </c>
      <c r="G4165" s="1">
        <v>10</v>
      </c>
      <c r="H4165" s="1">
        <v>866</v>
      </c>
      <c r="I4165" s="1">
        <v>0</v>
      </c>
      <c r="J4165" s="4">
        <v>8660</v>
      </c>
      <c r="K4165" s="4">
        <v>4349.1499999999996</v>
      </c>
      <c r="L4165" s="4">
        <v>4310.8500000000004</v>
      </c>
      <c r="M4165" s="1" t="str">
        <f>TEXT(Table1[[#This Row],[Order_Date]], "MMM")</f>
        <v>Sep</v>
      </c>
      <c r="N4165" s="1">
        <f>YEAR(Table1[[#This Row],[Order_Date]])</f>
        <v>2023</v>
      </c>
      <c r="O4165" s="7">
        <f>Table1[[#This Row],[Profit]]/Table1[[#This Row],[Total_Sales]]</f>
        <v>0.4977886836027714</v>
      </c>
    </row>
    <row r="4166" spans="1:15" x14ac:dyDescent="0.25">
      <c r="A4166" s="1">
        <v>4165</v>
      </c>
      <c r="B4166" s="2">
        <v>45471</v>
      </c>
      <c r="C4166" s="1" t="s">
        <v>19</v>
      </c>
      <c r="D4166" s="1" t="s">
        <v>26</v>
      </c>
      <c r="E4166" s="1" t="s">
        <v>46</v>
      </c>
      <c r="F4166" s="1" t="s">
        <v>31</v>
      </c>
      <c r="G4166" s="1">
        <v>9</v>
      </c>
      <c r="H4166" s="1">
        <v>748</v>
      </c>
      <c r="I4166" s="1">
        <v>5</v>
      </c>
      <c r="J4166" s="4">
        <v>6395.4</v>
      </c>
      <c r="K4166" s="4">
        <v>3444.84</v>
      </c>
      <c r="L4166" s="4">
        <v>2950.56</v>
      </c>
      <c r="M4166" s="1" t="str">
        <f>TEXT(Table1[[#This Row],[Order_Date]], "MMM")</f>
        <v>Jun</v>
      </c>
      <c r="N4166" s="1">
        <f>YEAR(Table1[[#This Row],[Order_Date]])</f>
        <v>2024</v>
      </c>
      <c r="O4166" s="7">
        <f>Table1[[#This Row],[Profit]]/Table1[[#This Row],[Total_Sales]]</f>
        <v>0.46135660005629048</v>
      </c>
    </row>
    <row r="4167" spans="1:15" x14ac:dyDescent="0.25">
      <c r="A4167" s="1">
        <v>4166</v>
      </c>
      <c r="B4167" s="2">
        <v>45512</v>
      </c>
      <c r="C4167" s="1" t="s">
        <v>16</v>
      </c>
      <c r="D4167" s="1" t="s">
        <v>26</v>
      </c>
      <c r="E4167" s="1" t="s">
        <v>42</v>
      </c>
      <c r="F4167" s="1" t="s">
        <v>40</v>
      </c>
      <c r="G4167" s="1">
        <v>3</v>
      </c>
      <c r="H4167" s="1">
        <v>672</v>
      </c>
      <c r="I4167" s="1">
        <v>20</v>
      </c>
      <c r="J4167" s="4">
        <v>1612.8</v>
      </c>
      <c r="K4167" s="4">
        <v>1227.6300000000001</v>
      </c>
      <c r="L4167" s="4">
        <v>385.17</v>
      </c>
      <c r="M4167" s="1" t="str">
        <f>TEXT(Table1[[#This Row],[Order_Date]], "MMM")</f>
        <v>Aug</v>
      </c>
      <c r="N4167" s="1">
        <f>YEAR(Table1[[#This Row],[Order_Date]])</f>
        <v>2024</v>
      </c>
      <c r="O4167" s="7">
        <f>Table1[[#This Row],[Profit]]/Table1[[#This Row],[Total_Sales]]</f>
        <v>0.23882068452380953</v>
      </c>
    </row>
    <row r="4168" spans="1:15" x14ac:dyDescent="0.25">
      <c r="A4168" s="1">
        <v>4167</v>
      </c>
      <c r="B4168" s="2">
        <v>45399</v>
      </c>
      <c r="C4168" s="1" t="s">
        <v>25</v>
      </c>
      <c r="D4168" s="1" t="s">
        <v>22</v>
      </c>
      <c r="E4168" s="1" t="s">
        <v>23</v>
      </c>
      <c r="F4168" s="1" t="s">
        <v>24</v>
      </c>
      <c r="G4168" s="1">
        <v>7</v>
      </c>
      <c r="H4168" s="1">
        <v>353</v>
      </c>
      <c r="I4168" s="1">
        <v>10</v>
      </c>
      <c r="J4168" s="4">
        <v>2223.9</v>
      </c>
      <c r="K4168" s="4">
        <v>1406.77</v>
      </c>
      <c r="L4168" s="4">
        <v>817.13</v>
      </c>
      <c r="M4168" s="1" t="str">
        <f>TEXT(Table1[[#This Row],[Order_Date]], "MMM")</f>
        <v>Apr</v>
      </c>
      <c r="N4168" s="1">
        <f>YEAR(Table1[[#This Row],[Order_Date]])</f>
        <v>2024</v>
      </c>
      <c r="O4168" s="7">
        <f>Table1[[#This Row],[Profit]]/Table1[[#This Row],[Total_Sales]]</f>
        <v>0.36743108952740677</v>
      </c>
    </row>
    <row r="4169" spans="1:15" x14ac:dyDescent="0.25">
      <c r="A4169" s="1">
        <v>4168</v>
      </c>
      <c r="B4169" s="2">
        <v>45477</v>
      </c>
      <c r="C4169" s="1" t="s">
        <v>16</v>
      </c>
      <c r="D4169" s="1" t="s">
        <v>20</v>
      </c>
      <c r="E4169" s="1" t="s">
        <v>43</v>
      </c>
      <c r="F4169" s="1" t="s">
        <v>40</v>
      </c>
      <c r="G4169" s="1">
        <v>4</v>
      </c>
      <c r="H4169" s="1">
        <v>425</v>
      </c>
      <c r="I4169" s="1">
        <v>15</v>
      </c>
      <c r="J4169" s="4">
        <v>1445</v>
      </c>
      <c r="K4169" s="4">
        <v>1058.8399999999999</v>
      </c>
      <c r="L4169" s="4">
        <v>386.16</v>
      </c>
      <c r="M4169" s="1" t="str">
        <f>TEXT(Table1[[#This Row],[Order_Date]], "MMM")</f>
        <v>Jul</v>
      </c>
      <c r="N4169" s="1">
        <f>YEAR(Table1[[#This Row],[Order_Date]])</f>
        <v>2024</v>
      </c>
      <c r="O4169" s="7">
        <f>Table1[[#This Row],[Profit]]/Table1[[#This Row],[Total_Sales]]</f>
        <v>0.26723875432525951</v>
      </c>
    </row>
    <row r="4170" spans="1:15" x14ac:dyDescent="0.25">
      <c r="A4170" s="1">
        <v>4169</v>
      </c>
      <c r="B4170" s="2">
        <v>45599</v>
      </c>
      <c r="C4170" s="1" t="s">
        <v>19</v>
      </c>
      <c r="D4170" s="1" t="s">
        <v>13</v>
      </c>
      <c r="E4170" s="1" t="s">
        <v>39</v>
      </c>
      <c r="F4170" s="1" t="s">
        <v>15</v>
      </c>
      <c r="G4170" s="1">
        <v>8</v>
      </c>
      <c r="H4170" s="1">
        <v>224</v>
      </c>
      <c r="I4170" s="1">
        <v>5</v>
      </c>
      <c r="J4170" s="4">
        <v>1702.4</v>
      </c>
      <c r="K4170" s="4">
        <v>1107.93</v>
      </c>
      <c r="L4170" s="4">
        <v>594.47</v>
      </c>
      <c r="M4170" s="1" t="str">
        <f>TEXT(Table1[[#This Row],[Order_Date]], "MMM")</f>
        <v>Nov</v>
      </c>
      <c r="N4170" s="1">
        <f>YEAR(Table1[[#This Row],[Order_Date]])</f>
        <v>2024</v>
      </c>
      <c r="O4170" s="7">
        <f>Table1[[#This Row],[Profit]]/Table1[[#This Row],[Total_Sales]]</f>
        <v>0.34919525375939847</v>
      </c>
    </row>
    <row r="4171" spans="1:15" x14ac:dyDescent="0.25">
      <c r="A4171" s="1">
        <v>4170</v>
      </c>
      <c r="B4171" s="2">
        <v>44966</v>
      </c>
      <c r="C4171" s="1" t="s">
        <v>25</v>
      </c>
      <c r="D4171" s="1" t="s">
        <v>22</v>
      </c>
      <c r="E4171" s="1" t="s">
        <v>29</v>
      </c>
      <c r="F4171" s="1" t="s">
        <v>40</v>
      </c>
      <c r="G4171" s="1">
        <v>5</v>
      </c>
      <c r="H4171" s="1">
        <v>828</v>
      </c>
      <c r="I4171" s="1">
        <v>5</v>
      </c>
      <c r="J4171" s="4">
        <v>3933</v>
      </c>
      <c r="K4171" s="4">
        <v>3009.65</v>
      </c>
      <c r="L4171" s="4">
        <v>923.35</v>
      </c>
      <c r="M4171" s="1" t="str">
        <f>TEXT(Table1[[#This Row],[Order_Date]], "MMM")</f>
        <v>Feb</v>
      </c>
      <c r="N4171" s="1">
        <f>YEAR(Table1[[#This Row],[Order_Date]])</f>
        <v>2023</v>
      </c>
      <c r="O4171" s="7">
        <f>Table1[[#This Row],[Profit]]/Table1[[#This Row],[Total_Sales]]</f>
        <v>0.23476989575387747</v>
      </c>
    </row>
    <row r="4172" spans="1:15" x14ac:dyDescent="0.25">
      <c r="A4172" s="1">
        <v>4171</v>
      </c>
      <c r="B4172" s="2">
        <v>45525</v>
      </c>
      <c r="C4172" s="1" t="s">
        <v>19</v>
      </c>
      <c r="D4172" s="1" t="s">
        <v>26</v>
      </c>
      <c r="E4172" s="1" t="s">
        <v>46</v>
      </c>
      <c r="F4172" s="1" t="s">
        <v>18</v>
      </c>
      <c r="G4172" s="1">
        <v>1</v>
      </c>
      <c r="H4172" s="1">
        <v>365</v>
      </c>
      <c r="I4172" s="1">
        <v>10</v>
      </c>
      <c r="J4172" s="4">
        <v>328.5</v>
      </c>
      <c r="K4172" s="4">
        <v>227.59</v>
      </c>
      <c r="L4172" s="4">
        <v>100.91</v>
      </c>
      <c r="M4172" s="1" t="str">
        <f>TEXT(Table1[[#This Row],[Order_Date]], "MMM")</f>
        <v>Aug</v>
      </c>
      <c r="N4172" s="1">
        <f>YEAR(Table1[[#This Row],[Order_Date]])</f>
        <v>2024</v>
      </c>
      <c r="O4172" s="7">
        <f>Table1[[#This Row],[Profit]]/Table1[[#This Row],[Total_Sales]]</f>
        <v>0.30718417047184171</v>
      </c>
    </row>
    <row r="4173" spans="1:15" x14ac:dyDescent="0.25">
      <c r="A4173" s="1">
        <v>4172</v>
      </c>
      <c r="B4173" s="2">
        <v>45532</v>
      </c>
      <c r="C4173" s="1" t="s">
        <v>25</v>
      </c>
      <c r="D4173" s="1" t="s">
        <v>32</v>
      </c>
      <c r="E4173" s="1" t="s">
        <v>33</v>
      </c>
      <c r="F4173" s="1" t="s">
        <v>15</v>
      </c>
      <c r="G4173" s="1">
        <v>3</v>
      </c>
      <c r="H4173" s="1">
        <v>321</v>
      </c>
      <c r="I4173" s="1">
        <v>5</v>
      </c>
      <c r="J4173" s="4">
        <v>914.85</v>
      </c>
      <c r="K4173" s="4">
        <v>503.47</v>
      </c>
      <c r="L4173" s="4">
        <v>411.38</v>
      </c>
      <c r="M4173" s="1" t="str">
        <f>TEXT(Table1[[#This Row],[Order_Date]], "MMM")</f>
        <v>Aug</v>
      </c>
      <c r="N4173" s="1">
        <f>YEAR(Table1[[#This Row],[Order_Date]])</f>
        <v>2024</v>
      </c>
      <c r="O4173" s="7">
        <f>Table1[[#This Row],[Profit]]/Table1[[#This Row],[Total_Sales]]</f>
        <v>0.44966934470131714</v>
      </c>
    </row>
    <row r="4174" spans="1:15" x14ac:dyDescent="0.25">
      <c r="A4174" s="1">
        <v>4173</v>
      </c>
      <c r="B4174" s="2">
        <v>45629</v>
      </c>
      <c r="C4174" s="1" t="s">
        <v>12</v>
      </c>
      <c r="D4174" s="1" t="s">
        <v>32</v>
      </c>
      <c r="E4174" s="1" t="s">
        <v>33</v>
      </c>
      <c r="F4174" s="1" t="s">
        <v>24</v>
      </c>
      <c r="G4174" s="1">
        <v>10</v>
      </c>
      <c r="H4174" s="1">
        <v>78</v>
      </c>
      <c r="I4174" s="1">
        <v>20</v>
      </c>
      <c r="J4174" s="4">
        <v>624</v>
      </c>
      <c r="K4174" s="4">
        <v>465.35</v>
      </c>
      <c r="L4174" s="4">
        <v>158.65</v>
      </c>
      <c r="M4174" s="1" t="str">
        <f>TEXT(Table1[[#This Row],[Order_Date]], "MMM")</f>
        <v>Dec</v>
      </c>
      <c r="N4174" s="1">
        <f>YEAR(Table1[[#This Row],[Order_Date]])</f>
        <v>2024</v>
      </c>
      <c r="O4174" s="7">
        <f>Table1[[#This Row],[Profit]]/Table1[[#This Row],[Total_Sales]]</f>
        <v>0.25424679487179486</v>
      </c>
    </row>
    <row r="4175" spans="1:15" x14ac:dyDescent="0.25">
      <c r="A4175" s="1">
        <v>4174</v>
      </c>
      <c r="B4175" s="2">
        <v>45463</v>
      </c>
      <c r="C4175" s="1" t="s">
        <v>12</v>
      </c>
      <c r="D4175" s="1" t="s">
        <v>20</v>
      </c>
      <c r="E4175" s="1" t="s">
        <v>28</v>
      </c>
      <c r="F4175" s="1" t="s">
        <v>35</v>
      </c>
      <c r="G4175" s="1">
        <v>1</v>
      </c>
      <c r="H4175" s="1">
        <v>465</v>
      </c>
      <c r="I4175" s="1">
        <v>20</v>
      </c>
      <c r="J4175" s="4">
        <v>372</v>
      </c>
      <c r="K4175" s="4">
        <v>215.18</v>
      </c>
      <c r="L4175" s="4">
        <v>156.82</v>
      </c>
      <c r="M4175" s="1" t="str">
        <f>TEXT(Table1[[#This Row],[Order_Date]], "MMM")</f>
        <v>Jun</v>
      </c>
      <c r="N4175" s="1">
        <f>YEAR(Table1[[#This Row],[Order_Date]])</f>
        <v>2024</v>
      </c>
      <c r="O4175" s="7">
        <f>Table1[[#This Row],[Profit]]/Table1[[#This Row],[Total_Sales]]</f>
        <v>0.42155913978494619</v>
      </c>
    </row>
    <row r="4176" spans="1:15" x14ac:dyDescent="0.25">
      <c r="A4176" s="1">
        <v>4175</v>
      </c>
      <c r="B4176" s="2">
        <v>45262</v>
      </c>
      <c r="C4176" s="1" t="s">
        <v>19</v>
      </c>
      <c r="D4176" s="1" t="s">
        <v>26</v>
      </c>
      <c r="E4176" s="1" t="s">
        <v>27</v>
      </c>
      <c r="F4176" s="1" t="s">
        <v>40</v>
      </c>
      <c r="G4176" s="1">
        <v>3</v>
      </c>
      <c r="H4176" s="1">
        <v>644</v>
      </c>
      <c r="I4176" s="1">
        <v>0</v>
      </c>
      <c r="J4176" s="4">
        <v>1932</v>
      </c>
      <c r="K4176" s="4">
        <v>1179.76</v>
      </c>
      <c r="L4176" s="4">
        <v>752.24</v>
      </c>
      <c r="M4176" s="1" t="str">
        <f>TEXT(Table1[[#This Row],[Order_Date]], "MMM")</f>
        <v>Dec</v>
      </c>
      <c r="N4176" s="1">
        <f>YEAR(Table1[[#This Row],[Order_Date]])</f>
        <v>2023</v>
      </c>
      <c r="O4176" s="7">
        <f>Table1[[#This Row],[Profit]]/Table1[[#This Row],[Total_Sales]]</f>
        <v>0.38935817805383022</v>
      </c>
    </row>
    <row r="4177" spans="1:15" x14ac:dyDescent="0.25">
      <c r="A4177" s="1">
        <v>4176</v>
      </c>
      <c r="B4177" s="2">
        <v>44970</v>
      </c>
      <c r="C4177" s="1" t="s">
        <v>19</v>
      </c>
      <c r="D4177" s="1" t="s">
        <v>32</v>
      </c>
      <c r="E4177" s="1" t="s">
        <v>45</v>
      </c>
      <c r="F4177" s="1" t="s">
        <v>35</v>
      </c>
      <c r="G4177" s="1">
        <v>1</v>
      </c>
      <c r="H4177" s="1">
        <v>270</v>
      </c>
      <c r="I4177" s="1">
        <v>20</v>
      </c>
      <c r="J4177" s="4">
        <v>216</v>
      </c>
      <c r="K4177" s="4">
        <v>151.86000000000001</v>
      </c>
      <c r="L4177" s="4">
        <v>64.14</v>
      </c>
      <c r="M4177" s="1" t="str">
        <f>TEXT(Table1[[#This Row],[Order_Date]], "MMM")</f>
        <v>Feb</v>
      </c>
      <c r="N4177" s="1">
        <f>YEAR(Table1[[#This Row],[Order_Date]])</f>
        <v>2023</v>
      </c>
      <c r="O4177" s="7">
        <f>Table1[[#This Row],[Profit]]/Table1[[#This Row],[Total_Sales]]</f>
        <v>0.29694444444444446</v>
      </c>
    </row>
    <row r="4178" spans="1:15" x14ac:dyDescent="0.25">
      <c r="A4178" s="1">
        <v>4177</v>
      </c>
      <c r="B4178" s="2">
        <v>45643</v>
      </c>
      <c r="C4178" s="1" t="s">
        <v>12</v>
      </c>
      <c r="D4178" s="1" t="s">
        <v>22</v>
      </c>
      <c r="E4178" s="1" t="s">
        <v>23</v>
      </c>
      <c r="F4178" s="1" t="s">
        <v>40</v>
      </c>
      <c r="G4178" s="1">
        <v>10</v>
      </c>
      <c r="H4178" s="1">
        <v>253</v>
      </c>
      <c r="I4178" s="1">
        <v>0</v>
      </c>
      <c r="J4178" s="4">
        <v>2530</v>
      </c>
      <c r="K4178" s="4">
        <v>1582.79</v>
      </c>
      <c r="L4178" s="4">
        <v>947.21</v>
      </c>
      <c r="M4178" s="1" t="str">
        <f>TEXT(Table1[[#This Row],[Order_Date]], "MMM")</f>
        <v>Dec</v>
      </c>
      <c r="N4178" s="1">
        <f>YEAR(Table1[[#This Row],[Order_Date]])</f>
        <v>2024</v>
      </c>
      <c r="O4178" s="7">
        <f>Table1[[#This Row],[Profit]]/Table1[[#This Row],[Total_Sales]]</f>
        <v>0.37439130434782608</v>
      </c>
    </row>
    <row r="4179" spans="1:15" x14ac:dyDescent="0.25">
      <c r="A4179" s="1">
        <v>4178</v>
      </c>
      <c r="B4179" s="2">
        <v>45230</v>
      </c>
      <c r="C4179" s="1" t="s">
        <v>12</v>
      </c>
      <c r="D4179" s="1" t="s">
        <v>22</v>
      </c>
      <c r="E4179" s="1" t="s">
        <v>36</v>
      </c>
      <c r="F4179" s="1" t="s">
        <v>24</v>
      </c>
      <c r="G4179" s="1">
        <v>3</v>
      </c>
      <c r="H4179" s="1">
        <v>467</v>
      </c>
      <c r="I4179" s="1">
        <v>0</v>
      </c>
      <c r="J4179" s="4">
        <v>1401</v>
      </c>
      <c r="K4179" s="4">
        <v>782.58</v>
      </c>
      <c r="L4179" s="4">
        <v>618.41999999999996</v>
      </c>
      <c r="M4179" s="1" t="str">
        <f>TEXT(Table1[[#This Row],[Order_Date]], "MMM")</f>
        <v>Oct</v>
      </c>
      <c r="N4179" s="1">
        <f>YEAR(Table1[[#This Row],[Order_Date]])</f>
        <v>2023</v>
      </c>
      <c r="O4179" s="7">
        <f>Table1[[#This Row],[Profit]]/Table1[[#This Row],[Total_Sales]]</f>
        <v>0.44141327623126336</v>
      </c>
    </row>
    <row r="4180" spans="1:15" x14ac:dyDescent="0.25">
      <c r="A4180" s="1">
        <v>4179</v>
      </c>
      <c r="B4180" s="2">
        <v>45636</v>
      </c>
      <c r="C4180" s="1" t="s">
        <v>19</v>
      </c>
      <c r="D4180" s="1" t="s">
        <v>20</v>
      </c>
      <c r="E4180" s="1" t="s">
        <v>21</v>
      </c>
      <c r="F4180" s="1" t="s">
        <v>24</v>
      </c>
      <c r="G4180" s="1">
        <v>10</v>
      </c>
      <c r="H4180" s="1">
        <v>338</v>
      </c>
      <c r="I4180" s="1">
        <v>20</v>
      </c>
      <c r="J4180" s="4">
        <v>2704</v>
      </c>
      <c r="K4180" s="4">
        <v>1515.87</v>
      </c>
      <c r="L4180" s="4">
        <v>1188.1300000000001</v>
      </c>
      <c r="M4180" s="1" t="str">
        <f>TEXT(Table1[[#This Row],[Order_Date]], "MMM")</f>
        <v>Dec</v>
      </c>
      <c r="N4180" s="1">
        <f>YEAR(Table1[[#This Row],[Order_Date]])</f>
        <v>2024</v>
      </c>
      <c r="O4180" s="7">
        <f>Table1[[#This Row],[Profit]]/Table1[[#This Row],[Total_Sales]]</f>
        <v>0.43939718934911248</v>
      </c>
    </row>
    <row r="4181" spans="1:15" x14ac:dyDescent="0.25">
      <c r="A4181" s="1">
        <v>4180</v>
      </c>
      <c r="B4181" s="2">
        <v>45475</v>
      </c>
      <c r="C4181" s="1" t="s">
        <v>12</v>
      </c>
      <c r="D4181" s="1" t="s">
        <v>22</v>
      </c>
      <c r="E4181" s="1" t="s">
        <v>23</v>
      </c>
      <c r="F4181" s="1" t="s">
        <v>18</v>
      </c>
      <c r="G4181" s="1">
        <v>9</v>
      </c>
      <c r="H4181" s="1">
        <v>172</v>
      </c>
      <c r="I4181" s="1">
        <v>15</v>
      </c>
      <c r="J4181" s="4">
        <v>1315.8</v>
      </c>
      <c r="K4181" s="4">
        <v>910.95</v>
      </c>
      <c r="L4181" s="4">
        <v>404.85</v>
      </c>
      <c r="M4181" s="1" t="str">
        <f>TEXT(Table1[[#This Row],[Order_Date]], "MMM")</f>
        <v>Jul</v>
      </c>
      <c r="N4181" s="1">
        <f>YEAR(Table1[[#This Row],[Order_Date]])</f>
        <v>2024</v>
      </c>
      <c r="O4181" s="7">
        <f>Table1[[#This Row],[Profit]]/Table1[[#This Row],[Total_Sales]]</f>
        <v>0.30768353853169178</v>
      </c>
    </row>
    <row r="4182" spans="1:15" x14ac:dyDescent="0.25">
      <c r="A4182" s="1">
        <v>4181</v>
      </c>
      <c r="B4182" s="2">
        <v>45134</v>
      </c>
      <c r="C4182" s="1" t="s">
        <v>16</v>
      </c>
      <c r="D4182" s="1" t="s">
        <v>20</v>
      </c>
      <c r="E4182" s="1" t="s">
        <v>43</v>
      </c>
      <c r="F4182" s="1" t="s">
        <v>31</v>
      </c>
      <c r="G4182" s="1">
        <v>8</v>
      </c>
      <c r="H4182" s="1">
        <v>563</v>
      </c>
      <c r="I4182" s="1">
        <v>20</v>
      </c>
      <c r="J4182" s="4">
        <v>3603.2</v>
      </c>
      <c r="K4182" s="4">
        <v>1922.13</v>
      </c>
      <c r="L4182" s="4">
        <v>1681.07</v>
      </c>
      <c r="M4182" s="1" t="str">
        <f>TEXT(Table1[[#This Row],[Order_Date]], "MMM")</f>
        <v>Jul</v>
      </c>
      <c r="N4182" s="1">
        <f>YEAR(Table1[[#This Row],[Order_Date]])</f>
        <v>2023</v>
      </c>
      <c r="O4182" s="7">
        <f>Table1[[#This Row],[Profit]]/Table1[[#This Row],[Total_Sales]]</f>
        <v>0.46654917850799288</v>
      </c>
    </row>
    <row r="4183" spans="1:15" x14ac:dyDescent="0.25">
      <c r="A4183" s="1">
        <v>4182</v>
      </c>
      <c r="B4183" s="2">
        <v>45086</v>
      </c>
      <c r="C4183" s="1" t="s">
        <v>19</v>
      </c>
      <c r="D4183" s="1" t="s">
        <v>20</v>
      </c>
      <c r="E4183" s="1" t="s">
        <v>28</v>
      </c>
      <c r="F4183" s="1" t="s">
        <v>15</v>
      </c>
      <c r="G4183" s="1">
        <v>1</v>
      </c>
      <c r="H4183" s="1">
        <v>367</v>
      </c>
      <c r="I4183" s="1">
        <v>20</v>
      </c>
      <c r="J4183" s="4">
        <v>293.60000000000002</v>
      </c>
      <c r="K4183" s="4">
        <v>200.22</v>
      </c>
      <c r="L4183" s="4">
        <v>93.38</v>
      </c>
      <c r="M4183" s="1" t="str">
        <f>TEXT(Table1[[#This Row],[Order_Date]], "MMM")</f>
        <v>Jun</v>
      </c>
      <c r="N4183" s="1">
        <f>YEAR(Table1[[#This Row],[Order_Date]])</f>
        <v>2023</v>
      </c>
      <c r="O4183" s="7">
        <f>Table1[[#This Row],[Profit]]/Table1[[#This Row],[Total_Sales]]</f>
        <v>0.31805177111716615</v>
      </c>
    </row>
    <row r="4184" spans="1:15" x14ac:dyDescent="0.25">
      <c r="A4184" s="1">
        <v>4183</v>
      </c>
      <c r="B4184" s="2">
        <v>45557</v>
      </c>
      <c r="C4184" s="1" t="s">
        <v>16</v>
      </c>
      <c r="D4184" s="1" t="s">
        <v>26</v>
      </c>
      <c r="E4184" s="1" t="s">
        <v>42</v>
      </c>
      <c r="F4184" s="1" t="s">
        <v>35</v>
      </c>
      <c r="G4184" s="1">
        <v>1</v>
      </c>
      <c r="H4184" s="1">
        <v>206</v>
      </c>
      <c r="I4184" s="1">
        <v>10</v>
      </c>
      <c r="J4184" s="4">
        <v>185.4</v>
      </c>
      <c r="K4184" s="4">
        <v>124.84</v>
      </c>
      <c r="L4184" s="4">
        <v>60.56</v>
      </c>
      <c r="M4184" s="1" t="str">
        <f>TEXT(Table1[[#This Row],[Order_Date]], "MMM")</f>
        <v>Sep</v>
      </c>
      <c r="N4184" s="1">
        <f>YEAR(Table1[[#This Row],[Order_Date]])</f>
        <v>2024</v>
      </c>
      <c r="O4184" s="7">
        <f>Table1[[#This Row],[Profit]]/Table1[[#This Row],[Total_Sales]]</f>
        <v>0.32664509169363537</v>
      </c>
    </row>
    <row r="4185" spans="1:15" x14ac:dyDescent="0.25">
      <c r="A4185" s="1">
        <v>4184</v>
      </c>
      <c r="B4185" s="2">
        <v>45571</v>
      </c>
      <c r="C4185" s="1" t="s">
        <v>12</v>
      </c>
      <c r="D4185" s="1" t="s">
        <v>13</v>
      </c>
      <c r="E4185" s="1" t="s">
        <v>39</v>
      </c>
      <c r="F4185" s="1" t="s">
        <v>40</v>
      </c>
      <c r="G4185" s="1">
        <v>4</v>
      </c>
      <c r="H4185" s="1">
        <v>265</v>
      </c>
      <c r="I4185" s="1">
        <v>10</v>
      </c>
      <c r="J4185" s="4">
        <v>954</v>
      </c>
      <c r="K4185" s="4">
        <v>671.08</v>
      </c>
      <c r="L4185" s="4">
        <v>282.92</v>
      </c>
      <c r="M4185" s="1" t="str">
        <f>TEXT(Table1[[#This Row],[Order_Date]], "MMM")</f>
        <v>Oct</v>
      </c>
      <c r="N4185" s="1">
        <f>YEAR(Table1[[#This Row],[Order_Date]])</f>
        <v>2024</v>
      </c>
      <c r="O4185" s="7">
        <f>Table1[[#This Row],[Profit]]/Table1[[#This Row],[Total_Sales]]</f>
        <v>0.29656184486373166</v>
      </c>
    </row>
    <row r="4186" spans="1:15" x14ac:dyDescent="0.25">
      <c r="A4186" s="1">
        <v>4185</v>
      </c>
      <c r="B4186" s="2">
        <v>45542</v>
      </c>
      <c r="C4186" s="1" t="s">
        <v>19</v>
      </c>
      <c r="D4186" s="1" t="s">
        <v>22</v>
      </c>
      <c r="E4186" s="1" t="s">
        <v>44</v>
      </c>
      <c r="F4186" s="1" t="s">
        <v>15</v>
      </c>
      <c r="G4186" s="1">
        <v>2</v>
      </c>
      <c r="H4186" s="1">
        <v>787</v>
      </c>
      <c r="I4186" s="1">
        <v>10</v>
      </c>
      <c r="J4186" s="4">
        <v>1416.6</v>
      </c>
      <c r="K4186" s="4">
        <v>718.45</v>
      </c>
      <c r="L4186" s="4">
        <v>698.15</v>
      </c>
      <c r="M4186" s="1" t="str">
        <f>TEXT(Table1[[#This Row],[Order_Date]], "MMM")</f>
        <v>Sep</v>
      </c>
      <c r="N4186" s="1">
        <f>YEAR(Table1[[#This Row],[Order_Date]])</f>
        <v>2024</v>
      </c>
      <c r="O4186" s="7">
        <f>Table1[[#This Row],[Profit]]/Table1[[#This Row],[Total_Sales]]</f>
        <v>0.49283495693915008</v>
      </c>
    </row>
    <row r="4187" spans="1:15" x14ac:dyDescent="0.25">
      <c r="A4187" s="1">
        <v>4186</v>
      </c>
      <c r="B4187" s="2">
        <v>45295</v>
      </c>
      <c r="C4187" s="1" t="s">
        <v>16</v>
      </c>
      <c r="D4187" s="1" t="s">
        <v>26</v>
      </c>
      <c r="E4187" s="1" t="s">
        <v>42</v>
      </c>
      <c r="F4187" s="1" t="s">
        <v>15</v>
      </c>
      <c r="G4187" s="1">
        <v>5</v>
      </c>
      <c r="H4187" s="1">
        <v>754</v>
      </c>
      <c r="I4187" s="1">
        <v>0</v>
      </c>
      <c r="J4187" s="4">
        <v>3770</v>
      </c>
      <c r="K4187" s="4">
        <v>2776.81</v>
      </c>
      <c r="L4187" s="4">
        <v>993.19</v>
      </c>
      <c r="M4187" s="1" t="str">
        <f>TEXT(Table1[[#This Row],[Order_Date]], "MMM")</f>
        <v>Jan</v>
      </c>
      <c r="N4187" s="1">
        <f>YEAR(Table1[[#This Row],[Order_Date]])</f>
        <v>2024</v>
      </c>
      <c r="O4187" s="7">
        <f>Table1[[#This Row],[Profit]]/Table1[[#This Row],[Total_Sales]]</f>
        <v>0.26344562334217508</v>
      </c>
    </row>
    <row r="4188" spans="1:15" x14ac:dyDescent="0.25">
      <c r="A4188" s="1">
        <v>4187</v>
      </c>
      <c r="B4188" s="2">
        <v>45560</v>
      </c>
      <c r="C4188" s="1" t="s">
        <v>25</v>
      </c>
      <c r="D4188" s="1" t="s">
        <v>32</v>
      </c>
      <c r="E4188" s="1" t="s">
        <v>34</v>
      </c>
      <c r="F4188" s="1" t="s">
        <v>35</v>
      </c>
      <c r="G4188" s="1">
        <v>4</v>
      </c>
      <c r="H4188" s="1">
        <v>66</v>
      </c>
      <c r="I4188" s="1">
        <v>10</v>
      </c>
      <c r="J4188" s="4">
        <v>237.6</v>
      </c>
      <c r="K4188" s="4">
        <v>138.47999999999999</v>
      </c>
      <c r="L4188" s="4">
        <v>99.12</v>
      </c>
      <c r="M4188" s="1" t="str">
        <f>TEXT(Table1[[#This Row],[Order_Date]], "MMM")</f>
        <v>Sep</v>
      </c>
      <c r="N4188" s="1">
        <f>YEAR(Table1[[#This Row],[Order_Date]])</f>
        <v>2024</v>
      </c>
      <c r="O4188" s="7">
        <f>Table1[[#This Row],[Profit]]/Table1[[#This Row],[Total_Sales]]</f>
        <v>0.41717171717171719</v>
      </c>
    </row>
    <row r="4189" spans="1:15" x14ac:dyDescent="0.25">
      <c r="A4189" s="1">
        <v>4188</v>
      </c>
      <c r="B4189" s="2">
        <v>44980</v>
      </c>
      <c r="C4189" s="1" t="s">
        <v>12</v>
      </c>
      <c r="D4189" s="1" t="s">
        <v>22</v>
      </c>
      <c r="E4189" s="1" t="s">
        <v>36</v>
      </c>
      <c r="F4189" s="1" t="s">
        <v>18</v>
      </c>
      <c r="G4189" s="1">
        <v>5</v>
      </c>
      <c r="H4189" s="1">
        <v>102</v>
      </c>
      <c r="I4189" s="1">
        <v>5</v>
      </c>
      <c r="J4189" s="4">
        <v>484.5</v>
      </c>
      <c r="K4189" s="4">
        <v>329.11</v>
      </c>
      <c r="L4189" s="4">
        <v>155.38999999999999</v>
      </c>
      <c r="M4189" s="1" t="str">
        <f>TEXT(Table1[[#This Row],[Order_Date]], "MMM")</f>
        <v>Feb</v>
      </c>
      <c r="N4189" s="1">
        <f>YEAR(Table1[[#This Row],[Order_Date]])</f>
        <v>2023</v>
      </c>
      <c r="O4189" s="7">
        <f>Table1[[#This Row],[Profit]]/Table1[[#This Row],[Total_Sales]]</f>
        <v>0.3207223942208462</v>
      </c>
    </row>
    <row r="4190" spans="1:15" x14ac:dyDescent="0.25">
      <c r="A4190" s="1">
        <v>4189</v>
      </c>
      <c r="B4190" s="2">
        <v>45310</v>
      </c>
      <c r="C4190" s="1" t="s">
        <v>19</v>
      </c>
      <c r="D4190" s="1" t="s">
        <v>22</v>
      </c>
      <c r="E4190" s="1" t="s">
        <v>23</v>
      </c>
      <c r="F4190" s="1" t="s">
        <v>31</v>
      </c>
      <c r="G4190" s="1">
        <v>7</v>
      </c>
      <c r="H4190" s="1">
        <v>330</v>
      </c>
      <c r="I4190" s="1">
        <v>20</v>
      </c>
      <c r="J4190" s="4">
        <v>1848</v>
      </c>
      <c r="K4190" s="4">
        <v>1451.7</v>
      </c>
      <c r="L4190" s="4">
        <v>396.3</v>
      </c>
      <c r="M4190" s="1" t="str">
        <f>TEXT(Table1[[#This Row],[Order_Date]], "MMM")</f>
        <v>Jan</v>
      </c>
      <c r="N4190" s="1">
        <f>YEAR(Table1[[#This Row],[Order_Date]])</f>
        <v>2024</v>
      </c>
      <c r="O4190" s="7">
        <f>Table1[[#This Row],[Profit]]/Table1[[#This Row],[Total_Sales]]</f>
        <v>0.21444805194805194</v>
      </c>
    </row>
    <row r="4191" spans="1:15" x14ac:dyDescent="0.25">
      <c r="A4191" s="1">
        <v>4190</v>
      </c>
      <c r="B4191" s="2">
        <v>45261</v>
      </c>
      <c r="C4191" s="1" t="s">
        <v>25</v>
      </c>
      <c r="D4191" s="1" t="s">
        <v>32</v>
      </c>
      <c r="E4191" s="1" t="s">
        <v>41</v>
      </c>
      <c r="F4191" s="1" t="s">
        <v>35</v>
      </c>
      <c r="G4191" s="1">
        <v>4</v>
      </c>
      <c r="H4191" s="1">
        <v>805</v>
      </c>
      <c r="I4191" s="1">
        <v>0</v>
      </c>
      <c r="J4191" s="4">
        <v>3220</v>
      </c>
      <c r="K4191" s="4">
        <v>2042.46</v>
      </c>
      <c r="L4191" s="4">
        <v>1177.54</v>
      </c>
      <c r="M4191" s="1" t="str">
        <f>TEXT(Table1[[#This Row],[Order_Date]], "MMM")</f>
        <v>Dec</v>
      </c>
      <c r="N4191" s="1">
        <f>YEAR(Table1[[#This Row],[Order_Date]])</f>
        <v>2023</v>
      </c>
      <c r="O4191" s="7">
        <f>Table1[[#This Row],[Profit]]/Table1[[#This Row],[Total_Sales]]</f>
        <v>0.36569565217391303</v>
      </c>
    </row>
    <row r="4192" spans="1:15" x14ac:dyDescent="0.25">
      <c r="A4192" s="1">
        <v>4191</v>
      </c>
      <c r="B4192" s="2">
        <v>44933</v>
      </c>
      <c r="C4192" s="1" t="s">
        <v>12</v>
      </c>
      <c r="D4192" s="1" t="s">
        <v>22</v>
      </c>
      <c r="E4192" s="1" t="s">
        <v>29</v>
      </c>
      <c r="F4192" s="1" t="s">
        <v>15</v>
      </c>
      <c r="G4192" s="1">
        <v>4</v>
      </c>
      <c r="H4192" s="1">
        <v>59</v>
      </c>
      <c r="I4192" s="1">
        <v>10</v>
      </c>
      <c r="J4192" s="4">
        <v>212.4</v>
      </c>
      <c r="K4192" s="4">
        <v>160.54</v>
      </c>
      <c r="L4192" s="4">
        <v>51.86</v>
      </c>
      <c r="M4192" s="1" t="str">
        <f>TEXT(Table1[[#This Row],[Order_Date]], "MMM")</f>
        <v>Jan</v>
      </c>
      <c r="N4192" s="1">
        <f>YEAR(Table1[[#This Row],[Order_Date]])</f>
        <v>2023</v>
      </c>
      <c r="O4192" s="7">
        <f>Table1[[#This Row],[Profit]]/Table1[[#This Row],[Total_Sales]]</f>
        <v>0.24416195856873821</v>
      </c>
    </row>
    <row r="4193" spans="1:15" x14ac:dyDescent="0.25">
      <c r="A4193" s="1">
        <v>4192</v>
      </c>
      <c r="B4193" s="2">
        <v>45133</v>
      </c>
      <c r="C4193" s="1" t="s">
        <v>16</v>
      </c>
      <c r="D4193" s="1" t="s">
        <v>26</v>
      </c>
      <c r="E4193" s="1" t="s">
        <v>46</v>
      </c>
      <c r="F4193" s="1" t="s">
        <v>40</v>
      </c>
      <c r="G4193" s="1">
        <v>4</v>
      </c>
      <c r="H4193" s="1">
        <v>42</v>
      </c>
      <c r="I4193" s="1">
        <v>10</v>
      </c>
      <c r="J4193" s="4">
        <v>151.19999999999999</v>
      </c>
      <c r="K4193" s="4">
        <v>93.38</v>
      </c>
      <c r="L4193" s="4">
        <v>57.82</v>
      </c>
      <c r="M4193" s="1" t="str">
        <f>TEXT(Table1[[#This Row],[Order_Date]], "MMM")</f>
        <v>Jul</v>
      </c>
      <c r="N4193" s="1">
        <f>YEAR(Table1[[#This Row],[Order_Date]])</f>
        <v>2023</v>
      </c>
      <c r="O4193" s="7">
        <f>Table1[[#This Row],[Profit]]/Table1[[#This Row],[Total_Sales]]</f>
        <v>0.38240740740740742</v>
      </c>
    </row>
    <row r="4194" spans="1:15" x14ac:dyDescent="0.25">
      <c r="A4194" s="1">
        <v>4193</v>
      </c>
      <c r="B4194" s="2">
        <v>45499</v>
      </c>
      <c r="C4194" s="1" t="s">
        <v>19</v>
      </c>
      <c r="D4194" s="1" t="s">
        <v>13</v>
      </c>
      <c r="E4194" s="1" t="s">
        <v>38</v>
      </c>
      <c r="F4194" s="1" t="s">
        <v>15</v>
      </c>
      <c r="G4194" s="1">
        <v>3</v>
      </c>
      <c r="H4194" s="1">
        <v>851</v>
      </c>
      <c r="I4194" s="1">
        <v>10</v>
      </c>
      <c r="J4194" s="4">
        <v>2297.6999999999998</v>
      </c>
      <c r="K4194" s="4">
        <v>1804.44</v>
      </c>
      <c r="L4194" s="4">
        <v>493.26</v>
      </c>
      <c r="M4194" s="1" t="str">
        <f>TEXT(Table1[[#This Row],[Order_Date]], "MMM")</f>
        <v>Jul</v>
      </c>
      <c r="N4194" s="1">
        <f>YEAR(Table1[[#This Row],[Order_Date]])</f>
        <v>2024</v>
      </c>
      <c r="O4194" s="7">
        <f>Table1[[#This Row],[Profit]]/Table1[[#This Row],[Total_Sales]]</f>
        <v>0.21467554511032774</v>
      </c>
    </row>
    <row r="4195" spans="1:15" x14ac:dyDescent="0.25">
      <c r="A4195" s="1">
        <v>4194</v>
      </c>
      <c r="B4195" s="2">
        <v>45629</v>
      </c>
      <c r="C4195" s="1" t="s">
        <v>12</v>
      </c>
      <c r="D4195" s="1" t="s">
        <v>20</v>
      </c>
      <c r="E4195" s="1" t="s">
        <v>28</v>
      </c>
      <c r="F4195" s="1" t="s">
        <v>31</v>
      </c>
      <c r="G4195" s="1">
        <v>9</v>
      </c>
      <c r="H4195" s="1">
        <v>286</v>
      </c>
      <c r="I4195" s="1">
        <v>0</v>
      </c>
      <c r="J4195" s="4">
        <v>2574</v>
      </c>
      <c r="K4195" s="4">
        <v>1520.31</v>
      </c>
      <c r="L4195" s="4">
        <v>1053.69</v>
      </c>
      <c r="M4195" s="1" t="str">
        <f>TEXT(Table1[[#This Row],[Order_Date]], "MMM")</f>
        <v>Dec</v>
      </c>
      <c r="N4195" s="1">
        <f>YEAR(Table1[[#This Row],[Order_Date]])</f>
        <v>2024</v>
      </c>
      <c r="O4195" s="7">
        <f>Table1[[#This Row],[Profit]]/Table1[[#This Row],[Total_Sales]]</f>
        <v>0.40935897435897439</v>
      </c>
    </row>
    <row r="4196" spans="1:15" x14ac:dyDescent="0.25">
      <c r="A4196" s="1">
        <v>4195</v>
      </c>
      <c r="B4196" s="2">
        <v>45020</v>
      </c>
      <c r="C4196" s="1" t="s">
        <v>16</v>
      </c>
      <c r="D4196" s="1" t="s">
        <v>26</v>
      </c>
      <c r="E4196" s="1" t="s">
        <v>46</v>
      </c>
      <c r="F4196" s="1" t="s">
        <v>40</v>
      </c>
      <c r="G4196" s="1">
        <v>8</v>
      </c>
      <c r="H4196" s="1">
        <v>732</v>
      </c>
      <c r="I4196" s="1">
        <v>0</v>
      </c>
      <c r="J4196" s="4">
        <v>5856</v>
      </c>
      <c r="K4196" s="4">
        <v>3361.25</v>
      </c>
      <c r="L4196" s="4">
        <v>2494.75</v>
      </c>
      <c r="M4196" s="1" t="str">
        <f>TEXT(Table1[[#This Row],[Order_Date]], "MMM")</f>
        <v>Apr</v>
      </c>
      <c r="N4196" s="1">
        <f>YEAR(Table1[[#This Row],[Order_Date]])</f>
        <v>2023</v>
      </c>
      <c r="O4196" s="7">
        <f>Table1[[#This Row],[Profit]]/Table1[[#This Row],[Total_Sales]]</f>
        <v>0.42601605191256831</v>
      </c>
    </row>
    <row r="4197" spans="1:15" x14ac:dyDescent="0.25">
      <c r="A4197" s="1">
        <v>4196</v>
      </c>
      <c r="B4197" s="2">
        <v>45335</v>
      </c>
      <c r="C4197" s="1" t="s">
        <v>19</v>
      </c>
      <c r="D4197" s="1" t="s">
        <v>32</v>
      </c>
      <c r="E4197" s="1" t="s">
        <v>45</v>
      </c>
      <c r="F4197" s="1" t="s">
        <v>35</v>
      </c>
      <c r="G4197" s="1">
        <v>5</v>
      </c>
      <c r="H4197" s="1">
        <v>285</v>
      </c>
      <c r="I4197" s="1">
        <v>0</v>
      </c>
      <c r="J4197" s="4">
        <v>1425</v>
      </c>
      <c r="K4197" s="4">
        <v>791.84</v>
      </c>
      <c r="L4197" s="4">
        <v>633.16</v>
      </c>
      <c r="M4197" s="1" t="str">
        <f>TEXT(Table1[[#This Row],[Order_Date]], "MMM")</f>
        <v>Feb</v>
      </c>
      <c r="N4197" s="1">
        <f>YEAR(Table1[[#This Row],[Order_Date]])</f>
        <v>2024</v>
      </c>
      <c r="O4197" s="7">
        <f>Table1[[#This Row],[Profit]]/Table1[[#This Row],[Total_Sales]]</f>
        <v>0.44432280701754384</v>
      </c>
    </row>
    <row r="4198" spans="1:15" x14ac:dyDescent="0.25">
      <c r="A4198" s="1">
        <v>4197</v>
      </c>
      <c r="B4198" s="2">
        <v>45087</v>
      </c>
      <c r="C4198" s="1" t="s">
        <v>12</v>
      </c>
      <c r="D4198" s="1" t="s">
        <v>20</v>
      </c>
      <c r="E4198" s="1" t="s">
        <v>28</v>
      </c>
      <c r="F4198" s="1" t="s">
        <v>18</v>
      </c>
      <c r="G4198" s="1">
        <v>5</v>
      </c>
      <c r="H4198" s="1">
        <v>372</v>
      </c>
      <c r="I4198" s="1">
        <v>5</v>
      </c>
      <c r="J4198" s="4">
        <v>1767</v>
      </c>
      <c r="K4198" s="4">
        <v>1382.83</v>
      </c>
      <c r="L4198" s="4">
        <v>384.17</v>
      </c>
      <c r="M4198" s="1" t="str">
        <f>TEXT(Table1[[#This Row],[Order_Date]], "MMM")</f>
        <v>Jun</v>
      </c>
      <c r="N4198" s="1">
        <f>YEAR(Table1[[#This Row],[Order_Date]])</f>
        <v>2023</v>
      </c>
      <c r="O4198" s="7">
        <f>Table1[[#This Row],[Profit]]/Table1[[#This Row],[Total_Sales]]</f>
        <v>0.21741369552914544</v>
      </c>
    </row>
    <row r="4199" spans="1:15" x14ac:dyDescent="0.25">
      <c r="A4199" s="1">
        <v>4198</v>
      </c>
      <c r="B4199" s="2">
        <v>45654</v>
      </c>
      <c r="C4199" s="1" t="s">
        <v>19</v>
      </c>
      <c r="D4199" s="1" t="s">
        <v>13</v>
      </c>
      <c r="E4199" s="1" t="s">
        <v>14</v>
      </c>
      <c r="F4199" s="1" t="s">
        <v>35</v>
      </c>
      <c r="G4199" s="1">
        <v>10</v>
      </c>
      <c r="H4199" s="1">
        <v>527</v>
      </c>
      <c r="I4199" s="1">
        <v>10</v>
      </c>
      <c r="J4199" s="4">
        <v>4743</v>
      </c>
      <c r="K4199" s="4">
        <v>2896.38</v>
      </c>
      <c r="L4199" s="4">
        <v>1846.62</v>
      </c>
      <c r="M4199" s="1" t="str">
        <f>TEXT(Table1[[#This Row],[Order_Date]], "MMM")</f>
        <v>Dec</v>
      </c>
      <c r="N4199" s="1">
        <f>YEAR(Table1[[#This Row],[Order_Date]])</f>
        <v>2024</v>
      </c>
      <c r="O4199" s="7">
        <f>Table1[[#This Row],[Profit]]/Table1[[#This Row],[Total_Sales]]</f>
        <v>0.38933586337760906</v>
      </c>
    </row>
    <row r="4200" spans="1:15" x14ac:dyDescent="0.25">
      <c r="A4200" s="1">
        <v>4199</v>
      </c>
      <c r="B4200" s="2">
        <v>45590</v>
      </c>
      <c r="C4200" s="1" t="s">
        <v>19</v>
      </c>
      <c r="D4200" s="1" t="s">
        <v>20</v>
      </c>
      <c r="E4200" s="1" t="s">
        <v>43</v>
      </c>
      <c r="F4200" s="1" t="s">
        <v>31</v>
      </c>
      <c r="G4200" s="1">
        <v>4</v>
      </c>
      <c r="H4200" s="1">
        <v>366</v>
      </c>
      <c r="I4200" s="1">
        <v>0</v>
      </c>
      <c r="J4200" s="4">
        <v>1464</v>
      </c>
      <c r="K4200" s="4">
        <v>1082.74</v>
      </c>
      <c r="L4200" s="4">
        <v>381.26</v>
      </c>
      <c r="M4200" s="1" t="str">
        <f>TEXT(Table1[[#This Row],[Order_Date]], "MMM")</f>
        <v>Oct</v>
      </c>
      <c r="N4200" s="1">
        <f>YEAR(Table1[[#This Row],[Order_Date]])</f>
        <v>2024</v>
      </c>
      <c r="O4200" s="7">
        <f>Table1[[#This Row],[Profit]]/Table1[[#This Row],[Total_Sales]]</f>
        <v>0.26042349726775954</v>
      </c>
    </row>
    <row r="4201" spans="1:15" x14ac:dyDescent="0.25">
      <c r="A4201" s="1">
        <v>4200</v>
      </c>
      <c r="B4201" s="2">
        <v>45320</v>
      </c>
      <c r="C4201" s="1" t="s">
        <v>25</v>
      </c>
      <c r="D4201" s="1" t="s">
        <v>26</v>
      </c>
      <c r="E4201" s="1" t="s">
        <v>46</v>
      </c>
      <c r="F4201" s="1" t="s">
        <v>24</v>
      </c>
      <c r="G4201" s="1">
        <v>8</v>
      </c>
      <c r="H4201" s="1">
        <v>793</v>
      </c>
      <c r="I4201" s="1">
        <v>5</v>
      </c>
      <c r="J4201" s="4">
        <v>6026.8</v>
      </c>
      <c r="K4201" s="4">
        <v>4358.83</v>
      </c>
      <c r="L4201" s="4">
        <v>1667.97</v>
      </c>
      <c r="M4201" s="1" t="str">
        <f>TEXT(Table1[[#This Row],[Order_Date]], "MMM")</f>
        <v>Jan</v>
      </c>
      <c r="N4201" s="1">
        <f>YEAR(Table1[[#This Row],[Order_Date]])</f>
        <v>2024</v>
      </c>
      <c r="O4201" s="7">
        <f>Table1[[#This Row],[Profit]]/Table1[[#This Row],[Total_Sales]]</f>
        <v>0.27675881064578217</v>
      </c>
    </row>
    <row r="4202" spans="1:15" x14ac:dyDescent="0.25">
      <c r="A4202" s="1">
        <v>4201</v>
      </c>
      <c r="B4202" s="2">
        <v>44964</v>
      </c>
      <c r="C4202" s="1" t="s">
        <v>19</v>
      </c>
      <c r="D4202" s="1" t="s">
        <v>32</v>
      </c>
      <c r="E4202" s="1" t="s">
        <v>45</v>
      </c>
      <c r="F4202" s="1" t="s">
        <v>40</v>
      </c>
      <c r="G4202" s="1">
        <v>3</v>
      </c>
      <c r="H4202" s="1">
        <v>324</v>
      </c>
      <c r="I4202" s="1">
        <v>5</v>
      </c>
      <c r="J4202" s="4">
        <v>923.4</v>
      </c>
      <c r="K4202" s="4">
        <v>700.93</v>
      </c>
      <c r="L4202" s="4">
        <v>222.47</v>
      </c>
      <c r="M4202" s="1" t="str">
        <f>TEXT(Table1[[#This Row],[Order_Date]], "MMM")</f>
        <v>Feb</v>
      </c>
      <c r="N4202" s="1">
        <f>YEAR(Table1[[#This Row],[Order_Date]])</f>
        <v>2023</v>
      </c>
      <c r="O4202" s="7">
        <f>Table1[[#This Row],[Profit]]/Table1[[#This Row],[Total_Sales]]</f>
        <v>0.24092484297162661</v>
      </c>
    </row>
    <row r="4203" spans="1:15" x14ac:dyDescent="0.25">
      <c r="A4203" s="1">
        <v>4202</v>
      </c>
      <c r="B4203" s="2">
        <v>45357</v>
      </c>
      <c r="C4203" s="1" t="s">
        <v>16</v>
      </c>
      <c r="D4203" s="1" t="s">
        <v>22</v>
      </c>
      <c r="E4203" s="1" t="s">
        <v>36</v>
      </c>
      <c r="F4203" s="1" t="s">
        <v>40</v>
      </c>
      <c r="G4203" s="1">
        <v>6</v>
      </c>
      <c r="H4203" s="1">
        <v>944</v>
      </c>
      <c r="I4203" s="1">
        <v>10</v>
      </c>
      <c r="J4203" s="4">
        <v>5097.6000000000004</v>
      </c>
      <c r="K4203" s="4">
        <v>3626.08</v>
      </c>
      <c r="L4203" s="4">
        <v>1471.52</v>
      </c>
      <c r="M4203" s="1" t="str">
        <f>TEXT(Table1[[#This Row],[Order_Date]], "MMM")</f>
        <v>Mar</v>
      </c>
      <c r="N4203" s="1">
        <f>YEAR(Table1[[#This Row],[Order_Date]])</f>
        <v>2024</v>
      </c>
      <c r="O4203" s="7">
        <f>Table1[[#This Row],[Profit]]/Table1[[#This Row],[Total_Sales]]</f>
        <v>0.28866917765222849</v>
      </c>
    </row>
    <row r="4204" spans="1:15" x14ac:dyDescent="0.25">
      <c r="A4204" s="1">
        <v>4203</v>
      </c>
      <c r="B4204" s="2">
        <v>44987</v>
      </c>
      <c r="C4204" s="1" t="s">
        <v>19</v>
      </c>
      <c r="D4204" s="1" t="s">
        <v>26</v>
      </c>
      <c r="E4204" s="1" t="s">
        <v>46</v>
      </c>
      <c r="F4204" s="1" t="s">
        <v>15</v>
      </c>
      <c r="G4204" s="1">
        <v>4</v>
      </c>
      <c r="H4204" s="1">
        <v>684</v>
      </c>
      <c r="I4204" s="1">
        <v>15</v>
      </c>
      <c r="J4204" s="4">
        <v>2325.6</v>
      </c>
      <c r="K4204" s="4">
        <v>1857.77</v>
      </c>
      <c r="L4204" s="4">
        <v>467.83</v>
      </c>
      <c r="M4204" s="1" t="str">
        <f>TEXT(Table1[[#This Row],[Order_Date]], "MMM")</f>
        <v>Mar</v>
      </c>
      <c r="N4204" s="1">
        <f>YEAR(Table1[[#This Row],[Order_Date]])</f>
        <v>2023</v>
      </c>
      <c r="O4204" s="7">
        <f>Table1[[#This Row],[Profit]]/Table1[[#This Row],[Total_Sales]]</f>
        <v>0.20116529067767458</v>
      </c>
    </row>
    <row r="4205" spans="1:15" x14ac:dyDescent="0.25">
      <c r="A4205" s="1">
        <v>4204</v>
      </c>
      <c r="B4205" s="2">
        <v>44975</v>
      </c>
      <c r="C4205" s="1" t="s">
        <v>19</v>
      </c>
      <c r="D4205" s="1" t="s">
        <v>20</v>
      </c>
      <c r="E4205" s="1" t="s">
        <v>30</v>
      </c>
      <c r="F4205" s="1" t="s">
        <v>18</v>
      </c>
      <c r="G4205" s="1">
        <v>3</v>
      </c>
      <c r="H4205" s="1">
        <v>549</v>
      </c>
      <c r="I4205" s="1">
        <v>15</v>
      </c>
      <c r="J4205" s="4">
        <v>1399.95</v>
      </c>
      <c r="K4205" s="4">
        <v>840.34</v>
      </c>
      <c r="L4205" s="4">
        <v>559.61</v>
      </c>
      <c r="M4205" s="1" t="str">
        <f>TEXT(Table1[[#This Row],[Order_Date]], "MMM")</f>
        <v>Feb</v>
      </c>
      <c r="N4205" s="1">
        <f>YEAR(Table1[[#This Row],[Order_Date]])</f>
        <v>2023</v>
      </c>
      <c r="O4205" s="7">
        <f>Table1[[#This Row],[Profit]]/Table1[[#This Row],[Total_Sales]]</f>
        <v>0.39973570484660165</v>
      </c>
    </row>
    <row r="4206" spans="1:15" x14ac:dyDescent="0.25">
      <c r="A4206" s="1">
        <v>4205</v>
      </c>
      <c r="B4206" s="2">
        <v>45200</v>
      </c>
      <c r="C4206" s="1" t="s">
        <v>19</v>
      </c>
      <c r="D4206" s="1" t="s">
        <v>13</v>
      </c>
      <c r="E4206" s="1" t="s">
        <v>39</v>
      </c>
      <c r="F4206" s="1" t="s">
        <v>40</v>
      </c>
      <c r="G4206" s="1">
        <v>9</v>
      </c>
      <c r="H4206" s="1">
        <v>520</v>
      </c>
      <c r="I4206" s="1">
        <v>0</v>
      </c>
      <c r="J4206" s="4">
        <v>4680</v>
      </c>
      <c r="K4206" s="4">
        <v>2953.97</v>
      </c>
      <c r="L4206" s="4">
        <v>1726.03</v>
      </c>
      <c r="M4206" s="1" t="str">
        <f>TEXT(Table1[[#This Row],[Order_Date]], "MMM")</f>
        <v>Oct</v>
      </c>
      <c r="N4206" s="1">
        <f>YEAR(Table1[[#This Row],[Order_Date]])</f>
        <v>2023</v>
      </c>
      <c r="O4206" s="7">
        <f>Table1[[#This Row],[Profit]]/Table1[[#This Row],[Total_Sales]]</f>
        <v>0.36880982905982906</v>
      </c>
    </row>
    <row r="4207" spans="1:15" x14ac:dyDescent="0.25">
      <c r="A4207" s="1">
        <v>4206</v>
      </c>
      <c r="B4207" s="2">
        <v>45297</v>
      </c>
      <c r="C4207" s="1" t="s">
        <v>25</v>
      </c>
      <c r="D4207" s="1" t="s">
        <v>13</v>
      </c>
      <c r="E4207" s="1" t="s">
        <v>17</v>
      </c>
      <c r="F4207" s="1" t="s">
        <v>31</v>
      </c>
      <c r="G4207" s="1">
        <v>2</v>
      </c>
      <c r="H4207" s="1">
        <v>421</v>
      </c>
      <c r="I4207" s="1">
        <v>5</v>
      </c>
      <c r="J4207" s="4">
        <v>799.9</v>
      </c>
      <c r="K4207" s="4">
        <v>511.29</v>
      </c>
      <c r="L4207" s="4">
        <v>288.61</v>
      </c>
      <c r="M4207" s="1" t="str">
        <f>TEXT(Table1[[#This Row],[Order_Date]], "MMM")</f>
        <v>Jan</v>
      </c>
      <c r="N4207" s="1">
        <f>YEAR(Table1[[#This Row],[Order_Date]])</f>
        <v>2024</v>
      </c>
      <c r="O4207" s="7">
        <f>Table1[[#This Row],[Profit]]/Table1[[#This Row],[Total_Sales]]</f>
        <v>0.36080760095011877</v>
      </c>
    </row>
    <row r="4208" spans="1:15" x14ac:dyDescent="0.25">
      <c r="A4208" s="1">
        <v>4207</v>
      </c>
      <c r="B4208" s="2">
        <v>45398</v>
      </c>
      <c r="C4208" s="1" t="s">
        <v>16</v>
      </c>
      <c r="D4208" s="1" t="s">
        <v>32</v>
      </c>
      <c r="E4208" s="1" t="s">
        <v>34</v>
      </c>
      <c r="F4208" s="1" t="s">
        <v>40</v>
      </c>
      <c r="G4208" s="1">
        <v>8</v>
      </c>
      <c r="H4208" s="1">
        <v>737</v>
      </c>
      <c r="I4208" s="1">
        <v>5</v>
      </c>
      <c r="J4208" s="4">
        <v>5601.2</v>
      </c>
      <c r="K4208" s="4">
        <v>4028.94</v>
      </c>
      <c r="L4208" s="4">
        <v>1572.26</v>
      </c>
      <c r="M4208" s="1" t="str">
        <f>TEXT(Table1[[#This Row],[Order_Date]], "MMM")</f>
        <v>Apr</v>
      </c>
      <c r="N4208" s="1">
        <f>YEAR(Table1[[#This Row],[Order_Date]])</f>
        <v>2024</v>
      </c>
      <c r="O4208" s="7">
        <f>Table1[[#This Row],[Profit]]/Table1[[#This Row],[Total_Sales]]</f>
        <v>0.28070056416482181</v>
      </c>
    </row>
    <row r="4209" spans="1:15" x14ac:dyDescent="0.25">
      <c r="A4209" s="1">
        <v>4208</v>
      </c>
      <c r="B4209" s="2">
        <v>45460</v>
      </c>
      <c r="C4209" s="1" t="s">
        <v>16</v>
      </c>
      <c r="D4209" s="1" t="s">
        <v>32</v>
      </c>
      <c r="E4209" s="1" t="s">
        <v>34</v>
      </c>
      <c r="F4209" s="1" t="s">
        <v>15</v>
      </c>
      <c r="G4209" s="1">
        <v>4</v>
      </c>
      <c r="H4209" s="1">
        <v>165</v>
      </c>
      <c r="I4209" s="1">
        <v>20</v>
      </c>
      <c r="J4209" s="4">
        <v>528</v>
      </c>
      <c r="K4209" s="4">
        <v>302.16000000000003</v>
      </c>
      <c r="L4209" s="4">
        <v>225.84</v>
      </c>
      <c r="M4209" s="1" t="str">
        <f>TEXT(Table1[[#This Row],[Order_Date]], "MMM")</f>
        <v>Jun</v>
      </c>
      <c r="N4209" s="1">
        <f>YEAR(Table1[[#This Row],[Order_Date]])</f>
        <v>2024</v>
      </c>
      <c r="O4209" s="7">
        <f>Table1[[#This Row],[Profit]]/Table1[[#This Row],[Total_Sales]]</f>
        <v>0.42772727272727273</v>
      </c>
    </row>
    <row r="4210" spans="1:15" x14ac:dyDescent="0.25">
      <c r="A4210" s="1">
        <v>4209</v>
      </c>
      <c r="B4210" s="2">
        <v>45449</v>
      </c>
      <c r="C4210" s="1" t="s">
        <v>16</v>
      </c>
      <c r="D4210" s="1" t="s">
        <v>20</v>
      </c>
      <c r="E4210" s="1" t="s">
        <v>28</v>
      </c>
      <c r="F4210" s="1" t="s">
        <v>40</v>
      </c>
      <c r="G4210" s="1">
        <v>5</v>
      </c>
      <c r="H4210" s="1">
        <v>358</v>
      </c>
      <c r="I4210" s="1">
        <v>15</v>
      </c>
      <c r="J4210" s="4">
        <v>1521.5</v>
      </c>
      <c r="K4210" s="4">
        <v>934.49</v>
      </c>
      <c r="L4210" s="4">
        <v>587.01</v>
      </c>
      <c r="M4210" s="1" t="str">
        <f>TEXT(Table1[[#This Row],[Order_Date]], "MMM")</f>
        <v>Jun</v>
      </c>
      <c r="N4210" s="1">
        <f>YEAR(Table1[[#This Row],[Order_Date]])</f>
        <v>2024</v>
      </c>
      <c r="O4210" s="7">
        <f>Table1[[#This Row],[Profit]]/Table1[[#This Row],[Total_Sales]]</f>
        <v>0.38581005586592176</v>
      </c>
    </row>
    <row r="4211" spans="1:15" x14ac:dyDescent="0.25">
      <c r="A4211" s="1">
        <v>4210</v>
      </c>
      <c r="B4211" s="2">
        <v>45325</v>
      </c>
      <c r="C4211" s="1" t="s">
        <v>19</v>
      </c>
      <c r="D4211" s="1" t="s">
        <v>32</v>
      </c>
      <c r="E4211" s="1" t="s">
        <v>34</v>
      </c>
      <c r="F4211" s="1" t="s">
        <v>40</v>
      </c>
      <c r="G4211" s="1">
        <v>7</v>
      </c>
      <c r="H4211" s="1">
        <v>650</v>
      </c>
      <c r="I4211" s="1">
        <v>0</v>
      </c>
      <c r="J4211" s="4">
        <v>4550</v>
      </c>
      <c r="K4211" s="4">
        <v>3499.53</v>
      </c>
      <c r="L4211" s="4">
        <v>1050.47</v>
      </c>
      <c r="M4211" s="1" t="str">
        <f>TEXT(Table1[[#This Row],[Order_Date]], "MMM")</f>
        <v>Feb</v>
      </c>
      <c r="N4211" s="1">
        <f>YEAR(Table1[[#This Row],[Order_Date]])</f>
        <v>2024</v>
      </c>
      <c r="O4211" s="7">
        <f>Table1[[#This Row],[Profit]]/Table1[[#This Row],[Total_Sales]]</f>
        <v>0.23087252747252748</v>
      </c>
    </row>
    <row r="4212" spans="1:15" x14ac:dyDescent="0.25">
      <c r="A4212" s="1">
        <v>4211</v>
      </c>
      <c r="B4212" s="2">
        <v>45575</v>
      </c>
      <c r="C4212" s="1" t="s">
        <v>19</v>
      </c>
      <c r="D4212" s="1" t="s">
        <v>20</v>
      </c>
      <c r="E4212" s="1" t="s">
        <v>28</v>
      </c>
      <c r="F4212" s="1" t="s">
        <v>35</v>
      </c>
      <c r="G4212" s="1">
        <v>9</v>
      </c>
      <c r="H4212" s="1">
        <v>620</v>
      </c>
      <c r="I4212" s="1">
        <v>5</v>
      </c>
      <c r="J4212" s="4">
        <v>5301</v>
      </c>
      <c r="K4212" s="4">
        <v>4176.79</v>
      </c>
      <c r="L4212" s="4">
        <v>1124.21</v>
      </c>
      <c r="M4212" s="1" t="str">
        <f>TEXT(Table1[[#This Row],[Order_Date]], "MMM")</f>
        <v>Oct</v>
      </c>
      <c r="N4212" s="1">
        <f>YEAR(Table1[[#This Row],[Order_Date]])</f>
        <v>2024</v>
      </c>
      <c r="O4212" s="7">
        <f>Table1[[#This Row],[Profit]]/Table1[[#This Row],[Total_Sales]]</f>
        <v>0.21207508017355217</v>
      </c>
    </row>
    <row r="4213" spans="1:15" x14ac:dyDescent="0.25">
      <c r="A4213" s="1">
        <v>4212</v>
      </c>
      <c r="B4213" s="2">
        <v>45415</v>
      </c>
      <c r="C4213" s="1" t="s">
        <v>19</v>
      </c>
      <c r="D4213" s="1" t="s">
        <v>13</v>
      </c>
      <c r="E4213" s="1" t="s">
        <v>39</v>
      </c>
      <c r="F4213" s="1" t="s">
        <v>31</v>
      </c>
      <c r="G4213" s="1">
        <v>3</v>
      </c>
      <c r="H4213" s="1">
        <v>823</v>
      </c>
      <c r="I4213" s="1">
        <v>15</v>
      </c>
      <c r="J4213" s="4">
        <v>2098.65</v>
      </c>
      <c r="K4213" s="4">
        <v>1226.9100000000001</v>
      </c>
      <c r="L4213" s="4">
        <v>871.74</v>
      </c>
      <c r="M4213" s="1" t="str">
        <f>TEXT(Table1[[#This Row],[Order_Date]], "MMM")</f>
        <v>May</v>
      </c>
      <c r="N4213" s="1">
        <f>YEAR(Table1[[#This Row],[Order_Date]])</f>
        <v>2024</v>
      </c>
      <c r="O4213" s="7">
        <f>Table1[[#This Row],[Profit]]/Table1[[#This Row],[Total_Sales]]</f>
        <v>0.41538131656064614</v>
      </c>
    </row>
    <row r="4214" spans="1:15" x14ac:dyDescent="0.25">
      <c r="A4214" s="1">
        <v>4213</v>
      </c>
      <c r="B4214" s="2">
        <v>45101</v>
      </c>
      <c r="C4214" s="1" t="s">
        <v>12</v>
      </c>
      <c r="D4214" s="1" t="s">
        <v>32</v>
      </c>
      <c r="E4214" s="1" t="s">
        <v>41</v>
      </c>
      <c r="F4214" s="1" t="s">
        <v>24</v>
      </c>
      <c r="G4214" s="1">
        <v>6</v>
      </c>
      <c r="H4214" s="1">
        <v>426</v>
      </c>
      <c r="I4214" s="1">
        <v>5</v>
      </c>
      <c r="J4214" s="4">
        <v>2428.1999999999998</v>
      </c>
      <c r="K4214" s="4">
        <v>1920.1</v>
      </c>
      <c r="L4214" s="4">
        <v>508.1</v>
      </c>
      <c r="M4214" s="1" t="str">
        <f>TEXT(Table1[[#This Row],[Order_Date]], "MMM")</f>
        <v>Jun</v>
      </c>
      <c r="N4214" s="1">
        <f>YEAR(Table1[[#This Row],[Order_Date]])</f>
        <v>2023</v>
      </c>
      <c r="O4214" s="7">
        <f>Table1[[#This Row],[Profit]]/Table1[[#This Row],[Total_Sales]]</f>
        <v>0.20924964994646242</v>
      </c>
    </row>
    <row r="4215" spans="1:15" x14ac:dyDescent="0.25">
      <c r="A4215" s="1">
        <v>4214</v>
      </c>
      <c r="B4215" s="2">
        <v>44937</v>
      </c>
      <c r="C4215" s="1" t="s">
        <v>12</v>
      </c>
      <c r="D4215" s="1" t="s">
        <v>26</v>
      </c>
      <c r="E4215" s="1" t="s">
        <v>42</v>
      </c>
      <c r="F4215" s="1" t="s">
        <v>31</v>
      </c>
      <c r="G4215" s="1">
        <v>9</v>
      </c>
      <c r="H4215" s="1">
        <v>709</v>
      </c>
      <c r="I4215" s="1">
        <v>15</v>
      </c>
      <c r="J4215" s="4">
        <v>5423.85</v>
      </c>
      <c r="K4215" s="4">
        <v>4046.71</v>
      </c>
      <c r="L4215" s="4">
        <v>1377.14</v>
      </c>
      <c r="M4215" s="1" t="str">
        <f>TEXT(Table1[[#This Row],[Order_Date]], "MMM")</f>
        <v>Jan</v>
      </c>
      <c r="N4215" s="1">
        <f>YEAR(Table1[[#This Row],[Order_Date]])</f>
        <v>2023</v>
      </c>
      <c r="O4215" s="7">
        <f>Table1[[#This Row],[Profit]]/Table1[[#This Row],[Total_Sales]]</f>
        <v>0.25390451432100813</v>
      </c>
    </row>
    <row r="4216" spans="1:15" x14ac:dyDescent="0.25">
      <c r="A4216" s="1">
        <v>4215</v>
      </c>
      <c r="B4216" s="2">
        <v>45583</v>
      </c>
      <c r="C4216" s="1" t="s">
        <v>16</v>
      </c>
      <c r="D4216" s="1" t="s">
        <v>13</v>
      </c>
      <c r="E4216" s="1" t="s">
        <v>14</v>
      </c>
      <c r="F4216" s="1" t="s">
        <v>18</v>
      </c>
      <c r="G4216" s="1">
        <v>3</v>
      </c>
      <c r="H4216" s="1">
        <v>294</v>
      </c>
      <c r="I4216" s="1">
        <v>15</v>
      </c>
      <c r="J4216" s="4">
        <v>749.7</v>
      </c>
      <c r="K4216" s="4">
        <v>531.48</v>
      </c>
      <c r="L4216" s="4">
        <v>218.22</v>
      </c>
      <c r="M4216" s="1" t="str">
        <f>TEXT(Table1[[#This Row],[Order_Date]], "MMM")</f>
        <v>Oct</v>
      </c>
      <c r="N4216" s="1">
        <f>YEAR(Table1[[#This Row],[Order_Date]])</f>
        <v>2024</v>
      </c>
      <c r="O4216" s="7">
        <f>Table1[[#This Row],[Profit]]/Table1[[#This Row],[Total_Sales]]</f>
        <v>0.29107643057222887</v>
      </c>
    </row>
    <row r="4217" spans="1:15" x14ac:dyDescent="0.25">
      <c r="A4217" s="1">
        <v>4216</v>
      </c>
      <c r="B4217" s="2">
        <v>45250</v>
      </c>
      <c r="C4217" s="1" t="s">
        <v>16</v>
      </c>
      <c r="D4217" s="1" t="s">
        <v>22</v>
      </c>
      <c r="E4217" s="1" t="s">
        <v>36</v>
      </c>
      <c r="F4217" s="1" t="s">
        <v>35</v>
      </c>
      <c r="G4217" s="1">
        <v>4</v>
      </c>
      <c r="H4217" s="1">
        <v>318</v>
      </c>
      <c r="I4217" s="1">
        <v>15</v>
      </c>
      <c r="J4217" s="4">
        <v>1081.2</v>
      </c>
      <c r="K4217" s="4">
        <v>700.39</v>
      </c>
      <c r="L4217" s="4">
        <v>380.81</v>
      </c>
      <c r="M4217" s="1" t="str">
        <f>TEXT(Table1[[#This Row],[Order_Date]], "MMM")</f>
        <v>Nov</v>
      </c>
      <c r="N4217" s="1">
        <f>YEAR(Table1[[#This Row],[Order_Date]])</f>
        <v>2023</v>
      </c>
      <c r="O4217" s="7">
        <f>Table1[[#This Row],[Profit]]/Table1[[#This Row],[Total_Sales]]</f>
        <v>0.3522105068442471</v>
      </c>
    </row>
    <row r="4218" spans="1:15" x14ac:dyDescent="0.25">
      <c r="A4218" s="1">
        <v>4217</v>
      </c>
      <c r="B4218" s="2">
        <v>45408</v>
      </c>
      <c r="C4218" s="1" t="s">
        <v>16</v>
      </c>
      <c r="D4218" s="1" t="s">
        <v>22</v>
      </c>
      <c r="E4218" s="1" t="s">
        <v>36</v>
      </c>
      <c r="F4218" s="1" t="s">
        <v>40</v>
      </c>
      <c r="G4218" s="1">
        <v>3</v>
      </c>
      <c r="H4218" s="1">
        <v>438</v>
      </c>
      <c r="I4218" s="1">
        <v>20</v>
      </c>
      <c r="J4218" s="4">
        <v>1051.2</v>
      </c>
      <c r="K4218" s="4">
        <v>741.47</v>
      </c>
      <c r="L4218" s="4">
        <v>309.73</v>
      </c>
      <c r="M4218" s="1" t="str">
        <f>TEXT(Table1[[#This Row],[Order_Date]], "MMM")</f>
        <v>Apr</v>
      </c>
      <c r="N4218" s="1">
        <f>YEAR(Table1[[#This Row],[Order_Date]])</f>
        <v>2024</v>
      </c>
      <c r="O4218" s="7">
        <f>Table1[[#This Row],[Profit]]/Table1[[#This Row],[Total_Sales]]</f>
        <v>0.29464421613394215</v>
      </c>
    </row>
    <row r="4219" spans="1:15" x14ac:dyDescent="0.25">
      <c r="A4219" s="1">
        <v>4218</v>
      </c>
      <c r="B4219" s="2">
        <v>45198</v>
      </c>
      <c r="C4219" s="1" t="s">
        <v>19</v>
      </c>
      <c r="D4219" s="1" t="s">
        <v>26</v>
      </c>
      <c r="E4219" s="1" t="s">
        <v>42</v>
      </c>
      <c r="F4219" s="1" t="s">
        <v>18</v>
      </c>
      <c r="G4219" s="1">
        <v>5</v>
      </c>
      <c r="H4219" s="1">
        <v>981</v>
      </c>
      <c r="I4219" s="1">
        <v>0</v>
      </c>
      <c r="J4219" s="4">
        <v>4905</v>
      </c>
      <c r="K4219" s="4">
        <v>3767.28</v>
      </c>
      <c r="L4219" s="4">
        <v>1137.72</v>
      </c>
      <c r="M4219" s="1" t="str">
        <f>TEXT(Table1[[#This Row],[Order_Date]], "MMM")</f>
        <v>Sep</v>
      </c>
      <c r="N4219" s="1">
        <f>YEAR(Table1[[#This Row],[Order_Date]])</f>
        <v>2023</v>
      </c>
      <c r="O4219" s="7">
        <f>Table1[[#This Row],[Profit]]/Table1[[#This Row],[Total_Sales]]</f>
        <v>0.23195107033639145</v>
      </c>
    </row>
    <row r="4220" spans="1:15" x14ac:dyDescent="0.25">
      <c r="A4220" s="1">
        <v>4219</v>
      </c>
      <c r="B4220" s="2">
        <v>45353</v>
      </c>
      <c r="C4220" s="1" t="s">
        <v>25</v>
      </c>
      <c r="D4220" s="1" t="s">
        <v>26</v>
      </c>
      <c r="E4220" s="1" t="s">
        <v>27</v>
      </c>
      <c r="F4220" s="1" t="s">
        <v>24</v>
      </c>
      <c r="G4220" s="1">
        <v>7</v>
      </c>
      <c r="H4220" s="1">
        <v>608</v>
      </c>
      <c r="I4220" s="1">
        <v>0</v>
      </c>
      <c r="J4220" s="4">
        <v>4256</v>
      </c>
      <c r="K4220" s="4">
        <v>2277</v>
      </c>
      <c r="L4220" s="4">
        <v>1979</v>
      </c>
      <c r="M4220" s="1" t="str">
        <f>TEXT(Table1[[#This Row],[Order_Date]], "MMM")</f>
        <v>Mar</v>
      </c>
      <c r="N4220" s="1">
        <f>YEAR(Table1[[#This Row],[Order_Date]])</f>
        <v>2024</v>
      </c>
      <c r="O4220" s="7">
        <f>Table1[[#This Row],[Profit]]/Table1[[#This Row],[Total_Sales]]</f>
        <v>0.46499060150375937</v>
      </c>
    </row>
    <row r="4221" spans="1:15" x14ac:dyDescent="0.25">
      <c r="A4221" s="1">
        <v>4220</v>
      </c>
      <c r="B4221" s="2">
        <v>45621</v>
      </c>
      <c r="C4221" s="1" t="s">
        <v>25</v>
      </c>
      <c r="D4221" s="1" t="s">
        <v>13</v>
      </c>
      <c r="E4221" s="1" t="s">
        <v>39</v>
      </c>
      <c r="F4221" s="1" t="s">
        <v>24</v>
      </c>
      <c r="G4221" s="1">
        <v>10</v>
      </c>
      <c r="H4221" s="1">
        <v>447</v>
      </c>
      <c r="I4221" s="1">
        <v>5</v>
      </c>
      <c r="J4221" s="4">
        <v>4246.5</v>
      </c>
      <c r="K4221" s="4">
        <v>2225.0100000000002</v>
      </c>
      <c r="L4221" s="4">
        <v>2021.49</v>
      </c>
      <c r="M4221" s="1" t="str">
        <f>TEXT(Table1[[#This Row],[Order_Date]], "MMM")</f>
        <v>Nov</v>
      </c>
      <c r="N4221" s="1">
        <f>YEAR(Table1[[#This Row],[Order_Date]])</f>
        <v>2024</v>
      </c>
      <c r="O4221" s="7">
        <f>Table1[[#This Row],[Profit]]/Table1[[#This Row],[Total_Sales]]</f>
        <v>0.47603673613564113</v>
      </c>
    </row>
    <row r="4222" spans="1:15" x14ac:dyDescent="0.25">
      <c r="A4222" s="1">
        <v>4221</v>
      </c>
      <c r="B4222" s="2">
        <v>45397</v>
      </c>
      <c r="C4222" s="1" t="s">
        <v>12</v>
      </c>
      <c r="D4222" s="1" t="s">
        <v>32</v>
      </c>
      <c r="E4222" s="1" t="s">
        <v>33</v>
      </c>
      <c r="F4222" s="1" t="s">
        <v>31</v>
      </c>
      <c r="G4222" s="1">
        <v>7</v>
      </c>
      <c r="H4222" s="1">
        <v>567</v>
      </c>
      <c r="I4222" s="1">
        <v>10</v>
      </c>
      <c r="J4222" s="4">
        <v>3572.1</v>
      </c>
      <c r="K4222" s="4">
        <v>2479.46</v>
      </c>
      <c r="L4222" s="4">
        <v>1092.6400000000001</v>
      </c>
      <c r="M4222" s="1" t="str">
        <f>TEXT(Table1[[#This Row],[Order_Date]], "MMM")</f>
        <v>Apr</v>
      </c>
      <c r="N4222" s="1">
        <f>YEAR(Table1[[#This Row],[Order_Date]])</f>
        <v>2024</v>
      </c>
      <c r="O4222" s="7">
        <f>Table1[[#This Row],[Profit]]/Table1[[#This Row],[Total_Sales]]</f>
        <v>0.30588169424148265</v>
      </c>
    </row>
    <row r="4223" spans="1:15" x14ac:dyDescent="0.25">
      <c r="A4223" s="1">
        <v>4222</v>
      </c>
      <c r="B4223" s="2">
        <v>45286</v>
      </c>
      <c r="C4223" s="1" t="s">
        <v>12</v>
      </c>
      <c r="D4223" s="1" t="s">
        <v>26</v>
      </c>
      <c r="E4223" s="1" t="s">
        <v>27</v>
      </c>
      <c r="F4223" s="1" t="s">
        <v>24</v>
      </c>
      <c r="G4223" s="1">
        <v>7</v>
      </c>
      <c r="H4223" s="1">
        <v>550</v>
      </c>
      <c r="I4223" s="1">
        <v>10</v>
      </c>
      <c r="J4223" s="4">
        <v>3465</v>
      </c>
      <c r="K4223" s="4">
        <v>2117.2600000000002</v>
      </c>
      <c r="L4223" s="4">
        <v>1347.74</v>
      </c>
      <c r="M4223" s="1" t="str">
        <f>TEXT(Table1[[#This Row],[Order_Date]], "MMM")</f>
        <v>Dec</v>
      </c>
      <c r="N4223" s="1">
        <f>YEAR(Table1[[#This Row],[Order_Date]])</f>
        <v>2023</v>
      </c>
      <c r="O4223" s="7">
        <f>Table1[[#This Row],[Profit]]/Table1[[#This Row],[Total_Sales]]</f>
        <v>0.38895815295815295</v>
      </c>
    </row>
    <row r="4224" spans="1:15" x14ac:dyDescent="0.25">
      <c r="A4224" s="1">
        <v>4223</v>
      </c>
      <c r="B4224" s="2">
        <v>45387</v>
      </c>
      <c r="C4224" s="1" t="s">
        <v>16</v>
      </c>
      <c r="D4224" s="1" t="s">
        <v>13</v>
      </c>
      <c r="E4224" s="1" t="s">
        <v>38</v>
      </c>
      <c r="F4224" s="1" t="s">
        <v>35</v>
      </c>
      <c r="G4224" s="1">
        <v>1</v>
      </c>
      <c r="H4224" s="1">
        <v>625</v>
      </c>
      <c r="I4224" s="1">
        <v>10</v>
      </c>
      <c r="J4224" s="4">
        <v>562.5</v>
      </c>
      <c r="K4224" s="4">
        <v>410.41</v>
      </c>
      <c r="L4224" s="4">
        <v>152.09</v>
      </c>
      <c r="M4224" s="1" t="str">
        <f>TEXT(Table1[[#This Row],[Order_Date]], "MMM")</f>
        <v>Apr</v>
      </c>
      <c r="N4224" s="1">
        <f>YEAR(Table1[[#This Row],[Order_Date]])</f>
        <v>2024</v>
      </c>
      <c r="O4224" s="7">
        <f>Table1[[#This Row],[Profit]]/Table1[[#This Row],[Total_Sales]]</f>
        <v>0.27038222222222225</v>
      </c>
    </row>
    <row r="4225" spans="1:15" x14ac:dyDescent="0.25">
      <c r="A4225" s="1">
        <v>4224</v>
      </c>
      <c r="B4225" s="2">
        <v>45590</v>
      </c>
      <c r="C4225" s="1" t="s">
        <v>16</v>
      </c>
      <c r="D4225" s="1" t="s">
        <v>32</v>
      </c>
      <c r="E4225" s="1" t="s">
        <v>34</v>
      </c>
      <c r="F4225" s="1" t="s">
        <v>15</v>
      </c>
      <c r="G4225" s="1">
        <v>6</v>
      </c>
      <c r="H4225" s="1">
        <v>764</v>
      </c>
      <c r="I4225" s="1">
        <v>10</v>
      </c>
      <c r="J4225" s="4">
        <v>4125.6000000000004</v>
      </c>
      <c r="K4225" s="4">
        <v>3060.11</v>
      </c>
      <c r="L4225" s="4">
        <v>1065.49</v>
      </c>
      <c r="M4225" s="1" t="str">
        <f>TEXT(Table1[[#This Row],[Order_Date]], "MMM")</f>
        <v>Oct</v>
      </c>
      <c r="N4225" s="1">
        <f>YEAR(Table1[[#This Row],[Order_Date]])</f>
        <v>2024</v>
      </c>
      <c r="O4225" s="7">
        <f>Table1[[#This Row],[Profit]]/Table1[[#This Row],[Total_Sales]]</f>
        <v>0.25826304052743843</v>
      </c>
    </row>
    <row r="4226" spans="1:15" x14ac:dyDescent="0.25">
      <c r="A4226" s="1">
        <v>4225</v>
      </c>
      <c r="B4226" s="2">
        <v>45425</v>
      </c>
      <c r="C4226" s="1" t="s">
        <v>16</v>
      </c>
      <c r="D4226" s="1" t="s">
        <v>20</v>
      </c>
      <c r="E4226" s="1" t="s">
        <v>21</v>
      </c>
      <c r="F4226" s="1" t="s">
        <v>35</v>
      </c>
      <c r="G4226" s="1">
        <v>9</v>
      </c>
      <c r="H4226" s="1">
        <v>269</v>
      </c>
      <c r="I4226" s="1">
        <v>15</v>
      </c>
      <c r="J4226" s="4">
        <v>2057.85</v>
      </c>
      <c r="K4226" s="4">
        <v>1253.26</v>
      </c>
      <c r="L4226" s="4">
        <v>804.59</v>
      </c>
      <c r="M4226" s="1" t="str">
        <f>TEXT(Table1[[#This Row],[Order_Date]], "MMM")</f>
        <v>May</v>
      </c>
      <c r="N4226" s="1">
        <f>YEAR(Table1[[#This Row],[Order_Date]])</f>
        <v>2024</v>
      </c>
      <c r="O4226" s="7">
        <f>Table1[[#This Row],[Profit]]/Table1[[#This Row],[Total_Sales]]</f>
        <v>0.39098573754160898</v>
      </c>
    </row>
    <row r="4227" spans="1:15" x14ac:dyDescent="0.25">
      <c r="A4227" s="1">
        <v>4226</v>
      </c>
      <c r="B4227" s="2">
        <v>45133</v>
      </c>
      <c r="C4227" s="1" t="s">
        <v>25</v>
      </c>
      <c r="D4227" s="1" t="s">
        <v>20</v>
      </c>
      <c r="E4227" s="1" t="s">
        <v>21</v>
      </c>
      <c r="F4227" s="1" t="s">
        <v>35</v>
      </c>
      <c r="G4227" s="1">
        <v>3</v>
      </c>
      <c r="H4227" s="1">
        <v>609</v>
      </c>
      <c r="I4227" s="1">
        <v>20</v>
      </c>
      <c r="J4227" s="4">
        <v>1461.6</v>
      </c>
      <c r="K4227" s="4">
        <v>755.92</v>
      </c>
      <c r="L4227" s="4">
        <v>705.68</v>
      </c>
      <c r="M4227" s="1" t="str">
        <f>TEXT(Table1[[#This Row],[Order_Date]], "MMM")</f>
        <v>Jul</v>
      </c>
      <c r="N4227" s="1">
        <f>YEAR(Table1[[#This Row],[Order_Date]])</f>
        <v>2023</v>
      </c>
      <c r="O4227" s="7">
        <f>Table1[[#This Row],[Profit]]/Table1[[#This Row],[Total_Sales]]</f>
        <v>0.4828133552271483</v>
      </c>
    </row>
    <row r="4228" spans="1:15" x14ac:dyDescent="0.25">
      <c r="A4228" s="1">
        <v>4227</v>
      </c>
      <c r="B4228" s="2">
        <v>45463</v>
      </c>
      <c r="C4228" s="1" t="s">
        <v>19</v>
      </c>
      <c r="D4228" s="1" t="s">
        <v>32</v>
      </c>
      <c r="E4228" s="1" t="s">
        <v>45</v>
      </c>
      <c r="F4228" s="1" t="s">
        <v>35</v>
      </c>
      <c r="G4228" s="1">
        <v>9</v>
      </c>
      <c r="H4228" s="1">
        <v>952</v>
      </c>
      <c r="I4228" s="1">
        <v>10</v>
      </c>
      <c r="J4228" s="4">
        <v>7711.2</v>
      </c>
      <c r="K4228" s="4">
        <v>5787.86</v>
      </c>
      <c r="L4228" s="4">
        <v>1923.34</v>
      </c>
      <c r="M4228" s="1" t="str">
        <f>TEXT(Table1[[#This Row],[Order_Date]], "MMM")</f>
        <v>Jun</v>
      </c>
      <c r="N4228" s="1">
        <f>YEAR(Table1[[#This Row],[Order_Date]])</f>
        <v>2024</v>
      </c>
      <c r="O4228" s="7">
        <f>Table1[[#This Row],[Profit]]/Table1[[#This Row],[Total_Sales]]</f>
        <v>0.24942162050005187</v>
      </c>
    </row>
    <row r="4229" spans="1:15" x14ac:dyDescent="0.25">
      <c r="A4229" s="1">
        <v>4228</v>
      </c>
      <c r="B4229" s="2">
        <v>45613</v>
      </c>
      <c r="C4229" s="1" t="s">
        <v>16</v>
      </c>
      <c r="D4229" s="1" t="s">
        <v>13</v>
      </c>
      <c r="E4229" s="1" t="s">
        <v>39</v>
      </c>
      <c r="F4229" s="1" t="s">
        <v>35</v>
      </c>
      <c r="G4229" s="1">
        <v>7</v>
      </c>
      <c r="H4229" s="1">
        <v>803</v>
      </c>
      <c r="I4229" s="1">
        <v>10</v>
      </c>
      <c r="J4229" s="4">
        <v>5058.8999999999996</v>
      </c>
      <c r="K4229" s="4">
        <v>2707.22</v>
      </c>
      <c r="L4229" s="4">
        <v>2351.6799999999998</v>
      </c>
      <c r="M4229" s="1" t="str">
        <f>TEXT(Table1[[#This Row],[Order_Date]], "MMM")</f>
        <v>Nov</v>
      </c>
      <c r="N4229" s="1">
        <f>YEAR(Table1[[#This Row],[Order_Date]])</f>
        <v>2024</v>
      </c>
      <c r="O4229" s="7">
        <f>Table1[[#This Row],[Profit]]/Table1[[#This Row],[Total_Sales]]</f>
        <v>0.46485994979145662</v>
      </c>
    </row>
    <row r="4230" spans="1:15" x14ac:dyDescent="0.25">
      <c r="A4230" s="1">
        <v>4229</v>
      </c>
      <c r="B4230" s="2">
        <v>45418</v>
      </c>
      <c r="C4230" s="1" t="s">
        <v>16</v>
      </c>
      <c r="D4230" s="1" t="s">
        <v>13</v>
      </c>
      <c r="E4230" s="1" t="s">
        <v>39</v>
      </c>
      <c r="F4230" s="1" t="s">
        <v>15</v>
      </c>
      <c r="G4230" s="1">
        <v>6</v>
      </c>
      <c r="H4230" s="1">
        <v>68</v>
      </c>
      <c r="I4230" s="1">
        <v>20</v>
      </c>
      <c r="J4230" s="4">
        <v>326.39999999999998</v>
      </c>
      <c r="K4230" s="4">
        <v>253.91</v>
      </c>
      <c r="L4230" s="4">
        <v>72.489999999999995</v>
      </c>
      <c r="M4230" s="1" t="str">
        <f>TEXT(Table1[[#This Row],[Order_Date]], "MMM")</f>
        <v>May</v>
      </c>
      <c r="N4230" s="1">
        <f>YEAR(Table1[[#This Row],[Order_Date]])</f>
        <v>2024</v>
      </c>
      <c r="O4230" s="7">
        <f>Table1[[#This Row],[Profit]]/Table1[[#This Row],[Total_Sales]]</f>
        <v>0.22208946078431371</v>
      </c>
    </row>
    <row r="4231" spans="1:15" x14ac:dyDescent="0.25">
      <c r="A4231" s="1">
        <v>4230</v>
      </c>
      <c r="B4231" s="2">
        <v>45036</v>
      </c>
      <c r="C4231" s="1" t="s">
        <v>16</v>
      </c>
      <c r="D4231" s="1" t="s">
        <v>20</v>
      </c>
      <c r="E4231" s="1" t="s">
        <v>30</v>
      </c>
      <c r="F4231" s="1" t="s">
        <v>18</v>
      </c>
      <c r="G4231" s="1">
        <v>2</v>
      </c>
      <c r="H4231" s="1">
        <v>894</v>
      </c>
      <c r="I4231" s="1">
        <v>15</v>
      </c>
      <c r="J4231" s="4">
        <v>1519.8</v>
      </c>
      <c r="K4231" s="4">
        <v>829.42</v>
      </c>
      <c r="L4231" s="4">
        <v>690.38</v>
      </c>
      <c r="M4231" s="1" t="str">
        <f>TEXT(Table1[[#This Row],[Order_Date]], "MMM")</f>
        <v>Apr</v>
      </c>
      <c r="N4231" s="1">
        <f>YEAR(Table1[[#This Row],[Order_Date]])</f>
        <v>2023</v>
      </c>
      <c r="O4231" s="7">
        <f>Table1[[#This Row],[Profit]]/Table1[[#This Row],[Total_Sales]]</f>
        <v>0.45425713909724963</v>
      </c>
    </row>
    <row r="4232" spans="1:15" x14ac:dyDescent="0.25">
      <c r="A4232" s="1">
        <v>4231</v>
      </c>
      <c r="B4232" s="2">
        <v>45548</v>
      </c>
      <c r="C4232" s="1" t="s">
        <v>25</v>
      </c>
      <c r="D4232" s="1" t="s">
        <v>32</v>
      </c>
      <c r="E4232" s="1" t="s">
        <v>34</v>
      </c>
      <c r="F4232" s="1" t="s">
        <v>18</v>
      </c>
      <c r="G4232" s="1">
        <v>4</v>
      </c>
      <c r="H4232" s="1">
        <v>21</v>
      </c>
      <c r="I4232" s="1">
        <v>20</v>
      </c>
      <c r="J4232" s="4">
        <v>67.2</v>
      </c>
      <c r="K4232" s="4">
        <v>44.64</v>
      </c>
      <c r="L4232" s="4">
        <v>22.56</v>
      </c>
      <c r="M4232" s="1" t="str">
        <f>TEXT(Table1[[#This Row],[Order_Date]], "MMM")</f>
        <v>Sep</v>
      </c>
      <c r="N4232" s="1">
        <f>YEAR(Table1[[#This Row],[Order_Date]])</f>
        <v>2024</v>
      </c>
      <c r="O4232" s="7">
        <f>Table1[[#This Row],[Profit]]/Table1[[#This Row],[Total_Sales]]</f>
        <v>0.33571428571428569</v>
      </c>
    </row>
    <row r="4233" spans="1:15" x14ac:dyDescent="0.25">
      <c r="A4233" s="1">
        <v>4232</v>
      </c>
      <c r="B4233" s="2">
        <v>45579</v>
      </c>
      <c r="C4233" s="1" t="s">
        <v>25</v>
      </c>
      <c r="D4233" s="1" t="s">
        <v>13</v>
      </c>
      <c r="E4233" s="1" t="s">
        <v>14</v>
      </c>
      <c r="F4233" s="1" t="s">
        <v>31</v>
      </c>
      <c r="G4233" s="1">
        <v>4</v>
      </c>
      <c r="H4233" s="1">
        <v>722</v>
      </c>
      <c r="I4233" s="1">
        <v>0</v>
      </c>
      <c r="J4233" s="4">
        <v>2888</v>
      </c>
      <c r="K4233" s="4">
        <v>2102.15</v>
      </c>
      <c r="L4233" s="4">
        <v>785.85</v>
      </c>
      <c r="M4233" s="1" t="str">
        <f>TEXT(Table1[[#This Row],[Order_Date]], "MMM")</f>
        <v>Oct</v>
      </c>
      <c r="N4233" s="1">
        <f>YEAR(Table1[[#This Row],[Order_Date]])</f>
        <v>2024</v>
      </c>
      <c r="O4233" s="7">
        <f>Table1[[#This Row],[Profit]]/Table1[[#This Row],[Total_Sales]]</f>
        <v>0.27210872576177286</v>
      </c>
    </row>
    <row r="4234" spans="1:15" x14ac:dyDescent="0.25">
      <c r="A4234" s="1">
        <v>4233</v>
      </c>
      <c r="B4234" s="2">
        <v>45229</v>
      </c>
      <c r="C4234" s="1" t="s">
        <v>16</v>
      </c>
      <c r="D4234" s="1" t="s">
        <v>32</v>
      </c>
      <c r="E4234" s="1" t="s">
        <v>34</v>
      </c>
      <c r="F4234" s="1" t="s">
        <v>35</v>
      </c>
      <c r="G4234" s="1">
        <v>1</v>
      </c>
      <c r="H4234" s="1">
        <v>590</v>
      </c>
      <c r="I4234" s="1">
        <v>20</v>
      </c>
      <c r="J4234" s="4">
        <v>472</v>
      </c>
      <c r="K4234" s="4">
        <v>294.86</v>
      </c>
      <c r="L4234" s="4">
        <v>177.14</v>
      </c>
      <c r="M4234" s="1" t="str">
        <f>TEXT(Table1[[#This Row],[Order_Date]], "MMM")</f>
        <v>Oct</v>
      </c>
      <c r="N4234" s="1">
        <f>YEAR(Table1[[#This Row],[Order_Date]])</f>
        <v>2023</v>
      </c>
      <c r="O4234" s="7">
        <f>Table1[[#This Row],[Profit]]/Table1[[#This Row],[Total_Sales]]</f>
        <v>0.37529661016949151</v>
      </c>
    </row>
    <row r="4235" spans="1:15" x14ac:dyDescent="0.25">
      <c r="A4235" s="1">
        <v>4234</v>
      </c>
      <c r="B4235" s="2">
        <v>45539</v>
      </c>
      <c r="C4235" s="1" t="s">
        <v>16</v>
      </c>
      <c r="D4235" s="1" t="s">
        <v>13</v>
      </c>
      <c r="E4235" s="1" t="s">
        <v>39</v>
      </c>
      <c r="F4235" s="1" t="s">
        <v>24</v>
      </c>
      <c r="G4235" s="1">
        <v>5</v>
      </c>
      <c r="H4235" s="1">
        <v>88</v>
      </c>
      <c r="I4235" s="1">
        <v>15</v>
      </c>
      <c r="J4235" s="4">
        <v>374</v>
      </c>
      <c r="K4235" s="4">
        <v>260.02999999999997</v>
      </c>
      <c r="L4235" s="4">
        <v>113.97</v>
      </c>
      <c r="M4235" s="1" t="str">
        <f>TEXT(Table1[[#This Row],[Order_Date]], "MMM")</f>
        <v>Sep</v>
      </c>
      <c r="N4235" s="1">
        <f>YEAR(Table1[[#This Row],[Order_Date]])</f>
        <v>2024</v>
      </c>
      <c r="O4235" s="7">
        <f>Table1[[#This Row],[Profit]]/Table1[[#This Row],[Total_Sales]]</f>
        <v>0.30473262032085563</v>
      </c>
    </row>
    <row r="4236" spans="1:15" x14ac:dyDescent="0.25">
      <c r="A4236" s="1">
        <v>4235</v>
      </c>
      <c r="B4236" s="2">
        <v>45045</v>
      </c>
      <c r="C4236" s="1" t="s">
        <v>12</v>
      </c>
      <c r="D4236" s="1" t="s">
        <v>13</v>
      </c>
      <c r="E4236" s="1" t="s">
        <v>14</v>
      </c>
      <c r="F4236" s="1" t="s">
        <v>35</v>
      </c>
      <c r="G4236" s="1">
        <v>8</v>
      </c>
      <c r="H4236" s="1">
        <v>617</v>
      </c>
      <c r="I4236" s="1">
        <v>5</v>
      </c>
      <c r="J4236" s="4">
        <v>4689.2</v>
      </c>
      <c r="K4236" s="4">
        <v>2962.53</v>
      </c>
      <c r="L4236" s="4">
        <v>1726.67</v>
      </c>
      <c r="M4236" s="1" t="str">
        <f>TEXT(Table1[[#This Row],[Order_Date]], "MMM")</f>
        <v>Apr</v>
      </c>
      <c r="N4236" s="1">
        <f>YEAR(Table1[[#This Row],[Order_Date]])</f>
        <v>2023</v>
      </c>
      <c r="O4236" s="7">
        <f>Table1[[#This Row],[Profit]]/Table1[[#This Row],[Total_Sales]]</f>
        <v>0.36822272455856014</v>
      </c>
    </row>
    <row r="4237" spans="1:15" x14ac:dyDescent="0.25">
      <c r="A4237" s="1">
        <v>4236</v>
      </c>
      <c r="B4237" s="2">
        <v>45330</v>
      </c>
      <c r="C4237" s="1" t="s">
        <v>25</v>
      </c>
      <c r="D4237" s="1" t="s">
        <v>22</v>
      </c>
      <c r="E4237" s="1" t="s">
        <v>29</v>
      </c>
      <c r="F4237" s="1" t="s">
        <v>18</v>
      </c>
      <c r="G4237" s="1">
        <v>4</v>
      </c>
      <c r="H4237" s="1">
        <v>525</v>
      </c>
      <c r="I4237" s="1">
        <v>5</v>
      </c>
      <c r="J4237" s="4">
        <v>1995</v>
      </c>
      <c r="K4237" s="4">
        <v>1180.46</v>
      </c>
      <c r="L4237" s="4">
        <v>814.54</v>
      </c>
      <c r="M4237" s="1" t="str">
        <f>TEXT(Table1[[#This Row],[Order_Date]], "MMM")</f>
        <v>Feb</v>
      </c>
      <c r="N4237" s="1">
        <f>YEAR(Table1[[#This Row],[Order_Date]])</f>
        <v>2024</v>
      </c>
      <c r="O4237" s="7">
        <f>Table1[[#This Row],[Profit]]/Table1[[#This Row],[Total_Sales]]</f>
        <v>0.40829072681704259</v>
      </c>
    </row>
    <row r="4238" spans="1:15" x14ac:dyDescent="0.25">
      <c r="A4238" s="1">
        <v>4237</v>
      </c>
      <c r="B4238" s="2">
        <v>45507</v>
      </c>
      <c r="C4238" s="1" t="s">
        <v>16</v>
      </c>
      <c r="D4238" s="1" t="s">
        <v>22</v>
      </c>
      <c r="E4238" s="1" t="s">
        <v>44</v>
      </c>
      <c r="F4238" s="1" t="s">
        <v>24</v>
      </c>
      <c r="G4238" s="1">
        <v>3</v>
      </c>
      <c r="H4238" s="1">
        <v>534</v>
      </c>
      <c r="I4238" s="1">
        <v>10</v>
      </c>
      <c r="J4238" s="4">
        <v>1441.8</v>
      </c>
      <c r="K4238" s="4">
        <v>974.37</v>
      </c>
      <c r="L4238" s="4">
        <v>467.43</v>
      </c>
      <c r="M4238" s="1" t="str">
        <f>TEXT(Table1[[#This Row],[Order_Date]], "MMM")</f>
        <v>Aug</v>
      </c>
      <c r="N4238" s="1">
        <f>YEAR(Table1[[#This Row],[Order_Date]])</f>
        <v>2024</v>
      </c>
      <c r="O4238" s="7">
        <f>Table1[[#This Row],[Profit]]/Table1[[#This Row],[Total_Sales]]</f>
        <v>0.32419891801914275</v>
      </c>
    </row>
    <row r="4239" spans="1:15" x14ac:dyDescent="0.25">
      <c r="A4239" s="1">
        <v>4238</v>
      </c>
      <c r="B4239" s="2">
        <v>45057</v>
      </c>
      <c r="C4239" s="1" t="s">
        <v>12</v>
      </c>
      <c r="D4239" s="1" t="s">
        <v>32</v>
      </c>
      <c r="E4239" s="1" t="s">
        <v>45</v>
      </c>
      <c r="F4239" s="1" t="s">
        <v>15</v>
      </c>
      <c r="G4239" s="1">
        <v>5</v>
      </c>
      <c r="H4239" s="1">
        <v>753</v>
      </c>
      <c r="I4239" s="1">
        <v>20</v>
      </c>
      <c r="J4239" s="4">
        <v>3012</v>
      </c>
      <c r="K4239" s="4">
        <v>1758.98</v>
      </c>
      <c r="L4239" s="4">
        <v>1253.02</v>
      </c>
      <c r="M4239" s="1" t="str">
        <f>TEXT(Table1[[#This Row],[Order_Date]], "MMM")</f>
        <v>May</v>
      </c>
      <c r="N4239" s="1">
        <f>YEAR(Table1[[#This Row],[Order_Date]])</f>
        <v>2023</v>
      </c>
      <c r="O4239" s="7">
        <f>Table1[[#This Row],[Profit]]/Table1[[#This Row],[Total_Sales]]</f>
        <v>0.41600929614873838</v>
      </c>
    </row>
    <row r="4240" spans="1:15" x14ac:dyDescent="0.25">
      <c r="A4240" s="1">
        <v>4239</v>
      </c>
      <c r="B4240" s="2">
        <v>45132</v>
      </c>
      <c r="C4240" s="1" t="s">
        <v>25</v>
      </c>
      <c r="D4240" s="1" t="s">
        <v>32</v>
      </c>
      <c r="E4240" s="1" t="s">
        <v>45</v>
      </c>
      <c r="F4240" s="1" t="s">
        <v>15</v>
      </c>
      <c r="G4240" s="1">
        <v>1</v>
      </c>
      <c r="H4240" s="1">
        <v>972</v>
      </c>
      <c r="I4240" s="1">
        <v>10</v>
      </c>
      <c r="J4240" s="4">
        <v>874.8</v>
      </c>
      <c r="K4240" s="4">
        <v>453.97</v>
      </c>
      <c r="L4240" s="4">
        <v>420.83</v>
      </c>
      <c r="M4240" s="1" t="str">
        <f>TEXT(Table1[[#This Row],[Order_Date]], "MMM")</f>
        <v>Jul</v>
      </c>
      <c r="N4240" s="1">
        <f>YEAR(Table1[[#This Row],[Order_Date]])</f>
        <v>2023</v>
      </c>
      <c r="O4240" s="7">
        <f>Table1[[#This Row],[Profit]]/Table1[[#This Row],[Total_Sales]]</f>
        <v>0.48105852766346596</v>
      </c>
    </row>
    <row r="4241" spans="1:15" x14ac:dyDescent="0.25">
      <c r="A4241" s="1">
        <v>4240</v>
      </c>
      <c r="B4241" s="2">
        <v>45103</v>
      </c>
      <c r="C4241" s="1" t="s">
        <v>12</v>
      </c>
      <c r="D4241" s="1" t="s">
        <v>32</v>
      </c>
      <c r="E4241" s="1" t="s">
        <v>33</v>
      </c>
      <c r="F4241" s="1" t="s">
        <v>18</v>
      </c>
      <c r="G4241" s="1">
        <v>5</v>
      </c>
      <c r="H4241" s="1">
        <v>42</v>
      </c>
      <c r="I4241" s="1">
        <v>15</v>
      </c>
      <c r="J4241" s="4">
        <v>178.5</v>
      </c>
      <c r="K4241" s="4">
        <v>141.97</v>
      </c>
      <c r="L4241" s="4">
        <v>36.53</v>
      </c>
      <c r="M4241" s="1" t="str">
        <f>TEXT(Table1[[#This Row],[Order_Date]], "MMM")</f>
        <v>Jun</v>
      </c>
      <c r="N4241" s="1">
        <f>YEAR(Table1[[#This Row],[Order_Date]])</f>
        <v>2023</v>
      </c>
      <c r="O4241" s="7">
        <f>Table1[[#This Row],[Profit]]/Table1[[#This Row],[Total_Sales]]</f>
        <v>0.20464985994397761</v>
      </c>
    </row>
    <row r="4242" spans="1:15" x14ac:dyDescent="0.25">
      <c r="A4242" s="1">
        <v>4241</v>
      </c>
      <c r="B4242" s="2">
        <v>45625</v>
      </c>
      <c r="C4242" s="1" t="s">
        <v>16</v>
      </c>
      <c r="D4242" s="1" t="s">
        <v>32</v>
      </c>
      <c r="E4242" s="1" t="s">
        <v>34</v>
      </c>
      <c r="F4242" s="1" t="s">
        <v>15</v>
      </c>
      <c r="G4242" s="1">
        <v>9</v>
      </c>
      <c r="H4242" s="1">
        <v>408</v>
      </c>
      <c r="I4242" s="1">
        <v>5</v>
      </c>
      <c r="J4242" s="4">
        <v>3488.4</v>
      </c>
      <c r="K4242" s="4">
        <v>1977.25</v>
      </c>
      <c r="L4242" s="4">
        <v>1511.15</v>
      </c>
      <c r="M4242" s="1" t="str">
        <f>TEXT(Table1[[#This Row],[Order_Date]], "MMM")</f>
        <v>Nov</v>
      </c>
      <c r="N4242" s="1">
        <f>YEAR(Table1[[#This Row],[Order_Date]])</f>
        <v>2024</v>
      </c>
      <c r="O4242" s="7">
        <f>Table1[[#This Row],[Profit]]/Table1[[#This Row],[Total_Sales]]</f>
        <v>0.43319286779039101</v>
      </c>
    </row>
    <row r="4243" spans="1:15" x14ac:dyDescent="0.25">
      <c r="A4243" s="1">
        <v>4242</v>
      </c>
      <c r="B4243" s="2">
        <v>45262</v>
      </c>
      <c r="C4243" s="1" t="s">
        <v>12</v>
      </c>
      <c r="D4243" s="1" t="s">
        <v>22</v>
      </c>
      <c r="E4243" s="1" t="s">
        <v>36</v>
      </c>
      <c r="F4243" s="1" t="s">
        <v>40</v>
      </c>
      <c r="G4243" s="1">
        <v>2</v>
      </c>
      <c r="H4243" s="1">
        <v>622</v>
      </c>
      <c r="I4243" s="1">
        <v>15</v>
      </c>
      <c r="J4243" s="4">
        <v>1057.4000000000001</v>
      </c>
      <c r="K4243" s="4">
        <v>674.83</v>
      </c>
      <c r="L4243" s="4">
        <v>382.57</v>
      </c>
      <c r="M4243" s="1" t="str">
        <f>TEXT(Table1[[#This Row],[Order_Date]], "MMM")</f>
        <v>Dec</v>
      </c>
      <c r="N4243" s="1">
        <f>YEAR(Table1[[#This Row],[Order_Date]])</f>
        <v>2023</v>
      </c>
      <c r="O4243" s="7">
        <f>Table1[[#This Row],[Profit]]/Table1[[#This Row],[Total_Sales]]</f>
        <v>0.36180253451863059</v>
      </c>
    </row>
    <row r="4244" spans="1:15" x14ac:dyDescent="0.25">
      <c r="A4244" s="1">
        <v>4243</v>
      </c>
      <c r="B4244" s="2">
        <v>44935</v>
      </c>
      <c r="C4244" s="1" t="s">
        <v>25</v>
      </c>
      <c r="D4244" s="1" t="s">
        <v>26</v>
      </c>
      <c r="E4244" s="1" t="s">
        <v>27</v>
      </c>
      <c r="F4244" s="1" t="s">
        <v>15</v>
      </c>
      <c r="G4244" s="1">
        <v>8</v>
      </c>
      <c r="H4244" s="1">
        <v>429</v>
      </c>
      <c r="I4244" s="1">
        <v>20</v>
      </c>
      <c r="J4244" s="4">
        <v>2745.6</v>
      </c>
      <c r="K4244" s="4">
        <v>1632.05</v>
      </c>
      <c r="L4244" s="4">
        <v>1113.55</v>
      </c>
      <c r="M4244" s="1" t="str">
        <f>TEXT(Table1[[#This Row],[Order_Date]], "MMM")</f>
        <v>Jan</v>
      </c>
      <c r="N4244" s="1">
        <f>YEAR(Table1[[#This Row],[Order_Date]])</f>
        <v>2023</v>
      </c>
      <c r="O4244" s="7">
        <f>Table1[[#This Row],[Profit]]/Table1[[#This Row],[Total_Sales]]</f>
        <v>0.40557619463869465</v>
      </c>
    </row>
    <row r="4245" spans="1:15" x14ac:dyDescent="0.25">
      <c r="A4245" s="1">
        <v>4244</v>
      </c>
      <c r="B4245" s="2">
        <v>45127</v>
      </c>
      <c r="C4245" s="1" t="s">
        <v>16</v>
      </c>
      <c r="D4245" s="1" t="s">
        <v>13</v>
      </c>
      <c r="E4245" s="1" t="s">
        <v>14</v>
      </c>
      <c r="F4245" s="1" t="s">
        <v>40</v>
      </c>
      <c r="G4245" s="1">
        <v>3</v>
      </c>
      <c r="H4245" s="1">
        <v>156</v>
      </c>
      <c r="I4245" s="1">
        <v>20</v>
      </c>
      <c r="J4245" s="4">
        <v>374.4</v>
      </c>
      <c r="K4245" s="4">
        <v>196.52</v>
      </c>
      <c r="L4245" s="4">
        <v>177.88</v>
      </c>
      <c r="M4245" s="1" t="str">
        <f>TEXT(Table1[[#This Row],[Order_Date]], "MMM")</f>
        <v>Jul</v>
      </c>
      <c r="N4245" s="1">
        <f>YEAR(Table1[[#This Row],[Order_Date]])</f>
        <v>2023</v>
      </c>
      <c r="O4245" s="7">
        <f>Table1[[#This Row],[Profit]]/Table1[[#This Row],[Total_Sales]]</f>
        <v>0.47510683760683764</v>
      </c>
    </row>
    <row r="4246" spans="1:15" x14ac:dyDescent="0.25">
      <c r="A4246" s="1">
        <v>4245</v>
      </c>
      <c r="B4246" s="2">
        <v>45321</v>
      </c>
      <c r="C4246" s="1" t="s">
        <v>12</v>
      </c>
      <c r="D4246" s="1" t="s">
        <v>32</v>
      </c>
      <c r="E4246" s="1" t="s">
        <v>33</v>
      </c>
      <c r="F4246" s="1" t="s">
        <v>35</v>
      </c>
      <c r="G4246" s="1">
        <v>7</v>
      </c>
      <c r="H4246" s="1">
        <v>561</v>
      </c>
      <c r="I4246" s="1">
        <v>10</v>
      </c>
      <c r="J4246" s="4">
        <v>3534.3</v>
      </c>
      <c r="K4246" s="4">
        <v>1803.03</v>
      </c>
      <c r="L4246" s="4">
        <v>1731.27</v>
      </c>
      <c r="M4246" s="1" t="str">
        <f>TEXT(Table1[[#This Row],[Order_Date]], "MMM")</f>
        <v>Jan</v>
      </c>
      <c r="N4246" s="1">
        <f>YEAR(Table1[[#This Row],[Order_Date]])</f>
        <v>2024</v>
      </c>
      <c r="O4246" s="7">
        <f>Table1[[#This Row],[Profit]]/Table1[[#This Row],[Total_Sales]]</f>
        <v>0.4898480604362957</v>
      </c>
    </row>
    <row r="4247" spans="1:15" x14ac:dyDescent="0.25">
      <c r="A4247" s="1">
        <v>4246</v>
      </c>
      <c r="B4247" s="2">
        <v>45473</v>
      </c>
      <c r="C4247" s="1" t="s">
        <v>19</v>
      </c>
      <c r="D4247" s="1" t="s">
        <v>13</v>
      </c>
      <c r="E4247" s="1" t="s">
        <v>14</v>
      </c>
      <c r="F4247" s="1" t="s">
        <v>31</v>
      </c>
      <c r="G4247" s="1">
        <v>6</v>
      </c>
      <c r="H4247" s="1">
        <v>270</v>
      </c>
      <c r="I4247" s="1">
        <v>20</v>
      </c>
      <c r="J4247" s="4">
        <v>1296</v>
      </c>
      <c r="K4247" s="4">
        <v>745.79</v>
      </c>
      <c r="L4247" s="4">
        <v>550.21</v>
      </c>
      <c r="M4247" s="1" t="str">
        <f>TEXT(Table1[[#This Row],[Order_Date]], "MMM")</f>
        <v>Jun</v>
      </c>
      <c r="N4247" s="1">
        <f>YEAR(Table1[[#This Row],[Order_Date]])</f>
        <v>2024</v>
      </c>
      <c r="O4247" s="7">
        <f>Table1[[#This Row],[Profit]]/Table1[[#This Row],[Total_Sales]]</f>
        <v>0.42454475308641976</v>
      </c>
    </row>
    <row r="4248" spans="1:15" x14ac:dyDescent="0.25">
      <c r="A4248" s="1">
        <v>4247</v>
      </c>
      <c r="B4248" s="2">
        <v>45404</v>
      </c>
      <c r="C4248" s="1" t="s">
        <v>12</v>
      </c>
      <c r="D4248" s="1" t="s">
        <v>20</v>
      </c>
      <c r="E4248" s="1" t="s">
        <v>28</v>
      </c>
      <c r="F4248" s="1" t="s">
        <v>31</v>
      </c>
      <c r="G4248" s="1">
        <v>6</v>
      </c>
      <c r="H4248" s="1">
        <v>938</v>
      </c>
      <c r="I4248" s="1">
        <v>15</v>
      </c>
      <c r="J4248" s="4">
        <v>4783.8</v>
      </c>
      <c r="K4248" s="4">
        <v>2932.96</v>
      </c>
      <c r="L4248" s="4">
        <v>1850.84</v>
      </c>
      <c r="M4248" s="1" t="str">
        <f>TEXT(Table1[[#This Row],[Order_Date]], "MMM")</f>
        <v>Apr</v>
      </c>
      <c r="N4248" s="1">
        <f>YEAR(Table1[[#This Row],[Order_Date]])</f>
        <v>2024</v>
      </c>
      <c r="O4248" s="7">
        <f>Table1[[#This Row],[Profit]]/Table1[[#This Row],[Total_Sales]]</f>
        <v>0.3868974455453823</v>
      </c>
    </row>
    <row r="4249" spans="1:15" x14ac:dyDescent="0.25">
      <c r="A4249" s="1">
        <v>4248</v>
      </c>
      <c r="B4249" s="2">
        <v>45143</v>
      </c>
      <c r="C4249" s="1" t="s">
        <v>19</v>
      </c>
      <c r="D4249" s="1" t="s">
        <v>13</v>
      </c>
      <c r="E4249" s="1" t="s">
        <v>17</v>
      </c>
      <c r="F4249" s="1" t="s">
        <v>40</v>
      </c>
      <c r="G4249" s="1">
        <v>2</v>
      </c>
      <c r="H4249" s="1">
        <v>490</v>
      </c>
      <c r="I4249" s="1">
        <v>20</v>
      </c>
      <c r="J4249" s="4">
        <v>784</v>
      </c>
      <c r="K4249" s="4">
        <v>604.34</v>
      </c>
      <c r="L4249" s="4">
        <v>179.66</v>
      </c>
      <c r="M4249" s="1" t="str">
        <f>TEXT(Table1[[#This Row],[Order_Date]], "MMM")</f>
        <v>Aug</v>
      </c>
      <c r="N4249" s="1">
        <f>YEAR(Table1[[#This Row],[Order_Date]])</f>
        <v>2023</v>
      </c>
      <c r="O4249" s="7">
        <f>Table1[[#This Row],[Profit]]/Table1[[#This Row],[Total_Sales]]</f>
        <v>0.22915816326530611</v>
      </c>
    </row>
    <row r="4250" spans="1:15" x14ac:dyDescent="0.25">
      <c r="A4250" s="1">
        <v>4249</v>
      </c>
      <c r="B4250" s="2">
        <v>45112</v>
      </c>
      <c r="C4250" s="1" t="s">
        <v>16</v>
      </c>
      <c r="D4250" s="1" t="s">
        <v>32</v>
      </c>
      <c r="E4250" s="1" t="s">
        <v>41</v>
      </c>
      <c r="F4250" s="1" t="s">
        <v>40</v>
      </c>
      <c r="G4250" s="1">
        <v>9</v>
      </c>
      <c r="H4250" s="1">
        <v>572</v>
      </c>
      <c r="I4250" s="1">
        <v>0</v>
      </c>
      <c r="J4250" s="4">
        <v>5148</v>
      </c>
      <c r="K4250" s="4">
        <v>2693.38</v>
      </c>
      <c r="L4250" s="4">
        <v>2454.62</v>
      </c>
      <c r="M4250" s="1" t="str">
        <f>TEXT(Table1[[#This Row],[Order_Date]], "MMM")</f>
        <v>Jul</v>
      </c>
      <c r="N4250" s="1">
        <f>YEAR(Table1[[#This Row],[Order_Date]])</f>
        <v>2023</v>
      </c>
      <c r="O4250" s="7">
        <f>Table1[[#This Row],[Profit]]/Table1[[#This Row],[Total_Sales]]</f>
        <v>0.47681041181041178</v>
      </c>
    </row>
    <row r="4251" spans="1:15" x14ac:dyDescent="0.25">
      <c r="A4251" s="1">
        <v>4250</v>
      </c>
      <c r="B4251" s="2">
        <v>45038</v>
      </c>
      <c r="C4251" s="1" t="s">
        <v>16</v>
      </c>
      <c r="D4251" s="1" t="s">
        <v>32</v>
      </c>
      <c r="E4251" s="1" t="s">
        <v>34</v>
      </c>
      <c r="F4251" s="1" t="s">
        <v>24</v>
      </c>
      <c r="G4251" s="1">
        <v>10</v>
      </c>
      <c r="H4251" s="1">
        <v>742</v>
      </c>
      <c r="I4251" s="1">
        <v>10</v>
      </c>
      <c r="J4251" s="4">
        <v>6678</v>
      </c>
      <c r="K4251" s="4">
        <v>3929.89</v>
      </c>
      <c r="L4251" s="4">
        <v>2748.11</v>
      </c>
      <c r="M4251" s="1" t="str">
        <f>TEXT(Table1[[#This Row],[Order_Date]], "MMM")</f>
        <v>Apr</v>
      </c>
      <c r="N4251" s="1">
        <f>YEAR(Table1[[#This Row],[Order_Date]])</f>
        <v>2023</v>
      </c>
      <c r="O4251" s="7">
        <f>Table1[[#This Row],[Profit]]/Table1[[#This Row],[Total_Sales]]</f>
        <v>0.41151692123390238</v>
      </c>
    </row>
    <row r="4252" spans="1:15" x14ac:dyDescent="0.25">
      <c r="A4252" s="1">
        <v>4251</v>
      </c>
      <c r="B4252" s="2">
        <v>45086</v>
      </c>
      <c r="C4252" s="1" t="s">
        <v>19</v>
      </c>
      <c r="D4252" s="1" t="s">
        <v>22</v>
      </c>
      <c r="E4252" s="1" t="s">
        <v>29</v>
      </c>
      <c r="F4252" s="1" t="s">
        <v>40</v>
      </c>
      <c r="G4252" s="1">
        <v>1</v>
      </c>
      <c r="H4252" s="1">
        <v>444</v>
      </c>
      <c r="I4252" s="1">
        <v>10</v>
      </c>
      <c r="J4252" s="4">
        <v>399.6</v>
      </c>
      <c r="K4252" s="4">
        <v>279.87</v>
      </c>
      <c r="L4252" s="4">
        <v>119.73</v>
      </c>
      <c r="M4252" s="1" t="str">
        <f>TEXT(Table1[[#This Row],[Order_Date]], "MMM")</f>
        <v>Jun</v>
      </c>
      <c r="N4252" s="1">
        <f>YEAR(Table1[[#This Row],[Order_Date]])</f>
        <v>2023</v>
      </c>
      <c r="O4252" s="7">
        <f>Table1[[#This Row],[Profit]]/Table1[[#This Row],[Total_Sales]]</f>
        <v>0.29962462462462464</v>
      </c>
    </row>
    <row r="4253" spans="1:15" x14ac:dyDescent="0.25">
      <c r="A4253" s="1">
        <v>4252</v>
      </c>
      <c r="B4253" s="2">
        <v>45060</v>
      </c>
      <c r="C4253" s="1" t="s">
        <v>16</v>
      </c>
      <c r="D4253" s="1" t="s">
        <v>20</v>
      </c>
      <c r="E4253" s="1" t="s">
        <v>28</v>
      </c>
      <c r="F4253" s="1" t="s">
        <v>35</v>
      </c>
      <c r="G4253" s="1">
        <v>1</v>
      </c>
      <c r="H4253" s="1">
        <v>939</v>
      </c>
      <c r="I4253" s="1">
        <v>5</v>
      </c>
      <c r="J4253" s="4">
        <v>892.05</v>
      </c>
      <c r="K4253" s="4">
        <v>515.83000000000004</v>
      </c>
      <c r="L4253" s="4">
        <v>376.22</v>
      </c>
      <c r="M4253" s="1" t="str">
        <f>TEXT(Table1[[#This Row],[Order_Date]], "MMM")</f>
        <v>May</v>
      </c>
      <c r="N4253" s="1">
        <f>YEAR(Table1[[#This Row],[Order_Date]])</f>
        <v>2023</v>
      </c>
      <c r="O4253" s="7">
        <f>Table1[[#This Row],[Profit]]/Table1[[#This Row],[Total_Sales]]</f>
        <v>0.42174765988453566</v>
      </c>
    </row>
    <row r="4254" spans="1:15" x14ac:dyDescent="0.25">
      <c r="A4254" s="1">
        <v>4253</v>
      </c>
      <c r="B4254" s="2">
        <v>45386</v>
      </c>
      <c r="C4254" s="1" t="s">
        <v>12</v>
      </c>
      <c r="D4254" s="1" t="s">
        <v>13</v>
      </c>
      <c r="E4254" s="1" t="s">
        <v>14</v>
      </c>
      <c r="F4254" s="1" t="s">
        <v>40</v>
      </c>
      <c r="G4254" s="1">
        <v>3</v>
      </c>
      <c r="H4254" s="1">
        <v>175</v>
      </c>
      <c r="I4254" s="1">
        <v>5</v>
      </c>
      <c r="J4254" s="4">
        <v>498.75</v>
      </c>
      <c r="K4254" s="4">
        <v>376.93</v>
      </c>
      <c r="L4254" s="4">
        <v>121.82</v>
      </c>
      <c r="M4254" s="1" t="str">
        <f>TEXT(Table1[[#This Row],[Order_Date]], "MMM")</f>
        <v>Apr</v>
      </c>
      <c r="N4254" s="1">
        <f>YEAR(Table1[[#This Row],[Order_Date]])</f>
        <v>2024</v>
      </c>
      <c r="O4254" s="7">
        <f>Table1[[#This Row],[Profit]]/Table1[[#This Row],[Total_Sales]]</f>
        <v>0.24425062656641602</v>
      </c>
    </row>
    <row r="4255" spans="1:15" x14ac:dyDescent="0.25">
      <c r="A4255" s="1">
        <v>4254</v>
      </c>
      <c r="B4255" s="2">
        <v>45109</v>
      </c>
      <c r="C4255" s="1" t="s">
        <v>16</v>
      </c>
      <c r="D4255" s="1" t="s">
        <v>22</v>
      </c>
      <c r="E4255" s="1" t="s">
        <v>23</v>
      </c>
      <c r="F4255" s="1" t="s">
        <v>35</v>
      </c>
      <c r="G4255" s="1">
        <v>4</v>
      </c>
      <c r="H4255" s="1">
        <v>51</v>
      </c>
      <c r="I4255" s="1">
        <v>20</v>
      </c>
      <c r="J4255" s="4">
        <v>163.19999999999999</v>
      </c>
      <c r="K4255" s="4">
        <v>120.78</v>
      </c>
      <c r="L4255" s="4">
        <v>42.42</v>
      </c>
      <c r="M4255" s="1" t="str">
        <f>TEXT(Table1[[#This Row],[Order_Date]], "MMM")</f>
        <v>Jul</v>
      </c>
      <c r="N4255" s="1">
        <f>YEAR(Table1[[#This Row],[Order_Date]])</f>
        <v>2023</v>
      </c>
      <c r="O4255" s="7">
        <f>Table1[[#This Row],[Profit]]/Table1[[#This Row],[Total_Sales]]</f>
        <v>0.25992647058823531</v>
      </c>
    </row>
    <row r="4256" spans="1:15" x14ac:dyDescent="0.25">
      <c r="A4256" s="1">
        <v>4255</v>
      </c>
      <c r="B4256" s="2">
        <v>45026</v>
      </c>
      <c r="C4256" s="1" t="s">
        <v>12</v>
      </c>
      <c r="D4256" s="1" t="s">
        <v>32</v>
      </c>
      <c r="E4256" s="1" t="s">
        <v>41</v>
      </c>
      <c r="F4256" s="1" t="s">
        <v>24</v>
      </c>
      <c r="G4256" s="1">
        <v>8</v>
      </c>
      <c r="H4256" s="1">
        <v>510</v>
      </c>
      <c r="I4256" s="1">
        <v>5</v>
      </c>
      <c r="J4256" s="4">
        <v>3876</v>
      </c>
      <c r="K4256" s="4">
        <v>1959.02</v>
      </c>
      <c r="L4256" s="4">
        <v>1916.98</v>
      </c>
      <c r="M4256" s="1" t="str">
        <f>TEXT(Table1[[#This Row],[Order_Date]], "MMM")</f>
        <v>Apr</v>
      </c>
      <c r="N4256" s="1">
        <f>YEAR(Table1[[#This Row],[Order_Date]])</f>
        <v>2023</v>
      </c>
      <c r="O4256" s="7">
        <f>Table1[[#This Row],[Profit]]/Table1[[#This Row],[Total_Sales]]</f>
        <v>0.49457688338493294</v>
      </c>
    </row>
    <row r="4257" spans="1:15" x14ac:dyDescent="0.25">
      <c r="A4257" s="1">
        <v>4256</v>
      </c>
      <c r="B4257" s="2">
        <v>45512</v>
      </c>
      <c r="C4257" s="1" t="s">
        <v>16</v>
      </c>
      <c r="D4257" s="1" t="s">
        <v>26</v>
      </c>
      <c r="E4257" s="1" t="s">
        <v>46</v>
      </c>
      <c r="F4257" s="1" t="s">
        <v>35</v>
      </c>
      <c r="G4257" s="1">
        <v>10</v>
      </c>
      <c r="H4257" s="1">
        <v>562</v>
      </c>
      <c r="I4257" s="1">
        <v>0</v>
      </c>
      <c r="J4257" s="4">
        <v>5620</v>
      </c>
      <c r="K4257" s="4">
        <v>3327.01</v>
      </c>
      <c r="L4257" s="4">
        <v>2292.9899999999998</v>
      </c>
      <c r="M4257" s="1" t="str">
        <f>TEXT(Table1[[#This Row],[Order_Date]], "MMM")</f>
        <v>Aug</v>
      </c>
      <c r="N4257" s="1">
        <f>YEAR(Table1[[#This Row],[Order_Date]])</f>
        <v>2024</v>
      </c>
      <c r="O4257" s="7">
        <f>Table1[[#This Row],[Profit]]/Table1[[#This Row],[Total_Sales]]</f>
        <v>0.40800533807829176</v>
      </c>
    </row>
    <row r="4258" spans="1:15" x14ac:dyDescent="0.25">
      <c r="A4258" s="1">
        <v>4257</v>
      </c>
      <c r="B4258" s="2">
        <v>45034</v>
      </c>
      <c r="C4258" s="1" t="s">
        <v>12</v>
      </c>
      <c r="D4258" s="1" t="s">
        <v>26</v>
      </c>
      <c r="E4258" s="1" t="s">
        <v>27</v>
      </c>
      <c r="F4258" s="1" t="s">
        <v>35</v>
      </c>
      <c r="G4258" s="1">
        <v>9</v>
      </c>
      <c r="H4258" s="1">
        <v>69</v>
      </c>
      <c r="I4258" s="1">
        <v>15</v>
      </c>
      <c r="J4258" s="4">
        <v>527.85</v>
      </c>
      <c r="K4258" s="4">
        <v>406.41</v>
      </c>
      <c r="L4258" s="4">
        <v>121.44</v>
      </c>
      <c r="M4258" s="1" t="str">
        <f>TEXT(Table1[[#This Row],[Order_Date]], "MMM")</f>
        <v>Apr</v>
      </c>
      <c r="N4258" s="1">
        <f>YEAR(Table1[[#This Row],[Order_Date]])</f>
        <v>2023</v>
      </c>
      <c r="O4258" s="7">
        <f>Table1[[#This Row],[Profit]]/Table1[[#This Row],[Total_Sales]]</f>
        <v>0.23006535947712417</v>
      </c>
    </row>
    <row r="4259" spans="1:15" x14ac:dyDescent="0.25">
      <c r="A4259" s="1">
        <v>4258</v>
      </c>
      <c r="B4259" s="2">
        <v>45281</v>
      </c>
      <c r="C4259" s="1" t="s">
        <v>12</v>
      </c>
      <c r="D4259" s="1" t="s">
        <v>22</v>
      </c>
      <c r="E4259" s="1" t="s">
        <v>36</v>
      </c>
      <c r="F4259" s="1" t="s">
        <v>35</v>
      </c>
      <c r="G4259" s="1">
        <v>2</v>
      </c>
      <c r="H4259" s="1">
        <v>265</v>
      </c>
      <c r="I4259" s="1">
        <v>20</v>
      </c>
      <c r="J4259" s="4">
        <v>424</v>
      </c>
      <c r="K4259" s="4">
        <v>338.28</v>
      </c>
      <c r="L4259" s="4">
        <v>85.72</v>
      </c>
      <c r="M4259" s="1" t="str">
        <f>TEXT(Table1[[#This Row],[Order_Date]], "MMM")</f>
        <v>Dec</v>
      </c>
      <c r="N4259" s="1">
        <f>YEAR(Table1[[#This Row],[Order_Date]])</f>
        <v>2023</v>
      </c>
      <c r="O4259" s="7">
        <f>Table1[[#This Row],[Profit]]/Table1[[#This Row],[Total_Sales]]</f>
        <v>0.20216981132075471</v>
      </c>
    </row>
    <row r="4260" spans="1:15" x14ac:dyDescent="0.25">
      <c r="A4260" s="1">
        <v>4259</v>
      </c>
      <c r="B4260" s="2">
        <v>45256</v>
      </c>
      <c r="C4260" s="1" t="s">
        <v>16</v>
      </c>
      <c r="D4260" s="1" t="s">
        <v>22</v>
      </c>
      <c r="E4260" s="1" t="s">
        <v>23</v>
      </c>
      <c r="F4260" s="1" t="s">
        <v>15</v>
      </c>
      <c r="G4260" s="1">
        <v>5</v>
      </c>
      <c r="H4260" s="1">
        <v>728</v>
      </c>
      <c r="I4260" s="1">
        <v>5</v>
      </c>
      <c r="J4260" s="4">
        <v>3458</v>
      </c>
      <c r="K4260" s="4">
        <v>2458.84</v>
      </c>
      <c r="L4260" s="4">
        <v>999.16</v>
      </c>
      <c r="M4260" s="1" t="str">
        <f>TEXT(Table1[[#This Row],[Order_Date]], "MMM")</f>
        <v>Nov</v>
      </c>
      <c r="N4260" s="1">
        <f>YEAR(Table1[[#This Row],[Order_Date]])</f>
        <v>2023</v>
      </c>
      <c r="O4260" s="7">
        <f>Table1[[#This Row],[Profit]]/Table1[[#This Row],[Total_Sales]]</f>
        <v>0.28894158473105841</v>
      </c>
    </row>
    <row r="4261" spans="1:15" x14ac:dyDescent="0.25">
      <c r="A4261" s="1">
        <v>4260</v>
      </c>
      <c r="B4261" s="2">
        <v>44937</v>
      </c>
      <c r="C4261" s="1" t="s">
        <v>16</v>
      </c>
      <c r="D4261" s="1" t="s">
        <v>13</v>
      </c>
      <c r="E4261" s="1" t="s">
        <v>17</v>
      </c>
      <c r="F4261" s="1" t="s">
        <v>40</v>
      </c>
      <c r="G4261" s="1">
        <v>7</v>
      </c>
      <c r="H4261" s="1">
        <v>42</v>
      </c>
      <c r="I4261" s="1">
        <v>5</v>
      </c>
      <c r="J4261" s="4">
        <v>279.3</v>
      </c>
      <c r="K4261" s="4">
        <v>210.88</v>
      </c>
      <c r="L4261" s="4">
        <v>68.42</v>
      </c>
      <c r="M4261" s="1" t="str">
        <f>TEXT(Table1[[#This Row],[Order_Date]], "MMM")</f>
        <v>Jan</v>
      </c>
      <c r="N4261" s="1">
        <f>YEAR(Table1[[#This Row],[Order_Date]])</f>
        <v>2023</v>
      </c>
      <c r="O4261" s="7">
        <f>Table1[[#This Row],[Profit]]/Table1[[#This Row],[Total_Sales]]</f>
        <v>0.24496956677407805</v>
      </c>
    </row>
    <row r="4262" spans="1:15" x14ac:dyDescent="0.25">
      <c r="A4262" s="1">
        <v>4261</v>
      </c>
      <c r="B4262" s="2">
        <v>45200</v>
      </c>
      <c r="C4262" s="1" t="s">
        <v>25</v>
      </c>
      <c r="D4262" s="1" t="s">
        <v>20</v>
      </c>
      <c r="E4262" s="1" t="s">
        <v>21</v>
      </c>
      <c r="F4262" s="1" t="s">
        <v>18</v>
      </c>
      <c r="G4262" s="1">
        <v>6</v>
      </c>
      <c r="H4262" s="1">
        <v>97</v>
      </c>
      <c r="I4262" s="1">
        <v>20</v>
      </c>
      <c r="J4262" s="4">
        <v>465.6</v>
      </c>
      <c r="K4262" s="4">
        <v>253.33</v>
      </c>
      <c r="L4262" s="4">
        <v>212.27</v>
      </c>
      <c r="M4262" s="1" t="str">
        <f>TEXT(Table1[[#This Row],[Order_Date]], "MMM")</f>
        <v>Oct</v>
      </c>
      <c r="N4262" s="1">
        <f>YEAR(Table1[[#This Row],[Order_Date]])</f>
        <v>2023</v>
      </c>
      <c r="O4262" s="7">
        <f>Table1[[#This Row],[Profit]]/Table1[[#This Row],[Total_Sales]]</f>
        <v>0.45590635738831614</v>
      </c>
    </row>
    <row r="4263" spans="1:15" x14ac:dyDescent="0.25">
      <c r="A4263" s="1">
        <v>4262</v>
      </c>
      <c r="B4263" s="2">
        <v>44952</v>
      </c>
      <c r="C4263" s="1" t="s">
        <v>16</v>
      </c>
      <c r="D4263" s="1" t="s">
        <v>22</v>
      </c>
      <c r="E4263" s="1" t="s">
        <v>36</v>
      </c>
      <c r="F4263" s="1" t="s">
        <v>18</v>
      </c>
      <c r="G4263" s="1">
        <v>8</v>
      </c>
      <c r="H4263" s="1">
        <v>319</v>
      </c>
      <c r="I4263" s="1">
        <v>20</v>
      </c>
      <c r="J4263" s="4">
        <v>2041.6</v>
      </c>
      <c r="K4263" s="4">
        <v>1370.06</v>
      </c>
      <c r="L4263" s="4">
        <v>671.54</v>
      </c>
      <c r="M4263" s="1" t="str">
        <f>TEXT(Table1[[#This Row],[Order_Date]], "MMM")</f>
        <v>Jan</v>
      </c>
      <c r="N4263" s="1">
        <f>YEAR(Table1[[#This Row],[Order_Date]])</f>
        <v>2023</v>
      </c>
      <c r="O4263" s="7">
        <f>Table1[[#This Row],[Profit]]/Table1[[#This Row],[Total_Sales]]</f>
        <v>0.32892829153605013</v>
      </c>
    </row>
    <row r="4264" spans="1:15" x14ac:dyDescent="0.25">
      <c r="A4264" s="1">
        <v>4263</v>
      </c>
      <c r="B4264" s="2">
        <v>44949</v>
      </c>
      <c r="C4264" s="1" t="s">
        <v>25</v>
      </c>
      <c r="D4264" s="1" t="s">
        <v>13</v>
      </c>
      <c r="E4264" s="1" t="s">
        <v>17</v>
      </c>
      <c r="F4264" s="1" t="s">
        <v>18</v>
      </c>
      <c r="G4264" s="1">
        <v>5</v>
      </c>
      <c r="H4264" s="1">
        <v>39</v>
      </c>
      <c r="I4264" s="1">
        <v>5</v>
      </c>
      <c r="J4264" s="4">
        <v>185.25</v>
      </c>
      <c r="K4264" s="4">
        <v>108.1</v>
      </c>
      <c r="L4264" s="4">
        <v>77.150000000000006</v>
      </c>
      <c r="M4264" s="1" t="str">
        <f>TEXT(Table1[[#This Row],[Order_Date]], "MMM")</f>
        <v>Jan</v>
      </c>
      <c r="N4264" s="1">
        <f>YEAR(Table1[[#This Row],[Order_Date]])</f>
        <v>2023</v>
      </c>
      <c r="O4264" s="7">
        <f>Table1[[#This Row],[Profit]]/Table1[[#This Row],[Total_Sales]]</f>
        <v>0.41646423751686912</v>
      </c>
    </row>
    <row r="4265" spans="1:15" x14ac:dyDescent="0.25">
      <c r="A4265" s="1">
        <v>4264</v>
      </c>
      <c r="B4265" s="2">
        <v>45321</v>
      </c>
      <c r="C4265" s="1" t="s">
        <v>19</v>
      </c>
      <c r="D4265" s="1" t="s">
        <v>26</v>
      </c>
      <c r="E4265" s="1" t="s">
        <v>27</v>
      </c>
      <c r="F4265" s="1" t="s">
        <v>35</v>
      </c>
      <c r="G4265" s="1">
        <v>5</v>
      </c>
      <c r="H4265" s="1">
        <v>188</v>
      </c>
      <c r="I4265" s="1">
        <v>15</v>
      </c>
      <c r="J4265" s="4">
        <v>799</v>
      </c>
      <c r="K4265" s="4">
        <v>420.35</v>
      </c>
      <c r="L4265" s="4">
        <v>378.65</v>
      </c>
      <c r="M4265" s="1" t="str">
        <f>TEXT(Table1[[#This Row],[Order_Date]], "MMM")</f>
        <v>Jan</v>
      </c>
      <c r="N4265" s="1">
        <f>YEAR(Table1[[#This Row],[Order_Date]])</f>
        <v>2024</v>
      </c>
      <c r="O4265" s="7">
        <f>Table1[[#This Row],[Profit]]/Table1[[#This Row],[Total_Sales]]</f>
        <v>0.47390488110137668</v>
      </c>
    </row>
    <row r="4266" spans="1:15" x14ac:dyDescent="0.25">
      <c r="A4266" s="1">
        <v>4265</v>
      </c>
      <c r="B4266" s="2">
        <v>45349</v>
      </c>
      <c r="C4266" s="1" t="s">
        <v>19</v>
      </c>
      <c r="D4266" s="1" t="s">
        <v>26</v>
      </c>
      <c r="E4266" s="1" t="s">
        <v>42</v>
      </c>
      <c r="F4266" s="1" t="s">
        <v>31</v>
      </c>
      <c r="G4266" s="1">
        <v>3</v>
      </c>
      <c r="H4266" s="1">
        <v>395</v>
      </c>
      <c r="I4266" s="1">
        <v>20</v>
      </c>
      <c r="J4266" s="4">
        <v>948</v>
      </c>
      <c r="K4266" s="4">
        <v>756.38</v>
      </c>
      <c r="L4266" s="4">
        <v>191.62</v>
      </c>
      <c r="M4266" s="1" t="str">
        <f>TEXT(Table1[[#This Row],[Order_Date]], "MMM")</f>
        <v>Feb</v>
      </c>
      <c r="N4266" s="1">
        <f>YEAR(Table1[[#This Row],[Order_Date]])</f>
        <v>2024</v>
      </c>
      <c r="O4266" s="7">
        <f>Table1[[#This Row],[Profit]]/Table1[[#This Row],[Total_Sales]]</f>
        <v>0.20213080168776371</v>
      </c>
    </row>
    <row r="4267" spans="1:15" x14ac:dyDescent="0.25">
      <c r="A4267" s="1">
        <v>4266</v>
      </c>
      <c r="B4267" s="2">
        <v>45608</v>
      </c>
      <c r="C4267" s="1" t="s">
        <v>12</v>
      </c>
      <c r="D4267" s="1" t="s">
        <v>26</v>
      </c>
      <c r="E4267" s="1" t="s">
        <v>46</v>
      </c>
      <c r="F4267" s="1" t="s">
        <v>24</v>
      </c>
      <c r="G4267" s="1">
        <v>1</v>
      </c>
      <c r="H4267" s="1">
        <v>619</v>
      </c>
      <c r="I4267" s="1">
        <v>10</v>
      </c>
      <c r="J4267" s="4">
        <v>557.1</v>
      </c>
      <c r="K4267" s="4">
        <v>417.8</v>
      </c>
      <c r="L4267" s="4">
        <v>139.30000000000001</v>
      </c>
      <c r="M4267" s="1" t="str">
        <f>TEXT(Table1[[#This Row],[Order_Date]], "MMM")</f>
        <v>Nov</v>
      </c>
      <c r="N4267" s="1">
        <f>YEAR(Table1[[#This Row],[Order_Date]])</f>
        <v>2024</v>
      </c>
      <c r="O4267" s="7">
        <f>Table1[[#This Row],[Profit]]/Table1[[#This Row],[Total_Sales]]</f>
        <v>0.25004487524681385</v>
      </c>
    </row>
    <row r="4268" spans="1:15" x14ac:dyDescent="0.25">
      <c r="A4268" s="1">
        <v>4267</v>
      </c>
      <c r="B4268" s="2">
        <v>45371</v>
      </c>
      <c r="C4268" s="1" t="s">
        <v>12</v>
      </c>
      <c r="D4268" s="1" t="s">
        <v>20</v>
      </c>
      <c r="E4268" s="1" t="s">
        <v>21</v>
      </c>
      <c r="F4268" s="1" t="s">
        <v>31</v>
      </c>
      <c r="G4268" s="1">
        <v>3</v>
      </c>
      <c r="H4268" s="1">
        <v>198</v>
      </c>
      <c r="I4268" s="1">
        <v>20</v>
      </c>
      <c r="J4268" s="4">
        <v>475.2</v>
      </c>
      <c r="K4268" s="4">
        <v>297.87</v>
      </c>
      <c r="L4268" s="4">
        <v>177.33</v>
      </c>
      <c r="M4268" s="1" t="str">
        <f>TEXT(Table1[[#This Row],[Order_Date]], "MMM")</f>
        <v>Mar</v>
      </c>
      <c r="N4268" s="1">
        <f>YEAR(Table1[[#This Row],[Order_Date]])</f>
        <v>2024</v>
      </c>
      <c r="O4268" s="7">
        <f>Table1[[#This Row],[Profit]]/Table1[[#This Row],[Total_Sales]]</f>
        <v>0.37316919191919196</v>
      </c>
    </row>
    <row r="4269" spans="1:15" x14ac:dyDescent="0.25">
      <c r="A4269" s="1">
        <v>4268</v>
      </c>
      <c r="B4269" s="2">
        <v>45046</v>
      </c>
      <c r="C4269" s="1" t="s">
        <v>25</v>
      </c>
      <c r="D4269" s="1" t="s">
        <v>26</v>
      </c>
      <c r="E4269" s="1" t="s">
        <v>37</v>
      </c>
      <c r="F4269" s="1" t="s">
        <v>35</v>
      </c>
      <c r="G4269" s="1">
        <v>1</v>
      </c>
      <c r="H4269" s="1">
        <v>250</v>
      </c>
      <c r="I4269" s="1">
        <v>20</v>
      </c>
      <c r="J4269" s="4">
        <v>200</v>
      </c>
      <c r="K4269" s="4">
        <v>141.75</v>
      </c>
      <c r="L4269" s="4">
        <v>58.25</v>
      </c>
      <c r="M4269" s="1" t="str">
        <f>TEXT(Table1[[#This Row],[Order_Date]], "MMM")</f>
        <v>Apr</v>
      </c>
      <c r="N4269" s="1">
        <f>YEAR(Table1[[#This Row],[Order_Date]])</f>
        <v>2023</v>
      </c>
      <c r="O4269" s="7">
        <f>Table1[[#This Row],[Profit]]/Table1[[#This Row],[Total_Sales]]</f>
        <v>0.29125000000000001</v>
      </c>
    </row>
    <row r="4270" spans="1:15" x14ac:dyDescent="0.25">
      <c r="A4270" s="1">
        <v>4269</v>
      </c>
      <c r="B4270" s="2">
        <v>45482</v>
      </c>
      <c r="C4270" s="1" t="s">
        <v>25</v>
      </c>
      <c r="D4270" s="1" t="s">
        <v>13</v>
      </c>
      <c r="E4270" s="1" t="s">
        <v>17</v>
      </c>
      <c r="F4270" s="1" t="s">
        <v>18</v>
      </c>
      <c r="G4270" s="1">
        <v>3</v>
      </c>
      <c r="H4270" s="1">
        <v>812</v>
      </c>
      <c r="I4270" s="1">
        <v>20</v>
      </c>
      <c r="J4270" s="4">
        <v>1948.8</v>
      </c>
      <c r="K4270" s="4">
        <v>1070.83</v>
      </c>
      <c r="L4270" s="4">
        <v>877.97</v>
      </c>
      <c r="M4270" s="1" t="str">
        <f>TEXT(Table1[[#This Row],[Order_Date]], "MMM")</f>
        <v>Jul</v>
      </c>
      <c r="N4270" s="1">
        <f>YEAR(Table1[[#This Row],[Order_Date]])</f>
        <v>2024</v>
      </c>
      <c r="O4270" s="7">
        <f>Table1[[#This Row],[Profit]]/Table1[[#This Row],[Total_Sales]]</f>
        <v>0.45051826765188835</v>
      </c>
    </row>
    <row r="4271" spans="1:15" x14ac:dyDescent="0.25">
      <c r="A4271" s="1">
        <v>4270</v>
      </c>
      <c r="B4271" s="2">
        <v>45389</v>
      </c>
      <c r="C4271" s="1" t="s">
        <v>16</v>
      </c>
      <c r="D4271" s="1" t="s">
        <v>13</v>
      </c>
      <c r="E4271" s="1" t="s">
        <v>39</v>
      </c>
      <c r="F4271" s="1" t="s">
        <v>18</v>
      </c>
      <c r="G4271" s="1">
        <v>3</v>
      </c>
      <c r="H4271" s="1">
        <v>397</v>
      </c>
      <c r="I4271" s="1">
        <v>5</v>
      </c>
      <c r="J4271" s="4">
        <v>1131.45</v>
      </c>
      <c r="K4271" s="4">
        <v>595.32000000000005</v>
      </c>
      <c r="L4271" s="4">
        <v>536.13</v>
      </c>
      <c r="M4271" s="1" t="str">
        <f>TEXT(Table1[[#This Row],[Order_Date]], "MMM")</f>
        <v>Apr</v>
      </c>
      <c r="N4271" s="1">
        <f>YEAR(Table1[[#This Row],[Order_Date]])</f>
        <v>2024</v>
      </c>
      <c r="O4271" s="7">
        <f>Table1[[#This Row],[Profit]]/Table1[[#This Row],[Total_Sales]]</f>
        <v>0.47384329842237832</v>
      </c>
    </row>
    <row r="4272" spans="1:15" x14ac:dyDescent="0.25">
      <c r="A4272" s="1">
        <v>4271</v>
      </c>
      <c r="B4272" s="2">
        <v>45152</v>
      </c>
      <c r="C4272" s="1" t="s">
        <v>16</v>
      </c>
      <c r="D4272" s="1" t="s">
        <v>32</v>
      </c>
      <c r="E4272" s="1" t="s">
        <v>41</v>
      </c>
      <c r="F4272" s="1" t="s">
        <v>35</v>
      </c>
      <c r="G4272" s="1">
        <v>3</v>
      </c>
      <c r="H4272" s="1">
        <v>380</v>
      </c>
      <c r="I4272" s="1">
        <v>0</v>
      </c>
      <c r="J4272" s="4">
        <v>1140</v>
      </c>
      <c r="K4272" s="4">
        <v>627.09</v>
      </c>
      <c r="L4272" s="4">
        <v>512.91</v>
      </c>
      <c r="M4272" s="1" t="str">
        <f>TEXT(Table1[[#This Row],[Order_Date]], "MMM")</f>
        <v>Aug</v>
      </c>
      <c r="N4272" s="1">
        <f>YEAR(Table1[[#This Row],[Order_Date]])</f>
        <v>2023</v>
      </c>
      <c r="O4272" s="7">
        <f>Table1[[#This Row],[Profit]]/Table1[[#This Row],[Total_Sales]]</f>
        <v>0.44992105263157894</v>
      </c>
    </row>
    <row r="4273" spans="1:15" x14ac:dyDescent="0.25">
      <c r="A4273" s="1">
        <v>4272</v>
      </c>
      <c r="B4273" s="2">
        <v>45541</v>
      </c>
      <c r="C4273" s="1" t="s">
        <v>25</v>
      </c>
      <c r="D4273" s="1" t="s">
        <v>26</v>
      </c>
      <c r="E4273" s="1" t="s">
        <v>27</v>
      </c>
      <c r="F4273" s="1" t="s">
        <v>40</v>
      </c>
      <c r="G4273" s="1">
        <v>1</v>
      </c>
      <c r="H4273" s="1">
        <v>347</v>
      </c>
      <c r="I4273" s="1">
        <v>5</v>
      </c>
      <c r="J4273" s="4">
        <v>329.65</v>
      </c>
      <c r="K4273" s="4">
        <v>227.74</v>
      </c>
      <c r="L4273" s="4">
        <v>101.91</v>
      </c>
      <c r="M4273" s="1" t="str">
        <f>TEXT(Table1[[#This Row],[Order_Date]], "MMM")</f>
        <v>Sep</v>
      </c>
      <c r="N4273" s="1">
        <f>YEAR(Table1[[#This Row],[Order_Date]])</f>
        <v>2024</v>
      </c>
      <c r="O4273" s="7">
        <f>Table1[[#This Row],[Profit]]/Table1[[#This Row],[Total_Sales]]</f>
        <v>0.30914606400728045</v>
      </c>
    </row>
    <row r="4274" spans="1:15" x14ac:dyDescent="0.25">
      <c r="A4274" s="1">
        <v>4273</v>
      </c>
      <c r="B4274" s="2">
        <v>44980</v>
      </c>
      <c r="C4274" s="1" t="s">
        <v>19</v>
      </c>
      <c r="D4274" s="1" t="s">
        <v>32</v>
      </c>
      <c r="E4274" s="1" t="s">
        <v>33</v>
      </c>
      <c r="F4274" s="1" t="s">
        <v>24</v>
      </c>
      <c r="G4274" s="1">
        <v>1</v>
      </c>
      <c r="H4274" s="1">
        <v>477</v>
      </c>
      <c r="I4274" s="1">
        <v>15</v>
      </c>
      <c r="J4274" s="4">
        <v>405.45</v>
      </c>
      <c r="K4274" s="4">
        <v>233.74</v>
      </c>
      <c r="L4274" s="4">
        <v>171.71</v>
      </c>
      <c r="M4274" s="1" t="str">
        <f>TEXT(Table1[[#This Row],[Order_Date]], "MMM")</f>
        <v>Feb</v>
      </c>
      <c r="N4274" s="1">
        <f>YEAR(Table1[[#This Row],[Order_Date]])</f>
        <v>2023</v>
      </c>
      <c r="O4274" s="7">
        <f>Table1[[#This Row],[Profit]]/Table1[[#This Row],[Total_Sales]]</f>
        <v>0.42350474781107417</v>
      </c>
    </row>
    <row r="4275" spans="1:15" x14ac:dyDescent="0.25">
      <c r="A4275" s="1">
        <v>4274</v>
      </c>
      <c r="B4275" s="2">
        <v>45176</v>
      </c>
      <c r="C4275" s="1" t="s">
        <v>25</v>
      </c>
      <c r="D4275" s="1" t="s">
        <v>13</v>
      </c>
      <c r="E4275" s="1" t="s">
        <v>39</v>
      </c>
      <c r="F4275" s="1" t="s">
        <v>31</v>
      </c>
      <c r="G4275" s="1">
        <v>3</v>
      </c>
      <c r="H4275" s="1">
        <v>154</v>
      </c>
      <c r="I4275" s="1">
        <v>10</v>
      </c>
      <c r="J4275" s="4">
        <v>415.8</v>
      </c>
      <c r="K4275" s="4">
        <v>288.93</v>
      </c>
      <c r="L4275" s="4">
        <v>126.87</v>
      </c>
      <c r="M4275" s="1" t="str">
        <f>TEXT(Table1[[#This Row],[Order_Date]], "MMM")</f>
        <v>Sep</v>
      </c>
      <c r="N4275" s="1">
        <f>YEAR(Table1[[#This Row],[Order_Date]])</f>
        <v>2023</v>
      </c>
      <c r="O4275" s="7">
        <f>Table1[[#This Row],[Profit]]/Table1[[#This Row],[Total_Sales]]</f>
        <v>0.30512265512265513</v>
      </c>
    </row>
    <row r="4276" spans="1:15" x14ac:dyDescent="0.25">
      <c r="A4276" s="1">
        <v>4275</v>
      </c>
      <c r="B4276" s="2">
        <v>45218</v>
      </c>
      <c r="C4276" s="1" t="s">
        <v>12</v>
      </c>
      <c r="D4276" s="1" t="s">
        <v>26</v>
      </c>
      <c r="E4276" s="1" t="s">
        <v>46</v>
      </c>
      <c r="F4276" s="1" t="s">
        <v>15</v>
      </c>
      <c r="G4276" s="1">
        <v>2</v>
      </c>
      <c r="H4276" s="1">
        <v>352</v>
      </c>
      <c r="I4276" s="1">
        <v>0</v>
      </c>
      <c r="J4276" s="4">
        <v>704</v>
      </c>
      <c r="K4276" s="4">
        <v>444.44</v>
      </c>
      <c r="L4276" s="4">
        <v>259.56</v>
      </c>
      <c r="M4276" s="1" t="str">
        <f>TEXT(Table1[[#This Row],[Order_Date]], "MMM")</f>
        <v>Oct</v>
      </c>
      <c r="N4276" s="1">
        <f>YEAR(Table1[[#This Row],[Order_Date]])</f>
        <v>2023</v>
      </c>
      <c r="O4276" s="7">
        <f>Table1[[#This Row],[Profit]]/Table1[[#This Row],[Total_Sales]]</f>
        <v>0.36869318181818184</v>
      </c>
    </row>
    <row r="4277" spans="1:15" x14ac:dyDescent="0.25">
      <c r="A4277" s="1">
        <v>4276</v>
      </c>
      <c r="B4277" s="2">
        <v>45378</v>
      </c>
      <c r="C4277" s="1" t="s">
        <v>19</v>
      </c>
      <c r="D4277" s="1" t="s">
        <v>32</v>
      </c>
      <c r="E4277" s="1" t="s">
        <v>41</v>
      </c>
      <c r="F4277" s="1" t="s">
        <v>31</v>
      </c>
      <c r="G4277" s="1">
        <v>5</v>
      </c>
      <c r="H4277" s="1">
        <v>708</v>
      </c>
      <c r="I4277" s="1">
        <v>20</v>
      </c>
      <c r="J4277" s="4">
        <v>2832</v>
      </c>
      <c r="K4277" s="4">
        <v>1726.09</v>
      </c>
      <c r="L4277" s="4">
        <v>1105.9100000000001</v>
      </c>
      <c r="M4277" s="1" t="str">
        <f>TEXT(Table1[[#This Row],[Order_Date]], "MMM")</f>
        <v>Mar</v>
      </c>
      <c r="N4277" s="1">
        <f>YEAR(Table1[[#This Row],[Order_Date]])</f>
        <v>2024</v>
      </c>
      <c r="O4277" s="7">
        <f>Table1[[#This Row],[Profit]]/Table1[[#This Row],[Total_Sales]]</f>
        <v>0.39050494350282489</v>
      </c>
    </row>
    <row r="4278" spans="1:15" x14ac:dyDescent="0.25">
      <c r="A4278" s="1">
        <v>4277</v>
      </c>
      <c r="B4278" s="2">
        <v>45637</v>
      </c>
      <c r="C4278" s="1" t="s">
        <v>12</v>
      </c>
      <c r="D4278" s="1" t="s">
        <v>22</v>
      </c>
      <c r="E4278" s="1" t="s">
        <v>29</v>
      </c>
      <c r="F4278" s="1" t="s">
        <v>31</v>
      </c>
      <c r="G4278" s="1">
        <v>10</v>
      </c>
      <c r="H4278" s="1">
        <v>212</v>
      </c>
      <c r="I4278" s="1">
        <v>10</v>
      </c>
      <c r="J4278" s="4">
        <v>1908</v>
      </c>
      <c r="K4278" s="4">
        <v>1114.76</v>
      </c>
      <c r="L4278" s="4">
        <v>793.24</v>
      </c>
      <c r="M4278" s="1" t="str">
        <f>TEXT(Table1[[#This Row],[Order_Date]], "MMM")</f>
        <v>Dec</v>
      </c>
      <c r="N4278" s="1">
        <f>YEAR(Table1[[#This Row],[Order_Date]])</f>
        <v>2024</v>
      </c>
      <c r="O4278" s="7">
        <f>Table1[[#This Row],[Profit]]/Table1[[#This Row],[Total_Sales]]</f>
        <v>0.41574423480083855</v>
      </c>
    </row>
    <row r="4279" spans="1:15" x14ac:dyDescent="0.25">
      <c r="A4279" s="1">
        <v>4278</v>
      </c>
      <c r="B4279" s="2">
        <v>45166</v>
      </c>
      <c r="C4279" s="1" t="s">
        <v>19</v>
      </c>
      <c r="D4279" s="1" t="s">
        <v>13</v>
      </c>
      <c r="E4279" s="1" t="s">
        <v>38</v>
      </c>
      <c r="F4279" s="1" t="s">
        <v>15</v>
      </c>
      <c r="G4279" s="1">
        <v>2</v>
      </c>
      <c r="H4279" s="1">
        <v>586</v>
      </c>
      <c r="I4279" s="1">
        <v>5</v>
      </c>
      <c r="J4279" s="4">
        <v>1113.4000000000001</v>
      </c>
      <c r="K4279" s="4">
        <v>587.04</v>
      </c>
      <c r="L4279" s="4">
        <v>526.36</v>
      </c>
      <c r="M4279" s="1" t="str">
        <f>TEXT(Table1[[#This Row],[Order_Date]], "MMM")</f>
        <v>Aug</v>
      </c>
      <c r="N4279" s="1">
        <f>YEAR(Table1[[#This Row],[Order_Date]])</f>
        <v>2023</v>
      </c>
      <c r="O4279" s="7">
        <f>Table1[[#This Row],[Profit]]/Table1[[#This Row],[Total_Sales]]</f>
        <v>0.47275013472247168</v>
      </c>
    </row>
    <row r="4280" spans="1:15" x14ac:dyDescent="0.25">
      <c r="A4280" s="1">
        <v>4279</v>
      </c>
      <c r="B4280" s="2">
        <v>45561</v>
      </c>
      <c r="C4280" s="1" t="s">
        <v>25</v>
      </c>
      <c r="D4280" s="1" t="s">
        <v>22</v>
      </c>
      <c r="E4280" s="1" t="s">
        <v>23</v>
      </c>
      <c r="F4280" s="1" t="s">
        <v>18</v>
      </c>
      <c r="G4280" s="1">
        <v>2</v>
      </c>
      <c r="H4280" s="1">
        <v>902</v>
      </c>
      <c r="I4280" s="1">
        <v>0</v>
      </c>
      <c r="J4280" s="4">
        <v>1804</v>
      </c>
      <c r="K4280" s="4">
        <v>1217.9000000000001</v>
      </c>
      <c r="L4280" s="4">
        <v>586.1</v>
      </c>
      <c r="M4280" s="1" t="str">
        <f>TEXT(Table1[[#This Row],[Order_Date]], "MMM")</f>
        <v>Sep</v>
      </c>
      <c r="N4280" s="1">
        <f>YEAR(Table1[[#This Row],[Order_Date]])</f>
        <v>2024</v>
      </c>
      <c r="O4280" s="7">
        <f>Table1[[#This Row],[Profit]]/Table1[[#This Row],[Total_Sales]]</f>
        <v>0.32488913525498891</v>
      </c>
    </row>
    <row r="4281" spans="1:15" x14ac:dyDescent="0.25">
      <c r="A4281" s="1">
        <v>4280</v>
      </c>
      <c r="B4281" s="2">
        <v>44995</v>
      </c>
      <c r="C4281" s="1" t="s">
        <v>25</v>
      </c>
      <c r="D4281" s="1" t="s">
        <v>22</v>
      </c>
      <c r="E4281" s="1" t="s">
        <v>36</v>
      </c>
      <c r="F4281" s="1" t="s">
        <v>40</v>
      </c>
      <c r="G4281" s="1">
        <v>7</v>
      </c>
      <c r="H4281" s="1">
        <v>305</v>
      </c>
      <c r="I4281" s="1">
        <v>5</v>
      </c>
      <c r="J4281" s="4">
        <v>2028.25</v>
      </c>
      <c r="K4281" s="4">
        <v>1102.6300000000001</v>
      </c>
      <c r="L4281" s="4">
        <v>925.62</v>
      </c>
      <c r="M4281" s="1" t="str">
        <f>TEXT(Table1[[#This Row],[Order_Date]], "MMM")</f>
        <v>Mar</v>
      </c>
      <c r="N4281" s="1">
        <f>YEAR(Table1[[#This Row],[Order_Date]])</f>
        <v>2023</v>
      </c>
      <c r="O4281" s="7">
        <f>Table1[[#This Row],[Profit]]/Table1[[#This Row],[Total_Sales]]</f>
        <v>0.45636386047084926</v>
      </c>
    </row>
    <row r="4282" spans="1:15" x14ac:dyDescent="0.25">
      <c r="A4282" s="1">
        <v>4281</v>
      </c>
      <c r="B4282" s="2">
        <v>45106</v>
      </c>
      <c r="C4282" s="1" t="s">
        <v>16</v>
      </c>
      <c r="D4282" s="1" t="s">
        <v>26</v>
      </c>
      <c r="E4282" s="1" t="s">
        <v>37</v>
      </c>
      <c r="F4282" s="1" t="s">
        <v>24</v>
      </c>
      <c r="G4282" s="1">
        <v>2</v>
      </c>
      <c r="H4282" s="1">
        <v>97</v>
      </c>
      <c r="I4282" s="1">
        <v>10</v>
      </c>
      <c r="J4282" s="4">
        <v>174.6</v>
      </c>
      <c r="K4282" s="4">
        <v>105.3</v>
      </c>
      <c r="L4282" s="4">
        <v>69.3</v>
      </c>
      <c r="M4282" s="1" t="str">
        <f>TEXT(Table1[[#This Row],[Order_Date]], "MMM")</f>
        <v>Jun</v>
      </c>
      <c r="N4282" s="1">
        <f>YEAR(Table1[[#This Row],[Order_Date]])</f>
        <v>2023</v>
      </c>
      <c r="O4282" s="7">
        <f>Table1[[#This Row],[Profit]]/Table1[[#This Row],[Total_Sales]]</f>
        <v>0.39690721649484534</v>
      </c>
    </row>
    <row r="4283" spans="1:15" x14ac:dyDescent="0.25">
      <c r="A4283" s="1">
        <v>4282</v>
      </c>
      <c r="B4283" s="2">
        <v>45432</v>
      </c>
      <c r="C4283" s="1" t="s">
        <v>16</v>
      </c>
      <c r="D4283" s="1" t="s">
        <v>13</v>
      </c>
      <c r="E4283" s="1" t="s">
        <v>38</v>
      </c>
      <c r="F4283" s="1" t="s">
        <v>15</v>
      </c>
      <c r="G4283" s="1">
        <v>8</v>
      </c>
      <c r="H4283" s="1">
        <v>950</v>
      </c>
      <c r="I4283" s="1">
        <v>0</v>
      </c>
      <c r="J4283" s="4">
        <v>7600</v>
      </c>
      <c r="K4283" s="4">
        <v>6015.09</v>
      </c>
      <c r="L4283" s="4">
        <v>1584.91</v>
      </c>
      <c r="M4283" s="1" t="str">
        <f>TEXT(Table1[[#This Row],[Order_Date]], "MMM")</f>
        <v>May</v>
      </c>
      <c r="N4283" s="1">
        <f>YEAR(Table1[[#This Row],[Order_Date]])</f>
        <v>2024</v>
      </c>
      <c r="O4283" s="7">
        <f>Table1[[#This Row],[Profit]]/Table1[[#This Row],[Total_Sales]]</f>
        <v>0.20854078947368423</v>
      </c>
    </row>
    <row r="4284" spans="1:15" x14ac:dyDescent="0.25">
      <c r="A4284" s="1">
        <v>4283</v>
      </c>
      <c r="B4284" s="2">
        <v>45579</v>
      </c>
      <c r="C4284" s="1" t="s">
        <v>16</v>
      </c>
      <c r="D4284" s="1" t="s">
        <v>20</v>
      </c>
      <c r="E4284" s="1" t="s">
        <v>28</v>
      </c>
      <c r="F4284" s="1" t="s">
        <v>31</v>
      </c>
      <c r="G4284" s="1">
        <v>10</v>
      </c>
      <c r="H4284" s="1">
        <v>225</v>
      </c>
      <c r="I4284" s="1">
        <v>10</v>
      </c>
      <c r="J4284" s="4">
        <v>2025</v>
      </c>
      <c r="K4284" s="4">
        <v>1485.03</v>
      </c>
      <c r="L4284" s="4">
        <v>539.97</v>
      </c>
      <c r="M4284" s="1" t="str">
        <f>TEXT(Table1[[#This Row],[Order_Date]], "MMM")</f>
        <v>Oct</v>
      </c>
      <c r="N4284" s="1">
        <f>YEAR(Table1[[#This Row],[Order_Date]])</f>
        <v>2024</v>
      </c>
      <c r="O4284" s="7">
        <f>Table1[[#This Row],[Profit]]/Table1[[#This Row],[Total_Sales]]</f>
        <v>0.26665185185185186</v>
      </c>
    </row>
    <row r="4285" spans="1:15" x14ac:dyDescent="0.25">
      <c r="A4285" s="1">
        <v>4284</v>
      </c>
      <c r="B4285" s="2">
        <v>45547</v>
      </c>
      <c r="C4285" s="1" t="s">
        <v>16</v>
      </c>
      <c r="D4285" s="1" t="s">
        <v>32</v>
      </c>
      <c r="E4285" s="1" t="s">
        <v>34</v>
      </c>
      <c r="F4285" s="1" t="s">
        <v>40</v>
      </c>
      <c r="G4285" s="1">
        <v>6</v>
      </c>
      <c r="H4285" s="1">
        <v>505</v>
      </c>
      <c r="I4285" s="1">
        <v>5</v>
      </c>
      <c r="J4285" s="4">
        <v>2878.5</v>
      </c>
      <c r="K4285" s="4">
        <v>2129.83</v>
      </c>
      <c r="L4285" s="4">
        <v>748.67</v>
      </c>
      <c r="M4285" s="1" t="str">
        <f>TEXT(Table1[[#This Row],[Order_Date]], "MMM")</f>
        <v>Sep</v>
      </c>
      <c r="N4285" s="1">
        <f>YEAR(Table1[[#This Row],[Order_Date]])</f>
        <v>2024</v>
      </c>
      <c r="O4285" s="7">
        <f>Table1[[#This Row],[Profit]]/Table1[[#This Row],[Total_Sales]]</f>
        <v>0.26009032482195588</v>
      </c>
    </row>
    <row r="4286" spans="1:15" x14ac:dyDescent="0.25">
      <c r="A4286" s="1">
        <v>4285</v>
      </c>
      <c r="B4286" s="2">
        <v>45082</v>
      </c>
      <c r="C4286" s="1" t="s">
        <v>16</v>
      </c>
      <c r="D4286" s="1" t="s">
        <v>26</v>
      </c>
      <c r="E4286" s="1" t="s">
        <v>46</v>
      </c>
      <c r="F4286" s="1" t="s">
        <v>15</v>
      </c>
      <c r="G4286" s="1">
        <v>3</v>
      </c>
      <c r="H4286" s="1">
        <v>625</v>
      </c>
      <c r="I4286" s="1">
        <v>0</v>
      </c>
      <c r="J4286" s="4">
        <v>1875</v>
      </c>
      <c r="K4286" s="4">
        <v>1019.67</v>
      </c>
      <c r="L4286" s="4">
        <v>855.33</v>
      </c>
      <c r="M4286" s="1" t="str">
        <f>TEXT(Table1[[#This Row],[Order_Date]], "MMM")</f>
        <v>Jun</v>
      </c>
      <c r="N4286" s="1">
        <f>YEAR(Table1[[#This Row],[Order_Date]])</f>
        <v>2023</v>
      </c>
      <c r="O4286" s="7">
        <f>Table1[[#This Row],[Profit]]/Table1[[#This Row],[Total_Sales]]</f>
        <v>0.45617600000000003</v>
      </c>
    </row>
    <row r="4287" spans="1:15" x14ac:dyDescent="0.25">
      <c r="A4287" s="1">
        <v>4286</v>
      </c>
      <c r="B4287" s="2">
        <v>45351</v>
      </c>
      <c r="C4287" s="1" t="s">
        <v>19</v>
      </c>
      <c r="D4287" s="1" t="s">
        <v>32</v>
      </c>
      <c r="E4287" s="1" t="s">
        <v>34</v>
      </c>
      <c r="F4287" s="1" t="s">
        <v>24</v>
      </c>
      <c r="G4287" s="1">
        <v>10</v>
      </c>
      <c r="H4287" s="1">
        <v>334</v>
      </c>
      <c r="I4287" s="1">
        <v>5</v>
      </c>
      <c r="J4287" s="4">
        <v>3173</v>
      </c>
      <c r="K4287" s="4">
        <v>2487.35</v>
      </c>
      <c r="L4287" s="4">
        <v>685.65</v>
      </c>
      <c r="M4287" s="1" t="str">
        <f>TEXT(Table1[[#This Row],[Order_Date]], "MMM")</f>
        <v>Feb</v>
      </c>
      <c r="N4287" s="1">
        <f>YEAR(Table1[[#This Row],[Order_Date]])</f>
        <v>2024</v>
      </c>
      <c r="O4287" s="7">
        <f>Table1[[#This Row],[Profit]]/Table1[[#This Row],[Total_Sales]]</f>
        <v>0.2160888748818153</v>
      </c>
    </row>
    <row r="4288" spans="1:15" x14ac:dyDescent="0.25">
      <c r="A4288" s="1">
        <v>4287</v>
      </c>
      <c r="B4288" s="2">
        <v>45156</v>
      </c>
      <c r="C4288" s="1" t="s">
        <v>25</v>
      </c>
      <c r="D4288" s="1" t="s">
        <v>20</v>
      </c>
      <c r="E4288" s="1" t="s">
        <v>28</v>
      </c>
      <c r="F4288" s="1" t="s">
        <v>31</v>
      </c>
      <c r="G4288" s="1">
        <v>3</v>
      </c>
      <c r="H4288" s="1">
        <v>479</v>
      </c>
      <c r="I4288" s="1">
        <v>20</v>
      </c>
      <c r="J4288" s="4">
        <v>1149.5999999999999</v>
      </c>
      <c r="K4288" s="4">
        <v>731.94</v>
      </c>
      <c r="L4288" s="4">
        <v>417.66</v>
      </c>
      <c r="M4288" s="1" t="str">
        <f>TEXT(Table1[[#This Row],[Order_Date]], "MMM")</f>
        <v>Aug</v>
      </c>
      <c r="N4288" s="1">
        <f>YEAR(Table1[[#This Row],[Order_Date]])</f>
        <v>2023</v>
      </c>
      <c r="O4288" s="7">
        <f>Table1[[#This Row],[Profit]]/Table1[[#This Row],[Total_Sales]]</f>
        <v>0.36330897703549064</v>
      </c>
    </row>
    <row r="4289" spans="1:15" x14ac:dyDescent="0.25">
      <c r="A4289" s="1">
        <v>4288</v>
      </c>
      <c r="B4289" s="2">
        <v>45135</v>
      </c>
      <c r="C4289" s="1" t="s">
        <v>19</v>
      </c>
      <c r="D4289" s="1" t="s">
        <v>13</v>
      </c>
      <c r="E4289" s="1" t="s">
        <v>14</v>
      </c>
      <c r="F4289" s="1" t="s">
        <v>35</v>
      </c>
      <c r="G4289" s="1">
        <v>3</v>
      </c>
      <c r="H4289" s="1">
        <v>649</v>
      </c>
      <c r="I4289" s="1">
        <v>15</v>
      </c>
      <c r="J4289" s="4">
        <v>1654.95</v>
      </c>
      <c r="K4289" s="4">
        <v>1215.31</v>
      </c>
      <c r="L4289" s="4">
        <v>439.64</v>
      </c>
      <c r="M4289" s="1" t="str">
        <f>TEXT(Table1[[#This Row],[Order_Date]], "MMM")</f>
        <v>Jul</v>
      </c>
      <c r="N4289" s="1">
        <f>YEAR(Table1[[#This Row],[Order_Date]])</f>
        <v>2023</v>
      </c>
      <c r="O4289" s="7">
        <f>Table1[[#This Row],[Profit]]/Table1[[#This Row],[Total_Sales]]</f>
        <v>0.26565153025771171</v>
      </c>
    </row>
    <row r="4290" spans="1:15" x14ac:dyDescent="0.25">
      <c r="A4290" s="1">
        <v>4289</v>
      </c>
      <c r="B4290" s="2">
        <v>45428</v>
      </c>
      <c r="C4290" s="1" t="s">
        <v>25</v>
      </c>
      <c r="D4290" s="1" t="s">
        <v>32</v>
      </c>
      <c r="E4290" s="1" t="s">
        <v>34</v>
      </c>
      <c r="F4290" s="1" t="s">
        <v>40</v>
      </c>
      <c r="G4290" s="1">
        <v>4</v>
      </c>
      <c r="H4290" s="1">
        <v>254</v>
      </c>
      <c r="I4290" s="1">
        <v>10</v>
      </c>
      <c r="J4290" s="4">
        <v>914.4</v>
      </c>
      <c r="K4290" s="4">
        <v>594.48</v>
      </c>
      <c r="L4290" s="4">
        <v>319.92</v>
      </c>
      <c r="M4290" s="1" t="str">
        <f>TEXT(Table1[[#This Row],[Order_Date]], "MMM")</f>
        <v>May</v>
      </c>
      <c r="N4290" s="1">
        <f>YEAR(Table1[[#This Row],[Order_Date]])</f>
        <v>2024</v>
      </c>
      <c r="O4290" s="7">
        <f>Table1[[#This Row],[Profit]]/Table1[[#This Row],[Total_Sales]]</f>
        <v>0.3498687664041995</v>
      </c>
    </row>
    <row r="4291" spans="1:15" x14ac:dyDescent="0.25">
      <c r="A4291" s="1">
        <v>4290</v>
      </c>
      <c r="B4291" s="2">
        <v>45156</v>
      </c>
      <c r="C4291" s="1" t="s">
        <v>12</v>
      </c>
      <c r="D4291" s="1" t="s">
        <v>26</v>
      </c>
      <c r="E4291" s="1" t="s">
        <v>42</v>
      </c>
      <c r="F4291" s="1" t="s">
        <v>18</v>
      </c>
      <c r="G4291" s="1">
        <v>3</v>
      </c>
      <c r="H4291" s="1">
        <v>763</v>
      </c>
      <c r="I4291" s="1">
        <v>20</v>
      </c>
      <c r="J4291" s="4">
        <v>1831.2</v>
      </c>
      <c r="K4291" s="4">
        <v>1217.5899999999999</v>
      </c>
      <c r="L4291" s="4">
        <v>613.61</v>
      </c>
      <c r="M4291" s="1" t="str">
        <f>TEXT(Table1[[#This Row],[Order_Date]], "MMM")</f>
        <v>Aug</v>
      </c>
      <c r="N4291" s="1">
        <f>YEAR(Table1[[#This Row],[Order_Date]])</f>
        <v>2023</v>
      </c>
      <c r="O4291" s="7">
        <f>Table1[[#This Row],[Profit]]/Table1[[#This Row],[Total_Sales]]</f>
        <v>0.33508628221930975</v>
      </c>
    </row>
    <row r="4292" spans="1:15" x14ac:dyDescent="0.25">
      <c r="A4292" s="1">
        <v>4291</v>
      </c>
      <c r="B4292" s="2">
        <v>45614</v>
      </c>
      <c r="C4292" s="1" t="s">
        <v>12</v>
      </c>
      <c r="D4292" s="1" t="s">
        <v>20</v>
      </c>
      <c r="E4292" s="1" t="s">
        <v>21</v>
      </c>
      <c r="F4292" s="1" t="s">
        <v>24</v>
      </c>
      <c r="G4292" s="1">
        <v>3</v>
      </c>
      <c r="H4292" s="1">
        <v>900</v>
      </c>
      <c r="I4292" s="1">
        <v>20</v>
      </c>
      <c r="J4292" s="4">
        <v>2160</v>
      </c>
      <c r="K4292" s="4">
        <v>1203.3599999999999</v>
      </c>
      <c r="L4292" s="4">
        <v>956.64</v>
      </c>
      <c r="M4292" s="1" t="str">
        <f>TEXT(Table1[[#This Row],[Order_Date]], "MMM")</f>
        <v>Nov</v>
      </c>
      <c r="N4292" s="1">
        <f>YEAR(Table1[[#This Row],[Order_Date]])</f>
        <v>2024</v>
      </c>
      <c r="O4292" s="7">
        <f>Table1[[#This Row],[Profit]]/Table1[[#This Row],[Total_Sales]]</f>
        <v>0.44288888888888889</v>
      </c>
    </row>
    <row r="4293" spans="1:15" x14ac:dyDescent="0.25">
      <c r="A4293" s="1">
        <v>4292</v>
      </c>
      <c r="B4293" s="2">
        <v>45535</v>
      </c>
      <c r="C4293" s="1" t="s">
        <v>16</v>
      </c>
      <c r="D4293" s="1" t="s">
        <v>13</v>
      </c>
      <c r="E4293" s="1" t="s">
        <v>39</v>
      </c>
      <c r="F4293" s="1" t="s">
        <v>18</v>
      </c>
      <c r="G4293" s="1">
        <v>10</v>
      </c>
      <c r="H4293" s="1">
        <v>851</v>
      </c>
      <c r="I4293" s="1">
        <v>15</v>
      </c>
      <c r="J4293" s="4">
        <v>7233.5</v>
      </c>
      <c r="K4293" s="4">
        <v>4489.2</v>
      </c>
      <c r="L4293" s="4">
        <v>2744.3</v>
      </c>
      <c r="M4293" s="1" t="str">
        <f>TEXT(Table1[[#This Row],[Order_Date]], "MMM")</f>
        <v>Aug</v>
      </c>
      <c r="N4293" s="1">
        <f>YEAR(Table1[[#This Row],[Order_Date]])</f>
        <v>2024</v>
      </c>
      <c r="O4293" s="7">
        <f>Table1[[#This Row],[Profit]]/Table1[[#This Row],[Total_Sales]]</f>
        <v>0.37938757171493748</v>
      </c>
    </row>
    <row r="4294" spans="1:15" x14ac:dyDescent="0.25">
      <c r="A4294" s="1">
        <v>4293</v>
      </c>
      <c r="B4294" s="2">
        <v>45454</v>
      </c>
      <c r="C4294" s="1" t="s">
        <v>19</v>
      </c>
      <c r="D4294" s="1" t="s">
        <v>32</v>
      </c>
      <c r="E4294" s="1" t="s">
        <v>34</v>
      </c>
      <c r="F4294" s="1" t="s">
        <v>35</v>
      </c>
      <c r="G4294" s="1">
        <v>7</v>
      </c>
      <c r="H4294" s="1">
        <v>85</v>
      </c>
      <c r="I4294" s="1">
        <v>10</v>
      </c>
      <c r="J4294" s="4">
        <v>535.5</v>
      </c>
      <c r="K4294" s="4">
        <v>355.56</v>
      </c>
      <c r="L4294" s="4">
        <v>179.94</v>
      </c>
      <c r="M4294" s="1" t="str">
        <f>TEXT(Table1[[#This Row],[Order_Date]], "MMM")</f>
        <v>Jun</v>
      </c>
      <c r="N4294" s="1">
        <f>YEAR(Table1[[#This Row],[Order_Date]])</f>
        <v>2024</v>
      </c>
      <c r="O4294" s="7">
        <f>Table1[[#This Row],[Profit]]/Table1[[#This Row],[Total_Sales]]</f>
        <v>0.33602240896358543</v>
      </c>
    </row>
    <row r="4295" spans="1:15" x14ac:dyDescent="0.25">
      <c r="A4295" s="1">
        <v>4294</v>
      </c>
      <c r="B4295" s="2">
        <v>45639</v>
      </c>
      <c r="C4295" s="1" t="s">
        <v>25</v>
      </c>
      <c r="D4295" s="1" t="s">
        <v>26</v>
      </c>
      <c r="E4295" s="1" t="s">
        <v>37</v>
      </c>
      <c r="F4295" s="1" t="s">
        <v>40</v>
      </c>
      <c r="G4295" s="1">
        <v>9</v>
      </c>
      <c r="H4295" s="1">
        <v>113</v>
      </c>
      <c r="I4295" s="1">
        <v>20</v>
      </c>
      <c r="J4295" s="4">
        <v>813.6</v>
      </c>
      <c r="K4295" s="4">
        <v>612.39</v>
      </c>
      <c r="L4295" s="4">
        <v>201.21</v>
      </c>
      <c r="M4295" s="1" t="str">
        <f>TEXT(Table1[[#This Row],[Order_Date]], "MMM")</f>
        <v>Dec</v>
      </c>
      <c r="N4295" s="1">
        <f>YEAR(Table1[[#This Row],[Order_Date]])</f>
        <v>2024</v>
      </c>
      <c r="O4295" s="7">
        <f>Table1[[#This Row],[Profit]]/Table1[[#This Row],[Total_Sales]]</f>
        <v>0.24730825958702066</v>
      </c>
    </row>
    <row r="4296" spans="1:15" x14ac:dyDescent="0.25">
      <c r="A4296" s="1">
        <v>4295</v>
      </c>
      <c r="B4296" s="2">
        <v>45294</v>
      </c>
      <c r="C4296" s="1" t="s">
        <v>19</v>
      </c>
      <c r="D4296" s="1" t="s">
        <v>20</v>
      </c>
      <c r="E4296" s="1" t="s">
        <v>43</v>
      </c>
      <c r="F4296" s="1" t="s">
        <v>15</v>
      </c>
      <c r="G4296" s="1">
        <v>9</v>
      </c>
      <c r="H4296" s="1">
        <v>41</v>
      </c>
      <c r="I4296" s="1">
        <v>10</v>
      </c>
      <c r="J4296" s="4">
        <v>332.1</v>
      </c>
      <c r="K4296" s="4">
        <v>256.20999999999998</v>
      </c>
      <c r="L4296" s="4">
        <v>75.89</v>
      </c>
      <c r="M4296" s="1" t="str">
        <f>TEXT(Table1[[#This Row],[Order_Date]], "MMM")</f>
        <v>Jan</v>
      </c>
      <c r="N4296" s="1">
        <f>YEAR(Table1[[#This Row],[Order_Date]])</f>
        <v>2024</v>
      </c>
      <c r="O4296" s="7">
        <f>Table1[[#This Row],[Profit]]/Table1[[#This Row],[Total_Sales]]</f>
        <v>0.22851550737729598</v>
      </c>
    </row>
    <row r="4297" spans="1:15" x14ac:dyDescent="0.25">
      <c r="A4297" s="1">
        <v>4296</v>
      </c>
      <c r="B4297" s="2">
        <v>45123</v>
      </c>
      <c r="C4297" s="1" t="s">
        <v>16</v>
      </c>
      <c r="D4297" s="1" t="s">
        <v>26</v>
      </c>
      <c r="E4297" s="1" t="s">
        <v>46</v>
      </c>
      <c r="F4297" s="1" t="s">
        <v>35</v>
      </c>
      <c r="G4297" s="1">
        <v>5</v>
      </c>
      <c r="H4297" s="1">
        <v>864</v>
      </c>
      <c r="I4297" s="1">
        <v>0</v>
      </c>
      <c r="J4297" s="4">
        <v>4320</v>
      </c>
      <c r="K4297" s="4">
        <v>2296.62</v>
      </c>
      <c r="L4297" s="4">
        <v>2023.38</v>
      </c>
      <c r="M4297" s="1" t="str">
        <f>TEXT(Table1[[#This Row],[Order_Date]], "MMM")</f>
        <v>Jul</v>
      </c>
      <c r="N4297" s="1">
        <f>YEAR(Table1[[#This Row],[Order_Date]])</f>
        <v>2023</v>
      </c>
      <c r="O4297" s="7">
        <f>Table1[[#This Row],[Profit]]/Table1[[#This Row],[Total_Sales]]</f>
        <v>0.46837500000000004</v>
      </c>
    </row>
    <row r="4298" spans="1:15" x14ac:dyDescent="0.25">
      <c r="A4298" s="1">
        <v>4297</v>
      </c>
      <c r="B4298" s="2">
        <v>45223</v>
      </c>
      <c r="C4298" s="1" t="s">
        <v>16</v>
      </c>
      <c r="D4298" s="1" t="s">
        <v>20</v>
      </c>
      <c r="E4298" s="1" t="s">
        <v>30</v>
      </c>
      <c r="F4298" s="1" t="s">
        <v>31</v>
      </c>
      <c r="G4298" s="1">
        <v>6</v>
      </c>
      <c r="H4298" s="1">
        <v>778</v>
      </c>
      <c r="I4298" s="1">
        <v>5</v>
      </c>
      <c r="J4298" s="4">
        <v>4434.6000000000004</v>
      </c>
      <c r="K4298" s="4">
        <v>3386.54</v>
      </c>
      <c r="L4298" s="4">
        <v>1048.06</v>
      </c>
      <c r="M4298" s="1" t="str">
        <f>TEXT(Table1[[#This Row],[Order_Date]], "MMM")</f>
        <v>Oct</v>
      </c>
      <c r="N4298" s="1">
        <f>YEAR(Table1[[#This Row],[Order_Date]])</f>
        <v>2023</v>
      </c>
      <c r="O4298" s="7">
        <f>Table1[[#This Row],[Profit]]/Table1[[#This Row],[Total_Sales]]</f>
        <v>0.2363369864249312</v>
      </c>
    </row>
    <row r="4299" spans="1:15" x14ac:dyDescent="0.25">
      <c r="A4299" s="1">
        <v>4298</v>
      </c>
      <c r="B4299" s="2">
        <v>45175</v>
      </c>
      <c r="C4299" s="1" t="s">
        <v>19</v>
      </c>
      <c r="D4299" s="1" t="s">
        <v>26</v>
      </c>
      <c r="E4299" s="1" t="s">
        <v>46</v>
      </c>
      <c r="F4299" s="1" t="s">
        <v>31</v>
      </c>
      <c r="G4299" s="1">
        <v>6</v>
      </c>
      <c r="H4299" s="1">
        <v>569</v>
      </c>
      <c r="I4299" s="1">
        <v>15</v>
      </c>
      <c r="J4299" s="4">
        <v>2901.9</v>
      </c>
      <c r="K4299" s="4">
        <v>1940.79</v>
      </c>
      <c r="L4299" s="4">
        <v>961.11</v>
      </c>
      <c r="M4299" s="1" t="str">
        <f>TEXT(Table1[[#This Row],[Order_Date]], "MMM")</f>
        <v>Sep</v>
      </c>
      <c r="N4299" s="1">
        <f>YEAR(Table1[[#This Row],[Order_Date]])</f>
        <v>2023</v>
      </c>
      <c r="O4299" s="7">
        <f>Table1[[#This Row],[Profit]]/Table1[[#This Row],[Total_Sales]]</f>
        <v>0.33120024811330506</v>
      </c>
    </row>
    <row r="4300" spans="1:15" x14ac:dyDescent="0.25">
      <c r="A4300" s="1">
        <v>4299</v>
      </c>
      <c r="B4300" s="2">
        <v>45212</v>
      </c>
      <c r="C4300" s="1" t="s">
        <v>12</v>
      </c>
      <c r="D4300" s="1" t="s">
        <v>20</v>
      </c>
      <c r="E4300" s="1" t="s">
        <v>21</v>
      </c>
      <c r="F4300" s="1" t="s">
        <v>31</v>
      </c>
      <c r="G4300" s="1">
        <v>2</v>
      </c>
      <c r="H4300" s="1">
        <v>823</v>
      </c>
      <c r="I4300" s="1">
        <v>20</v>
      </c>
      <c r="J4300" s="4">
        <v>1316.8</v>
      </c>
      <c r="K4300" s="4">
        <v>1027.08</v>
      </c>
      <c r="L4300" s="4">
        <v>289.72000000000003</v>
      </c>
      <c r="M4300" s="1" t="str">
        <f>TEXT(Table1[[#This Row],[Order_Date]], "MMM")</f>
        <v>Oct</v>
      </c>
      <c r="N4300" s="1">
        <f>YEAR(Table1[[#This Row],[Order_Date]])</f>
        <v>2023</v>
      </c>
      <c r="O4300" s="7">
        <f>Table1[[#This Row],[Profit]]/Table1[[#This Row],[Total_Sales]]</f>
        <v>0.22001822600243015</v>
      </c>
    </row>
    <row r="4301" spans="1:15" x14ac:dyDescent="0.25">
      <c r="A4301" s="1">
        <v>4300</v>
      </c>
      <c r="B4301" s="2">
        <v>44932</v>
      </c>
      <c r="C4301" s="1" t="s">
        <v>19</v>
      </c>
      <c r="D4301" s="1" t="s">
        <v>20</v>
      </c>
      <c r="E4301" s="1" t="s">
        <v>43</v>
      </c>
      <c r="F4301" s="1" t="s">
        <v>15</v>
      </c>
      <c r="G4301" s="1">
        <v>3</v>
      </c>
      <c r="H4301" s="1">
        <v>292</v>
      </c>
      <c r="I4301" s="1">
        <v>15</v>
      </c>
      <c r="J4301" s="4">
        <v>744.6</v>
      </c>
      <c r="K4301" s="4">
        <v>465.18</v>
      </c>
      <c r="L4301" s="4">
        <v>279.42</v>
      </c>
      <c r="M4301" s="1" t="str">
        <f>TEXT(Table1[[#This Row],[Order_Date]], "MMM")</f>
        <v>Jan</v>
      </c>
      <c r="N4301" s="1">
        <f>YEAR(Table1[[#This Row],[Order_Date]])</f>
        <v>2023</v>
      </c>
      <c r="O4301" s="7">
        <f>Table1[[#This Row],[Profit]]/Table1[[#This Row],[Total_Sales]]</f>
        <v>0.37526188557614826</v>
      </c>
    </row>
    <row r="4302" spans="1:15" x14ac:dyDescent="0.25">
      <c r="A4302" s="1">
        <v>4301</v>
      </c>
      <c r="B4302" s="2">
        <v>45102</v>
      </c>
      <c r="C4302" s="1" t="s">
        <v>16</v>
      </c>
      <c r="D4302" s="1" t="s">
        <v>13</v>
      </c>
      <c r="E4302" s="1" t="s">
        <v>17</v>
      </c>
      <c r="F4302" s="1" t="s">
        <v>31</v>
      </c>
      <c r="G4302" s="1">
        <v>8</v>
      </c>
      <c r="H4302" s="1">
        <v>748</v>
      </c>
      <c r="I4302" s="1">
        <v>5</v>
      </c>
      <c r="J4302" s="4">
        <v>5684.8</v>
      </c>
      <c r="K4302" s="4">
        <v>3402.47</v>
      </c>
      <c r="L4302" s="4">
        <v>2282.33</v>
      </c>
      <c r="M4302" s="1" t="str">
        <f>TEXT(Table1[[#This Row],[Order_Date]], "MMM")</f>
        <v>Jun</v>
      </c>
      <c r="N4302" s="1">
        <f>YEAR(Table1[[#This Row],[Order_Date]])</f>
        <v>2023</v>
      </c>
      <c r="O4302" s="7">
        <f>Table1[[#This Row],[Profit]]/Table1[[#This Row],[Total_Sales]]</f>
        <v>0.40147938361947649</v>
      </c>
    </row>
    <row r="4303" spans="1:15" x14ac:dyDescent="0.25">
      <c r="A4303" s="1">
        <v>4302</v>
      </c>
      <c r="B4303" s="2">
        <v>45379</v>
      </c>
      <c r="C4303" s="1" t="s">
        <v>12</v>
      </c>
      <c r="D4303" s="1" t="s">
        <v>13</v>
      </c>
      <c r="E4303" s="1" t="s">
        <v>38</v>
      </c>
      <c r="F4303" s="1" t="s">
        <v>40</v>
      </c>
      <c r="G4303" s="1">
        <v>6</v>
      </c>
      <c r="H4303" s="1">
        <v>902</v>
      </c>
      <c r="I4303" s="1">
        <v>15</v>
      </c>
      <c r="J4303" s="4">
        <v>4600.2</v>
      </c>
      <c r="K4303" s="4">
        <v>2586.3200000000002</v>
      </c>
      <c r="L4303" s="4">
        <v>2013.88</v>
      </c>
      <c r="M4303" s="1" t="str">
        <f>TEXT(Table1[[#This Row],[Order_Date]], "MMM")</f>
        <v>Mar</v>
      </c>
      <c r="N4303" s="1">
        <f>YEAR(Table1[[#This Row],[Order_Date]])</f>
        <v>2024</v>
      </c>
      <c r="O4303" s="7">
        <f>Table1[[#This Row],[Profit]]/Table1[[#This Row],[Total_Sales]]</f>
        <v>0.43778096604495459</v>
      </c>
    </row>
    <row r="4304" spans="1:15" x14ac:dyDescent="0.25">
      <c r="A4304" s="1">
        <v>4303</v>
      </c>
      <c r="B4304" s="2">
        <v>45631</v>
      </c>
      <c r="C4304" s="1" t="s">
        <v>16</v>
      </c>
      <c r="D4304" s="1" t="s">
        <v>22</v>
      </c>
      <c r="E4304" s="1" t="s">
        <v>23</v>
      </c>
      <c r="F4304" s="1" t="s">
        <v>18</v>
      </c>
      <c r="G4304" s="1">
        <v>9</v>
      </c>
      <c r="H4304" s="1">
        <v>623</v>
      </c>
      <c r="I4304" s="1">
        <v>20</v>
      </c>
      <c r="J4304" s="4">
        <v>4485.6000000000004</v>
      </c>
      <c r="K4304" s="4">
        <v>3304.1</v>
      </c>
      <c r="L4304" s="4">
        <v>1181.5</v>
      </c>
      <c r="M4304" s="1" t="str">
        <f>TEXT(Table1[[#This Row],[Order_Date]], "MMM")</f>
        <v>Dec</v>
      </c>
      <c r="N4304" s="1">
        <f>YEAR(Table1[[#This Row],[Order_Date]])</f>
        <v>2024</v>
      </c>
      <c r="O4304" s="7">
        <f>Table1[[#This Row],[Profit]]/Table1[[#This Row],[Total_Sales]]</f>
        <v>0.26339843053326195</v>
      </c>
    </row>
    <row r="4305" spans="1:15" x14ac:dyDescent="0.25">
      <c r="A4305" s="1">
        <v>4304</v>
      </c>
      <c r="B4305" s="2">
        <v>45515</v>
      </c>
      <c r="C4305" s="1" t="s">
        <v>12</v>
      </c>
      <c r="D4305" s="1" t="s">
        <v>22</v>
      </c>
      <c r="E4305" s="1" t="s">
        <v>44</v>
      </c>
      <c r="F4305" s="1" t="s">
        <v>40</v>
      </c>
      <c r="G4305" s="1">
        <v>4</v>
      </c>
      <c r="H4305" s="1">
        <v>457</v>
      </c>
      <c r="I4305" s="1">
        <v>20</v>
      </c>
      <c r="J4305" s="4">
        <v>1462.4</v>
      </c>
      <c r="K4305" s="4">
        <v>872.9</v>
      </c>
      <c r="L4305" s="4">
        <v>589.5</v>
      </c>
      <c r="M4305" s="1" t="str">
        <f>TEXT(Table1[[#This Row],[Order_Date]], "MMM")</f>
        <v>Aug</v>
      </c>
      <c r="N4305" s="1">
        <f>YEAR(Table1[[#This Row],[Order_Date]])</f>
        <v>2024</v>
      </c>
      <c r="O4305" s="7">
        <f>Table1[[#This Row],[Profit]]/Table1[[#This Row],[Total_Sales]]</f>
        <v>0.40310448577680524</v>
      </c>
    </row>
    <row r="4306" spans="1:15" x14ac:dyDescent="0.25">
      <c r="A4306" s="1">
        <v>4305</v>
      </c>
      <c r="B4306" s="2">
        <v>45404</v>
      </c>
      <c r="C4306" s="1" t="s">
        <v>16</v>
      </c>
      <c r="D4306" s="1" t="s">
        <v>13</v>
      </c>
      <c r="E4306" s="1" t="s">
        <v>14</v>
      </c>
      <c r="F4306" s="1" t="s">
        <v>15</v>
      </c>
      <c r="G4306" s="1">
        <v>2</v>
      </c>
      <c r="H4306" s="1">
        <v>476</v>
      </c>
      <c r="I4306" s="1">
        <v>0</v>
      </c>
      <c r="J4306" s="4">
        <v>952</v>
      </c>
      <c r="K4306" s="4">
        <v>511.83</v>
      </c>
      <c r="L4306" s="4">
        <v>440.17</v>
      </c>
      <c r="M4306" s="1" t="str">
        <f>TEXT(Table1[[#This Row],[Order_Date]], "MMM")</f>
        <v>Apr</v>
      </c>
      <c r="N4306" s="1">
        <f>YEAR(Table1[[#This Row],[Order_Date]])</f>
        <v>2024</v>
      </c>
      <c r="O4306" s="7">
        <f>Table1[[#This Row],[Profit]]/Table1[[#This Row],[Total_Sales]]</f>
        <v>0.46236344537815127</v>
      </c>
    </row>
    <row r="4307" spans="1:15" x14ac:dyDescent="0.25">
      <c r="A4307" s="1">
        <v>4306</v>
      </c>
      <c r="B4307" s="2">
        <v>45296</v>
      </c>
      <c r="C4307" s="1" t="s">
        <v>25</v>
      </c>
      <c r="D4307" s="1" t="s">
        <v>32</v>
      </c>
      <c r="E4307" s="1" t="s">
        <v>41</v>
      </c>
      <c r="F4307" s="1" t="s">
        <v>31</v>
      </c>
      <c r="G4307" s="1">
        <v>5</v>
      </c>
      <c r="H4307" s="1">
        <v>84</v>
      </c>
      <c r="I4307" s="1">
        <v>15</v>
      </c>
      <c r="J4307" s="4">
        <v>357</v>
      </c>
      <c r="K4307" s="4">
        <v>182.56</v>
      </c>
      <c r="L4307" s="4">
        <v>174.44</v>
      </c>
      <c r="M4307" s="1" t="str">
        <f>TEXT(Table1[[#This Row],[Order_Date]], "MMM")</f>
        <v>Jan</v>
      </c>
      <c r="N4307" s="1">
        <f>YEAR(Table1[[#This Row],[Order_Date]])</f>
        <v>2024</v>
      </c>
      <c r="O4307" s="7">
        <f>Table1[[#This Row],[Profit]]/Table1[[#This Row],[Total_Sales]]</f>
        <v>0.48862745098039218</v>
      </c>
    </row>
    <row r="4308" spans="1:15" x14ac:dyDescent="0.25">
      <c r="A4308" s="1">
        <v>4307</v>
      </c>
      <c r="B4308" s="2">
        <v>45464</v>
      </c>
      <c r="C4308" s="1" t="s">
        <v>19</v>
      </c>
      <c r="D4308" s="1" t="s">
        <v>13</v>
      </c>
      <c r="E4308" s="1" t="s">
        <v>39</v>
      </c>
      <c r="F4308" s="1" t="s">
        <v>31</v>
      </c>
      <c r="G4308" s="1">
        <v>1</v>
      </c>
      <c r="H4308" s="1">
        <v>804</v>
      </c>
      <c r="I4308" s="1">
        <v>5</v>
      </c>
      <c r="J4308" s="4">
        <v>763.8</v>
      </c>
      <c r="K4308" s="4">
        <v>385.46</v>
      </c>
      <c r="L4308" s="4">
        <v>378.34</v>
      </c>
      <c r="M4308" s="1" t="str">
        <f>TEXT(Table1[[#This Row],[Order_Date]], "MMM")</f>
        <v>Jun</v>
      </c>
      <c r="N4308" s="1">
        <f>YEAR(Table1[[#This Row],[Order_Date]])</f>
        <v>2024</v>
      </c>
      <c r="O4308" s="7">
        <f>Table1[[#This Row],[Profit]]/Table1[[#This Row],[Total_Sales]]</f>
        <v>0.49533909400366588</v>
      </c>
    </row>
    <row r="4309" spans="1:15" x14ac:dyDescent="0.25">
      <c r="A4309" s="1">
        <v>4308</v>
      </c>
      <c r="B4309" s="2">
        <v>45524</v>
      </c>
      <c r="C4309" s="1" t="s">
        <v>25</v>
      </c>
      <c r="D4309" s="1" t="s">
        <v>26</v>
      </c>
      <c r="E4309" s="1" t="s">
        <v>27</v>
      </c>
      <c r="F4309" s="1" t="s">
        <v>35</v>
      </c>
      <c r="G4309" s="1">
        <v>8</v>
      </c>
      <c r="H4309" s="1">
        <v>329</v>
      </c>
      <c r="I4309" s="1">
        <v>0</v>
      </c>
      <c r="J4309" s="4">
        <v>2632</v>
      </c>
      <c r="K4309" s="4">
        <v>1633.32</v>
      </c>
      <c r="L4309" s="4">
        <v>998.68</v>
      </c>
      <c r="M4309" s="1" t="str">
        <f>TEXT(Table1[[#This Row],[Order_Date]], "MMM")</f>
        <v>Aug</v>
      </c>
      <c r="N4309" s="1">
        <f>YEAR(Table1[[#This Row],[Order_Date]])</f>
        <v>2024</v>
      </c>
      <c r="O4309" s="7">
        <f>Table1[[#This Row],[Profit]]/Table1[[#This Row],[Total_Sales]]</f>
        <v>0.37943768996960486</v>
      </c>
    </row>
    <row r="4310" spans="1:15" x14ac:dyDescent="0.25">
      <c r="A4310" s="1">
        <v>4309</v>
      </c>
      <c r="B4310" s="2">
        <v>45327</v>
      </c>
      <c r="C4310" s="1" t="s">
        <v>12</v>
      </c>
      <c r="D4310" s="1" t="s">
        <v>20</v>
      </c>
      <c r="E4310" s="1" t="s">
        <v>21</v>
      </c>
      <c r="F4310" s="1" t="s">
        <v>24</v>
      </c>
      <c r="G4310" s="1">
        <v>9</v>
      </c>
      <c r="H4310" s="1">
        <v>278</v>
      </c>
      <c r="I4310" s="1">
        <v>15</v>
      </c>
      <c r="J4310" s="4">
        <v>2126.6999999999998</v>
      </c>
      <c r="K4310" s="4">
        <v>1244.5899999999999</v>
      </c>
      <c r="L4310" s="4">
        <v>882.11</v>
      </c>
      <c r="M4310" s="1" t="str">
        <f>TEXT(Table1[[#This Row],[Order_Date]], "MMM")</f>
        <v>Feb</v>
      </c>
      <c r="N4310" s="1">
        <f>YEAR(Table1[[#This Row],[Order_Date]])</f>
        <v>2024</v>
      </c>
      <c r="O4310" s="7">
        <f>Table1[[#This Row],[Profit]]/Table1[[#This Row],[Total_Sales]]</f>
        <v>0.41477876522311569</v>
      </c>
    </row>
    <row r="4311" spans="1:15" x14ac:dyDescent="0.25">
      <c r="A4311" s="1">
        <v>4310</v>
      </c>
      <c r="B4311" s="2">
        <v>45653</v>
      </c>
      <c r="C4311" s="1" t="s">
        <v>12</v>
      </c>
      <c r="D4311" s="1" t="s">
        <v>20</v>
      </c>
      <c r="E4311" s="1" t="s">
        <v>43</v>
      </c>
      <c r="F4311" s="1" t="s">
        <v>35</v>
      </c>
      <c r="G4311" s="1">
        <v>3</v>
      </c>
      <c r="H4311" s="1">
        <v>598</v>
      </c>
      <c r="I4311" s="1">
        <v>10</v>
      </c>
      <c r="J4311" s="4">
        <v>1614.6</v>
      </c>
      <c r="K4311" s="4">
        <v>819.59</v>
      </c>
      <c r="L4311" s="4">
        <v>795.01</v>
      </c>
      <c r="M4311" s="1" t="str">
        <f>TEXT(Table1[[#This Row],[Order_Date]], "MMM")</f>
        <v>Dec</v>
      </c>
      <c r="N4311" s="1">
        <f>YEAR(Table1[[#This Row],[Order_Date]])</f>
        <v>2024</v>
      </c>
      <c r="O4311" s="7">
        <f>Table1[[#This Row],[Profit]]/Table1[[#This Row],[Total_Sales]]</f>
        <v>0.49238820760559893</v>
      </c>
    </row>
    <row r="4312" spans="1:15" x14ac:dyDescent="0.25">
      <c r="A4312" s="1">
        <v>4311</v>
      </c>
      <c r="B4312" s="2">
        <v>45453</v>
      </c>
      <c r="C4312" s="1" t="s">
        <v>16</v>
      </c>
      <c r="D4312" s="1" t="s">
        <v>22</v>
      </c>
      <c r="E4312" s="1" t="s">
        <v>44</v>
      </c>
      <c r="F4312" s="1" t="s">
        <v>24</v>
      </c>
      <c r="G4312" s="1">
        <v>10</v>
      </c>
      <c r="H4312" s="1">
        <v>868</v>
      </c>
      <c r="I4312" s="1">
        <v>15</v>
      </c>
      <c r="J4312" s="4">
        <v>7378</v>
      </c>
      <c r="K4312" s="4">
        <v>4701.97</v>
      </c>
      <c r="L4312" s="4">
        <v>2676.03</v>
      </c>
      <c r="M4312" s="1" t="str">
        <f>TEXT(Table1[[#This Row],[Order_Date]], "MMM")</f>
        <v>Jun</v>
      </c>
      <c r="N4312" s="1">
        <f>YEAR(Table1[[#This Row],[Order_Date]])</f>
        <v>2024</v>
      </c>
      <c r="O4312" s="7">
        <f>Table1[[#This Row],[Profit]]/Table1[[#This Row],[Total_Sales]]</f>
        <v>0.36270398481973437</v>
      </c>
    </row>
    <row r="4313" spans="1:15" x14ac:dyDescent="0.25">
      <c r="A4313" s="1">
        <v>4312</v>
      </c>
      <c r="B4313" s="2">
        <v>45374</v>
      </c>
      <c r="C4313" s="1" t="s">
        <v>25</v>
      </c>
      <c r="D4313" s="1" t="s">
        <v>20</v>
      </c>
      <c r="E4313" s="1" t="s">
        <v>28</v>
      </c>
      <c r="F4313" s="1" t="s">
        <v>15</v>
      </c>
      <c r="G4313" s="1">
        <v>6</v>
      </c>
      <c r="H4313" s="1">
        <v>219</v>
      </c>
      <c r="I4313" s="1">
        <v>10</v>
      </c>
      <c r="J4313" s="4">
        <v>1182.5999999999999</v>
      </c>
      <c r="K4313" s="4">
        <v>686.92</v>
      </c>
      <c r="L4313" s="4">
        <v>495.68</v>
      </c>
      <c r="M4313" s="1" t="str">
        <f>TEXT(Table1[[#This Row],[Order_Date]], "MMM")</f>
        <v>Mar</v>
      </c>
      <c r="N4313" s="1">
        <f>YEAR(Table1[[#This Row],[Order_Date]])</f>
        <v>2024</v>
      </c>
      <c r="O4313" s="7">
        <f>Table1[[#This Row],[Profit]]/Table1[[#This Row],[Total_Sales]]</f>
        <v>0.41914425841366487</v>
      </c>
    </row>
    <row r="4314" spans="1:15" x14ac:dyDescent="0.25">
      <c r="A4314" s="1">
        <v>4313</v>
      </c>
      <c r="B4314" s="2">
        <v>45427</v>
      </c>
      <c r="C4314" s="1" t="s">
        <v>19</v>
      </c>
      <c r="D4314" s="1" t="s">
        <v>26</v>
      </c>
      <c r="E4314" s="1" t="s">
        <v>46</v>
      </c>
      <c r="F4314" s="1" t="s">
        <v>18</v>
      </c>
      <c r="G4314" s="1">
        <v>8</v>
      </c>
      <c r="H4314" s="1">
        <v>897</v>
      </c>
      <c r="I4314" s="1">
        <v>20</v>
      </c>
      <c r="J4314" s="4">
        <v>5740.8</v>
      </c>
      <c r="K4314" s="4">
        <v>3300.49</v>
      </c>
      <c r="L4314" s="4">
        <v>2440.31</v>
      </c>
      <c r="M4314" s="1" t="str">
        <f>TEXT(Table1[[#This Row],[Order_Date]], "MMM")</f>
        <v>May</v>
      </c>
      <c r="N4314" s="1">
        <f>YEAR(Table1[[#This Row],[Order_Date]])</f>
        <v>2024</v>
      </c>
      <c r="O4314" s="7">
        <f>Table1[[#This Row],[Profit]]/Table1[[#This Row],[Total_Sales]]</f>
        <v>0.42508187012263099</v>
      </c>
    </row>
    <row r="4315" spans="1:15" x14ac:dyDescent="0.25">
      <c r="A4315" s="1">
        <v>4314</v>
      </c>
      <c r="B4315" s="2">
        <v>45368</v>
      </c>
      <c r="C4315" s="1" t="s">
        <v>25</v>
      </c>
      <c r="D4315" s="1" t="s">
        <v>22</v>
      </c>
      <c r="E4315" s="1" t="s">
        <v>23</v>
      </c>
      <c r="F4315" s="1" t="s">
        <v>18</v>
      </c>
      <c r="G4315" s="1">
        <v>3</v>
      </c>
      <c r="H4315" s="1">
        <v>892</v>
      </c>
      <c r="I4315" s="1">
        <v>5</v>
      </c>
      <c r="J4315" s="4">
        <v>2542.1999999999998</v>
      </c>
      <c r="K4315" s="4">
        <v>1750.67</v>
      </c>
      <c r="L4315" s="4">
        <v>791.53</v>
      </c>
      <c r="M4315" s="1" t="str">
        <f>TEXT(Table1[[#This Row],[Order_Date]], "MMM")</f>
        <v>Mar</v>
      </c>
      <c r="N4315" s="1">
        <f>YEAR(Table1[[#This Row],[Order_Date]])</f>
        <v>2024</v>
      </c>
      <c r="O4315" s="7">
        <f>Table1[[#This Row],[Profit]]/Table1[[#This Row],[Total_Sales]]</f>
        <v>0.31135630556211158</v>
      </c>
    </row>
    <row r="4316" spans="1:15" x14ac:dyDescent="0.25">
      <c r="A4316" s="1">
        <v>4315</v>
      </c>
      <c r="B4316" s="2">
        <v>45034</v>
      </c>
      <c r="C4316" s="1" t="s">
        <v>12</v>
      </c>
      <c r="D4316" s="1" t="s">
        <v>22</v>
      </c>
      <c r="E4316" s="1" t="s">
        <v>23</v>
      </c>
      <c r="F4316" s="1" t="s">
        <v>35</v>
      </c>
      <c r="G4316" s="1">
        <v>10</v>
      </c>
      <c r="H4316" s="1">
        <v>634</v>
      </c>
      <c r="I4316" s="1">
        <v>15</v>
      </c>
      <c r="J4316" s="4">
        <v>5389</v>
      </c>
      <c r="K4316" s="4">
        <v>2819.87</v>
      </c>
      <c r="L4316" s="4">
        <v>2569.13</v>
      </c>
      <c r="M4316" s="1" t="str">
        <f>TEXT(Table1[[#This Row],[Order_Date]], "MMM")</f>
        <v>Apr</v>
      </c>
      <c r="N4316" s="1">
        <f>YEAR(Table1[[#This Row],[Order_Date]])</f>
        <v>2023</v>
      </c>
      <c r="O4316" s="7">
        <f>Table1[[#This Row],[Profit]]/Table1[[#This Row],[Total_Sales]]</f>
        <v>0.47673594358879201</v>
      </c>
    </row>
    <row r="4317" spans="1:15" x14ac:dyDescent="0.25">
      <c r="A4317" s="1">
        <v>4316</v>
      </c>
      <c r="B4317" s="2">
        <v>45248</v>
      </c>
      <c r="C4317" s="1" t="s">
        <v>12</v>
      </c>
      <c r="D4317" s="1" t="s">
        <v>13</v>
      </c>
      <c r="E4317" s="1" t="s">
        <v>14</v>
      </c>
      <c r="F4317" s="1" t="s">
        <v>18</v>
      </c>
      <c r="G4317" s="1">
        <v>5</v>
      </c>
      <c r="H4317" s="1">
        <v>138</v>
      </c>
      <c r="I4317" s="1">
        <v>10</v>
      </c>
      <c r="J4317" s="4">
        <v>621</v>
      </c>
      <c r="K4317" s="4">
        <v>370.05</v>
      </c>
      <c r="L4317" s="4">
        <v>250.95</v>
      </c>
      <c r="M4317" s="1" t="str">
        <f>TEXT(Table1[[#This Row],[Order_Date]], "MMM")</f>
        <v>Nov</v>
      </c>
      <c r="N4317" s="1">
        <f>YEAR(Table1[[#This Row],[Order_Date]])</f>
        <v>2023</v>
      </c>
      <c r="O4317" s="7">
        <f>Table1[[#This Row],[Profit]]/Table1[[#This Row],[Total_Sales]]</f>
        <v>0.40410628019323669</v>
      </c>
    </row>
    <row r="4318" spans="1:15" x14ac:dyDescent="0.25">
      <c r="A4318" s="1">
        <v>4317</v>
      </c>
      <c r="B4318" s="2">
        <v>45219</v>
      </c>
      <c r="C4318" s="1" t="s">
        <v>19</v>
      </c>
      <c r="D4318" s="1" t="s">
        <v>32</v>
      </c>
      <c r="E4318" s="1" t="s">
        <v>33</v>
      </c>
      <c r="F4318" s="1" t="s">
        <v>40</v>
      </c>
      <c r="G4318" s="1">
        <v>6</v>
      </c>
      <c r="H4318" s="1">
        <v>485</v>
      </c>
      <c r="I4318" s="1">
        <v>10</v>
      </c>
      <c r="J4318" s="4">
        <v>2619</v>
      </c>
      <c r="K4318" s="4">
        <v>1446.01</v>
      </c>
      <c r="L4318" s="4">
        <v>1172.99</v>
      </c>
      <c r="M4318" s="1" t="str">
        <f>TEXT(Table1[[#This Row],[Order_Date]], "MMM")</f>
        <v>Oct</v>
      </c>
      <c r="N4318" s="1">
        <f>YEAR(Table1[[#This Row],[Order_Date]])</f>
        <v>2023</v>
      </c>
      <c r="O4318" s="7">
        <f>Table1[[#This Row],[Profit]]/Table1[[#This Row],[Total_Sales]]</f>
        <v>0.44787705231004199</v>
      </c>
    </row>
    <row r="4319" spans="1:15" x14ac:dyDescent="0.25">
      <c r="A4319" s="1">
        <v>4318</v>
      </c>
      <c r="B4319" s="2">
        <v>45207</v>
      </c>
      <c r="C4319" s="1" t="s">
        <v>16</v>
      </c>
      <c r="D4319" s="1" t="s">
        <v>32</v>
      </c>
      <c r="E4319" s="1" t="s">
        <v>45</v>
      </c>
      <c r="F4319" s="1" t="s">
        <v>18</v>
      </c>
      <c r="G4319" s="1">
        <v>10</v>
      </c>
      <c r="H4319" s="1">
        <v>22</v>
      </c>
      <c r="I4319" s="1">
        <v>20</v>
      </c>
      <c r="J4319" s="4">
        <v>176</v>
      </c>
      <c r="K4319" s="4">
        <v>106.2</v>
      </c>
      <c r="L4319" s="4">
        <v>69.8</v>
      </c>
      <c r="M4319" s="1" t="str">
        <f>TEXT(Table1[[#This Row],[Order_Date]], "MMM")</f>
        <v>Oct</v>
      </c>
      <c r="N4319" s="1">
        <f>YEAR(Table1[[#This Row],[Order_Date]])</f>
        <v>2023</v>
      </c>
      <c r="O4319" s="7">
        <f>Table1[[#This Row],[Profit]]/Table1[[#This Row],[Total_Sales]]</f>
        <v>0.39659090909090905</v>
      </c>
    </row>
    <row r="4320" spans="1:15" x14ac:dyDescent="0.25">
      <c r="A4320" s="1">
        <v>4319</v>
      </c>
      <c r="B4320" s="2">
        <v>45384</v>
      </c>
      <c r="C4320" s="1" t="s">
        <v>12</v>
      </c>
      <c r="D4320" s="1" t="s">
        <v>32</v>
      </c>
      <c r="E4320" s="1" t="s">
        <v>41</v>
      </c>
      <c r="F4320" s="1" t="s">
        <v>15</v>
      </c>
      <c r="G4320" s="1">
        <v>3</v>
      </c>
      <c r="H4320" s="1">
        <v>125</v>
      </c>
      <c r="I4320" s="1">
        <v>20</v>
      </c>
      <c r="J4320" s="4">
        <v>300</v>
      </c>
      <c r="K4320" s="4">
        <v>236.05</v>
      </c>
      <c r="L4320" s="4">
        <v>63.95</v>
      </c>
      <c r="M4320" s="1" t="str">
        <f>TEXT(Table1[[#This Row],[Order_Date]], "MMM")</f>
        <v>Apr</v>
      </c>
      <c r="N4320" s="1">
        <f>YEAR(Table1[[#This Row],[Order_Date]])</f>
        <v>2024</v>
      </c>
      <c r="O4320" s="7">
        <f>Table1[[#This Row],[Profit]]/Table1[[#This Row],[Total_Sales]]</f>
        <v>0.21316666666666667</v>
      </c>
    </row>
    <row r="4321" spans="1:15" x14ac:dyDescent="0.25">
      <c r="A4321" s="1">
        <v>4320</v>
      </c>
      <c r="B4321" s="2">
        <v>45186</v>
      </c>
      <c r="C4321" s="1" t="s">
        <v>25</v>
      </c>
      <c r="D4321" s="1" t="s">
        <v>13</v>
      </c>
      <c r="E4321" s="1" t="s">
        <v>39</v>
      </c>
      <c r="F4321" s="1" t="s">
        <v>31</v>
      </c>
      <c r="G4321" s="1">
        <v>10</v>
      </c>
      <c r="H4321" s="1">
        <v>381</v>
      </c>
      <c r="I4321" s="1">
        <v>15</v>
      </c>
      <c r="J4321" s="4">
        <v>3238.5</v>
      </c>
      <c r="K4321" s="4">
        <v>1977.52</v>
      </c>
      <c r="L4321" s="4">
        <v>1260.98</v>
      </c>
      <c r="M4321" s="1" t="str">
        <f>TEXT(Table1[[#This Row],[Order_Date]], "MMM")</f>
        <v>Sep</v>
      </c>
      <c r="N4321" s="1">
        <f>YEAR(Table1[[#This Row],[Order_Date]])</f>
        <v>2023</v>
      </c>
      <c r="O4321" s="7">
        <f>Table1[[#This Row],[Profit]]/Table1[[#This Row],[Total_Sales]]</f>
        <v>0.38937162266481395</v>
      </c>
    </row>
    <row r="4322" spans="1:15" x14ac:dyDescent="0.25">
      <c r="A4322" s="1">
        <v>4321</v>
      </c>
      <c r="B4322" s="2">
        <v>45072</v>
      </c>
      <c r="C4322" s="1" t="s">
        <v>12</v>
      </c>
      <c r="D4322" s="1" t="s">
        <v>20</v>
      </c>
      <c r="E4322" s="1" t="s">
        <v>43</v>
      </c>
      <c r="F4322" s="1" t="s">
        <v>35</v>
      </c>
      <c r="G4322" s="1">
        <v>5</v>
      </c>
      <c r="H4322" s="1">
        <v>142</v>
      </c>
      <c r="I4322" s="1">
        <v>0</v>
      </c>
      <c r="J4322" s="4">
        <v>710</v>
      </c>
      <c r="K4322" s="4">
        <v>464.85</v>
      </c>
      <c r="L4322" s="4">
        <v>245.15</v>
      </c>
      <c r="M4322" s="1" t="str">
        <f>TEXT(Table1[[#This Row],[Order_Date]], "MMM")</f>
        <v>May</v>
      </c>
      <c r="N4322" s="1">
        <f>YEAR(Table1[[#This Row],[Order_Date]])</f>
        <v>2023</v>
      </c>
      <c r="O4322" s="7">
        <f>Table1[[#This Row],[Profit]]/Table1[[#This Row],[Total_Sales]]</f>
        <v>0.34528169014084509</v>
      </c>
    </row>
    <row r="4323" spans="1:15" x14ac:dyDescent="0.25">
      <c r="A4323" s="1">
        <v>4322</v>
      </c>
      <c r="B4323" s="2">
        <v>45191</v>
      </c>
      <c r="C4323" s="1" t="s">
        <v>25</v>
      </c>
      <c r="D4323" s="1" t="s">
        <v>22</v>
      </c>
      <c r="E4323" s="1" t="s">
        <v>36</v>
      </c>
      <c r="F4323" s="1" t="s">
        <v>31</v>
      </c>
      <c r="G4323" s="1">
        <v>9</v>
      </c>
      <c r="H4323" s="1">
        <v>967</v>
      </c>
      <c r="I4323" s="1">
        <v>5</v>
      </c>
      <c r="J4323" s="4">
        <v>8267.85</v>
      </c>
      <c r="K4323" s="4">
        <v>4623.32</v>
      </c>
      <c r="L4323" s="4">
        <v>3644.53</v>
      </c>
      <c r="M4323" s="1" t="str">
        <f>TEXT(Table1[[#This Row],[Order_Date]], "MMM")</f>
        <v>Sep</v>
      </c>
      <c r="N4323" s="1">
        <f>YEAR(Table1[[#This Row],[Order_Date]])</f>
        <v>2023</v>
      </c>
      <c r="O4323" s="7">
        <f>Table1[[#This Row],[Profit]]/Table1[[#This Row],[Total_Sales]]</f>
        <v>0.44080746506044499</v>
      </c>
    </row>
    <row r="4324" spans="1:15" x14ac:dyDescent="0.25">
      <c r="A4324" s="1">
        <v>4323</v>
      </c>
      <c r="B4324" s="2">
        <v>45331</v>
      </c>
      <c r="C4324" s="1" t="s">
        <v>16</v>
      </c>
      <c r="D4324" s="1" t="s">
        <v>22</v>
      </c>
      <c r="E4324" s="1" t="s">
        <v>23</v>
      </c>
      <c r="F4324" s="1" t="s">
        <v>31</v>
      </c>
      <c r="G4324" s="1">
        <v>10</v>
      </c>
      <c r="H4324" s="1">
        <v>378</v>
      </c>
      <c r="I4324" s="1">
        <v>5</v>
      </c>
      <c r="J4324" s="4">
        <v>3591</v>
      </c>
      <c r="K4324" s="4">
        <v>2850.93</v>
      </c>
      <c r="L4324" s="4">
        <v>740.07</v>
      </c>
      <c r="M4324" s="1" t="str">
        <f>TEXT(Table1[[#This Row],[Order_Date]], "MMM")</f>
        <v>Feb</v>
      </c>
      <c r="N4324" s="1">
        <f>YEAR(Table1[[#This Row],[Order_Date]])</f>
        <v>2024</v>
      </c>
      <c r="O4324" s="7">
        <f>Table1[[#This Row],[Profit]]/Table1[[#This Row],[Total_Sales]]</f>
        <v>0.2060902255639098</v>
      </c>
    </row>
    <row r="4325" spans="1:15" x14ac:dyDescent="0.25">
      <c r="A4325" s="1">
        <v>4324</v>
      </c>
      <c r="B4325" s="2">
        <v>45025</v>
      </c>
      <c r="C4325" s="1" t="s">
        <v>16</v>
      </c>
      <c r="D4325" s="1" t="s">
        <v>32</v>
      </c>
      <c r="E4325" s="1" t="s">
        <v>33</v>
      </c>
      <c r="F4325" s="1" t="s">
        <v>15</v>
      </c>
      <c r="G4325" s="1">
        <v>5</v>
      </c>
      <c r="H4325" s="1">
        <v>633</v>
      </c>
      <c r="I4325" s="1">
        <v>5</v>
      </c>
      <c r="J4325" s="4">
        <v>3006.75</v>
      </c>
      <c r="K4325" s="4">
        <v>2180.8200000000002</v>
      </c>
      <c r="L4325" s="4">
        <v>825.93</v>
      </c>
      <c r="M4325" s="1" t="str">
        <f>TEXT(Table1[[#This Row],[Order_Date]], "MMM")</f>
        <v>Apr</v>
      </c>
      <c r="N4325" s="1">
        <f>YEAR(Table1[[#This Row],[Order_Date]])</f>
        <v>2023</v>
      </c>
      <c r="O4325" s="7">
        <f>Table1[[#This Row],[Profit]]/Table1[[#This Row],[Total_Sales]]</f>
        <v>0.27469194312796208</v>
      </c>
    </row>
    <row r="4326" spans="1:15" x14ac:dyDescent="0.25">
      <c r="A4326" s="1">
        <v>4325</v>
      </c>
      <c r="B4326" s="2">
        <v>45361</v>
      </c>
      <c r="C4326" s="1" t="s">
        <v>12</v>
      </c>
      <c r="D4326" s="1" t="s">
        <v>26</v>
      </c>
      <c r="E4326" s="1" t="s">
        <v>46</v>
      </c>
      <c r="F4326" s="1" t="s">
        <v>40</v>
      </c>
      <c r="G4326" s="1">
        <v>7</v>
      </c>
      <c r="H4326" s="1">
        <v>149</v>
      </c>
      <c r="I4326" s="1">
        <v>0</v>
      </c>
      <c r="J4326" s="4">
        <v>1043</v>
      </c>
      <c r="K4326" s="4">
        <v>647.66999999999996</v>
      </c>
      <c r="L4326" s="4">
        <v>395.33</v>
      </c>
      <c r="M4326" s="1" t="str">
        <f>TEXT(Table1[[#This Row],[Order_Date]], "MMM")</f>
        <v>Mar</v>
      </c>
      <c r="N4326" s="1">
        <f>YEAR(Table1[[#This Row],[Order_Date]])</f>
        <v>2024</v>
      </c>
      <c r="O4326" s="7">
        <f>Table1[[#This Row],[Profit]]/Table1[[#This Row],[Total_Sales]]</f>
        <v>0.37903163950143814</v>
      </c>
    </row>
    <row r="4327" spans="1:15" x14ac:dyDescent="0.25">
      <c r="A4327" s="1">
        <v>4326</v>
      </c>
      <c r="B4327" s="2">
        <v>45157</v>
      </c>
      <c r="C4327" s="1" t="s">
        <v>25</v>
      </c>
      <c r="D4327" s="1" t="s">
        <v>22</v>
      </c>
      <c r="E4327" s="1" t="s">
        <v>23</v>
      </c>
      <c r="F4327" s="1" t="s">
        <v>35</v>
      </c>
      <c r="G4327" s="1">
        <v>5</v>
      </c>
      <c r="H4327" s="1">
        <v>945</v>
      </c>
      <c r="I4327" s="1">
        <v>10</v>
      </c>
      <c r="J4327" s="4">
        <v>4252.5</v>
      </c>
      <c r="K4327" s="4">
        <v>2746.79</v>
      </c>
      <c r="L4327" s="4">
        <v>1505.71</v>
      </c>
      <c r="M4327" s="1" t="str">
        <f>TEXT(Table1[[#This Row],[Order_Date]], "MMM")</f>
        <v>Aug</v>
      </c>
      <c r="N4327" s="1">
        <f>YEAR(Table1[[#This Row],[Order_Date]])</f>
        <v>2023</v>
      </c>
      <c r="O4327" s="7">
        <f>Table1[[#This Row],[Profit]]/Table1[[#This Row],[Total_Sales]]</f>
        <v>0.35407642563198122</v>
      </c>
    </row>
    <row r="4328" spans="1:15" x14ac:dyDescent="0.25">
      <c r="A4328" s="1">
        <v>4327</v>
      </c>
      <c r="B4328" s="2">
        <v>45380</v>
      </c>
      <c r="C4328" s="1" t="s">
        <v>25</v>
      </c>
      <c r="D4328" s="1" t="s">
        <v>32</v>
      </c>
      <c r="E4328" s="1" t="s">
        <v>41</v>
      </c>
      <c r="F4328" s="1" t="s">
        <v>24</v>
      </c>
      <c r="G4328" s="1">
        <v>10</v>
      </c>
      <c r="H4328" s="1">
        <v>994</v>
      </c>
      <c r="I4328" s="1">
        <v>10</v>
      </c>
      <c r="J4328" s="4">
        <v>8946</v>
      </c>
      <c r="K4328" s="4">
        <v>5247.07</v>
      </c>
      <c r="L4328" s="4">
        <v>3698.93</v>
      </c>
      <c r="M4328" s="1" t="str">
        <f>TEXT(Table1[[#This Row],[Order_Date]], "MMM")</f>
        <v>Mar</v>
      </c>
      <c r="N4328" s="1">
        <f>YEAR(Table1[[#This Row],[Order_Date]])</f>
        <v>2024</v>
      </c>
      <c r="O4328" s="7">
        <f>Table1[[#This Row],[Profit]]/Table1[[#This Row],[Total_Sales]]</f>
        <v>0.41347306058573663</v>
      </c>
    </row>
    <row r="4329" spans="1:15" x14ac:dyDescent="0.25">
      <c r="A4329" s="1">
        <v>4328</v>
      </c>
      <c r="B4329" s="2">
        <v>45441</v>
      </c>
      <c r="C4329" s="1" t="s">
        <v>12</v>
      </c>
      <c r="D4329" s="1" t="s">
        <v>26</v>
      </c>
      <c r="E4329" s="1" t="s">
        <v>42</v>
      </c>
      <c r="F4329" s="1" t="s">
        <v>31</v>
      </c>
      <c r="G4329" s="1">
        <v>10</v>
      </c>
      <c r="H4329" s="1">
        <v>80</v>
      </c>
      <c r="I4329" s="1">
        <v>5</v>
      </c>
      <c r="J4329" s="4">
        <v>760</v>
      </c>
      <c r="K4329" s="4">
        <v>599.73</v>
      </c>
      <c r="L4329" s="4">
        <v>160.27000000000001</v>
      </c>
      <c r="M4329" s="1" t="str">
        <f>TEXT(Table1[[#This Row],[Order_Date]], "MMM")</f>
        <v>May</v>
      </c>
      <c r="N4329" s="1">
        <f>YEAR(Table1[[#This Row],[Order_Date]])</f>
        <v>2024</v>
      </c>
      <c r="O4329" s="7">
        <f>Table1[[#This Row],[Profit]]/Table1[[#This Row],[Total_Sales]]</f>
        <v>0.21088157894736845</v>
      </c>
    </row>
    <row r="4330" spans="1:15" x14ac:dyDescent="0.25">
      <c r="A4330" s="1">
        <v>4329</v>
      </c>
      <c r="B4330" s="2">
        <v>45180</v>
      </c>
      <c r="C4330" s="1" t="s">
        <v>19</v>
      </c>
      <c r="D4330" s="1" t="s">
        <v>13</v>
      </c>
      <c r="E4330" s="1" t="s">
        <v>38</v>
      </c>
      <c r="F4330" s="1" t="s">
        <v>18</v>
      </c>
      <c r="G4330" s="1">
        <v>4</v>
      </c>
      <c r="H4330" s="1">
        <v>915</v>
      </c>
      <c r="I4330" s="1">
        <v>15</v>
      </c>
      <c r="J4330" s="4">
        <v>3111</v>
      </c>
      <c r="K4330" s="4">
        <v>2214.02</v>
      </c>
      <c r="L4330" s="4">
        <v>896.98</v>
      </c>
      <c r="M4330" s="1" t="str">
        <f>TEXT(Table1[[#This Row],[Order_Date]], "MMM")</f>
        <v>Sep</v>
      </c>
      <c r="N4330" s="1">
        <f>YEAR(Table1[[#This Row],[Order_Date]])</f>
        <v>2023</v>
      </c>
      <c r="O4330" s="7">
        <f>Table1[[#This Row],[Profit]]/Table1[[#This Row],[Total_Sales]]</f>
        <v>0.28832529733204759</v>
      </c>
    </row>
    <row r="4331" spans="1:15" x14ac:dyDescent="0.25">
      <c r="A4331" s="1">
        <v>4330</v>
      </c>
      <c r="B4331" s="2">
        <v>45295</v>
      </c>
      <c r="C4331" s="1" t="s">
        <v>19</v>
      </c>
      <c r="D4331" s="1" t="s">
        <v>13</v>
      </c>
      <c r="E4331" s="1" t="s">
        <v>14</v>
      </c>
      <c r="F4331" s="1" t="s">
        <v>18</v>
      </c>
      <c r="G4331" s="1">
        <v>3</v>
      </c>
      <c r="H4331" s="1">
        <v>188</v>
      </c>
      <c r="I4331" s="1">
        <v>10</v>
      </c>
      <c r="J4331" s="4">
        <v>507.6</v>
      </c>
      <c r="K4331" s="4">
        <v>329.71</v>
      </c>
      <c r="L4331" s="4">
        <v>177.89</v>
      </c>
      <c r="M4331" s="1" t="str">
        <f>TEXT(Table1[[#This Row],[Order_Date]], "MMM")</f>
        <v>Jan</v>
      </c>
      <c r="N4331" s="1">
        <f>YEAR(Table1[[#This Row],[Order_Date]])</f>
        <v>2024</v>
      </c>
      <c r="O4331" s="7">
        <f>Table1[[#This Row],[Profit]]/Table1[[#This Row],[Total_Sales]]</f>
        <v>0.35045311268715518</v>
      </c>
    </row>
    <row r="4332" spans="1:15" x14ac:dyDescent="0.25">
      <c r="A4332" s="1">
        <v>4331</v>
      </c>
      <c r="B4332" s="2">
        <v>45609</v>
      </c>
      <c r="C4332" s="1" t="s">
        <v>25</v>
      </c>
      <c r="D4332" s="1" t="s">
        <v>20</v>
      </c>
      <c r="E4332" s="1" t="s">
        <v>30</v>
      </c>
      <c r="F4332" s="1" t="s">
        <v>24</v>
      </c>
      <c r="G4332" s="1">
        <v>3</v>
      </c>
      <c r="H4332" s="1">
        <v>894</v>
      </c>
      <c r="I4332" s="1">
        <v>15</v>
      </c>
      <c r="J4332" s="4">
        <v>2279.6999999999998</v>
      </c>
      <c r="K4332" s="4">
        <v>1183.31</v>
      </c>
      <c r="L4332" s="4">
        <v>1096.3900000000001</v>
      </c>
      <c r="M4332" s="1" t="str">
        <f>TEXT(Table1[[#This Row],[Order_Date]], "MMM")</f>
        <v>Nov</v>
      </c>
      <c r="N4332" s="1">
        <f>YEAR(Table1[[#This Row],[Order_Date]])</f>
        <v>2024</v>
      </c>
      <c r="O4332" s="7">
        <f>Table1[[#This Row],[Profit]]/Table1[[#This Row],[Total_Sales]]</f>
        <v>0.48093608808176525</v>
      </c>
    </row>
    <row r="4333" spans="1:15" x14ac:dyDescent="0.25">
      <c r="A4333" s="1">
        <v>4332</v>
      </c>
      <c r="B4333" s="2">
        <v>45259</v>
      </c>
      <c r="C4333" s="1" t="s">
        <v>25</v>
      </c>
      <c r="D4333" s="1" t="s">
        <v>22</v>
      </c>
      <c r="E4333" s="1" t="s">
        <v>23</v>
      </c>
      <c r="F4333" s="1" t="s">
        <v>35</v>
      </c>
      <c r="G4333" s="1">
        <v>1</v>
      </c>
      <c r="H4333" s="1">
        <v>45</v>
      </c>
      <c r="I4333" s="1">
        <v>0</v>
      </c>
      <c r="J4333" s="4">
        <v>45</v>
      </c>
      <c r="K4333" s="4">
        <v>27.13</v>
      </c>
      <c r="L4333" s="4">
        <v>17.87</v>
      </c>
      <c r="M4333" s="1" t="str">
        <f>TEXT(Table1[[#This Row],[Order_Date]], "MMM")</f>
        <v>Nov</v>
      </c>
      <c r="N4333" s="1">
        <f>YEAR(Table1[[#This Row],[Order_Date]])</f>
        <v>2023</v>
      </c>
      <c r="O4333" s="7">
        <f>Table1[[#This Row],[Profit]]/Table1[[#This Row],[Total_Sales]]</f>
        <v>0.39711111111111114</v>
      </c>
    </row>
    <row r="4334" spans="1:15" x14ac:dyDescent="0.25">
      <c r="A4334" s="1">
        <v>4333</v>
      </c>
      <c r="B4334" s="2">
        <v>44957</v>
      </c>
      <c r="C4334" s="1" t="s">
        <v>16</v>
      </c>
      <c r="D4334" s="1" t="s">
        <v>32</v>
      </c>
      <c r="E4334" s="1" t="s">
        <v>41</v>
      </c>
      <c r="F4334" s="1" t="s">
        <v>18</v>
      </c>
      <c r="G4334" s="1">
        <v>4</v>
      </c>
      <c r="H4334" s="1">
        <v>687</v>
      </c>
      <c r="I4334" s="1">
        <v>20</v>
      </c>
      <c r="J4334" s="4">
        <v>2198.4</v>
      </c>
      <c r="K4334" s="4">
        <v>1646.81</v>
      </c>
      <c r="L4334" s="4">
        <v>551.59</v>
      </c>
      <c r="M4334" s="1" t="str">
        <f>TEXT(Table1[[#This Row],[Order_Date]], "MMM")</f>
        <v>Jan</v>
      </c>
      <c r="N4334" s="1">
        <f>YEAR(Table1[[#This Row],[Order_Date]])</f>
        <v>2023</v>
      </c>
      <c r="O4334" s="7">
        <f>Table1[[#This Row],[Profit]]/Table1[[#This Row],[Total_Sales]]</f>
        <v>0.2509052037845706</v>
      </c>
    </row>
    <row r="4335" spans="1:15" x14ac:dyDescent="0.25">
      <c r="A4335" s="1">
        <v>4334</v>
      </c>
      <c r="B4335" s="2">
        <v>45492</v>
      </c>
      <c r="C4335" s="1" t="s">
        <v>19</v>
      </c>
      <c r="D4335" s="1" t="s">
        <v>20</v>
      </c>
      <c r="E4335" s="1" t="s">
        <v>43</v>
      </c>
      <c r="F4335" s="1" t="s">
        <v>15</v>
      </c>
      <c r="G4335" s="1">
        <v>10</v>
      </c>
      <c r="H4335" s="1">
        <v>980</v>
      </c>
      <c r="I4335" s="1">
        <v>10</v>
      </c>
      <c r="J4335" s="4">
        <v>8820</v>
      </c>
      <c r="K4335" s="4">
        <v>5506.56</v>
      </c>
      <c r="L4335" s="4">
        <v>3313.44</v>
      </c>
      <c r="M4335" s="1" t="str">
        <f>TEXT(Table1[[#This Row],[Order_Date]], "MMM")</f>
        <v>Jul</v>
      </c>
      <c r="N4335" s="1">
        <f>YEAR(Table1[[#This Row],[Order_Date]])</f>
        <v>2024</v>
      </c>
      <c r="O4335" s="7">
        <f>Table1[[#This Row],[Profit]]/Table1[[#This Row],[Total_Sales]]</f>
        <v>0.37567346938775509</v>
      </c>
    </row>
    <row r="4336" spans="1:15" x14ac:dyDescent="0.25">
      <c r="A4336" s="1">
        <v>4335</v>
      </c>
      <c r="B4336" s="2">
        <v>45330</v>
      </c>
      <c r="C4336" s="1" t="s">
        <v>12</v>
      </c>
      <c r="D4336" s="1" t="s">
        <v>22</v>
      </c>
      <c r="E4336" s="1" t="s">
        <v>36</v>
      </c>
      <c r="F4336" s="1" t="s">
        <v>31</v>
      </c>
      <c r="G4336" s="1">
        <v>5</v>
      </c>
      <c r="H4336" s="1">
        <v>680</v>
      </c>
      <c r="I4336" s="1">
        <v>0</v>
      </c>
      <c r="J4336" s="4">
        <v>3400</v>
      </c>
      <c r="K4336" s="4">
        <v>1723.24</v>
      </c>
      <c r="L4336" s="4">
        <v>1676.76</v>
      </c>
      <c r="M4336" s="1" t="str">
        <f>TEXT(Table1[[#This Row],[Order_Date]], "MMM")</f>
        <v>Feb</v>
      </c>
      <c r="N4336" s="1">
        <f>YEAR(Table1[[#This Row],[Order_Date]])</f>
        <v>2024</v>
      </c>
      <c r="O4336" s="7">
        <f>Table1[[#This Row],[Profit]]/Table1[[#This Row],[Total_Sales]]</f>
        <v>0.49316470588235295</v>
      </c>
    </row>
    <row r="4337" spans="1:15" x14ac:dyDescent="0.25">
      <c r="A4337" s="1">
        <v>4336</v>
      </c>
      <c r="B4337" s="2">
        <v>45055</v>
      </c>
      <c r="C4337" s="1" t="s">
        <v>16</v>
      </c>
      <c r="D4337" s="1" t="s">
        <v>20</v>
      </c>
      <c r="E4337" s="1" t="s">
        <v>30</v>
      </c>
      <c r="F4337" s="1" t="s">
        <v>24</v>
      </c>
      <c r="G4337" s="1">
        <v>1</v>
      </c>
      <c r="H4337" s="1">
        <v>636</v>
      </c>
      <c r="I4337" s="1">
        <v>5</v>
      </c>
      <c r="J4337" s="4">
        <v>604.20000000000005</v>
      </c>
      <c r="K4337" s="4">
        <v>303.94</v>
      </c>
      <c r="L4337" s="4">
        <v>300.26</v>
      </c>
      <c r="M4337" s="1" t="str">
        <f>TEXT(Table1[[#This Row],[Order_Date]], "MMM")</f>
        <v>May</v>
      </c>
      <c r="N4337" s="1">
        <f>YEAR(Table1[[#This Row],[Order_Date]])</f>
        <v>2023</v>
      </c>
      <c r="O4337" s="7">
        <f>Table1[[#This Row],[Profit]]/Table1[[#This Row],[Total_Sales]]</f>
        <v>0.49695465077788809</v>
      </c>
    </row>
    <row r="4338" spans="1:15" x14ac:dyDescent="0.25">
      <c r="A4338" s="1">
        <v>4337</v>
      </c>
      <c r="B4338" s="2">
        <v>44974</v>
      </c>
      <c r="C4338" s="1" t="s">
        <v>12</v>
      </c>
      <c r="D4338" s="1" t="s">
        <v>20</v>
      </c>
      <c r="E4338" s="1" t="s">
        <v>30</v>
      </c>
      <c r="F4338" s="1" t="s">
        <v>18</v>
      </c>
      <c r="G4338" s="1">
        <v>9</v>
      </c>
      <c r="H4338" s="1">
        <v>77</v>
      </c>
      <c r="I4338" s="1">
        <v>10</v>
      </c>
      <c r="J4338" s="4">
        <v>623.70000000000005</v>
      </c>
      <c r="K4338" s="4">
        <v>371.8</v>
      </c>
      <c r="L4338" s="4">
        <v>251.9</v>
      </c>
      <c r="M4338" s="1" t="str">
        <f>TEXT(Table1[[#This Row],[Order_Date]], "MMM")</f>
        <v>Feb</v>
      </c>
      <c r="N4338" s="1">
        <f>YEAR(Table1[[#This Row],[Order_Date]])</f>
        <v>2023</v>
      </c>
      <c r="O4338" s="7">
        <f>Table1[[#This Row],[Profit]]/Table1[[#This Row],[Total_Sales]]</f>
        <v>0.40388007054673719</v>
      </c>
    </row>
    <row r="4339" spans="1:15" x14ac:dyDescent="0.25">
      <c r="A4339" s="1">
        <v>4338</v>
      </c>
      <c r="B4339" s="2">
        <v>45011</v>
      </c>
      <c r="C4339" s="1" t="s">
        <v>12</v>
      </c>
      <c r="D4339" s="1" t="s">
        <v>26</v>
      </c>
      <c r="E4339" s="1" t="s">
        <v>46</v>
      </c>
      <c r="F4339" s="1" t="s">
        <v>31</v>
      </c>
      <c r="G4339" s="1">
        <v>10</v>
      </c>
      <c r="H4339" s="1">
        <v>457</v>
      </c>
      <c r="I4339" s="1">
        <v>20</v>
      </c>
      <c r="J4339" s="4">
        <v>3656</v>
      </c>
      <c r="K4339" s="4">
        <v>2238.38</v>
      </c>
      <c r="L4339" s="4">
        <v>1417.62</v>
      </c>
      <c r="M4339" s="1" t="str">
        <f>TEXT(Table1[[#This Row],[Order_Date]], "MMM")</f>
        <v>Mar</v>
      </c>
      <c r="N4339" s="1">
        <f>YEAR(Table1[[#This Row],[Order_Date]])</f>
        <v>2023</v>
      </c>
      <c r="O4339" s="7">
        <f>Table1[[#This Row],[Profit]]/Table1[[#This Row],[Total_Sales]]</f>
        <v>0.38775164113785554</v>
      </c>
    </row>
    <row r="4340" spans="1:15" x14ac:dyDescent="0.25">
      <c r="A4340" s="1">
        <v>4339</v>
      </c>
      <c r="B4340" s="2">
        <v>45625</v>
      </c>
      <c r="C4340" s="1" t="s">
        <v>19</v>
      </c>
      <c r="D4340" s="1" t="s">
        <v>20</v>
      </c>
      <c r="E4340" s="1" t="s">
        <v>43</v>
      </c>
      <c r="F4340" s="1" t="s">
        <v>18</v>
      </c>
      <c r="G4340" s="1">
        <v>10</v>
      </c>
      <c r="H4340" s="1">
        <v>56</v>
      </c>
      <c r="I4340" s="1">
        <v>5</v>
      </c>
      <c r="J4340" s="4">
        <v>532</v>
      </c>
      <c r="K4340" s="4">
        <v>286.94</v>
      </c>
      <c r="L4340" s="4">
        <v>245.06</v>
      </c>
      <c r="M4340" s="1" t="str">
        <f>TEXT(Table1[[#This Row],[Order_Date]], "MMM")</f>
        <v>Nov</v>
      </c>
      <c r="N4340" s="1">
        <f>YEAR(Table1[[#This Row],[Order_Date]])</f>
        <v>2024</v>
      </c>
      <c r="O4340" s="7">
        <f>Table1[[#This Row],[Profit]]/Table1[[#This Row],[Total_Sales]]</f>
        <v>0.4606390977443609</v>
      </c>
    </row>
    <row r="4341" spans="1:15" x14ac:dyDescent="0.25">
      <c r="A4341" s="1">
        <v>4340</v>
      </c>
      <c r="B4341" s="2">
        <v>45101</v>
      </c>
      <c r="C4341" s="1" t="s">
        <v>19</v>
      </c>
      <c r="D4341" s="1" t="s">
        <v>20</v>
      </c>
      <c r="E4341" s="1" t="s">
        <v>30</v>
      </c>
      <c r="F4341" s="1" t="s">
        <v>35</v>
      </c>
      <c r="G4341" s="1">
        <v>5</v>
      </c>
      <c r="H4341" s="1">
        <v>456</v>
      </c>
      <c r="I4341" s="1">
        <v>15</v>
      </c>
      <c r="J4341" s="4">
        <v>1938</v>
      </c>
      <c r="K4341" s="4">
        <v>1042.6600000000001</v>
      </c>
      <c r="L4341" s="4">
        <v>895.34</v>
      </c>
      <c r="M4341" s="1" t="str">
        <f>TEXT(Table1[[#This Row],[Order_Date]], "MMM")</f>
        <v>Jun</v>
      </c>
      <c r="N4341" s="1">
        <f>YEAR(Table1[[#This Row],[Order_Date]])</f>
        <v>2023</v>
      </c>
      <c r="O4341" s="7">
        <f>Table1[[#This Row],[Profit]]/Table1[[#This Row],[Total_Sales]]</f>
        <v>0.46199174406604748</v>
      </c>
    </row>
    <row r="4342" spans="1:15" x14ac:dyDescent="0.25">
      <c r="A4342" s="1">
        <v>4341</v>
      </c>
      <c r="B4342" s="2">
        <v>45529</v>
      </c>
      <c r="C4342" s="1" t="s">
        <v>16</v>
      </c>
      <c r="D4342" s="1" t="s">
        <v>20</v>
      </c>
      <c r="E4342" s="1" t="s">
        <v>30</v>
      </c>
      <c r="F4342" s="1" t="s">
        <v>24</v>
      </c>
      <c r="G4342" s="1">
        <v>3</v>
      </c>
      <c r="H4342" s="1">
        <v>950</v>
      </c>
      <c r="I4342" s="1">
        <v>0</v>
      </c>
      <c r="J4342" s="4">
        <v>2850</v>
      </c>
      <c r="K4342" s="4">
        <v>1455.15</v>
      </c>
      <c r="L4342" s="4">
        <v>1394.85</v>
      </c>
      <c r="M4342" s="1" t="str">
        <f>TEXT(Table1[[#This Row],[Order_Date]], "MMM")</f>
        <v>Aug</v>
      </c>
      <c r="N4342" s="1">
        <f>YEAR(Table1[[#This Row],[Order_Date]])</f>
        <v>2024</v>
      </c>
      <c r="O4342" s="7">
        <f>Table1[[#This Row],[Profit]]/Table1[[#This Row],[Total_Sales]]</f>
        <v>0.48942105263157892</v>
      </c>
    </row>
    <row r="4343" spans="1:15" x14ac:dyDescent="0.25">
      <c r="A4343" s="1">
        <v>4342</v>
      </c>
      <c r="B4343" s="2">
        <v>45181</v>
      </c>
      <c r="C4343" s="1" t="s">
        <v>12</v>
      </c>
      <c r="D4343" s="1" t="s">
        <v>20</v>
      </c>
      <c r="E4343" s="1" t="s">
        <v>43</v>
      </c>
      <c r="F4343" s="1" t="s">
        <v>18</v>
      </c>
      <c r="G4343" s="1">
        <v>6</v>
      </c>
      <c r="H4343" s="1">
        <v>431</v>
      </c>
      <c r="I4343" s="1">
        <v>10</v>
      </c>
      <c r="J4343" s="4">
        <v>2327.4</v>
      </c>
      <c r="K4343" s="4">
        <v>1630.92</v>
      </c>
      <c r="L4343" s="4">
        <v>696.48</v>
      </c>
      <c r="M4343" s="1" t="str">
        <f>TEXT(Table1[[#This Row],[Order_Date]], "MMM")</f>
        <v>Sep</v>
      </c>
      <c r="N4343" s="1">
        <f>YEAR(Table1[[#This Row],[Order_Date]])</f>
        <v>2023</v>
      </c>
      <c r="O4343" s="7">
        <f>Table1[[#This Row],[Profit]]/Table1[[#This Row],[Total_Sales]]</f>
        <v>0.29925238463521525</v>
      </c>
    </row>
    <row r="4344" spans="1:15" x14ac:dyDescent="0.25">
      <c r="A4344" s="1">
        <v>4343</v>
      </c>
      <c r="B4344" s="2">
        <v>45487</v>
      </c>
      <c r="C4344" s="1" t="s">
        <v>16</v>
      </c>
      <c r="D4344" s="1" t="s">
        <v>22</v>
      </c>
      <c r="E4344" s="1" t="s">
        <v>36</v>
      </c>
      <c r="F4344" s="1" t="s">
        <v>31</v>
      </c>
      <c r="G4344" s="1">
        <v>3</v>
      </c>
      <c r="H4344" s="1">
        <v>582</v>
      </c>
      <c r="I4344" s="1">
        <v>10</v>
      </c>
      <c r="J4344" s="4">
        <v>1571.4</v>
      </c>
      <c r="K4344" s="4">
        <v>1115.06</v>
      </c>
      <c r="L4344" s="4">
        <v>456.34</v>
      </c>
      <c r="M4344" s="1" t="str">
        <f>TEXT(Table1[[#This Row],[Order_Date]], "MMM")</f>
        <v>Jul</v>
      </c>
      <c r="N4344" s="1">
        <f>YEAR(Table1[[#This Row],[Order_Date]])</f>
        <v>2024</v>
      </c>
      <c r="O4344" s="7">
        <f>Table1[[#This Row],[Profit]]/Table1[[#This Row],[Total_Sales]]</f>
        <v>0.29040346188112509</v>
      </c>
    </row>
    <row r="4345" spans="1:15" x14ac:dyDescent="0.25">
      <c r="A4345" s="1">
        <v>4344</v>
      </c>
      <c r="B4345" s="2">
        <v>44944</v>
      </c>
      <c r="C4345" s="1" t="s">
        <v>19</v>
      </c>
      <c r="D4345" s="1" t="s">
        <v>20</v>
      </c>
      <c r="E4345" s="1" t="s">
        <v>28</v>
      </c>
      <c r="F4345" s="1" t="s">
        <v>15</v>
      </c>
      <c r="G4345" s="1">
        <v>8</v>
      </c>
      <c r="H4345" s="1">
        <v>322</v>
      </c>
      <c r="I4345" s="1">
        <v>15</v>
      </c>
      <c r="J4345" s="4">
        <v>2189.6</v>
      </c>
      <c r="K4345" s="4">
        <v>1680.05</v>
      </c>
      <c r="L4345" s="4">
        <v>509.55</v>
      </c>
      <c r="M4345" s="1" t="str">
        <f>TEXT(Table1[[#This Row],[Order_Date]], "MMM")</f>
        <v>Jan</v>
      </c>
      <c r="N4345" s="1">
        <f>YEAR(Table1[[#This Row],[Order_Date]])</f>
        <v>2023</v>
      </c>
      <c r="O4345" s="7">
        <f>Table1[[#This Row],[Profit]]/Table1[[#This Row],[Total_Sales]]</f>
        <v>0.23271373766898065</v>
      </c>
    </row>
    <row r="4346" spans="1:15" x14ac:dyDescent="0.25">
      <c r="A4346" s="1">
        <v>4345</v>
      </c>
      <c r="B4346" s="2">
        <v>45289</v>
      </c>
      <c r="C4346" s="1" t="s">
        <v>12</v>
      </c>
      <c r="D4346" s="1" t="s">
        <v>32</v>
      </c>
      <c r="E4346" s="1" t="s">
        <v>41</v>
      </c>
      <c r="F4346" s="1" t="s">
        <v>40</v>
      </c>
      <c r="G4346" s="1">
        <v>10</v>
      </c>
      <c r="H4346" s="1">
        <v>323</v>
      </c>
      <c r="I4346" s="1">
        <v>5</v>
      </c>
      <c r="J4346" s="4">
        <v>3068.5</v>
      </c>
      <c r="K4346" s="4">
        <v>2333.37</v>
      </c>
      <c r="L4346" s="4">
        <v>735.13</v>
      </c>
      <c r="M4346" s="1" t="str">
        <f>TEXT(Table1[[#This Row],[Order_Date]], "MMM")</f>
        <v>Dec</v>
      </c>
      <c r="N4346" s="1">
        <f>YEAR(Table1[[#This Row],[Order_Date]])</f>
        <v>2023</v>
      </c>
      <c r="O4346" s="7">
        <f>Table1[[#This Row],[Profit]]/Table1[[#This Row],[Total_Sales]]</f>
        <v>0.23957308131008637</v>
      </c>
    </row>
    <row r="4347" spans="1:15" x14ac:dyDescent="0.25">
      <c r="A4347" s="1">
        <v>4346</v>
      </c>
      <c r="B4347" s="2">
        <v>45153</v>
      </c>
      <c r="C4347" s="1" t="s">
        <v>16</v>
      </c>
      <c r="D4347" s="1" t="s">
        <v>26</v>
      </c>
      <c r="E4347" s="1" t="s">
        <v>42</v>
      </c>
      <c r="F4347" s="1" t="s">
        <v>40</v>
      </c>
      <c r="G4347" s="1">
        <v>2</v>
      </c>
      <c r="H4347" s="1">
        <v>918</v>
      </c>
      <c r="I4347" s="1">
        <v>10</v>
      </c>
      <c r="J4347" s="4">
        <v>1652.4</v>
      </c>
      <c r="K4347" s="4">
        <v>1107.1600000000001</v>
      </c>
      <c r="L4347" s="4">
        <v>545.24</v>
      </c>
      <c r="M4347" s="1" t="str">
        <f>TEXT(Table1[[#This Row],[Order_Date]], "MMM")</f>
        <v>Aug</v>
      </c>
      <c r="N4347" s="1">
        <f>YEAR(Table1[[#This Row],[Order_Date]])</f>
        <v>2023</v>
      </c>
      <c r="O4347" s="7">
        <f>Table1[[#This Row],[Profit]]/Table1[[#This Row],[Total_Sales]]</f>
        <v>0.32996853062212539</v>
      </c>
    </row>
    <row r="4348" spans="1:15" x14ac:dyDescent="0.25">
      <c r="A4348" s="1">
        <v>4347</v>
      </c>
      <c r="B4348" s="2">
        <v>45475</v>
      </c>
      <c r="C4348" s="1" t="s">
        <v>25</v>
      </c>
      <c r="D4348" s="1" t="s">
        <v>20</v>
      </c>
      <c r="E4348" s="1" t="s">
        <v>30</v>
      </c>
      <c r="F4348" s="1" t="s">
        <v>18</v>
      </c>
      <c r="G4348" s="1">
        <v>9</v>
      </c>
      <c r="H4348" s="1">
        <v>46</v>
      </c>
      <c r="I4348" s="1">
        <v>15</v>
      </c>
      <c r="J4348" s="4">
        <v>351.9</v>
      </c>
      <c r="K4348" s="4">
        <v>258.77999999999997</v>
      </c>
      <c r="L4348" s="4">
        <v>93.12</v>
      </c>
      <c r="M4348" s="1" t="str">
        <f>TEXT(Table1[[#This Row],[Order_Date]], "MMM")</f>
        <v>Jul</v>
      </c>
      <c r="N4348" s="1">
        <f>YEAR(Table1[[#This Row],[Order_Date]])</f>
        <v>2024</v>
      </c>
      <c r="O4348" s="7">
        <f>Table1[[#This Row],[Profit]]/Table1[[#This Row],[Total_Sales]]</f>
        <v>0.2646206308610401</v>
      </c>
    </row>
    <row r="4349" spans="1:15" x14ac:dyDescent="0.25">
      <c r="A4349" s="1">
        <v>4348</v>
      </c>
      <c r="B4349" s="2">
        <v>44991</v>
      </c>
      <c r="C4349" s="1" t="s">
        <v>12</v>
      </c>
      <c r="D4349" s="1" t="s">
        <v>32</v>
      </c>
      <c r="E4349" s="1" t="s">
        <v>33</v>
      </c>
      <c r="F4349" s="1" t="s">
        <v>40</v>
      </c>
      <c r="G4349" s="1">
        <v>9</v>
      </c>
      <c r="H4349" s="1">
        <v>99</v>
      </c>
      <c r="I4349" s="1">
        <v>0</v>
      </c>
      <c r="J4349" s="4">
        <v>891</v>
      </c>
      <c r="K4349" s="4">
        <v>578.94000000000005</v>
      </c>
      <c r="L4349" s="4">
        <v>312.06</v>
      </c>
      <c r="M4349" s="1" t="str">
        <f>TEXT(Table1[[#This Row],[Order_Date]], "MMM")</f>
        <v>Mar</v>
      </c>
      <c r="N4349" s="1">
        <f>YEAR(Table1[[#This Row],[Order_Date]])</f>
        <v>2023</v>
      </c>
      <c r="O4349" s="7">
        <f>Table1[[#This Row],[Profit]]/Table1[[#This Row],[Total_Sales]]</f>
        <v>0.35023569023569023</v>
      </c>
    </row>
    <row r="4350" spans="1:15" x14ac:dyDescent="0.25">
      <c r="A4350" s="1">
        <v>4349</v>
      </c>
      <c r="B4350" s="2">
        <v>45368</v>
      </c>
      <c r="C4350" s="1" t="s">
        <v>25</v>
      </c>
      <c r="D4350" s="1" t="s">
        <v>22</v>
      </c>
      <c r="E4350" s="1" t="s">
        <v>29</v>
      </c>
      <c r="F4350" s="1" t="s">
        <v>18</v>
      </c>
      <c r="G4350" s="1">
        <v>9</v>
      </c>
      <c r="H4350" s="1">
        <v>275</v>
      </c>
      <c r="I4350" s="1">
        <v>20</v>
      </c>
      <c r="J4350" s="4">
        <v>1980</v>
      </c>
      <c r="K4350" s="4">
        <v>1116.45</v>
      </c>
      <c r="L4350" s="4">
        <v>863.55</v>
      </c>
      <c r="M4350" s="1" t="str">
        <f>TEXT(Table1[[#This Row],[Order_Date]], "MMM")</f>
        <v>Mar</v>
      </c>
      <c r="N4350" s="1">
        <f>YEAR(Table1[[#This Row],[Order_Date]])</f>
        <v>2024</v>
      </c>
      <c r="O4350" s="7">
        <f>Table1[[#This Row],[Profit]]/Table1[[#This Row],[Total_Sales]]</f>
        <v>0.4361363636363636</v>
      </c>
    </row>
    <row r="4351" spans="1:15" x14ac:dyDescent="0.25">
      <c r="A4351" s="1">
        <v>4350</v>
      </c>
      <c r="B4351" s="2">
        <v>45052</v>
      </c>
      <c r="C4351" s="1" t="s">
        <v>12</v>
      </c>
      <c r="D4351" s="1" t="s">
        <v>22</v>
      </c>
      <c r="E4351" s="1" t="s">
        <v>29</v>
      </c>
      <c r="F4351" s="1" t="s">
        <v>35</v>
      </c>
      <c r="G4351" s="1">
        <v>4</v>
      </c>
      <c r="H4351" s="1">
        <v>714</v>
      </c>
      <c r="I4351" s="1">
        <v>15</v>
      </c>
      <c r="J4351" s="4">
        <v>2427.6</v>
      </c>
      <c r="K4351" s="4">
        <v>1498.64</v>
      </c>
      <c r="L4351" s="4">
        <v>928.96</v>
      </c>
      <c r="M4351" s="1" t="str">
        <f>TEXT(Table1[[#This Row],[Order_Date]], "MMM")</f>
        <v>May</v>
      </c>
      <c r="N4351" s="1">
        <f>YEAR(Table1[[#This Row],[Order_Date]])</f>
        <v>2023</v>
      </c>
      <c r="O4351" s="7">
        <f>Table1[[#This Row],[Profit]]/Table1[[#This Row],[Total_Sales]]</f>
        <v>0.38266600757950242</v>
      </c>
    </row>
    <row r="4352" spans="1:15" x14ac:dyDescent="0.25">
      <c r="A4352" s="1">
        <v>4351</v>
      </c>
      <c r="B4352" s="2">
        <v>45178</v>
      </c>
      <c r="C4352" s="1" t="s">
        <v>16</v>
      </c>
      <c r="D4352" s="1" t="s">
        <v>26</v>
      </c>
      <c r="E4352" s="1" t="s">
        <v>27</v>
      </c>
      <c r="F4352" s="1" t="s">
        <v>31</v>
      </c>
      <c r="G4352" s="1">
        <v>6</v>
      </c>
      <c r="H4352" s="1">
        <v>500</v>
      </c>
      <c r="I4352" s="1">
        <v>10</v>
      </c>
      <c r="J4352" s="4">
        <v>2700</v>
      </c>
      <c r="K4352" s="4">
        <v>2078.52</v>
      </c>
      <c r="L4352" s="4">
        <v>621.48</v>
      </c>
      <c r="M4352" s="1" t="str">
        <f>TEXT(Table1[[#This Row],[Order_Date]], "MMM")</f>
        <v>Sep</v>
      </c>
      <c r="N4352" s="1">
        <f>YEAR(Table1[[#This Row],[Order_Date]])</f>
        <v>2023</v>
      </c>
      <c r="O4352" s="7">
        <f>Table1[[#This Row],[Profit]]/Table1[[#This Row],[Total_Sales]]</f>
        <v>0.23017777777777779</v>
      </c>
    </row>
    <row r="4353" spans="1:15" x14ac:dyDescent="0.25">
      <c r="A4353" s="1">
        <v>4352</v>
      </c>
      <c r="B4353" s="2">
        <v>45357</v>
      </c>
      <c r="C4353" s="1" t="s">
        <v>12</v>
      </c>
      <c r="D4353" s="1" t="s">
        <v>20</v>
      </c>
      <c r="E4353" s="1" t="s">
        <v>28</v>
      </c>
      <c r="F4353" s="1" t="s">
        <v>40</v>
      </c>
      <c r="G4353" s="1">
        <v>8</v>
      </c>
      <c r="H4353" s="1">
        <v>319</v>
      </c>
      <c r="I4353" s="1">
        <v>10</v>
      </c>
      <c r="J4353" s="4">
        <v>2296.8000000000002</v>
      </c>
      <c r="K4353" s="4">
        <v>1728.98</v>
      </c>
      <c r="L4353" s="4">
        <v>567.82000000000005</v>
      </c>
      <c r="M4353" s="1" t="str">
        <f>TEXT(Table1[[#This Row],[Order_Date]], "MMM")</f>
        <v>Mar</v>
      </c>
      <c r="N4353" s="1">
        <f>YEAR(Table1[[#This Row],[Order_Date]])</f>
        <v>2024</v>
      </c>
      <c r="O4353" s="7">
        <f>Table1[[#This Row],[Profit]]/Table1[[#This Row],[Total_Sales]]</f>
        <v>0.24722222222222223</v>
      </c>
    </row>
    <row r="4354" spans="1:15" x14ac:dyDescent="0.25">
      <c r="A4354" s="1">
        <v>4353</v>
      </c>
      <c r="B4354" s="2">
        <v>45299</v>
      </c>
      <c r="C4354" s="1" t="s">
        <v>16</v>
      </c>
      <c r="D4354" s="1" t="s">
        <v>22</v>
      </c>
      <c r="E4354" s="1" t="s">
        <v>23</v>
      </c>
      <c r="F4354" s="1" t="s">
        <v>31</v>
      </c>
      <c r="G4354" s="1">
        <v>2</v>
      </c>
      <c r="H4354" s="1">
        <v>518</v>
      </c>
      <c r="I4354" s="1">
        <v>0</v>
      </c>
      <c r="J4354" s="4">
        <v>1036</v>
      </c>
      <c r="K4354" s="4">
        <v>594.29999999999995</v>
      </c>
      <c r="L4354" s="4">
        <v>441.7</v>
      </c>
      <c r="M4354" s="1" t="str">
        <f>TEXT(Table1[[#This Row],[Order_Date]], "MMM")</f>
        <v>Jan</v>
      </c>
      <c r="N4354" s="1">
        <f>YEAR(Table1[[#This Row],[Order_Date]])</f>
        <v>2024</v>
      </c>
      <c r="O4354" s="7">
        <f>Table1[[#This Row],[Profit]]/Table1[[#This Row],[Total_Sales]]</f>
        <v>0.42635135135135133</v>
      </c>
    </row>
    <row r="4355" spans="1:15" x14ac:dyDescent="0.25">
      <c r="A4355" s="1">
        <v>4354</v>
      </c>
      <c r="B4355" s="2">
        <v>45490</v>
      </c>
      <c r="C4355" s="1" t="s">
        <v>25</v>
      </c>
      <c r="D4355" s="1" t="s">
        <v>26</v>
      </c>
      <c r="E4355" s="1" t="s">
        <v>27</v>
      </c>
      <c r="F4355" s="1" t="s">
        <v>35</v>
      </c>
      <c r="G4355" s="1">
        <v>10</v>
      </c>
      <c r="H4355" s="1">
        <v>128</v>
      </c>
      <c r="I4355" s="1">
        <v>0</v>
      </c>
      <c r="J4355" s="4">
        <v>1280</v>
      </c>
      <c r="K4355" s="4">
        <v>969.63</v>
      </c>
      <c r="L4355" s="4">
        <v>310.37</v>
      </c>
      <c r="M4355" s="1" t="str">
        <f>TEXT(Table1[[#This Row],[Order_Date]], "MMM")</f>
        <v>Jul</v>
      </c>
      <c r="N4355" s="1">
        <f>YEAR(Table1[[#This Row],[Order_Date]])</f>
        <v>2024</v>
      </c>
      <c r="O4355" s="7">
        <f>Table1[[#This Row],[Profit]]/Table1[[#This Row],[Total_Sales]]</f>
        <v>0.24247656249999999</v>
      </c>
    </row>
    <row r="4356" spans="1:15" x14ac:dyDescent="0.25">
      <c r="A4356" s="1">
        <v>4355</v>
      </c>
      <c r="B4356" s="2">
        <v>45268</v>
      </c>
      <c r="C4356" s="1" t="s">
        <v>25</v>
      </c>
      <c r="D4356" s="1" t="s">
        <v>20</v>
      </c>
      <c r="E4356" s="1" t="s">
        <v>30</v>
      </c>
      <c r="F4356" s="1" t="s">
        <v>31</v>
      </c>
      <c r="G4356" s="1">
        <v>5</v>
      </c>
      <c r="H4356" s="1">
        <v>55</v>
      </c>
      <c r="I4356" s="1">
        <v>10</v>
      </c>
      <c r="J4356" s="4">
        <v>247.5</v>
      </c>
      <c r="K4356" s="4">
        <v>140.6</v>
      </c>
      <c r="L4356" s="4">
        <v>106.9</v>
      </c>
      <c r="M4356" s="1" t="str">
        <f>TEXT(Table1[[#This Row],[Order_Date]], "MMM")</f>
        <v>Dec</v>
      </c>
      <c r="N4356" s="1">
        <f>YEAR(Table1[[#This Row],[Order_Date]])</f>
        <v>2023</v>
      </c>
      <c r="O4356" s="7">
        <f>Table1[[#This Row],[Profit]]/Table1[[#This Row],[Total_Sales]]</f>
        <v>0.43191919191919192</v>
      </c>
    </row>
    <row r="4357" spans="1:15" x14ac:dyDescent="0.25">
      <c r="A4357" s="1">
        <v>4356</v>
      </c>
      <c r="B4357" s="2">
        <v>45290</v>
      </c>
      <c r="C4357" s="1" t="s">
        <v>25</v>
      </c>
      <c r="D4357" s="1" t="s">
        <v>20</v>
      </c>
      <c r="E4357" s="1" t="s">
        <v>28</v>
      </c>
      <c r="F4357" s="1" t="s">
        <v>18</v>
      </c>
      <c r="G4357" s="1">
        <v>9</v>
      </c>
      <c r="H4357" s="1">
        <v>187</v>
      </c>
      <c r="I4357" s="1">
        <v>5</v>
      </c>
      <c r="J4357" s="4">
        <v>1598.85</v>
      </c>
      <c r="K4357" s="4">
        <v>1121.27</v>
      </c>
      <c r="L4357" s="4">
        <v>477.58</v>
      </c>
      <c r="M4357" s="1" t="str">
        <f>TEXT(Table1[[#This Row],[Order_Date]], "MMM")</f>
        <v>Dec</v>
      </c>
      <c r="N4357" s="1">
        <f>YEAR(Table1[[#This Row],[Order_Date]])</f>
        <v>2023</v>
      </c>
      <c r="O4357" s="7">
        <f>Table1[[#This Row],[Profit]]/Table1[[#This Row],[Total_Sales]]</f>
        <v>0.2987021922006442</v>
      </c>
    </row>
    <row r="4358" spans="1:15" x14ac:dyDescent="0.25">
      <c r="A4358" s="1">
        <v>4357</v>
      </c>
      <c r="B4358" s="2">
        <v>45560</v>
      </c>
      <c r="C4358" s="1" t="s">
        <v>19</v>
      </c>
      <c r="D4358" s="1" t="s">
        <v>32</v>
      </c>
      <c r="E4358" s="1" t="s">
        <v>41</v>
      </c>
      <c r="F4358" s="1" t="s">
        <v>24</v>
      </c>
      <c r="G4358" s="1">
        <v>6</v>
      </c>
      <c r="H4358" s="1">
        <v>104</v>
      </c>
      <c r="I4358" s="1">
        <v>10</v>
      </c>
      <c r="J4358" s="4">
        <v>561.6</v>
      </c>
      <c r="K4358" s="4">
        <v>324.82</v>
      </c>
      <c r="L4358" s="4">
        <v>236.78</v>
      </c>
      <c r="M4358" s="1" t="str">
        <f>TEXT(Table1[[#This Row],[Order_Date]], "MMM")</f>
        <v>Sep</v>
      </c>
      <c r="N4358" s="1">
        <f>YEAR(Table1[[#This Row],[Order_Date]])</f>
        <v>2024</v>
      </c>
      <c r="O4358" s="7">
        <f>Table1[[#This Row],[Profit]]/Table1[[#This Row],[Total_Sales]]</f>
        <v>0.4216168091168091</v>
      </c>
    </row>
    <row r="4359" spans="1:15" x14ac:dyDescent="0.25">
      <c r="A4359" s="1">
        <v>4358</v>
      </c>
      <c r="B4359" s="2">
        <v>45099</v>
      </c>
      <c r="C4359" s="1" t="s">
        <v>25</v>
      </c>
      <c r="D4359" s="1" t="s">
        <v>32</v>
      </c>
      <c r="E4359" s="1" t="s">
        <v>45</v>
      </c>
      <c r="F4359" s="1" t="s">
        <v>31</v>
      </c>
      <c r="G4359" s="1">
        <v>4</v>
      </c>
      <c r="H4359" s="1">
        <v>551</v>
      </c>
      <c r="I4359" s="1">
        <v>5</v>
      </c>
      <c r="J4359" s="4">
        <v>2093.8000000000002</v>
      </c>
      <c r="K4359" s="4">
        <v>1138.05</v>
      </c>
      <c r="L4359" s="4">
        <v>955.75</v>
      </c>
      <c r="M4359" s="1" t="str">
        <f>TEXT(Table1[[#This Row],[Order_Date]], "MMM")</f>
        <v>Jun</v>
      </c>
      <c r="N4359" s="1">
        <f>YEAR(Table1[[#This Row],[Order_Date]])</f>
        <v>2023</v>
      </c>
      <c r="O4359" s="7">
        <f>Table1[[#This Row],[Profit]]/Table1[[#This Row],[Total_Sales]]</f>
        <v>0.45646671124271654</v>
      </c>
    </row>
    <row r="4360" spans="1:15" x14ac:dyDescent="0.25">
      <c r="A4360" s="1">
        <v>4359</v>
      </c>
      <c r="B4360" s="2">
        <v>45067</v>
      </c>
      <c r="C4360" s="1" t="s">
        <v>19</v>
      </c>
      <c r="D4360" s="1" t="s">
        <v>32</v>
      </c>
      <c r="E4360" s="1" t="s">
        <v>34</v>
      </c>
      <c r="F4360" s="1" t="s">
        <v>40</v>
      </c>
      <c r="G4360" s="1">
        <v>8</v>
      </c>
      <c r="H4360" s="1">
        <v>480</v>
      </c>
      <c r="I4360" s="1">
        <v>20</v>
      </c>
      <c r="J4360" s="4">
        <v>3072</v>
      </c>
      <c r="K4360" s="4">
        <v>1979.15</v>
      </c>
      <c r="L4360" s="4">
        <v>1092.8499999999999</v>
      </c>
      <c r="M4360" s="1" t="str">
        <f>TEXT(Table1[[#This Row],[Order_Date]], "MMM")</f>
        <v>May</v>
      </c>
      <c r="N4360" s="1">
        <f>YEAR(Table1[[#This Row],[Order_Date]])</f>
        <v>2023</v>
      </c>
      <c r="O4360" s="7">
        <f>Table1[[#This Row],[Profit]]/Table1[[#This Row],[Total_Sales]]</f>
        <v>0.3557454427083333</v>
      </c>
    </row>
    <row r="4361" spans="1:15" x14ac:dyDescent="0.25">
      <c r="A4361" s="1">
        <v>4360</v>
      </c>
      <c r="B4361" s="2">
        <v>45057</v>
      </c>
      <c r="C4361" s="1" t="s">
        <v>12</v>
      </c>
      <c r="D4361" s="1" t="s">
        <v>20</v>
      </c>
      <c r="E4361" s="1" t="s">
        <v>30</v>
      </c>
      <c r="F4361" s="1" t="s">
        <v>15</v>
      </c>
      <c r="G4361" s="1">
        <v>2</v>
      </c>
      <c r="H4361" s="1">
        <v>374</v>
      </c>
      <c r="I4361" s="1">
        <v>15</v>
      </c>
      <c r="J4361" s="4">
        <v>635.79999999999995</v>
      </c>
      <c r="K4361" s="4">
        <v>498.39</v>
      </c>
      <c r="L4361" s="4">
        <v>137.41</v>
      </c>
      <c r="M4361" s="1" t="str">
        <f>TEXT(Table1[[#This Row],[Order_Date]], "MMM")</f>
        <v>May</v>
      </c>
      <c r="N4361" s="1">
        <f>YEAR(Table1[[#This Row],[Order_Date]])</f>
        <v>2023</v>
      </c>
      <c r="O4361" s="7">
        <f>Table1[[#This Row],[Profit]]/Table1[[#This Row],[Total_Sales]]</f>
        <v>0.21612142183076441</v>
      </c>
    </row>
    <row r="4362" spans="1:15" x14ac:dyDescent="0.25">
      <c r="A4362" s="1">
        <v>4361</v>
      </c>
      <c r="B4362" s="2">
        <v>45448</v>
      </c>
      <c r="C4362" s="1" t="s">
        <v>25</v>
      </c>
      <c r="D4362" s="1" t="s">
        <v>26</v>
      </c>
      <c r="E4362" s="1" t="s">
        <v>42</v>
      </c>
      <c r="F4362" s="1" t="s">
        <v>15</v>
      </c>
      <c r="G4362" s="1">
        <v>1</v>
      </c>
      <c r="H4362" s="1">
        <v>42</v>
      </c>
      <c r="I4362" s="1">
        <v>15</v>
      </c>
      <c r="J4362" s="4">
        <v>35.700000000000003</v>
      </c>
      <c r="K4362" s="4">
        <v>24.87</v>
      </c>
      <c r="L4362" s="4">
        <v>10.83</v>
      </c>
      <c r="M4362" s="1" t="str">
        <f>TEXT(Table1[[#This Row],[Order_Date]], "MMM")</f>
        <v>Jun</v>
      </c>
      <c r="N4362" s="1">
        <f>YEAR(Table1[[#This Row],[Order_Date]])</f>
        <v>2024</v>
      </c>
      <c r="O4362" s="7">
        <f>Table1[[#This Row],[Profit]]/Table1[[#This Row],[Total_Sales]]</f>
        <v>0.3033613445378151</v>
      </c>
    </row>
    <row r="4363" spans="1:15" x14ac:dyDescent="0.25">
      <c r="A4363" s="1">
        <v>4362</v>
      </c>
      <c r="B4363" s="2">
        <v>45614</v>
      </c>
      <c r="C4363" s="1" t="s">
        <v>25</v>
      </c>
      <c r="D4363" s="1" t="s">
        <v>26</v>
      </c>
      <c r="E4363" s="1" t="s">
        <v>27</v>
      </c>
      <c r="F4363" s="1" t="s">
        <v>24</v>
      </c>
      <c r="G4363" s="1">
        <v>10</v>
      </c>
      <c r="H4363" s="1">
        <v>750</v>
      </c>
      <c r="I4363" s="1">
        <v>5</v>
      </c>
      <c r="J4363" s="4">
        <v>7125</v>
      </c>
      <c r="K4363" s="4">
        <v>5123.28</v>
      </c>
      <c r="L4363" s="4">
        <v>2001.72</v>
      </c>
      <c r="M4363" s="1" t="str">
        <f>TEXT(Table1[[#This Row],[Order_Date]], "MMM")</f>
        <v>Nov</v>
      </c>
      <c r="N4363" s="1">
        <f>YEAR(Table1[[#This Row],[Order_Date]])</f>
        <v>2024</v>
      </c>
      <c r="O4363" s="7">
        <f>Table1[[#This Row],[Profit]]/Table1[[#This Row],[Total_Sales]]</f>
        <v>0.28094315789473684</v>
      </c>
    </row>
    <row r="4364" spans="1:15" x14ac:dyDescent="0.25">
      <c r="A4364" s="1">
        <v>4363</v>
      </c>
      <c r="B4364" s="2">
        <v>45164</v>
      </c>
      <c r="C4364" s="1" t="s">
        <v>19</v>
      </c>
      <c r="D4364" s="1" t="s">
        <v>32</v>
      </c>
      <c r="E4364" s="1" t="s">
        <v>33</v>
      </c>
      <c r="F4364" s="1" t="s">
        <v>40</v>
      </c>
      <c r="G4364" s="1">
        <v>5</v>
      </c>
      <c r="H4364" s="1">
        <v>868</v>
      </c>
      <c r="I4364" s="1">
        <v>20</v>
      </c>
      <c r="J4364" s="4">
        <v>3472</v>
      </c>
      <c r="K4364" s="4">
        <v>1987.91</v>
      </c>
      <c r="L4364" s="4">
        <v>1484.09</v>
      </c>
      <c r="M4364" s="1" t="str">
        <f>TEXT(Table1[[#This Row],[Order_Date]], "MMM")</f>
        <v>Aug</v>
      </c>
      <c r="N4364" s="1">
        <f>YEAR(Table1[[#This Row],[Order_Date]])</f>
        <v>2023</v>
      </c>
      <c r="O4364" s="7">
        <f>Table1[[#This Row],[Profit]]/Table1[[#This Row],[Total_Sales]]</f>
        <v>0.42744527649769581</v>
      </c>
    </row>
    <row r="4365" spans="1:15" x14ac:dyDescent="0.25">
      <c r="A4365" s="1">
        <v>4364</v>
      </c>
      <c r="B4365" s="2">
        <v>45048</v>
      </c>
      <c r="C4365" s="1" t="s">
        <v>25</v>
      </c>
      <c r="D4365" s="1" t="s">
        <v>13</v>
      </c>
      <c r="E4365" s="1" t="s">
        <v>17</v>
      </c>
      <c r="F4365" s="1" t="s">
        <v>18</v>
      </c>
      <c r="G4365" s="1">
        <v>7</v>
      </c>
      <c r="H4365" s="1">
        <v>98</v>
      </c>
      <c r="I4365" s="1">
        <v>0</v>
      </c>
      <c r="J4365" s="4">
        <v>686</v>
      </c>
      <c r="K4365" s="4">
        <v>475.06</v>
      </c>
      <c r="L4365" s="4">
        <v>210.94</v>
      </c>
      <c r="M4365" s="1" t="str">
        <f>TEXT(Table1[[#This Row],[Order_Date]], "MMM")</f>
        <v>May</v>
      </c>
      <c r="N4365" s="1">
        <f>YEAR(Table1[[#This Row],[Order_Date]])</f>
        <v>2023</v>
      </c>
      <c r="O4365" s="7">
        <f>Table1[[#This Row],[Profit]]/Table1[[#This Row],[Total_Sales]]</f>
        <v>0.30749271137026241</v>
      </c>
    </row>
    <row r="4366" spans="1:15" x14ac:dyDescent="0.25">
      <c r="A4366" s="1">
        <v>4365</v>
      </c>
      <c r="B4366" s="2">
        <v>45043</v>
      </c>
      <c r="C4366" s="1" t="s">
        <v>19</v>
      </c>
      <c r="D4366" s="1" t="s">
        <v>32</v>
      </c>
      <c r="E4366" s="1" t="s">
        <v>45</v>
      </c>
      <c r="F4366" s="1" t="s">
        <v>31</v>
      </c>
      <c r="G4366" s="1">
        <v>5</v>
      </c>
      <c r="H4366" s="1">
        <v>935</v>
      </c>
      <c r="I4366" s="1">
        <v>5</v>
      </c>
      <c r="J4366" s="4">
        <v>4441.25</v>
      </c>
      <c r="K4366" s="4">
        <v>3342.54</v>
      </c>
      <c r="L4366" s="4">
        <v>1098.71</v>
      </c>
      <c r="M4366" s="1" t="str">
        <f>TEXT(Table1[[#This Row],[Order_Date]], "MMM")</f>
        <v>Apr</v>
      </c>
      <c r="N4366" s="1">
        <f>YEAR(Table1[[#This Row],[Order_Date]])</f>
        <v>2023</v>
      </c>
      <c r="O4366" s="7">
        <f>Table1[[#This Row],[Profit]]/Table1[[#This Row],[Total_Sales]]</f>
        <v>0.24738755980861246</v>
      </c>
    </row>
    <row r="4367" spans="1:15" x14ac:dyDescent="0.25">
      <c r="A4367" s="1">
        <v>4366</v>
      </c>
      <c r="B4367" s="2">
        <v>45210</v>
      </c>
      <c r="C4367" s="1" t="s">
        <v>25</v>
      </c>
      <c r="D4367" s="1" t="s">
        <v>32</v>
      </c>
      <c r="E4367" s="1" t="s">
        <v>45</v>
      </c>
      <c r="F4367" s="1" t="s">
        <v>24</v>
      </c>
      <c r="G4367" s="1">
        <v>7</v>
      </c>
      <c r="H4367" s="1">
        <v>585</v>
      </c>
      <c r="I4367" s="1">
        <v>10</v>
      </c>
      <c r="J4367" s="4">
        <v>3685.5</v>
      </c>
      <c r="K4367" s="4">
        <v>2498.2399999999998</v>
      </c>
      <c r="L4367" s="4">
        <v>1187.26</v>
      </c>
      <c r="M4367" s="1" t="str">
        <f>TEXT(Table1[[#This Row],[Order_Date]], "MMM")</f>
        <v>Oct</v>
      </c>
      <c r="N4367" s="1">
        <f>YEAR(Table1[[#This Row],[Order_Date]])</f>
        <v>2023</v>
      </c>
      <c r="O4367" s="7">
        <f>Table1[[#This Row],[Profit]]/Table1[[#This Row],[Total_Sales]]</f>
        <v>0.3221435354768688</v>
      </c>
    </row>
    <row r="4368" spans="1:15" x14ac:dyDescent="0.25">
      <c r="A4368" s="1">
        <v>4367</v>
      </c>
      <c r="B4368" s="2">
        <v>45150</v>
      </c>
      <c r="C4368" s="1" t="s">
        <v>12</v>
      </c>
      <c r="D4368" s="1" t="s">
        <v>22</v>
      </c>
      <c r="E4368" s="1" t="s">
        <v>23</v>
      </c>
      <c r="F4368" s="1" t="s">
        <v>15</v>
      </c>
      <c r="G4368" s="1">
        <v>5</v>
      </c>
      <c r="H4368" s="1">
        <v>924</v>
      </c>
      <c r="I4368" s="1">
        <v>10</v>
      </c>
      <c r="J4368" s="4">
        <v>4158</v>
      </c>
      <c r="K4368" s="4">
        <v>2513.89</v>
      </c>
      <c r="L4368" s="4">
        <v>1644.11</v>
      </c>
      <c r="M4368" s="1" t="str">
        <f>TEXT(Table1[[#This Row],[Order_Date]], "MMM")</f>
        <v>Aug</v>
      </c>
      <c r="N4368" s="1">
        <f>YEAR(Table1[[#This Row],[Order_Date]])</f>
        <v>2023</v>
      </c>
      <c r="O4368" s="7">
        <f>Table1[[#This Row],[Profit]]/Table1[[#This Row],[Total_Sales]]</f>
        <v>0.39540885040885038</v>
      </c>
    </row>
    <row r="4369" spans="1:15" x14ac:dyDescent="0.25">
      <c r="A4369" s="1">
        <v>4368</v>
      </c>
      <c r="B4369" s="2">
        <v>45204</v>
      </c>
      <c r="C4369" s="1" t="s">
        <v>25</v>
      </c>
      <c r="D4369" s="1" t="s">
        <v>13</v>
      </c>
      <c r="E4369" s="1" t="s">
        <v>38</v>
      </c>
      <c r="F4369" s="1" t="s">
        <v>24</v>
      </c>
      <c r="G4369" s="1">
        <v>3</v>
      </c>
      <c r="H4369" s="1">
        <v>503</v>
      </c>
      <c r="I4369" s="1">
        <v>10</v>
      </c>
      <c r="J4369" s="4">
        <v>1358.1</v>
      </c>
      <c r="K4369" s="4">
        <v>948.9</v>
      </c>
      <c r="L4369" s="4">
        <v>409.2</v>
      </c>
      <c r="M4369" s="1" t="str">
        <f>TEXT(Table1[[#This Row],[Order_Date]], "MMM")</f>
        <v>Oct</v>
      </c>
      <c r="N4369" s="1">
        <f>YEAR(Table1[[#This Row],[Order_Date]])</f>
        <v>2023</v>
      </c>
      <c r="O4369" s="7">
        <f>Table1[[#This Row],[Profit]]/Table1[[#This Row],[Total_Sales]]</f>
        <v>0.30130329136293355</v>
      </c>
    </row>
    <row r="4370" spans="1:15" x14ac:dyDescent="0.25">
      <c r="A4370" s="1">
        <v>4369</v>
      </c>
      <c r="B4370" s="2">
        <v>45475</v>
      </c>
      <c r="C4370" s="1" t="s">
        <v>12</v>
      </c>
      <c r="D4370" s="1" t="s">
        <v>26</v>
      </c>
      <c r="E4370" s="1" t="s">
        <v>46</v>
      </c>
      <c r="F4370" s="1" t="s">
        <v>31</v>
      </c>
      <c r="G4370" s="1">
        <v>4</v>
      </c>
      <c r="H4370" s="1">
        <v>996</v>
      </c>
      <c r="I4370" s="1">
        <v>15</v>
      </c>
      <c r="J4370" s="4">
        <v>3386.4</v>
      </c>
      <c r="K4370" s="4">
        <v>2057.08</v>
      </c>
      <c r="L4370" s="4">
        <v>1329.32</v>
      </c>
      <c r="M4370" s="1" t="str">
        <f>TEXT(Table1[[#This Row],[Order_Date]], "MMM")</f>
        <v>Jul</v>
      </c>
      <c r="N4370" s="1">
        <f>YEAR(Table1[[#This Row],[Order_Date]])</f>
        <v>2024</v>
      </c>
      <c r="O4370" s="7">
        <f>Table1[[#This Row],[Profit]]/Table1[[#This Row],[Total_Sales]]</f>
        <v>0.39254665721710369</v>
      </c>
    </row>
    <row r="4371" spans="1:15" x14ac:dyDescent="0.25">
      <c r="A4371" s="1">
        <v>4370</v>
      </c>
      <c r="B4371" s="2">
        <v>45137</v>
      </c>
      <c r="C4371" s="1" t="s">
        <v>16</v>
      </c>
      <c r="D4371" s="1" t="s">
        <v>26</v>
      </c>
      <c r="E4371" s="1" t="s">
        <v>42</v>
      </c>
      <c r="F4371" s="1" t="s">
        <v>15</v>
      </c>
      <c r="G4371" s="1">
        <v>4</v>
      </c>
      <c r="H4371" s="1">
        <v>141</v>
      </c>
      <c r="I4371" s="1">
        <v>5</v>
      </c>
      <c r="J4371" s="4">
        <v>535.79999999999995</v>
      </c>
      <c r="K4371" s="4">
        <v>365.42</v>
      </c>
      <c r="L4371" s="4">
        <v>170.38</v>
      </c>
      <c r="M4371" s="1" t="str">
        <f>TEXT(Table1[[#This Row],[Order_Date]], "MMM")</f>
        <v>Jul</v>
      </c>
      <c r="N4371" s="1">
        <f>YEAR(Table1[[#This Row],[Order_Date]])</f>
        <v>2023</v>
      </c>
      <c r="O4371" s="7">
        <f>Table1[[#This Row],[Profit]]/Table1[[#This Row],[Total_Sales]]</f>
        <v>0.3179917879805898</v>
      </c>
    </row>
    <row r="4372" spans="1:15" x14ac:dyDescent="0.25">
      <c r="A4372" s="1">
        <v>4371</v>
      </c>
      <c r="B4372" s="2">
        <v>45656</v>
      </c>
      <c r="C4372" s="1" t="s">
        <v>25</v>
      </c>
      <c r="D4372" s="1" t="s">
        <v>22</v>
      </c>
      <c r="E4372" s="1" t="s">
        <v>23</v>
      </c>
      <c r="F4372" s="1" t="s">
        <v>18</v>
      </c>
      <c r="G4372" s="1">
        <v>1</v>
      </c>
      <c r="H4372" s="1">
        <v>412</v>
      </c>
      <c r="I4372" s="1">
        <v>20</v>
      </c>
      <c r="J4372" s="4">
        <v>329.6</v>
      </c>
      <c r="K4372" s="4">
        <v>183.48</v>
      </c>
      <c r="L4372" s="4">
        <v>146.12</v>
      </c>
      <c r="M4372" s="1" t="str">
        <f>TEXT(Table1[[#This Row],[Order_Date]], "MMM")</f>
        <v>Dec</v>
      </c>
      <c r="N4372" s="1">
        <f>YEAR(Table1[[#This Row],[Order_Date]])</f>
        <v>2024</v>
      </c>
      <c r="O4372" s="7">
        <f>Table1[[#This Row],[Profit]]/Table1[[#This Row],[Total_Sales]]</f>
        <v>0.44332524271844659</v>
      </c>
    </row>
    <row r="4373" spans="1:15" x14ac:dyDescent="0.25">
      <c r="A4373" s="1">
        <v>4372</v>
      </c>
      <c r="B4373" s="2">
        <v>45068</v>
      </c>
      <c r="C4373" s="1" t="s">
        <v>16</v>
      </c>
      <c r="D4373" s="1" t="s">
        <v>13</v>
      </c>
      <c r="E4373" s="1" t="s">
        <v>17</v>
      </c>
      <c r="F4373" s="1" t="s">
        <v>15</v>
      </c>
      <c r="G4373" s="1">
        <v>9</v>
      </c>
      <c r="H4373" s="1">
        <v>11</v>
      </c>
      <c r="I4373" s="1">
        <v>10</v>
      </c>
      <c r="J4373" s="4">
        <v>89.1</v>
      </c>
      <c r="K4373" s="4">
        <v>67.31</v>
      </c>
      <c r="L4373" s="4">
        <v>21.79</v>
      </c>
      <c r="M4373" s="1" t="str">
        <f>TEXT(Table1[[#This Row],[Order_Date]], "MMM")</f>
        <v>May</v>
      </c>
      <c r="N4373" s="1">
        <f>YEAR(Table1[[#This Row],[Order_Date]])</f>
        <v>2023</v>
      </c>
      <c r="O4373" s="7">
        <f>Table1[[#This Row],[Profit]]/Table1[[#This Row],[Total_Sales]]</f>
        <v>0.24455667789001123</v>
      </c>
    </row>
    <row r="4374" spans="1:15" x14ac:dyDescent="0.25">
      <c r="A4374" s="1">
        <v>4373</v>
      </c>
      <c r="B4374" s="2">
        <v>45244</v>
      </c>
      <c r="C4374" s="1" t="s">
        <v>19</v>
      </c>
      <c r="D4374" s="1" t="s">
        <v>13</v>
      </c>
      <c r="E4374" s="1" t="s">
        <v>17</v>
      </c>
      <c r="F4374" s="1" t="s">
        <v>31</v>
      </c>
      <c r="G4374" s="1">
        <v>8</v>
      </c>
      <c r="H4374" s="1">
        <v>820</v>
      </c>
      <c r="I4374" s="1">
        <v>15</v>
      </c>
      <c r="J4374" s="4">
        <v>5576</v>
      </c>
      <c r="K4374" s="4">
        <v>3432.74</v>
      </c>
      <c r="L4374" s="4">
        <v>2143.2600000000002</v>
      </c>
      <c r="M4374" s="1" t="str">
        <f>TEXT(Table1[[#This Row],[Order_Date]], "MMM")</f>
        <v>Nov</v>
      </c>
      <c r="N4374" s="1">
        <f>YEAR(Table1[[#This Row],[Order_Date]])</f>
        <v>2023</v>
      </c>
      <c r="O4374" s="7">
        <f>Table1[[#This Row],[Profit]]/Table1[[#This Row],[Total_Sales]]</f>
        <v>0.38437230989956961</v>
      </c>
    </row>
    <row r="4375" spans="1:15" x14ac:dyDescent="0.25">
      <c r="A4375" s="1">
        <v>4374</v>
      </c>
      <c r="B4375" s="2">
        <v>45392</v>
      </c>
      <c r="C4375" s="1" t="s">
        <v>19</v>
      </c>
      <c r="D4375" s="1" t="s">
        <v>26</v>
      </c>
      <c r="E4375" s="1" t="s">
        <v>46</v>
      </c>
      <c r="F4375" s="1" t="s">
        <v>18</v>
      </c>
      <c r="G4375" s="1">
        <v>7</v>
      </c>
      <c r="H4375" s="1">
        <v>398</v>
      </c>
      <c r="I4375" s="1">
        <v>10</v>
      </c>
      <c r="J4375" s="4">
        <v>2507.4</v>
      </c>
      <c r="K4375" s="4">
        <v>1874.81</v>
      </c>
      <c r="L4375" s="4">
        <v>632.59</v>
      </c>
      <c r="M4375" s="1" t="str">
        <f>TEXT(Table1[[#This Row],[Order_Date]], "MMM")</f>
        <v>Apr</v>
      </c>
      <c r="N4375" s="1">
        <f>YEAR(Table1[[#This Row],[Order_Date]])</f>
        <v>2024</v>
      </c>
      <c r="O4375" s="7">
        <f>Table1[[#This Row],[Profit]]/Table1[[#This Row],[Total_Sales]]</f>
        <v>0.2522892238972641</v>
      </c>
    </row>
    <row r="4376" spans="1:15" x14ac:dyDescent="0.25">
      <c r="A4376" s="1">
        <v>4375</v>
      </c>
      <c r="B4376" s="2">
        <v>45585</v>
      </c>
      <c r="C4376" s="1" t="s">
        <v>25</v>
      </c>
      <c r="D4376" s="1" t="s">
        <v>20</v>
      </c>
      <c r="E4376" s="1" t="s">
        <v>28</v>
      </c>
      <c r="F4376" s="1" t="s">
        <v>40</v>
      </c>
      <c r="G4376" s="1">
        <v>6</v>
      </c>
      <c r="H4376" s="1">
        <v>620</v>
      </c>
      <c r="I4376" s="1">
        <v>0</v>
      </c>
      <c r="J4376" s="4">
        <v>3720</v>
      </c>
      <c r="K4376" s="4">
        <v>2403.7800000000002</v>
      </c>
      <c r="L4376" s="4">
        <v>1316.22</v>
      </c>
      <c r="M4376" s="1" t="str">
        <f>TEXT(Table1[[#This Row],[Order_Date]], "MMM")</f>
        <v>Oct</v>
      </c>
      <c r="N4376" s="1">
        <f>YEAR(Table1[[#This Row],[Order_Date]])</f>
        <v>2024</v>
      </c>
      <c r="O4376" s="7">
        <f>Table1[[#This Row],[Profit]]/Table1[[#This Row],[Total_Sales]]</f>
        <v>0.35382258064516131</v>
      </c>
    </row>
    <row r="4377" spans="1:15" x14ac:dyDescent="0.25">
      <c r="A4377" s="1">
        <v>4376</v>
      </c>
      <c r="B4377" s="2">
        <v>45358</v>
      </c>
      <c r="C4377" s="1" t="s">
        <v>19</v>
      </c>
      <c r="D4377" s="1" t="s">
        <v>32</v>
      </c>
      <c r="E4377" s="1" t="s">
        <v>34</v>
      </c>
      <c r="F4377" s="1" t="s">
        <v>31</v>
      </c>
      <c r="G4377" s="1">
        <v>7</v>
      </c>
      <c r="H4377" s="1">
        <v>511</v>
      </c>
      <c r="I4377" s="1">
        <v>0</v>
      </c>
      <c r="J4377" s="4">
        <v>3577</v>
      </c>
      <c r="K4377" s="4">
        <v>2472.5700000000002</v>
      </c>
      <c r="L4377" s="4">
        <v>1104.43</v>
      </c>
      <c r="M4377" s="1" t="str">
        <f>TEXT(Table1[[#This Row],[Order_Date]], "MMM")</f>
        <v>Mar</v>
      </c>
      <c r="N4377" s="1">
        <f>YEAR(Table1[[#This Row],[Order_Date]])</f>
        <v>2024</v>
      </c>
      <c r="O4377" s="7">
        <f>Table1[[#This Row],[Profit]]/Table1[[#This Row],[Total_Sales]]</f>
        <v>0.30875873637126083</v>
      </c>
    </row>
    <row r="4378" spans="1:15" x14ac:dyDescent="0.25">
      <c r="A4378" s="1">
        <v>4377</v>
      </c>
      <c r="B4378" s="2">
        <v>45503</v>
      </c>
      <c r="C4378" s="1" t="s">
        <v>16</v>
      </c>
      <c r="D4378" s="1" t="s">
        <v>32</v>
      </c>
      <c r="E4378" s="1" t="s">
        <v>45</v>
      </c>
      <c r="F4378" s="1" t="s">
        <v>31</v>
      </c>
      <c r="G4378" s="1">
        <v>7</v>
      </c>
      <c r="H4378" s="1">
        <v>444</v>
      </c>
      <c r="I4378" s="1">
        <v>5</v>
      </c>
      <c r="J4378" s="4">
        <v>2952.6</v>
      </c>
      <c r="K4378" s="4">
        <v>2129.48</v>
      </c>
      <c r="L4378" s="4">
        <v>823.12</v>
      </c>
      <c r="M4378" s="1" t="str">
        <f>TEXT(Table1[[#This Row],[Order_Date]], "MMM")</f>
        <v>Jul</v>
      </c>
      <c r="N4378" s="1">
        <f>YEAR(Table1[[#This Row],[Order_Date]])</f>
        <v>2024</v>
      </c>
      <c r="O4378" s="7">
        <f>Table1[[#This Row],[Profit]]/Table1[[#This Row],[Total_Sales]]</f>
        <v>0.2787780261464472</v>
      </c>
    </row>
    <row r="4379" spans="1:15" x14ac:dyDescent="0.25">
      <c r="A4379" s="1">
        <v>4378</v>
      </c>
      <c r="B4379" s="2">
        <v>45054</v>
      </c>
      <c r="C4379" s="1" t="s">
        <v>19</v>
      </c>
      <c r="D4379" s="1" t="s">
        <v>22</v>
      </c>
      <c r="E4379" s="1" t="s">
        <v>44</v>
      </c>
      <c r="F4379" s="1" t="s">
        <v>31</v>
      </c>
      <c r="G4379" s="1">
        <v>6</v>
      </c>
      <c r="H4379" s="1">
        <v>212</v>
      </c>
      <c r="I4379" s="1">
        <v>0</v>
      </c>
      <c r="J4379" s="4">
        <v>1272</v>
      </c>
      <c r="K4379" s="4">
        <v>829.4</v>
      </c>
      <c r="L4379" s="4">
        <v>442.6</v>
      </c>
      <c r="M4379" s="1" t="str">
        <f>TEXT(Table1[[#This Row],[Order_Date]], "MMM")</f>
        <v>May</v>
      </c>
      <c r="N4379" s="1">
        <f>YEAR(Table1[[#This Row],[Order_Date]])</f>
        <v>2023</v>
      </c>
      <c r="O4379" s="7">
        <f>Table1[[#This Row],[Profit]]/Table1[[#This Row],[Total_Sales]]</f>
        <v>0.3479559748427673</v>
      </c>
    </row>
    <row r="4380" spans="1:15" x14ac:dyDescent="0.25">
      <c r="A4380" s="1">
        <v>4379</v>
      </c>
      <c r="B4380" s="2">
        <v>44997</v>
      </c>
      <c r="C4380" s="1" t="s">
        <v>16</v>
      </c>
      <c r="D4380" s="1" t="s">
        <v>22</v>
      </c>
      <c r="E4380" s="1" t="s">
        <v>36</v>
      </c>
      <c r="F4380" s="1" t="s">
        <v>18</v>
      </c>
      <c r="G4380" s="1">
        <v>9</v>
      </c>
      <c r="H4380" s="1">
        <v>554</v>
      </c>
      <c r="I4380" s="1">
        <v>10</v>
      </c>
      <c r="J4380" s="4">
        <v>4487.3999999999996</v>
      </c>
      <c r="K4380" s="4">
        <v>2358.9899999999998</v>
      </c>
      <c r="L4380" s="4">
        <v>2128.41</v>
      </c>
      <c r="M4380" s="1" t="str">
        <f>TEXT(Table1[[#This Row],[Order_Date]], "MMM")</f>
        <v>Mar</v>
      </c>
      <c r="N4380" s="1">
        <f>YEAR(Table1[[#This Row],[Order_Date]])</f>
        <v>2023</v>
      </c>
      <c r="O4380" s="7">
        <f>Table1[[#This Row],[Profit]]/Table1[[#This Row],[Total_Sales]]</f>
        <v>0.47430806257521058</v>
      </c>
    </row>
    <row r="4381" spans="1:15" x14ac:dyDescent="0.25">
      <c r="A4381" s="1">
        <v>4380</v>
      </c>
      <c r="B4381" s="2">
        <v>44983</v>
      </c>
      <c r="C4381" s="1" t="s">
        <v>19</v>
      </c>
      <c r="D4381" s="1" t="s">
        <v>22</v>
      </c>
      <c r="E4381" s="1" t="s">
        <v>23</v>
      </c>
      <c r="F4381" s="1" t="s">
        <v>40</v>
      </c>
      <c r="G4381" s="1">
        <v>8</v>
      </c>
      <c r="H4381" s="1">
        <v>545</v>
      </c>
      <c r="I4381" s="1">
        <v>0</v>
      </c>
      <c r="J4381" s="4">
        <v>4360</v>
      </c>
      <c r="K4381" s="4">
        <v>2440.11</v>
      </c>
      <c r="L4381" s="4">
        <v>1919.89</v>
      </c>
      <c r="M4381" s="1" t="str">
        <f>TEXT(Table1[[#This Row],[Order_Date]], "MMM")</f>
        <v>Feb</v>
      </c>
      <c r="N4381" s="1">
        <f>YEAR(Table1[[#This Row],[Order_Date]])</f>
        <v>2023</v>
      </c>
      <c r="O4381" s="7">
        <f>Table1[[#This Row],[Profit]]/Table1[[#This Row],[Total_Sales]]</f>
        <v>0.4403417431192661</v>
      </c>
    </row>
    <row r="4382" spans="1:15" x14ac:dyDescent="0.25">
      <c r="A4382" s="1">
        <v>4381</v>
      </c>
      <c r="B4382" s="2">
        <v>45455</v>
      </c>
      <c r="C4382" s="1" t="s">
        <v>12</v>
      </c>
      <c r="D4382" s="1" t="s">
        <v>13</v>
      </c>
      <c r="E4382" s="1" t="s">
        <v>38</v>
      </c>
      <c r="F4382" s="1" t="s">
        <v>40</v>
      </c>
      <c r="G4382" s="1">
        <v>3</v>
      </c>
      <c r="H4382" s="1">
        <v>421</v>
      </c>
      <c r="I4382" s="1">
        <v>0</v>
      </c>
      <c r="J4382" s="4">
        <v>1263</v>
      </c>
      <c r="K4382" s="4">
        <v>871.54</v>
      </c>
      <c r="L4382" s="4">
        <v>391.46</v>
      </c>
      <c r="M4382" s="1" t="str">
        <f>TEXT(Table1[[#This Row],[Order_Date]], "MMM")</f>
        <v>Jun</v>
      </c>
      <c r="N4382" s="1">
        <f>YEAR(Table1[[#This Row],[Order_Date]])</f>
        <v>2024</v>
      </c>
      <c r="O4382" s="7">
        <f>Table1[[#This Row],[Profit]]/Table1[[#This Row],[Total_Sales]]</f>
        <v>0.30994457640538398</v>
      </c>
    </row>
    <row r="4383" spans="1:15" x14ac:dyDescent="0.25">
      <c r="A4383" s="1">
        <v>4382</v>
      </c>
      <c r="B4383" s="2">
        <v>45651</v>
      </c>
      <c r="C4383" s="1" t="s">
        <v>19</v>
      </c>
      <c r="D4383" s="1" t="s">
        <v>20</v>
      </c>
      <c r="E4383" s="1" t="s">
        <v>43</v>
      </c>
      <c r="F4383" s="1" t="s">
        <v>40</v>
      </c>
      <c r="G4383" s="1">
        <v>9</v>
      </c>
      <c r="H4383" s="1">
        <v>17</v>
      </c>
      <c r="I4383" s="1">
        <v>0</v>
      </c>
      <c r="J4383" s="4">
        <v>153</v>
      </c>
      <c r="K4383" s="4">
        <v>93.28</v>
      </c>
      <c r="L4383" s="4">
        <v>59.72</v>
      </c>
      <c r="M4383" s="1" t="str">
        <f>TEXT(Table1[[#This Row],[Order_Date]], "MMM")</f>
        <v>Dec</v>
      </c>
      <c r="N4383" s="1">
        <f>YEAR(Table1[[#This Row],[Order_Date]])</f>
        <v>2024</v>
      </c>
      <c r="O4383" s="7">
        <f>Table1[[#This Row],[Profit]]/Table1[[#This Row],[Total_Sales]]</f>
        <v>0.39032679738562093</v>
      </c>
    </row>
    <row r="4384" spans="1:15" x14ac:dyDescent="0.25">
      <c r="A4384" s="1">
        <v>4383</v>
      </c>
      <c r="B4384" s="2">
        <v>45387</v>
      </c>
      <c r="C4384" s="1" t="s">
        <v>12</v>
      </c>
      <c r="D4384" s="1" t="s">
        <v>32</v>
      </c>
      <c r="E4384" s="1" t="s">
        <v>45</v>
      </c>
      <c r="F4384" s="1" t="s">
        <v>40</v>
      </c>
      <c r="G4384" s="1">
        <v>8</v>
      </c>
      <c r="H4384" s="1">
        <v>984</v>
      </c>
      <c r="I4384" s="1">
        <v>0</v>
      </c>
      <c r="J4384" s="4">
        <v>7872</v>
      </c>
      <c r="K4384" s="4">
        <v>6176.87</v>
      </c>
      <c r="L4384" s="4">
        <v>1695.13</v>
      </c>
      <c r="M4384" s="1" t="str">
        <f>TEXT(Table1[[#This Row],[Order_Date]], "MMM")</f>
        <v>Apr</v>
      </c>
      <c r="N4384" s="1">
        <f>YEAR(Table1[[#This Row],[Order_Date]])</f>
        <v>2024</v>
      </c>
      <c r="O4384" s="7">
        <f>Table1[[#This Row],[Profit]]/Table1[[#This Row],[Total_Sales]]</f>
        <v>0.21533663617886181</v>
      </c>
    </row>
    <row r="4385" spans="1:15" x14ac:dyDescent="0.25">
      <c r="A4385" s="1">
        <v>4384</v>
      </c>
      <c r="B4385" s="2">
        <v>45000</v>
      </c>
      <c r="C4385" s="1" t="s">
        <v>12</v>
      </c>
      <c r="D4385" s="1" t="s">
        <v>32</v>
      </c>
      <c r="E4385" s="1" t="s">
        <v>45</v>
      </c>
      <c r="F4385" s="1" t="s">
        <v>35</v>
      </c>
      <c r="G4385" s="1">
        <v>6</v>
      </c>
      <c r="H4385" s="1">
        <v>509</v>
      </c>
      <c r="I4385" s="1">
        <v>0</v>
      </c>
      <c r="J4385" s="4">
        <v>3054</v>
      </c>
      <c r="K4385" s="4">
        <v>1797.67</v>
      </c>
      <c r="L4385" s="4">
        <v>1256.33</v>
      </c>
      <c r="M4385" s="1" t="str">
        <f>TEXT(Table1[[#This Row],[Order_Date]], "MMM")</f>
        <v>Mar</v>
      </c>
      <c r="N4385" s="1">
        <f>YEAR(Table1[[#This Row],[Order_Date]])</f>
        <v>2023</v>
      </c>
      <c r="O4385" s="7">
        <f>Table1[[#This Row],[Profit]]/Table1[[#This Row],[Total_Sales]]</f>
        <v>0.4113719711853307</v>
      </c>
    </row>
    <row r="4386" spans="1:15" x14ac:dyDescent="0.25">
      <c r="A4386" s="1">
        <v>4385</v>
      </c>
      <c r="B4386" s="2">
        <v>45631</v>
      </c>
      <c r="C4386" s="1" t="s">
        <v>25</v>
      </c>
      <c r="D4386" s="1" t="s">
        <v>20</v>
      </c>
      <c r="E4386" s="1" t="s">
        <v>28</v>
      </c>
      <c r="F4386" s="1" t="s">
        <v>15</v>
      </c>
      <c r="G4386" s="1">
        <v>4</v>
      </c>
      <c r="H4386" s="1">
        <v>248</v>
      </c>
      <c r="I4386" s="1">
        <v>0</v>
      </c>
      <c r="J4386" s="4">
        <v>992</v>
      </c>
      <c r="K4386" s="4">
        <v>540.75</v>
      </c>
      <c r="L4386" s="4">
        <v>451.25</v>
      </c>
      <c r="M4386" s="1" t="str">
        <f>TEXT(Table1[[#This Row],[Order_Date]], "MMM")</f>
        <v>Dec</v>
      </c>
      <c r="N4386" s="1">
        <f>YEAR(Table1[[#This Row],[Order_Date]])</f>
        <v>2024</v>
      </c>
      <c r="O4386" s="7">
        <f>Table1[[#This Row],[Profit]]/Table1[[#This Row],[Total_Sales]]</f>
        <v>0.45488911290322581</v>
      </c>
    </row>
    <row r="4387" spans="1:15" x14ac:dyDescent="0.25">
      <c r="A4387" s="1">
        <v>4386</v>
      </c>
      <c r="B4387" s="2">
        <v>45047</v>
      </c>
      <c r="C4387" s="1" t="s">
        <v>19</v>
      </c>
      <c r="D4387" s="1" t="s">
        <v>22</v>
      </c>
      <c r="E4387" s="1" t="s">
        <v>23</v>
      </c>
      <c r="F4387" s="1" t="s">
        <v>31</v>
      </c>
      <c r="G4387" s="1">
        <v>7</v>
      </c>
      <c r="H4387" s="1">
        <v>123</v>
      </c>
      <c r="I4387" s="1">
        <v>15</v>
      </c>
      <c r="J4387" s="4">
        <v>731.85</v>
      </c>
      <c r="K4387" s="4">
        <v>392.75</v>
      </c>
      <c r="L4387" s="4">
        <v>339.1</v>
      </c>
      <c r="M4387" s="1" t="str">
        <f>TEXT(Table1[[#This Row],[Order_Date]], "MMM")</f>
        <v>May</v>
      </c>
      <c r="N4387" s="1">
        <f>YEAR(Table1[[#This Row],[Order_Date]])</f>
        <v>2023</v>
      </c>
      <c r="O4387" s="7">
        <f>Table1[[#This Row],[Profit]]/Table1[[#This Row],[Total_Sales]]</f>
        <v>0.46334631413541028</v>
      </c>
    </row>
    <row r="4388" spans="1:15" x14ac:dyDescent="0.25">
      <c r="A4388" s="1">
        <v>4387</v>
      </c>
      <c r="B4388" s="2">
        <v>45371</v>
      </c>
      <c r="C4388" s="1" t="s">
        <v>16</v>
      </c>
      <c r="D4388" s="1" t="s">
        <v>13</v>
      </c>
      <c r="E4388" s="1" t="s">
        <v>39</v>
      </c>
      <c r="F4388" s="1" t="s">
        <v>40</v>
      </c>
      <c r="G4388" s="1">
        <v>5</v>
      </c>
      <c r="H4388" s="1">
        <v>575</v>
      </c>
      <c r="I4388" s="1">
        <v>10</v>
      </c>
      <c r="J4388" s="4">
        <v>2587.5</v>
      </c>
      <c r="K4388" s="4">
        <v>1849.51</v>
      </c>
      <c r="L4388" s="4">
        <v>737.99</v>
      </c>
      <c r="M4388" s="1" t="str">
        <f>TEXT(Table1[[#This Row],[Order_Date]], "MMM")</f>
        <v>Mar</v>
      </c>
      <c r="N4388" s="1">
        <f>YEAR(Table1[[#This Row],[Order_Date]])</f>
        <v>2024</v>
      </c>
      <c r="O4388" s="7">
        <f>Table1[[#This Row],[Profit]]/Table1[[#This Row],[Total_Sales]]</f>
        <v>0.28521352657004834</v>
      </c>
    </row>
    <row r="4389" spans="1:15" x14ac:dyDescent="0.25">
      <c r="A4389" s="1">
        <v>4388</v>
      </c>
      <c r="B4389" s="2">
        <v>45046</v>
      </c>
      <c r="C4389" s="1" t="s">
        <v>19</v>
      </c>
      <c r="D4389" s="1" t="s">
        <v>22</v>
      </c>
      <c r="E4389" s="1" t="s">
        <v>36</v>
      </c>
      <c r="F4389" s="1" t="s">
        <v>35</v>
      </c>
      <c r="G4389" s="1">
        <v>3</v>
      </c>
      <c r="H4389" s="1">
        <v>657</v>
      </c>
      <c r="I4389" s="1">
        <v>20</v>
      </c>
      <c r="J4389" s="4">
        <v>1576.8</v>
      </c>
      <c r="K4389" s="4">
        <v>1149.46</v>
      </c>
      <c r="L4389" s="4">
        <v>427.34</v>
      </c>
      <c r="M4389" s="1" t="str">
        <f>TEXT(Table1[[#This Row],[Order_Date]], "MMM")</f>
        <v>Apr</v>
      </c>
      <c r="N4389" s="1">
        <f>YEAR(Table1[[#This Row],[Order_Date]])</f>
        <v>2023</v>
      </c>
      <c r="O4389" s="7">
        <f>Table1[[#This Row],[Profit]]/Table1[[#This Row],[Total_Sales]]</f>
        <v>0.27101725012683914</v>
      </c>
    </row>
    <row r="4390" spans="1:15" x14ac:dyDescent="0.25">
      <c r="A4390" s="1">
        <v>4389</v>
      </c>
      <c r="B4390" s="2">
        <v>45255</v>
      </c>
      <c r="C4390" s="1" t="s">
        <v>12</v>
      </c>
      <c r="D4390" s="1" t="s">
        <v>13</v>
      </c>
      <c r="E4390" s="1" t="s">
        <v>38</v>
      </c>
      <c r="F4390" s="1" t="s">
        <v>15</v>
      </c>
      <c r="G4390" s="1">
        <v>1</v>
      </c>
      <c r="H4390" s="1">
        <v>176</v>
      </c>
      <c r="I4390" s="1">
        <v>15</v>
      </c>
      <c r="J4390" s="4">
        <v>149.6</v>
      </c>
      <c r="K4390" s="4">
        <v>99.85</v>
      </c>
      <c r="L4390" s="4">
        <v>49.75</v>
      </c>
      <c r="M4390" s="1" t="str">
        <f>TEXT(Table1[[#This Row],[Order_Date]], "MMM")</f>
        <v>Nov</v>
      </c>
      <c r="N4390" s="1">
        <f>YEAR(Table1[[#This Row],[Order_Date]])</f>
        <v>2023</v>
      </c>
      <c r="O4390" s="7">
        <f>Table1[[#This Row],[Profit]]/Table1[[#This Row],[Total_Sales]]</f>
        <v>0.3325534759358289</v>
      </c>
    </row>
    <row r="4391" spans="1:15" x14ac:dyDescent="0.25">
      <c r="A4391" s="1">
        <v>4390</v>
      </c>
      <c r="B4391" s="2">
        <v>44937</v>
      </c>
      <c r="C4391" s="1" t="s">
        <v>19</v>
      </c>
      <c r="D4391" s="1" t="s">
        <v>32</v>
      </c>
      <c r="E4391" s="1" t="s">
        <v>34</v>
      </c>
      <c r="F4391" s="1" t="s">
        <v>35</v>
      </c>
      <c r="G4391" s="1">
        <v>7</v>
      </c>
      <c r="H4391" s="1">
        <v>287</v>
      </c>
      <c r="I4391" s="1">
        <v>10</v>
      </c>
      <c r="J4391" s="4">
        <v>1808.1</v>
      </c>
      <c r="K4391" s="4">
        <v>981.75</v>
      </c>
      <c r="L4391" s="4">
        <v>826.35</v>
      </c>
      <c r="M4391" s="1" t="str">
        <f>TEXT(Table1[[#This Row],[Order_Date]], "MMM")</f>
        <v>Jan</v>
      </c>
      <c r="N4391" s="1">
        <f>YEAR(Table1[[#This Row],[Order_Date]])</f>
        <v>2023</v>
      </c>
      <c r="O4391" s="7">
        <f>Table1[[#This Row],[Profit]]/Table1[[#This Row],[Total_Sales]]</f>
        <v>0.45702671312427412</v>
      </c>
    </row>
    <row r="4392" spans="1:15" x14ac:dyDescent="0.25">
      <c r="A4392" s="1">
        <v>4391</v>
      </c>
      <c r="B4392" s="2">
        <v>45156</v>
      </c>
      <c r="C4392" s="1" t="s">
        <v>16</v>
      </c>
      <c r="D4392" s="1" t="s">
        <v>22</v>
      </c>
      <c r="E4392" s="1" t="s">
        <v>36</v>
      </c>
      <c r="F4392" s="1" t="s">
        <v>24</v>
      </c>
      <c r="G4392" s="1">
        <v>10</v>
      </c>
      <c r="H4392" s="1">
        <v>615</v>
      </c>
      <c r="I4392" s="1">
        <v>5</v>
      </c>
      <c r="J4392" s="4">
        <v>5842.5</v>
      </c>
      <c r="K4392" s="4">
        <v>4492.99</v>
      </c>
      <c r="L4392" s="4">
        <v>1349.51</v>
      </c>
      <c r="M4392" s="1" t="str">
        <f>TEXT(Table1[[#This Row],[Order_Date]], "MMM")</f>
        <v>Aug</v>
      </c>
      <c r="N4392" s="1">
        <f>YEAR(Table1[[#This Row],[Order_Date]])</f>
        <v>2023</v>
      </c>
      <c r="O4392" s="7">
        <f>Table1[[#This Row],[Profit]]/Table1[[#This Row],[Total_Sales]]</f>
        <v>0.23098160034231921</v>
      </c>
    </row>
    <row r="4393" spans="1:15" x14ac:dyDescent="0.25">
      <c r="A4393" s="1">
        <v>4392</v>
      </c>
      <c r="B4393" s="2">
        <v>45605</v>
      </c>
      <c r="C4393" s="1" t="s">
        <v>19</v>
      </c>
      <c r="D4393" s="1" t="s">
        <v>32</v>
      </c>
      <c r="E4393" s="1" t="s">
        <v>41</v>
      </c>
      <c r="F4393" s="1" t="s">
        <v>40</v>
      </c>
      <c r="G4393" s="1">
        <v>7</v>
      </c>
      <c r="H4393" s="1">
        <v>480</v>
      </c>
      <c r="I4393" s="1">
        <v>10</v>
      </c>
      <c r="J4393" s="4">
        <v>3024</v>
      </c>
      <c r="K4393" s="4">
        <v>1904.98</v>
      </c>
      <c r="L4393" s="4">
        <v>1119.02</v>
      </c>
      <c r="M4393" s="1" t="str">
        <f>TEXT(Table1[[#This Row],[Order_Date]], "MMM")</f>
        <v>Nov</v>
      </c>
      <c r="N4393" s="1">
        <f>YEAR(Table1[[#This Row],[Order_Date]])</f>
        <v>2024</v>
      </c>
      <c r="O4393" s="7">
        <f>Table1[[#This Row],[Profit]]/Table1[[#This Row],[Total_Sales]]</f>
        <v>0.37004629629629632</v>
      </c>
    </row>
    <row r="4394" spans="1:15" x14ac:dyDescent="0.25">
      <c r="A4394" s="1">
        <v>4393</v>
      </c>
      <c r="B4394" s="2">
        <v>45144</v>
      </c>
      <c r="C4394" s="1" t="s">
        <v>16</v>
      </c>
      <c r="D4394" s="1" t="s">
        <v>26</v>
      </c>
      <c r="E4394" s="1" t="s">
        <v>27</v>
      </c>
      <c r="F4394" s="1" t="s">
        <v>18</v>
      </c>
      <c r="G4394" s="1">
        <v>9</v>
      </c>
      <c r="H4394" s="1">
        <v>479</v>
      </c>
      <c r="I4394" s="1">
        <v>10</v>
      </c>
      <c r="J4394" s="4">
        <v>3879.9</v>
      </c>
      <c r="K4394" s="4">
        <v>2424.89</v>
      </c>
      <c r="L4394" s="4">
        <v>1455.01</v>
      </c>
      <c r="M4394" s="1" t="str">
        <f>TEXT(Table1[[#This Row],[Order_Date]], "MMM")</f>
        <v>Aug</v>
      </c>
      <c r="N4394" s="1">
        <f>YEAR(Table1[[#This Row],[Order_Date]])</f>
        <v>2023</v>
      </c>
      <c r="O4394" s="7">
        <f>Table1[[#This Row],[Profit]]/Table1[[#This Row],[Total_Sales]]</f>
        <v>0.37501224258357174</v>
      </c>
    </row>
    <row r="4395" spans="1:15" x14ac:dyDescent="0.25">
      <c r="A4395" s="1">
        <v>4394</v>
      </c>
      <c r="B4395" s="2">
        <v>45460</v>
      </c>
      <c r="C4395" s="1" t="s">
        <v>25</v>
      </c>
      <c r="D4395" s="1" t="s">
        <v>26</v>
      </c>
      <c r="E4395" s="1" t="s">
        <v>27</v>
      </c>
      <c r="F4395" s="1" t="s">
        <v>18</v>
      </c>
      <c r="G4395" s="1">
        <v>1</v>
      </c>
      <c r="H4395" s="1">
        <v>169</v>
      </c>
      <c r="I4395" s="1">
        <v>0</v>
      </c>
      <c r="J4395" s="4">
        <v>169</v>
      </c>
      <c r="K4395" s="4">
        <v>107.53</v>
      </c>
      <c r="L4395" s="4">
        <v>61.47</v>
      </c>
      <c r="M4395" s="1" t="str">
        <f>TEXT(Table1[[#This Row],[Order_Date]], "MMM")</f>
        <v>Jun</v>
      </c>
      <c r="N4395" s="1">
        <f>YEAR(Table1[[#This Row],[Order_Date]])</f>
        <v>2024</v>
      </c>
      <c r="O4395" s="7">
        <f>Table1[[#This Row],[Profit]]/Table1[[#This Row],[Total_Sales]]</f>
        <v>0.36372781065088755</v>
      </c>
    </row>
    <row r="4396" spans="1:15" x14ac:dyDescent="0.25">
      <c r="A4396" s="1">
        <v>4395</v>
      </c>
      <c r="B4396" s="2">
        <v>44938</v>
      </c>
      <c r="C4396" s="1" t="s">
        <v>25</v>
      </c>
      <c r="D4396" s="1" t="s">
        <v>13</v>
      </c>
      <c r="E4396" s="1" t="s">
        <v>39</v>
      </c>
      <c r="F4396" s="1" t="s">
        <v>35</v>
      </c>
      <c r="G4396" s="1">
        <v>6</v>
      </c>
      <c r="H4396" s="1">
        <v>86</v>
      </c>
      <c r="I4396" s="1">
        <v>5</v>
      </c>
      <c r="J4396" s="4">
        <v>490.2</v>
      </c>
      <c r="K4396" s="4">
        <v>359.48</v>
      </c>
      <c r="L4396" s="4">
        <v>130.72</v>
      </c>
      <c r="M4396" s="1" t="str">
        <f>TEXT(Table1[[#This Row],[Order_Date]], "MMM")</f>
        <v>Jan</v>
      </c>
      <c r="N4396" s="1">
        <f>YEAR(Table1[[#This Row],[Order_Date]])</f>
        <v>2023</v>
      </c>
      <c r="O4396" s="7">
        <f>Table1[[#This Row],[Profit]]/Table1[[#This Row],[Total_Sales]]</f>
        <v>0.26666666666666666</v>
      </c>
    </row>
    <row r="4397" spans="1:15" x14ac:dyDescent="0.25">
      <c r="A4397" s="1">
        <v>4396</v>
      </c>
      <c r="B4397" s="2">
        <v>45122</v>
      </c>
      <c r="C4397" s="1" t="s">
        <v>25</v>
      </c>
      <c r="D4397" s="1" t="s">
        <v>13</v>
      </c>
      <c r="E4397" s="1" t="s">
        <v>17</v>
      </c>
      <c r="F4397" s="1" t="s">
        <v>31</v>
      </c>
      <c r="G4397" s="1">
        <v>6</v>
      </c>
      <c r="H4397" s="1">
        <v>645</v>
      </c>
      <c r="I4397" s="1">
        <v>15</v>
      </c>
      <c r="J4397" s="4">
        <v>3289.5</v>
      </c>
      <c r="K4397" s="4">
        <v>2394.5300000000002</v>
      </c>
      <c r="L4397" s="4">
        <v>894.97</v>
      </c>
      <c r="M4397" s="1" t="str">
        <f>TEXT(Table1[[#This Row],[Order_Date]], "MMM")</f>
        <v>Jul</v>
      </c>
      <c r="N4397" s="1">
        <f>YEAR(Table1[[#This Row],[Order_Date]])</f>
        <v>2023</v>
      </c>
      <c r="O4397" s="7">
        <f>Table1[[#This Row],[Profit]]/Table1[[#This Row],[Total_Sales]]</f>
        <v>0.27206870345037243</v>
      </c>
    </row>
    <row r="4398" spans="1:15" x14ac:dyDescent="0.25">
      <c r="A4398" s="1">
        <v>4397</v>
      </c>
      <c r="B4398" s="2">
        <v>45283</v>
      </c>
      <c r="C4398" s="1" t="s">
        <v>19</v>
      </c>
      <c r="D4398" s="1" t="s">
        <v>13</v>
      </c>
      <c r="E4398" s="1" t="s">
        <v>39</v>
      </c>
      <c r="F4398" s="1" t="s">
        <v>24</v>
      </c>
      <c r="G4398" s="1">
        <v>7</v>
      </c>
      <c r="H4398" s="1">
        <v>611</v>
      </c>
      <c r="I4398" s="1">
        <v>15</v>
      </c>
      <c r="J4398" s="4">
        <v>3635.45</v>
      </c>
      <c r="K4398" s="4">
        <v>2482.62</v>
      </c>
      <c r="L4398" s="4">
        <v>1152.83</v>
      </c>
      <c r="M4398" s="1" t="str">
        <f>TEXT(Table1[[#This Row],[Order_Date]], "MMM")</f>
        <v>Dec</v>
      </c>
      <c r="N4398" s="1">
        <f>YEAR(Table1[[#This Row],[Order_Date]])</f>
        <v>2023</v>
      </c>
      <c r="O4398" s="7">
        <f>Table1[[#This Row],[Profit]]/Table1[[#This Row],[Total_Sales]]</f>
        <v>0.31710792336574561</v>
      </c>
    </row>
    <row r="4399" spans="1:15" x14ac:dyDescent="0.25">
      <c r="A4399" s="1">
        <v>4398</v>
      </c>
      <c r="B4399" s="2">
        <v>45186</v>
      </c>
      <c r="C4399" s="1" t="s">
        <v>12</v>
      </c>
      <c r="D4399" s="1" t="s">
        <v>22</v>
      </c>
      <c r="E4399" s="1" t="s">
        <v>23</v>
      </c>
      <c r="F4399" s="1" t="s">
        <v>35</v>
      </c>
      <c r="G4399" s="1">
        <v>5</v>
      </c>
      <c r="H4399" s="1">
        <v>277</v>
      </c>
      <c r="I4399" s="1">
        <v>5</v>
      </c>
      <c r="J4399" s="4">
        <v>1315.75</v>
      </c>
      <c r="K4399" s="4">
        <v>1045.02</v>
      </c>
      <c r="L4399" s="4">
        <v>270.73</v>
      </c>
      <c r="M4399" s="1" t="str">
        <f>TEXT(Table1[[#This Row],[Order_Date]], "MMM")</f>
        <v>Sep</v>
      </c>
      <c r="N4399" s="1">
        <f>YEAR(Table1[[#This Row],[Order_Date]])</f>
        <v>2023</v>
      </c>
      <c r="O4399" s="7">
        <f>Table1[[#This Row],[Profit]]/Table1[[#This Row],[Total_Sales]]</f>
        <v>0.2057609728291849</v>
      </c>
    </row>
    <row r="4400" spans="1:15" x14ac:dyDescent="0.25">
      <c r="A4400" s="1">
        <v>4399</v>
      </c>
      <c r="B4400" s="2">
        <v>45639</v>
      </c>
      <c r="C4400" s="1" t="s">
        <v>16</v>
      </c>
      <c r="D4400" s="1" t="s">
        <v>13</v>
      </c>
      <c r="E4400" s="1" t="s">
        <v>17</v>
      </c>
      <c r="F4400" s="1" t="s">
        <v>40</v>
      </c>
      <c r="G4400" s="1">
        <v>2</v>
      </c>
      <c r="H4400" s="1">
        <v>301</v>
      </c>
      <c r="I4400" s="1">
        <v>20</v>
      </c>
      <c r="J4400" s="4">
        <v>481.6</v>
      </c>
      <c r="K4400" s="4">
        <v>302.57</v>
      </c>
      <c r="L4400" s="4">
        <v>179.03</v>
      </c>
      <c r="M4400" s="1" t="str">
        <f>TEXT(Table1[[#This Row],[Order_Date]], "MMM")</f>
        <v>Dec</v>
      </c>
      <c r="N4400" s="1">
        <f>YEAR(Table1[[#This Row],[Order_Date]])</f>
        <v>2024</v>
      </c>
      <c r="O4400" s="7">
        <f>Table1[[#This Row],[Profit]]/Table1[[#This Row],[Total_Sales]]</f>
        <v>0.37174003322259136</v>
      </c>
    </row>
    <row r="4401" spans="1:15" x14ac:dyDescent="0.25">
      <c r="A4401" s="1">
        <v>4400</v>
      </c>
      <c r="B4401" s="2">
        <v>45080</v>
      </c>
      <c r="C4401" s="1" t="s">
        <v>16</v>
      </c>
      <c r="D4401" s="1" t="s">
        <v>13</v>
      </c>
      <c r="E4401" s="1" t="s">
        <v>14</v>
      </c>
      <c r="F4401" s="1" t="s">
        <v>18</v>
      </c>
      <c r="G4401" s="1">
        <v>2</v>
      </c>
      <c r="H4401" s="1">
        <v>583</v>
      </c>
      <c r="I4401" s="1">
        <v>15</v>
      </c>
      <c r="J4401" s="4">
        <v>991.1</v>
      </c>
      <c r="K4401" s="4">
        <v>784.65</v>
      </c>
      <c r="L4401" s="4">
        <v>206.45</v>
      </c>
      <c r="M4401" s="1" t="str">
        <f>TEXT(Table1[[#This Row],[Order_Date]], "MMM")</f>
        <v>Jun</v>
      </c>
      <c r="N4401" s="1">
        <f>YEAR(Table1[[#This Row],[Order_Date]])</f>
        <v>2023</v>
      </c>
      <c r="O4401" s="7">
        <f>Table1[[#This Row],[Profit]]/Table1[[#This Row],[Total_Sales]]</f>
        <v>0.2083039047522954</v>
      </c>
    </row>
    <row r="4402" spans="1:15" x14ac:dyDescent="0.25">
      <c r="A4402" s="1">
        <v>4401</v>
      </c>
      <c r="B4402" s="2">
        <v>45111</v>
      </c>
      <c r="C4402" s="1" t="s">
        <v>19</v>
      </c>
      <c r="D4402" s="1" t="s">
        <v>32</v>
      </c>
      <c r="E4402" s="1" t="s">
        <v>45</v>
      </c>
      <c r="F4402" s="1" t="s">
        <v>40</v>
      </c>
      <c r="G4402" s="1">
        <v>6</v>
      </c>
      <c r="H4402" s="1">
        <v>606</v>
      </c>
      <c r="I4402" s="1">
        <v>10</v>
      </c>
      <c r="J4402" s="4">
        <v>3272.4</v>
      </c>
      <c r="K4402" s="4">
        <v>2215.14</v>
      </c>
      <c r="L4402" s="4">
        <v>1057.26</v>
      </c>
      <c r="M4402" s="1" t="str">
        <f>TEXT(Table1[[#This Row],[Order_Date]], "MMM")</f>
        <v>Jul</v>
      </c>
      <c r="N4402" s="1">
        <f>YEAR(Table1[[#This Row],[Order_Date]])</f>
        <v>2023</v>
      </c>
      <c r="O4402" s="7">
        <f>Table1[[#This Row],[Profit]]/Table1[[#This Row],[Total_Sales]]</f>
        <v>0.32308397506417308</v>
      </c>
    </row>
    <row r="4403" spans="1:15" x14ac:dyDescent="0.25">
      <c r="A4403" s="1">
        <v>4402</v>
      </c>
      <c r="B4403" s="2">
        <v>45654</v>
      </c>
      <c r="C4403" s="1" t="s">
        <v>19</v>
      </c>
      <c r="D4403" s="1" t="s">
        <v>26</v>
      </c>
      <c r="E4403" s="1" t="s">
        <v>46</v>
      </c>
      <c r="F4403" s="1" t="s">
        <v>40</v>
      </c>
      <c r="G4403" s="1">
        <v>8</v>
      </c>
      <c r="H4403" s="1">
        <v>884</v>
      </c>
      <c r="I4403" s="1">
        <v>10</v>
      </c>
      <c r="J4403" s="4">
        <v>6364.8</v>
      </c>
      <c r="K4403" s="4">
        <v>4553.13</v>
      </c>
      <c r="L4403" s="4">
        <v>1811.67</v>
      </c>
      <c r="M4403" s="1" t="str">
        <f>TEXT(Table1[[#This Row],[Order_Date]], "MMM")</f>
        <v>Dec</v>
      </c>
      <c r="N4403" s="1">
        <f>YEAR(Table1[[#This Row],[Order_Date]])</f>
        <v>2024</v>
      </c>
      <c r="O4403" s="7">
        <f>Table1[[#This Row],[Profit]]/Table1[[#This Row],[Total_Sales]]</f>
        <v>0.28463895173453996</v>
      </c>
    </row>
    <row r="4404" spans="1:15" x14ac:dyDescent="0.25">
      <c r="A4404" s="1">
        <v>4403</v>
      </c>
      <c r="B4404" s="2">
        <v>45490</v>
      </c>
      <c r="C4404" s="1" t="s">
        <v>12</v>
      </c>
      <c r="D4404" s="1" t="s">
        <v>26</v>
      </c>
      <c r="E4404" s="1" t="s">
        <v>37</v>
      </c>
      <c r="F4404" s="1" t="s">
        <v>31</v>
      </c>
      <c r="G4404" s="1">
        <v>4</v>
      </c>
      <c r="H4404" s="1">
        <v>515</v>
      </c>
      <c r="I4404" s="1">
        <v>5</v>
      </c>
      <c r="J4404" s="4">
        <v>1957</v>
      </c>
      <c r="K4404" s="4">
        <v>1155.83</v>
      </c>
      <c r="L4404" s="4">
        <v>801.17</v>
      </c>
      <c r="M4404" s="1" t="str">
        <f>TEXT(Table1[[#This Row],[Order_Date]], "MMM")</f>
        <v>Jul</v>
      </c>
      <c r="N4404" s="1">
        <f>YEAR(Table1[[#This Row],[Order_Date]])</f>
        <v>2024</v>
      </c>
      <c r="O4404" s="7">
        <f>Table1[[#This Row],[Profit]]/Table1[[#This Row],[Total_Sales]]</f>
        <v>0.40938681655595299</v>
      </c>
    </row>
    <row r="4405" spans="1:15" x14ac:dyDescent="0.25">
      <c r="A4405" s="1">
        <v>4404</v>
      </c>
      <c r="B4405" s="2">
        <v>45463</v>
      </c>
      <c r="C4405" s="1" t="s">
        <v>25</v>
      </c>
      <c r="D4405" s="1" t="s">
        <v>13</v>
      </c>
      <c r="E4405" s="1" t="s">
        <v>14</v>
      </c>
      <c r="F4405" s="1" t="s">
        <v>31</v>
      </c>
      <c r="G4405" s="1">
        <v>6</v>
      </c>
      <c r="H4405" s="1">
        <v>267</v>
      </c>
      <c r="I4405" s="1">
        <v>15</v>
      </c>
      <c r="J4405" s="4">
        <v>1361.7</v>
      </c>
      <c r="K4405" s="4">
        <v>747.5</v>
      </c>
      <c r="L4405" s="4">
        <v>614.20000000000005</v>
      </c>
      <c r="M4405" s="1" t="str">
        <f>TEXT(Table1[[#This Row],[Order_Date]], "MMM")</f>
        <v>Jun</v>
      </c>
      <c r="N4405" s="1">
        <f>YEAR(Table1[[#This Row],[Order_Date]])</f>
        <v>2024</v>
      </c>
      <c r="O4405" s="7">
        <f>Table1[[#This Row],[Profit]]/Table1[[#This Row],[Total_Sales]]</f>
        <v>0.45105382977160902</v>
      </c>
    </row>
    <row r="4406" spans="1:15" x14ac:dyDescent="0.25">
      <c r="A4406" s="1">
        <v>4405</v>
      </c>
      <c r="B4406" s="2">
        <v>45398</v>
      </c>
      <c r="C4406" s="1" t="s">
        <v>12</v>
      </c>
      <c r="D4406" s="1" t="s">
        <v>22</v>
      </c>
      <c r="E4406" s="1" t="s">
        <v>36</v>
      </c>
      <c r="F4406" s="1" t="s">
        <v>18</v>
      </c>
      <c r="G4406" s="1">
        <v>4</v>
      </c>
      <c r="H4406" s="1">
        <v>78</v>
      </c>
      <c r="I4406" s="1">
        <v>20</v>
      </c>
      <c r="J4406" s="4">
        <v>249.6</v>
      </c>
      <c r="K4406" s="4">
        <v>127.46</v>
      </c>
      <c r="L4406" s="4">
        <v>122.14</v>
      </c>
      <c r="M4406" s="1" t="str">
        <f>TEXT(Table1[[#This Row],[Order_Date]], "MMM")</f>
        <v>Apr</v>
      </c>
      <c r="N4406" s="1">
        <f>YEAR(Table1[[#This Row],[Order_Date]])</f>
        <v>2024</v>
      </c>
      <c r="O4406" s="7">
        <f>Table1[[#This Row],[Profit]]/Table1[[#This Row],[Total_Sales]]</f>
        <v>0.48934294871794876</v>
      </c>
    </row>
    <row r="4407" spans="1:15" x14ac:dyDescent="0.25">
      <c r="A4407" s="1">
        <v>4406</v>
      </c>
      <c r="B4407" s="2">
        <v>44972</v>
      </c>
      <c r="C4407" s="1" t="s">
        <v>25</v>
      </c>
      <c r="D4407" s="1" t="s">
        <v>22</v>
      </c>
      <c r="E4407" s="1" t="s">
        <v>44</v>
      </c>
      <c r="F4407" s="1" t="s">
        <v>35</v>
      </c>
      <c r="G4407" s="1">
        <v>7</v>
      </c>
      <c r="H4407" s="1">
        <v>606</v>
      </c>
      <c r="I4407" s="1">
        <v>10</v>
      </c>
      <c r="J4407" s="4">
        <v>3817.8</v>
      </c>
      <c r="K4407" s="4">
        <v>2234.7800000000002</v>
      </c>
      <c r="L4407" s="4">
        <v>1583.02</v>
      </c>
      <c r="M4407" s="1" t="str">
        <f>TEXT(Table1[[#This Row],[Order_Date]], "MMM")</f>
        <v>Feb</v>
      </c>
      <c r="N4407" s="1">
        <f>YEAR(Table1[[#This Row],[Order_Date]])</f>
        <v>2023</v>
      </c>
      <c r="O4407" s="7">
        <f>Table1[[#This Row],[Profit]]/Table1[[#This Row],[Total_Sales]]</f>
        <v>0.41464194038451463</v>
      </c>
    </row>
    <row r="4408" spans="1:15" x14ac:dyDescent="0.25">
      <c r="A4408" s="1">
        <v>4407</v>
      </c>
      <c r="B4408" s="2">
        <v>45176</v>
      </c>
      <c r="C4408" s="1" t="s">
        <v>25</v>
      </c>
      <c r="D4408" s="1" t="s">
        <v>13</v>
      </c>
      <c r="E4408" s="1" t="s">
        <v>14</v>
      </c>
      <c r="F4408" s="1" t="s">
        <v>40</v>
      </c>
      <c r="G4408" s="1">
        <v>5</v>
      </c>
      <c r="H4408" s="1">
        <v>279</v>
      </c>
      <c r="I4408" s="1">
        <v>5</v>
      </c>
      <c r="J4408" s="4">
        <v>1325.25</v>
      </c>
      <c r="K4408" s="4">
        <v>733.35</v>
      </c>
      <c r="L4408" s="4">
        <v>591.9</v>
      </c>
      <c r="M4408" s="1" t="str">
        <f>TEXT(Table1[[#This Row],[Order_Date]], "MMM")</f>
        <v>Sep</v>
      </c>
      <c r="N4408" s="1">
        <f>YEAR(Table1[[#This Row],[Order_Date]])</f>
        <v>2023</v>
      </c>
      <c r="O4408" s="7">
        <f>Table1[[#This Row],[Profit]]/Table1[[#This Row],[Total_Sales]]</f>
        <v>0.44663271080928124</v>
      </c>
    </row>
    <row r="4409" spans="1:15" x14ac:dyDescent="0.25">
      <c r="A4409" s="1">
        <v>4408</v>
      </c>
      <c r="B4409" s="2">
        <v>45523</v>
      </c>
      <c r="C4409" s="1" t="s">
        <v>19</v>
      </c>
      <c r="D4409" s="1" t="s">
        <v>32</v>
      </c>
      <c r="E4409" s="1" t="s">
        <v>45</v>
      </c>
      <c r="F4409" s="1" t="s">
        <v>35</v>
      </c>
      <c r="G4409" s="1">
        <v>4</v>
      </c>
      <c r="H4409" s="1">
        <v>487</v>
      </c>
      <c r="I4409" s="1">
        <v>10</v>
      </c>
      <c r="J4409" s="4">
        <v>1753.2</v>
      </c>
      <c r="K4409" s="4">
        <v>1200.7</v>
      </c>
      <c r="L4409" s="4">
        <v>552.5</v>
      </c>
      <c r="M4409" s="1" t="str">
        <f>TEXT(Table1[[#This Row],[Order_Date]], "MMM")</f>
        <v>Aug</v>
      </c>
      <c r="N4409" s="1">
        <f>YEAR(Table1[[#This Row],[Order_Date]])</f>
        <v>2024</v>
      </c>
      <c r="O4409" s="7">
        <f>Table1[[#This Row],[Profit]]/Table1[[#This Row],[Total_Sales]]</f>
        <v>0.31513803331051793</v>
      </c>
    </row>
    <row r="4410" spans="1:15" x14ac:dyDescent="0.25">
      <c r="A4410" s="1">
        <v>4409</v>
      </c>
      <c r="B4410" s="2">
        <v>45020</v>
      </c>
      <c r="C4410" s="1" t="s">
        <v>19</v>
      </c>
      <c r="D4410" s="1" t="s">
        <v>13</v>
      </c>
      <c r="E4410" s="1" t="s">
        <v>38</v>
      </c>
      <c r="F4410" s="1" t="s">
        <v>18</v>
      </c>
      <c r="G4410" s="1">
        <v>7</v>
      </c>
      <c r="H4410" s="1">
        <v>711</v>
      </c>
      <c r="I4410" s="1">
        <v>5</v>
      </c>
      <c r="J4410" s="4">
        <v>4728.1499999999996</v>
      </c>
      <c r="K4410" s="4">
        <v>3545.87</v>
      </c>
      <c r="L4410" s="4">
        <v>1182.28</v>
      </c>
      <c r="M4410" s="1" t="str">
        <f>TEXT(Table1[[#This Row],[Order_Date]], "MMM")</f>
        <v>Apr</v>
      </c>
      <c r="N4410" s="1">
        <f>YEAR(Table1[[#This Row],[Order_Date]])</f>
        <v>2023</v>
      </c>
      <c r="O4410" s="7">
        <f>Table1[[#This Row],[Profit]]/Table1[[#This Row],[Total_Sales]]</f>
        <v>0.25005128855895015</v>
      </c>
    </row>
    <row r="4411" spans="1:15" x14ac:dyDescent="0.25">
      <c r="A4411" s="1">
        <v>4410</v>
      </c>
      <c r="B4411" s="2">
        <v>45122</v>
      </c>
      <c r="C4411" s="1" t="s">
        <v>12</v>
      </c>
      <c r="D4411" s="1" t="s">
        <v>32</v>
      </c>
      <c r="E4411" s="1" t="s">
        <v>34</v>
      </c>
      <c r="F4411" s="1" t="s">
        <v>31</v>
      </c>
      <c r="G4411" s="1">
        <v>9</v>
      </c>
      <c r="H4411" s="1">
        <v>765</v>
      </c>
      <c r="I4411" s="1">
        <v>0</v>
      </c>
      <c r="J4411" s="4">
        <v>6885</v>
      </c>
      <c r="K4411" s="4">
        <v>3553.82</v>
      </c>
      <c r="L4411" s="4">
        <v>3331.18</v>
      </c>
      <c r="M4411" s="1" t="str">
        <f>TEXT(Table1[[#This Row],[Order_Date]], "MMM")</f>
        <v>Jul</v>
      </c>
      <c r="N4411" s="1">
        <f>YEAR(Table1[[#This Row],[Order_Date]])</f>
        <v>2023</v>
      </c>
      <c r="O4411" s="7">
        <f>Table1[[#This Row],[Profit]]/Table1[[#This Row],[Total_Sales]]</f>
        <v>0.4838315177923021</v>
      </c>
    </row>
    <row r="4412" spans="1:15" x14ac:dyDescent="0.25">
      <c r="A4412" s="1">
        <v>4411</v>
      </c>
      <c r="B4412" s="2">
        <v>45260</v>
      </c>
      <c r="C4412" s="1" t="s">
        <v>25</v>
      </c>
      <c r="D4412" s="1" t="s">
        <v>26</v>
      </c>
      <c r="E4412" s="1" t="s">
        <v>42</v>
      </c>
      <c r="F4412" s="1" t="s">
        <v>24</v>
      </c>
      <c r="G4412" s="1">
        <v>7</v>
      </c>
      <c r="H4412" s="1">
        <v>306</v>
      </c>
      <c r="I4412" s="1">
        <v>0</v>
      </c>
      <c r="J4412" s="4">
        <v>2142</v>
      </c>
      <c r="K4412" s="4">
        <v>1644.04</v>
      </c>
      <c r="L4412" s="4">
        <v>497.96</v>
      </c>
      <c r="M4412" s="1" t="str">
        <f>TEXT(Table1[[#This Row],[Order_Date]], "MMM")</f>
        <v>Nov</v>
      </c>
      <c r="N4412" s="1">
        <f>YEAR(Table1[[#This Row],[Order_Date]])</f>
        <v>2023</v>
      </c>
      <c r="O4412" s="7">
        <f>Table1[[#This Row],[Profit]]/Table1[[#This Row],[Total_Sales]]</f>
        <v>0.23247432306255836</v>
      </c>
    </row>
    <row r="4413" spans="1:15" x14ac:dyDescent="0.25">
      <c r="A4413" s="1">
        <v>4412</v>
      </c>
      <c r="B4413" s="2">
        <v>45651</v>
      </c>
      <c r="C4413" s="1" t="s">
        <v>16</v>
      </c>
      <c r="D4413" s="1" t="s">
        <v>13</v>
      </c>
      <c r="E4413" s="1" t="s">
        <v>14</v>
      </c>
      <c r="F4413" s="1" t="s">
        <v>31</v>
      </c>
      <c r="G4413" s="1">
        <v>6</v>
      </c>
      <c r="H4413" s="1">
        <v>492</v>
      </c>
      <c r="I4413" s="1">
        <v>0</v>
      </c>
      <c r="J4413" s="4">
        <v>2952</v>
      </c>
      <c r="K4413" s="4">
        <v>2170.5100000000002</v>
      </c>
      <c r="L4413" s="4">
        <v>781.49</v>
      </c>
      <c r="M4413" s="1" t="str">
        <f>TEXT(Table1[[#This Row],[Order_Date]], "MMM")</f>
        <v>Dec</v>
      </c>
      <c r="N4413" s="1">
        <f>YEAR(Table1[[#This Row],[Order_Date]])</f>
        <v>2024</v>
      </c>
      <c r="O4413" s="7">
        <f>Table1[[#This Row],[Profit]]/Table1[[#This Row],[Total_Sales]]</f>
        <v>0.26473238482384825</v>
      </c>
    </row>
    <row r="4414" spans="1:15" x14ac:dyDescent="0.25">
      <c r="A4414" s="1">
        <v>4413</v>
      </c>
      <c r="B4414" s="2">
        <v>45170</v>
      </c>
      <c r="C4414" s="1" t="s">
        <v>25</v>
      </c>
      <c r="D4414" s="1" t="s">
        <v>13</v>
      </c>
      <c r="E4414" s="1" t="s">
        <v>38</v>
      </c>
      <c r="F4414" s="1" t="s">
        <v>31</v>
      </c>
      <c r="G4414" s="1">
        <v>4</v>
      </c>
      <c r="H4414" s="1">
        <v>270</v>
      </c>
      <c r="I4414" s="1">
        <v>15</v>
      </c>
      <c r="J4414" s="4">
        <v>918</v>
      </c>
      <c r="K4414" s="4">
        <v>695.7</v>
      </c>
      <c r="L4414" s="4">
        <v>222.3</v>
      </c>
      <c r="M4414" s="1" t="str">
        <f>TEXT(Table1[[#This Row],[Order_Date]], "MMM")</f>
        <v>Sep</v>
      </c>
      <c r="N4414" s="1">
        <f>YEAR(Table1[[#This Row],[Order_Date]])</f>
        <v>2023</v>
      </c>
      <c r="O4414" s="7">
        <f>Table1[[#This Row],[Profit]]/Table1[[#This Row],[Total_Sales]]</f>
        <v>0.24215686274509804</v>
      </c>
    </row>
    <row r="4415" spans="1:15" x14ac:dyDescent="0.25">
      <c r="A4415" s="1">
        <v>4414</v>
      </c>
      <c r="B4415" s="2">
        <v>45448</v>
      </c>
      <c r="C4415" s="1" t="s">
        <v>19</v>
      </c>
      <c r="D4415" s="1" t="s">
        <v>20</v>
      </c>
      <c r="E4415" s="1" t="s">
        <v>28</v>
      </c>
      <c r="F4415" s="1" t="s">
        <v>40</v>
      </c>
      <c r="G4415" s="1">
        <v>8</v>
      </c>
      <c r="H4415" s="1">
        <v>105</v>
      </c>
      <c r="I4415" s="1">
        <v>15</v>
      </c>
      <c r="J4415" s="4">
        <v>714</v>
      </c>
      <c r="K4415" s="4">
        <v>472.7</v>
      </c>
      <c r="L4415" s="4">
        <v>241.3</v>
      </c>
      <c r="M4415" s="1" t="str">
        <f>TEXT(Table1[[#This Row],[Order_Date]], "MMM")</f>
        <v>Jun</v>
      </c>
      <c r="N4415" s="1">
        <f>YEAR(Table1[[#This Row],[Order_Date]])</f>
        <v>2024</v>
      </c>
      <c r="O4415" s="7">
        <f>Table1[[#This Row],[Profit]]/Table1[[#This Row],[Total_Sales]]</f>
        <v>0.33795518207282915</v>
      </c>
    </row>
    <row r="4416" spans="1:15" x14ac:dyDescent="0.25">
      <c r="A4416" s="1">
        <v>4415</v>
      </c>
      <c r="B4416" s="2">
        <v>44970</v>
      </c>
      <c r="C4416" s="1" t="s">
        <v>19</v>
      </c>
      <c r="D4416" s="1" t="s">
        <v>20</v>
      </c>
      <c r="E4416" s="1" t="s">
        <v>28</v>
      </c>
      <c r="F4416" s="1" t="s">
        <v>35</v>
      </c>
      <c r="G4416" s="1">
        <v>8</v>
      </c>
      <c r="H4416" s="1">
        <v>845</v>
      </c>
      <c r="I4416" s="1">
        <v>15</v>
      </c>
      <c r="J4416" s="4">
        <v>5746</v>
      </c>
      <c r="K4416" s="4">
        <v>2956.23</v>
      </c>
      <c r="L4416" s="4">
        <v>2789.77</v>
      </c>
      <c r="M4416" s="1" t="str">
        <f>TEXT(Table1[[#This Row],[Order_Date]], "MMM")</f>
        <v>Feb</v>
      </c>
      <c r="N4416" s="1">
        <f>YEAR(Table1[[#This Row],[Order_Date]])</f>
        <v>2023</v>
      </c>
      <c r="O4416" s="7">
        <f>Table1[[#This Row],[Profit]]/Table1[[#This Row],[Total_Sales]]</f>
        <v>0.48551514096762965</v>
      </c>
    </row>
    <row r="4417" spans="1:15" x14ac:dyDescent="0.25">
      <c r="A4417" s="1">
        <v>4416</v>
      </c>
      <c r="B4417" s="2">
        <v>45294</v>
      </c>
      <c r="C4417" s="1" t="s">
        <v>12</v>
      </c>
      <c r="D4417" s="1" t="s">
        <v>20</v>
      </c>
      <c r="E4417" s="1" t="s">
        <v>21</v>
      </c>
      <c r="F4417" s="1" t="s">
        <v>40</v>
      </c>
      <c r="G4417" s="1">
        <v>4</v>
      </c>
      <c r="H4417" s="1">
        <v>52</v>
      </c>
      <c r="I4417" s="1">
        <v>5</v>
      </c>
      <c r="J4417" s="4">
        <v>197.6</v>
      </c>
      <c r="K4417" s="4">
        <v>99.18</v>
      </c>
      <c r="L4417" s="4">
        <v>98.42</v>
      </c>
      <c r="M4417" s="1" t="str">
        <f>TEXT(Table1[[#This Row],[Order_Date]], "MMM")</f>
        <v>Jan</v>
      </c>
      <c r="N4417" s="1">
        <f>YEAR(Table1[[#This Row],[Order_Date]])</f>
        <v>2024</v>
      </c>
      <c r="O4417" s="7">
        <f>Table1[[#This Row],[Profit]]/Table1[[#This Row],[Total_Sales]]</f>
        <v>0.49807692307692308</v>
      </c>
    </row>
    <row r="4418" spans="1:15" x14ac:dyDescent="0.25">
      <c r="A4418" s="1">
        <v>4417</v>
      </c>
      <c r="B4418" s="2">
        <v>45369</v>
      </c>
      <c r="C4418" s="1" t="s">
        <v>25</v>
      </c>
      <c r="D4418" s="1" t="s">
        <v>20</v>
      </c>
      <c r="E4418" s="1" t="s">
        <v>21</v>
      </c>
      <c r="F4418" s="1" t="s">
        <v>35</v>
      </c>
      <c r="G4418" s="1">
        <v>6</v>
      </c>
      <c r="H4418" s="1">
        <v>879</v>
      </c>
      <c r="I4418" s="1">
        <v>10</v>
      </c>
      <c r="J4418" s="4">
        <v>4746.6000000000004</v>
      </c>
      <c r="K4418" s="4">
        <v>3552.01</v>
      </c>
      <c r="L4418" s="4">
        <v>1194.5899999999999</v>
      </c>
      <c r="M4418" s="1" t="str">
        <f>TEXT(Table1[[#This Row],[Order_Date]], "MMM")</f>
        <v>Mar</v>
      </c>
      <c r="N4418" s="1">
        <f>YEAR(Table1[[#This Row],[Order_Date]])</f>
        <v>2024</v>
      </c>
      <c r="O4418" s="7">
        <f>Table1[[#This Row],[Profit]]/Table1[[#This Row],[Total_Sales]]</f>
        <v>0.25167277630303792</v>
      </c>
    </row>
    <row r="4419" spans="1:15" x14ac:dyDescent="0.25">
      <c r="A4419" s="1">
        <v>4418</v>
      </c>
      <c r="B4419" s="2">
        <v>45599</v>
      </c>
      <c r="C4419" s="1" t="s">
        <v>25</v>
      </c>
      <c r="D4419" s="1" t="s">
        <v>32</v>
      </c>
      <c r="E4419" s="1" t="s">
        <v>33</v>
      </c>
      <c r="F4419" s="1" t="s">
        <v>40</v>
      </c>
      <c r="G4419" s="1">
        <v>9</v>
      </c>
      <c r="H4419" s="1">
        <v>426</v>
      </c>
      <c r="I4419" s="1">
        <v>20</v>
      </c>
      <c r="J4419" s="4">
        <v>3067.2</v>
      </c>
      <c r="K4419" s="4">
        <v>2109.8200000000002</v>
      </c>
      <c r="L4419" s="4">
        <v>957.38</v>
      </c>
      <c r="M4419" s="1" t="str">
        <f>TEXT(Table1[[#This Row],[Order_Date]], "MMM")</f>
        <v>Nov</v>
      </c>
      <c r="N4419" s="1">
        <f>YEAR(Table1[[#This Row],[Order_Date]])</f>
        <v>2024</v>
      </c>
      <c r="O4419" s="7">
        <f>Table1[[#This Row],[Profit]]/Table1[[#This Row],[Total_Sales]]</f>
        <v>0.31213484611371939</v>
      </c>
    </row>
    <row r="4420" spans="1:15" x14ac:dyDescent="0.25">
      <c r="A4420" s="1">
        <v>4419</v>
      </c>
      <c r="B4420" s="2">
        <v>45444</v>
      </c>
      <c r="C4420" s="1" t="s">
        <v>25</v>
      </c>
      <c r="D4420" s="1" t="s">
        <v>13</v>
      </c>
      <c r="E4420" s="1" t="s">
        <v>38</v>
      </c>
      <c r="F4420" s="1" t="s">
        <v>24</v>
      </c>
      <c r="G4420" s="1">
        <v>9</v>
      </c>
      <c r="H4420" s="1">
        <v>133</v>
      </c>
      <c r="I4420" s="1">
        <v>5</v>
      </c>
      <c r="J4420" s="4">
        <v>1137.1500000000001</v>
      </c>
      <c r="K4420" s="4">
        <v>611.30999999999995</v>
      </c>
      <c r="L4420" s="4">
        <v>525.84</v>
      </c>
      <c r="M4420" s="1" t="str">
        <f>TEXT(Table1[[#This Row],[Order_Date]], "MMM")</f>
        <v>Jun</v>
      </c>
      <c r="N4420" s="1">
        <f>YEAR(Table1[[#This Row],[Order_Date]])</f>
        <v>2024</v>
      </c>
      <c r="O4420" s="7">
        <f>Table1[[#This Row],[Profit]]/Table1[[#This Row],[Total_Sales]]</f>
        <v>0.46241920590951063</v>
      </c>
    </row>
    <row r="4421" spans="1:15" x14ac:dyDescent="0.25">
      <c r="A4421" s="1">
        <v>4420</v>
      </c>
      <c r="B4421" s="2">
        <v>45560</v>
      </c>
      <c r="C4421" s="1" t="s">
        <v>12</v>
      </c>
      <c r="D4421" s="1" t="s">
        <v>13</v>
      </c>
      <c r="E4421" s="1" t="s">
        <v>38</v>
      </c>
      <c r="F4421" s="1" t="s">
        <v>15</v>
      </c>
      <c r="G4421" s="1">
        <v>6</v>
      </c>
      <c r="H4421" s="1">
        <v>660</v>
      </c>
      <c r="I4421" s="1">
        <v>0</v>
      </c>
      <c r="J4421" s="4">
        <v>3960</v>
      </c>
      <c r="K4421" s="4">
        <v>2744.48</v>
      </c>
      <c r="L4421" s="4">
        <v>1215.52</v>
      </c>
      <c r="M4421" s="1" t="str">
        <f>TEXT(Table1[[#This Row],[Order_Date]], "MMM")</f>
        <v>Sep</v>
      </c>
      <c r="N4421" s="1">
        <f>YEAR(Table1[[#This Row],[Order_Date]])</f>
        <v>2024</v>
      </c>
      <c r="O4421" s="7">
        <f>Table1[[#This Row],[Profit]]/Table1[[#This Row],[Total_Sales]]</f>
        <v>0.30694949494949497</v>
      </c>
    </row>
    <row r="4422" spans="1:15" x14ac:dyDescent="0.25">
      <c r="A4422" s="1">
        <v>4421</v>
      </c>
      <c r="B4422" s="2">
        <v>45505</v>
      </c>
      <c r="C4422" s="1" t="s">
        <v>12</v>
      </c>
      <c r="D4422" s="1" t="s">
        <v>13</v>
      </c>
      <c r="E4422" s="1" t="s">
        <v>14</v>
      </c>
      <c r="F4422" s="1" t="s">
        <v>18</v>
      </c>
      <c r="G4422" s="1">
        <v>3</v>
      </c>
      <c r="H4422" s="1">
        <v>48</v>
      </c>
      <c r="I4422" s="1">
        <v>10</v>
      </c>
      <c r="J4422" s="4">
        <v>129.6</v>
      </c>
      <c r="K4422" s="4">
        <v>69.739999999999995</v>
      </c>
      <c r="L4422" s="4">
        <v>59.86</v>
      </c>
      <c r="M4422" s="1" t="str">
        <f>TEXT(Table1[[#This Row],[Order_Date]], "MMM")</f>
        <v>Aug</v>
      </c>
      <c r="N4422" s="1">
        <f>YEAR(Table1[[#This Row],[Order_Date]])</f>
        <v>2024</v>
      </c>
      <c r="O4422" s="7">
        <f>Table1[[#This Row],[Profit]]/Table1[[#This Row],[Total_Sales]]</f>
        <v>0.46188271604938275</v>
      </c>
    </row>
    <row r="4423" spans="1:15" x14ac:dyDescent="0.25">
      <c r="A4423" s="1">
        <v>4422</v>
      </c>
      <c r="B4423" s="2">
        <v>45010</v>
      </c>
      <c r="C4423" s="1" t="s">
        <v>19</v>
      </c>
      <c r="D4423" s="1" t="s">
        <v>26</v>
      </c>
      <c r="E4423" s="1" t="s">
        <v>42</v>
      </c>
      <c r="F4423" s="1" t="s">
        <v>31</v>
      </c>
      <c r="G4423" s="1">
        <v>2</v>
      </c>
      <c r="H4423" s="1">
        <v>492</v>
      </c>
      <c r="I4423" s="1">
        <v>10</v>
      </c>
      <c r="J4423" s="4">
        <v>885.6</v>
      </c>
      <c r="K4423" s="4">
        <v>607.49</v>
      </c>
      <c r="L4423" s="4">
        <v>278.11</v>
      </c>
      <c r="M4423" s="1" t="str">
        <f>TEXT(Table1[[#This Row],[Order_Date]], "MMM")</f>
        <v>Mar</v>
      </c>
      <c r="N4423" s="1">
        <f>YEAR(Table1[[#This Row],[Order_Date]])</f>
        <v>2023</v>
      </c>
      <c r="O4423" s="7">
        <f>Table1[[#This Row],[Profit]]/Table1[[#This Row],[Total_Sales]]</f>
        <v>0.31403568202348692</v>
      </c>
    </row>
    <row r="4424" spans="1:15" x14ac:dyDescent="0.25">
      <c r="A4424" s="1">
        <v>4423</v>
      </c>
      <c r="B4424" s="2">
        <v>45212</v>
      </c>
      <c r="C4424" s="1" t="s">
        <v>25</v>
      </c>
      <c r="D4424" s="1" t="s">
        <v>32</v>
      </c>
      <c r="E4424" s="1" t="s">
        <v>34</v>
      </c>
      <c r="F4424" s="1" t="s">
        <v>18</v>
      </c>
      <c r="G4424" s="1">
        <v>5</v>
      </c>
      <c r="H4424" s="1">
        <v>251</v>
      </c>
      <c r="I4424" s="1">
        <v>10</v>
      </c>
      <c r="J4424" s="4">
        <v>1129.5</v>
      </c>
      <c r="K4424" s="4">
        <v>856.84</v>
      </c>
      <c r="L4424" s="4">
        <v>272.66000000000003</v>
      </c>
      <c r="M4424" s="1" t="str">
        <f>TEXT(Table1[[#This Row],[Order_Date]], "MMM")</f>
        <v>Oct</v>
      </c>
      <c r="N4424" s="1">
        <f>YEAR(Table1[[#This Row],[Order_Date]])</f>
        <v>2023</v>
      </c>
      <c r="O4424" s="7">
        <f>Table1[[#This Row],[Profit]]/Table1[[#This Row],[Total_Sales]]</f>
        <v>0.24139884904825146</v>
      </c>
    </row>
    <row r="4425" spans="1:15" x14ac:dyDescent="0.25">
      <c r="A4425" s="1">
        <v>4424</v>
      </c>
      <c r="B4425" s="2">
        <v>45488</v>
      </c>
      <c r="C4425" s="1" t="s">
        <v>25</v>
      </c>
      <c r="D4425" s="1" t="s">
        <v>26</v>
      </c>
      <c r="E4425" s="1" t="s">
        <v>42</v>
      </c>
      <c r="F4425" s="1" t="s">
        <v>40</v>
      </c>
      <c r="G4425" s="1">
        <v>2</v>
      </c>
      <c r="H4425" s="1">
        <v>858</v>
      </c>
      <c r="I4425" s="1">
        <v>20</v>
      </c>
      <c r="J4425" s="4">
        <v>1372.8</v>
      </c>
      <c r="K4425" s="4">
        <v>795.61</v>
      </c>
      <c r="L4425" s="4">
        <v>577.19000000000005</v>
      </c>
      <c r="M4425" s="1" t="str">
        <f>TEXT(Table1[[#This Row],[Order_Date]], "MMM")</f>
        <v>Jul</v>
      </c>
      <c r="N4425" s="1">
        <f>YEAR(Table1[[#This Row],[Order_Date]])</f>
        <v>2024</v>
      </c>
      <c r="O4425" s="7">
        <f>Table1[[#This Row],[Profit]]/Table1[[#This Row],[Total_Sales]]</f>
        <v>0.4204472610722611</v>
      </c>
    </row>
    <row r="4426" spans="1:15" x14ac:dyDescent="0.25">
      <c r="A4426" s="1">
        <v>4425</v>
      </c>
      <c r="B4426" s="2">
        <v>45468</v>
      </c>
      <c r="C4426" s="1" t="s">
        <v>19</v>
      </c>
      <c r="D4426" s="1" t="s">
        <v>22</v>
      </c>
      <c r="E4426" s="1" t="s">
        <v>23</v>
      </c>
      <c r="F4426" s="1" t="s">
        <v>31</v>
      </c>
      <c r="G4426" s="1">
        <v>9</v>
      </c>
      <c r="H4426" s="1">
        <v>846</v>
      </c>
      <c r="I4426" s="1">
        <v>0</v>
      </c>
      <c r="J4426" s="4">
        <v>7614</v>
      </c>
      <c r="K4426" s="4">
        <v>5217.96</v>
      </c>
      <c r="L4426" s="4">
        <v>2396.04</v>
      </c>
      <c r="M4426" s="1" t="str">
        <f>TEXT(Table1[[#This Row],[Order_Date]], "MMM")</f>
        <v>Jun</v>
      </c>
      <c r="N4426" s="1">
        <f>YEAR(Table1[[#This Row],[Order_Date]])</f>
        <v>2024</v>
      </c>
      <c r="O4426" s="7">
        <f>Table1[[#This Row],[Profit]]/Table1[[#This Row],[Total_Sales]]</f>
        <v>0.31468873128447594</v>
      </c>
    </row>
    <row r="4427" spans="1:15" x14ac:dyDescent="0.25">
      <c r="A4427" s="1">
        <v>4426</v>
      </c>
      <c r="B4427" s="2">
        <v>45249</v>
      </c>
      <c r="C4427" s="1" t="s">
        <v>19</v>
      </c>
      <c r="D4427" s="1" t="s">
        <v>22</v>
      </c>
      <c r="E4427" s="1" t="s">
        <v>23</v>
      </c>
      <c r="F4427" s="1" t="s">
        <v>15</v>
      </c>
      <c r="G4427" s="1">
        <v>8</v>
      </c>
      <c r="H4427" s="1">
        <v>340</v>
      </c>
      <c r="I4427" s="1">
        <v>15</v>
      </c>
      <c r="J4427" s="4">
        <v>2312</v>
      </c>
      <c r="K4427" s="4">
        <v>1694.32</v>
      </c>
      <c r="L4427" s="4">
        <v>617.67999999999995</v>
      </c>
      <c r="M4427" s="1" t="str">
        <f>TEXT(Table1[[#This Row],[Order_Date]], "MMM")</f>
        <v>Nov</v>
      </c>
      <c r="N4427" s="1">
        <f>YEAR(Table1[[#This Row],[Order_Date]])</f>
        <v>2023</v>
      </c>
      <c r="O4427" s="7">
        <f>Table1[[#This Row],[Profit]]/Table1[[#This Row],[Total_Sales]]</f>
        <v>0.26716262975778543</v>
      </c>
    </row>
    <row r="4428" spans="1:15" x14ac:dyDescent="0.25">
      <c r="A4428" s="1">
        <v>4427</v>
      </c>
      <c r="B4428" s="2">
        <v>45612</v>
      </c>
      <c r="C4428" s="1" t="s">
        <v>12</v>
      </c>
      <c r="D4428" s="1" t="s">
        <v>32</v>
      </c>
      <c r="E4428" s="1" t="s">
        <v>41</v>
      </c>
      <c r="F4428" s="1" t="s">
        <v>31</v>
      </c>
      <c r="G4428" s="1">
        <v>1</v>
      </c>
      <c r="H4428" s="1">
        <v>511</v>
      </c>
      <c r="I4428" s="1">
        <v>20</v>
      </c>
      <c r="J4428" s="4">
        <v>408.8</v>
      </c>
      <c r="K4428" s="4">
        <v>221.38</v>
      </c>
      <c r="L4428" s="4">
        <v>187.42</v>
      </c>
      <c r="M4428" s="1" t="str">
        <f>TEXT(Table1[[#This Row],[Order_Date]], "MMM")</f>
        <v>Nov</v>
      </c>
      <c r="N4428" s="1">
        <f>YEAR(Table1[[#This Row],[Order_Date]])</f>
        <v>2024</v>
      </c>
      <c r="O4428" s="7">
        <f>Table1[[#This Row],[Profit]]/Table1[[#This Row],[Total_Sales]]</f>
        <v>0.45846379647749508</v>
      </c>
    </row>
    <row r="4429" spans="1:15" x14ac:dyDescent="0.25">
      <c r="A4429" s="1">
        <v>4428</v>
      </c>
      <c r="B4429" s="2">
        <v>45456</v>
      </c>
      <c r="C4429" s="1" t="s">
        <v>16</v>
      </c>
      <c r="D4429" s="1" t="s">
        <v>20</v>
      </c>
      <c r="E4429" s="1" t="s">
        <v>21</v>
      </c>
      <c r="F4429" s="1" t="s">
        <v>35</v>
      </c>
      <c r="G4429" s="1">
        <v>2</v>
      </c>
      <c r="H4429" s="1">
        <v>547</v>
      </c>
      <c r="I4429" s="1">
        <v>20</v>
      </c>
      <c r="J4429" s="4">
        <v>875.2</v>
      </c>
      <c r="K4429" s="4">
        <v>582.04999999999995</v>
      </c>
      <c r="L4429" s="4">
        <v>293.14999999999998</v>
      </c>
      <c r="M4429" s="1" t="str">
        <f>TEXT(Table1[[#This Row],[Order_Date]], "MMM")</f>
        <v>Jun</v>
      </c>
      <c r="N4429" s="1">
        <f>YEAR(Table1[[#This Row],[Order_Date]])</f>
        <v>2024</v>
      </c>
      <c r="O4429" s="7">
        <f>Table1[[#This Row],[Profit]]/Table1[[#This Row],[Total_Sales]]</f>
        <v>0.33495201096892135</v>
      </c>
    </row>
    <row r="4430" spans="1:15" x14ac:dyDescent="0.25">
      <c r="A4430" s="1">
        <v>4429</v>
      </c>
      <c r="B4430" s="2">
        <v>45496</v>
      </c>
      <c r="C4430" s="1" t="s">
        <v>12</v>
      </c>
      <c r="D4430" s="1" t="s">
        <v>20</v>
      </c>
      <c r="E4430" s="1" t="s">
        <v>43</v>
      </c>
      <c r="F4430" s="1" t="s">
        <v>15</v>
      </c>
      <c r="G4430" s="1">
        <v>7</v>
      </c>
      <c r="H4430" s="1">
        <v>618</v>
      </c>
      <c r="I4430" s="1">
        <v>10</v>
      </c>
      <c r="J4430" s="4">
        <v>3893.4</v>
      </c>
      <c r="K4430" s="4">
        <v>2043.57</v>
      </c>
      <c r="L4430" s="4">
        <v>1849.83</v>
      </c>
      <c r="M4430" s="1" t="str">
        <f>TEXT(Table1[[#This Row],[Order_Date]], "MMM")</f>
        <v>Jul</v>
      </c>
      <c r="N4430" s="1">
        <f>YEAR(Table1[[#This Row],[Order_Date]])</f>
        <v>2024</v>
      </c>
      <c r="O4430" s="7">
        <f>Table1[[#This Row],[Profit]]/Table1[[#This Row],[Total_Sales]]</f>
        <v>0.47511943288642317</v>
      </c>
    </row>
    <row r="4431" spans="1:15" x14ac:dyDescent="0.25">
      <c r="A4431" s="1">
        <v>4430</v>
      </c>
      <c r="B4431" s="2">
        <v>45553</v>
      </c>
      <c r="C4431" s="1" t="s">
        <v>19</v>
      </c>
      <c r="D4431" s="1" t="s">
        <v>22</v>
      </c>
      <c r="E4431" s="1" t="s">
        <v>23</v>
      </c>
      <c r="F4431" s="1" t="s">
        <v>31</v>
      </c>
      <c r="G4431" s="1">
        <v>5</v>
      </c>
      <c r="H4431" s="1">
        <v>174</v>
      </c>
      <c r="I4431" s="1">
        <v>20</v>
      </c>
      <c r="J4431" s="4">
        <v>696</v>
      </c>
      <c r="K4431" s="4">
        <v>521.54</v>
      </c>
      <c r="L4431" s="4">
        <v>174.46</v>
      </c>
      <c r="M4431" s="1" t="str">
        <f>TEXT(Table1[[#This Row],[Order_Date]], "MMM")</f>
        <v>Sep</v>
      </c>
      <c r="N4431" s="1">
        <f>YEAR(Table1[[#This Row],[Order_Date]])</f>
        <v>2024</v>
      </c>
      <c r="O4431" s="7">
        <f>Table1[[#This Row],[Profit]]/Table1[[#This Row],[Total_Sales]]</f>
        <v>0.2506609195402299</v>
      </c>
    </row>
    <row r="4432" spans="1:15" x14ac:dyDescent="0.25">
      <c r="A4432" s="1">
        <v>4431</v>
      </c>
      <c r="B4432" s="2">
        <v>45187</v>
      </c>
      <c r="C4432" s="1" t="s">
        <v>12</v>
      </c>
      <c r="D4432" s="1" t="s">
        <v>22</v>
      </c>
      <c r="E4432" s="1" t="s">
        <v>36</v>
      </c>
      <c r="F4432" s="1" t="s">
        <v>35</v>
      </c>
      <c r="G4432" s="1">
        <v>5</v>
      </c>
      <c r="H4432" s="1">
        <v>342</v>
      </c>
      <c r="I4432" s="1">
        <v>5</v>
      </c>
      <c r="J4432" s="4">
        <v>1624.5</v>
      </c>
      <c r="K4432" s="4">
        <v>913.45</v>
      </c>
      <c r="L4432" s="4">
        <v>711.05</v>
      </c>
      <c r="M4432" s="1" t="str">
        <f>TEXT(Table1[[#This Row],[Order_Date]], "MMM")</f>
        <v>Sep</v>
      </c>
      <c r="N4432" s="1">
        <f>YEAR(Table1[[#This Row],[Order_Date]])</f>
        <v>2023</v>
      </c>
      <c r="O4432" s="7">
        <f>Table1[[#This Row],[Profit]]/Table1[[#This Row],[Total_Sales]]</f>
        <v>0.43770390889504462</v>
      </c>
    </row>
    <row r="4433" spans="1:15" x14ac:dyDescent="0.25">
      <c r="A4433" s="1">
        <v>4432</v>
      </c>
      <c r="B4433" s="2">
        <v>45061</v>
      </c>
      <c r="C4433" s="1" t="s">
        <v>19</v>
      </c>
      <c r="D4433" s="1" t="s">
        <v>22</v>
      </c>
      <c r="E4433" s="1" t="s">
        <v>23</v>
      </c>
      <c r="F4433" s="1" t="s">
        <v>24</v>
      </c>
      <c r="G4433" s="1">
        <v>7</v>
      </c>
      <c r="H4433" s="1">
        <v>34</v>
      </c>
      <c r="I4433" s="1">
        <v>5</v>
      </c>
      <c r="J4433" s="4">
        <v>226.1</v>
      </c>
      <c r="K4433" s="4">
        <v>118.84</v>
      </c>
      <c r="L4433" s="4">
        <v>107.26</v>
      </c>
      <c r="M4433" s="1" t="str">
        <f>TEXT(Table1[[#This Row],[Order_Date]], "MMM")</f>
        <v>May</v>
      </c>
      <c r="N4433" s="1">
        <f>YEAR(Table1[[#This Row],[Order_Date]])</f>
        <v>2023</v>
      </c>
      <c r="O4433" s="7">
        <f>Table1[[#This Row],[Profit]]/Table1[[#This Row],[Total_Sales]]</f>
        <v>0.47439186200796113</v>
      </c>
    </row>
    <row r="4434" spans="1:15" x14ac:dyDescent="0.25">
      <c r="A4434" s="1">
        <v>4433</v>
      </c>
      <c r="B4434" s="2">
        <v>45512</v>
      </c>
      <c r="C4434" s="1" t="s">
        <v>16</v>
      </c>
      <c r="D4434" s="1" t="s">
        <v>22</v>
      </c>
      <c r="E4434" s="1" t="s">
        <v>29</v>
      </c>
      <c r="F4434" s="1" t="s">
        <v>31</v>
      </c>
      <c r="G4434" s="1">
        <v>4</v>
      </c>
      <c r="H4434" s="1">
        <v>766</v>
      </c>
      <c r="I4434" s="1">
        <v>0</v>
      </c>
      <c r="J4434" s="4">
        <v>3064</v>
      </c>
      <c r="K4434" s="4">
        <v>1796.25</v>
      </c>
      <c r="L4434" s="4">
        <v>1267.75</v>
      </c>
      <c r="M4434" s="1" t="str">
        <f>TEXT(Table1[[#This Row],[Order_Date]], "MMM")</f>
        <v>Aug</v>
      </c>
      <c r="N4434" s="1">
        <f>YEAR(Table1[[#This Row],[Order_Date]])</f>
        <v>2024</v>
      </c>
      <c r="O4434" s="7">
        <f>Table1[[#This Row],[Profit]]/Table1[[#This Row],[Total_Sales]]</f>
        <v>0.41375652741514363</v>
      </c>
    </row>
    <row r="4435" spans="1:15" x14ac:dyDescent="0.25">
      <c r="A4435" s="1">
        <v>4434</v>
      </c>
      <c r="B4435" s="2">
        <v>45294</v>
      </c>
      <c r="C4435" s="1" t="s">
        <v>12</v>
      </c>
      <c r="D4435" s="1" t="s">
        <v>22</v>
      </c>
      <c r="E4435" s="1" t="s">
        <v>36</v>
      </c>
      <c r="F4435" s="1" t="s">
        <v>31</v>
      </c>
      <c r="G4435" s="1">
        <v>8</v>
      </c>
      <c r="H4435" s="1">
        <v>937</v>
      </c>
      <c r="I4435" s="1">
        <v>10</v>
      </c>
      <c r="J4435" s="4">
        <v>6746.4</v>
      </c>
      <c r="K4435" s="4">
        <v>5192.76</v>
      </c>
      <c r="L4435" s="4">
        <v>1553.64</v>
      </c>
      <c r="M4435" s="1" t="str">
        <f>TEXT(Table1[[#This Row],[Order_Date]], "MMM")</f>
        <v>Jan</v>
      </c>
      <c r="N4435" s="1">
        <f>YEAR(Table1[[#This Row],[Order_Date]])</f>
        <v>2024</v>
      </c>
      <c r="O4435" s="7">
        <f>Table1[[#This Row],[Profit]]/Table1[[#This Row],[Total_Sales]]</f>
        <v>0.23029171113482749</v>
      </c>
    </row>
    <row r="4436" spans="1:15" x14ac:dyDescent="0.25">
      <c r="A4436" s="1">
        <v>4435</v>
      </c>
      <c r="B4436" s="2">
        <v>45589</v>
      </c>
      <c r="C4436" s="1" t="s">
        <v>25</v>
      </c>
      <c r="D4436" s="1" t="s">
        <v>13</v>
      </c>
      <c r="E4436" s="1" t="s">
        <v>39</v>
      </c>
      <c r="F4436" s="1" t="s">
        <v>35</v>
      </c>
      <c r="G4436" s="1">
        <v>7</v>
      </c>
      <c r="H4436" s="1">
        <v>364</v>
      </c>
      <c r="I4436" s="1">
        <v>15</v>
      </c>
      <c r="J4436" s="4">
        <v>2165.8000000000002</v>
      </c>
      <c r="K4436" s="4">
        <v>1706.5</v>
      </c>
      <c r="L4436" s="4">
        <v>459.3</v>
      </c>
      <c r="M4436" s="1" t="str">
        <f>TEXT(Table1[[#This Row],[Order_Date]], "MMM")</f>
        <v>Oct</v>
      </c>
      <c r="N4436" s="1">
        <f>YEAR(Table1[[#This Row],[Order_Date]])</f>
        <v>2024</v>
      </c>
      <c r="O4436" s="7">
        <f>Table1[[#This Row],[Profit]]/Table1[[#This Row],[Total_Sales]]</f>
        <v>0.21206944316188012</v>
      </c>
    </row>
    <row r="4437" spans="1:15" x14ac:dyDescent="0.25">
      <c r="A4437" s="1">
        <v>4436</v>
      </c>
      <c r="B4437" s="2">
        <v>45051</v>
      </c>
      <c r="C4437" s="1" t="s">
        <v>25</v>
      </c>
      <c r="D4437" s="1" t="s">
        <v>20</v>
      </c>
      <c r="E4437" s="1" t="s">
        <v>30</v>
      </c>
      <c r="F4437" s="1" t="s">
        <v>24</v>
      </c>
      <c r="G4437" s="1">
        <v>1</v>
      </c>
      <c r="H4437" s="1">
        <v>925</v>
      </c>
      <c r="I4437" s="1">
        <v>5</v>
      </c>
      <c r="J4437" s="4">
        <v>878.75</v>
      </c>
      <c r="K4437" s="4">
        <v>554.12</v>
      </c>
      <c r="L4437" s="4">
        <v>324.63</v>
      </c>
      <c r="M4437" s="1" t="str">
        <f>TEXT(Table1[[#This Row],[Order_Date]], "MMM")</f>
        <v>May</v>
      </c>
      <c r="N4437" s="1">
        <f>YEAR(Table1[[#This Row],[Order_Date]])</f>
        <v>2023</v>
      </c>
      <c r="O4437" s="7">
        <f>Table1[[#This Row],[Profit]]/Table1[[#This Row],[Total_Sales]]</f>
        <v>0.36942247510668563</v>
      </c>
    </row>
    <row r="4438" spans="1:15" x14ac:dyDescent="0.25">
      <c r="A4438" s="1">
        <v>4437</v>
      </c>
      <c r="B4438" s="2">
        <v>45031</v>
      </c>
      <c r="C4438" s="1" t="s">
        <v>16</v>
      </c>
      <c r="D4438" s="1" t="s">
        <v>32</v>
      </c>
      <c r="E4438" s="1" t="s">
        <v>45</v>
      </c>
      <c r="F4438" s="1" t="s">
        <v>35</v>
      </c>
      <c r="G4438" s="1">
        <v>9</v>
      </c>
      <c r="H4438" s="1">
        <v>604</v>
      </c>
      <c r="I4438" s="1">
        <v>15</v>
      </c>
      <c r="J4438" s="4">
        <v>4620.6000000000004</v>
      </c>
      <c r="K4438" s="4">
        <v>3628.4</v>
      </c>
      <c r="L4438" s="4">
        <v>992.2</v>
      </c>
      <c r="M4438" s="1" t="str">
        <f>TEXT(Table1[[#This Row],[Order_Date]], "MMM")</f>
        <v>Apr</v>
      </c>
      <c r="N4438" s="1">
        <f>YEAR(Table1[[#This Row],[Order_Date]])</f>
        <v>2023</v>
      </c>
      <c r="O4438" s="7">
        <f>Table1[[#This Row],[Profit]]/Table1[[#This Row],[Total_Sales]]</f>
        <v>0.21473401722719992</v>
      </c>
    </row>
    <row r="4439" spans="1:15" x14ac:dyDescent="0.25">
      <c r="A4439" s="1">
        <v>4438</v>
      </c>
      <c r="B4439" s="2">
        <v>45260</v>
      </c>
      <c r="C4439" s="1" t="s">
        <v>12</v>
      </c>
      <c r="D4439" s="1" t="s">
        <v>32</v>
      </c>
      <c r="E4439" s="1" t="s">
        <v>33</v>
      </c>
      <c r="F4439" s="1" t="s">
        <v>15</v>
      </c>
      <c r="G4439" s="1">
        <v>3</v>
      </c>
      <c r="H4439" s="1">
        <v>522</v>
      </c>
      <c r="I4439" s="1">
        <v>15</v>
      </c>
      <c r="J4439" s="4">
        <v>1331.1</v>
      </c>
      <c r="K4439" s="4">
        <v>711.79</v>
      </c>
      <c r="L4439" s="4">
        <v>619.30999999999995</v>
      </c>
      <c r="M4439" s="1" t="str">
        <f>TEXT(Table1[[#This Row],[Order_Date]], "MMM")</f>
        <v>Nov</v>
      </c>
      <c r="N4439" s="1">
        <f>YEAR(Table1[[#This Row],[Order_Date]])</f>
        <v>2023</v>
      </c>
      <c r="O4439" s="7">
        <f>Table1[[#This Row],[Profit]]/Table1[[#This Row],[Total_Sales]]</f>
        <v>0.46526181353767559</v>
      </c>
    </row>
    <row r="4440" spans="1:15" x14ac:dyDescent="0.25">
      <c r="A4440" s="1">
        <v>4439</v>
      </c>
      <c r="B4440" s="2">
        <v>45410</v>
      </c>
      <c r="C4440" s="1" t="s">
        <v>12</v>
      </c>
      <c r="D4440" s="1" t="s">
        <v>26</v>
      </c>
      <c r="E4440" s="1" t="s">
        <v>42</v>
      </c>
      <c r="F4440" s="1" t="s">
        <v>40</v>
      </c>
      <c r="G4440" s="1">
        <v>1</v>
      </c>
      <c r="H4440" s="1">
        <v>545</v>
      </c>
      <c r="I4440" s="1">
        <v>15</v>
      </c>
      <c r="J4440" s="4">
        <v>463.25</v>
      </c>
      <c r="K4440" s="4">
        <v>369.92</v>
      </c>
      <c r="L4440" s="4">
        <v>93.33</v>
      </c>
      <c r="M4440" s="1" t="str">
        <f>TEXT(Table1[[#This Row],[Order_Date]], "MMM")</f>
        <v>Apr</v>
      </c>
      <c r="N4440" s="1">
        <f>YEAR(Table1[[#This Row],[Order_Date]])</f>
        <v>2024</v>
      </c>
      <c r="O4440" s="7">
        <f>Table1[[#This Row],[Profit]]/Table1[[#This Row],[Total_Sales]]</f>
        <v>0.20146788990825687</v>
      </c>
    </row>
    <row r="4441" spans="1:15" x14ac:dyDescent="0.25">
      <c r="A4441" s="1">
        <v>4440</v>
      </c>
      <c r="B4441" s="2">
        <v>45535</v>
      </c>
      <c r="C4441" s="1" t="s">
        <v>19</v>
      </c>
      <c r="D4441" s="1" t="s">
        <v>22</v>
      </c>
      <c r="E4441" s="1" t="s">
        <v>23</v>
      </c>
      <c r="F4441" s="1" t="s">
        <v>15</v>
      </c>
      <c r="G4441" s="1">
        <v>9</v>
      </c>
      <c r="H4441" s="1">
        <v>935</v>
      </c>
      <c r="I4441" s="1">
        <v>0</v>
      </c>
      <c r="J4441" s="4">
        <v>8415</v>
      </c>
      <c r="K4441" s="4">
        <v>4502.16</v>
      </c>
      <c r="L4441" s="4">
        <v>3912.84</v>
      </c>
      <c r="M4441" s="1" t="str">
        <f>TEXT(Table1[[#This Row],[Order_Date]], "MMM")</f>
        <v>Aug</v>
      </c>
      <c r="N4441" s="1">
        <f>YEAR(Table1[[#This Row],[Order_Date]])</f>
        <v>2024</v>
      </c>
      <c r="O4441" s="7">
        <f>Table1[[#This Row],[Profit]]/Table1[[#This Row],[Total_Sales]]</f>
        <v>0.46498395721925134</v>
      </c>
    </row>
    <row r="4442" spans="1:15" x14ac:dyDescent="0.25">
      <c r="A4442" s="1">
        <v>4441</v>
      </c>
      <c r="B4442" s="2">
        <v>45279</v>
      </c>
      <c r="C4442" s="1" t="s">
        <v>16</v>
      </c>
      <c r="D4442" s="1" t="s">
        <v>22</v>
      </c>
      <c r="E4442" s="1" t="s">
        <v>29</v>
      </c>
      <c r="F4442" s="1" t="s">
        <v>18</v>
      </c>
      <c r="G4442" s="1">
        <v>1</v>
      </c>
      <c r="H4442" s="1">
        <v>180</v>
      </c>
      <c r="I4442" s="1">
        <v>10</v>
      </c>
      <c r="J4442" s="4">
        <v>162</v>
      </c>
      <c r="K4442" s="4">
        <v>102.48</v>
      </c>
      <c r="L4442" s="4">
        <v>59.52</v>
      </c>
      <c r="M4442" s="1" t="str">
        <f>TEXT(Table1[[#This Row],[Order_Date]], "MMM")</f>
        <v>Dec</v>
      </c>
      <c r="N4442" s="1">
        <f>YEAR(Table1[[#This Row],[Order_Date]])</f>
        <v>2023</v>
      </c>
      <c r="O4442" s="7">
        <f>Table1[[#This Row],[Profit]]/Table1[[#This Row],[Total_Sales]]</f>
        <v>0.3674074074074074</v>
      </c>
    </row>
    <row r="4443" spans="1:15" x14ac:dyDescent="0.25">
      <c r="A4443" s="1">
        <v>4442</v>
      </c>
      <c r="B4443" s="2">
        <v>45290</v>
      </c>
      <c r="C4443" s="1" t="s">
        <v>25</v>
      </c>
      <c r="D4443" s="1" t="s">
        <v>20</v>
      </c>
      <c r="E4443" s="1" t="s">
        <v>30</v>
      </c>
      <c r="F4443" s="1" t="s">
        <v>40</v>
      </c>
      <c r="G4443" s="1">
        <v>3</v>
      </c>
      <c r="H4443" s="1">
        <v>519</v>
      </c>
      <c r="I4443" s="1">
        <v>20</v>
      </c>
      <c r="J4443" s="4">
        <v>1245.5999999999999</v>
      </c>
      <c r="K4443" s="4">
        <v>875.56</v>
      </c>
      <c r="L4443" s="4">
        <v>370.04</v>
      </c>
      <c r="M4443" s="1" t="str">
        <f>TEXT(Table1[[#This Row],[Order_Date]], "MMM")</f>
        <v>Dec</v>
      </c>
      <c r="N4443" s="1">
        <f>YEAR(Table1[[#This Row],[Order_Date]])</f>
        <v>2023</v>
      </c>
      <c r="O4443" s="7">
        <f>Table1[[#This Row],[Profit]]/Table1[[#This Row],[Total_Sales]]</f>
        <v>0.29707771355170204</v>
      </c>
    </row>
    <row r="4444" spans="1:15" x14ac:dyDescent="0.25">
      <c r="A4444" s="1">
        <v>4443</v>
      </c>
      <c r="B4444" s="2">
        <v>45287</v>
      </c>
      <c r="C4444" s="1" t="s">
        <v>19</v>
      </c>
      <c r="D4444" s="1" t="s">
        <v>20</v>
      </c>
      <c r="E4444" s="1" t="s">
        <v>21</v>
      </c>
      <c r="F4444" s="1" t="s">
        <v>40</v>
      </c>
      <c r="G4444" s="1">
        <v>1</v>
      </c>
      <c r="H4444" s="1">
        <v>27</v>
      </c>
      <c r="I4444" s="1">
        <v>15</v>
      </c>
      <c r="J4444" s="4">
        <v>22.95</v>
      </c>
      <c r="K4444" s="4">
        <v>14.76</v>
      </c>
      <c r="L4444" s="4">
        <v>8.19</v>
      </c>
      <c r="M4444" s="1" t="str">
        <f>TEXT(Table1[[#This Row],[Order_Date]], "MMM")</f>
        <v>Dec</v>
      </c>
      <c r="N4444" s="1">
        <f>YEAR(Table1[[#This Row],[Order_Date]])</f>
        <v>2023</v>
      </c>
      <c r="O4444" s="7">
        <f>Table1[[#This Row],[Profit]]/Table1[[#This Row],[Total_Sales]]</f>
        <v>0.35686274509803922</v>
      </c>
    </row>
    <row r="4445" spans="1:15" x14ac:dyDescent="0.25">
      <c r="A4445" s="1">
        <v>4444</v>
      </c>
      <c r="B4445" s="2">
        <v>45532</v>
      </c>
      <c r="C4445" s="1" t="s">
        <v>16</v>
      </c>
      <c r="D4445" s="1" t="s">
        <v>32</v>
      </c>
      <c r="E4445" s="1" t="s">
        <v>34</v>
      </c>
      <c r="F4445" s="1" t="s">
        <v>40</v>
      </c>
      <c r="G4445" s="1">
        <v>7</v>
      </c>
      <c r="H4445" s="1">
        <v>965</v>
      </c>
      <c r="I4445" s="1">
        <v>0</v>
      </c>
      <c r="J4445" s="4">
        <v>6755</v>
      </c>
      <c r="K4445" s="4">
        <v>5390.43</v>
      </c>
      <c r="L4445" s="4">
        <v>1364.57</v>
      </c>
      <c r="M4445" s="1" t="str">
        <f>TEXT(Table1[[#This Row],[Order_Date]], "MMM")</f>
        <v>Aug</v>
      </c>
      <c r="N4445" s="1">
        <f>YEAR(Table1[[#This Row],[Order_Date]])</f>
        <v>2024</v>
      </c>
      <c r="O4445" s="7">
        <f>Table1[[#This Row],[Profit]]/Table1[[#This Row],[Total_Sales]]</f>
        <v>0.20200888230940042</v>
      </c>
    </row>
    <row r="4446" spans="1:15" x14ac:dyDescent="0.25">
      <c r="A4446" s="1">
        <v>4445</v>
      </c>
      <c r="B4446" s="2">
        <v>45180</v>
      </c>
      <c r="C4446" s="1" t="s">
        <v>25</v>
      </c>
      <c r="D4446" s="1" t="s">
        <v>20</v>
      </c>
      <c r="E4446" s="1" t="s">
        <v>28</v>
      </c>
      <c r="F4446" s="1" t="s">
        <v>40</v>
      </c>
      <c r="G4446" s="1">
        <v>7</v>
      </c>
      <c r="H4446" s="1">
        <v>954</v>
      </c>
      <c r="I4446" s="1">
        <v>0</v>
      </c>
      <c r="J4446" s="4">
        <v>6678</v>
      </c>
      <c r="K4446" s="4">
        <v>4060.1</v>
      </c>
      <c r="L4446" s="4">
        <v>2617.9</v>
      </c>
      <c r="M4446" s="1" t="str">
        <f>TEXT(Table1[[#This Row],[Order_Date]], "MMM")</f>
        <v>Sep</v>
      </c>
      <c r="N4446" s="1">
        <f>YEAR(Table1[[#This Row],[Order_Date]])</f>
        <v>2023</v>
      </c>
      <c r="O4446" s="7">
        <f>Table1[[#This Row],[Profit]]/Table1[[#This Row],[Total_Sales]]</f>
        <v>0.39201856843366278</v>
      </c>
    </row>
    <row r="4447" spans="1:15" x14ac:dyDescent="0.25">
      <c r="A4447" s="1">
        <v>4446</v>
      </c>
      <c r="B4447" s="2">
        <v>45041</v>
      </c>
      <c r="C4447" s="1" t="s">
        <v>16</v>
      </c>
      <c r="D4447" s="1" t="s">
        <v>22</v>
      </c>
      <c r="E4447" s="1" t="s">
        <v>36</v>
      </c>
      <c r="F4447" s="1" t="s">
        <v>40</v>
      </c>
      <c r="G4447" s="1">
        <v>9</v>
      </c>
      <c r="H4447" s="1">
        <v>209</v>
      </c>
      <c r="I4447" s="1">
        <v>5</v>
      </c>
      <c r="J4447" s="4">
        <v>1786.95</v>
      </c>
      <c r="K4447" s="4">
        <v>1033.55</v>
      </c>
      <c r="L4447" s="4">
        <v>753.4</v>
      </c>
      <c r="M4447" s="1" t="str">
        <f>TEXT(Table1[[#This Row],[Order_Date]], "MMM")</f>
        <v>Apr</v>
      </c>
      <c r="N4447" s="1">
        <f>YEAR(Table1[[#This Row],[Order_Date]])</f>
        <v>2023</v>
      </c>
      <c r="O4447" s="7">
        <f>Table1[[#This Row],[Profit]]/Table1[[#This Row],[Total_Sales]]</f>
        <v>0.42161224432692573</v>
      </c>
    </row>
    <row r="4448" spans="1:15" x14ac:dyDescent="0.25">
      <c r="A4448" s="1">
        <v>4447</v>
      </c>
      <c r="B4448" s="2">
        <v>44938</v>
      </c>
      <c r="C4448" s="1" t="s">
        <v>25</v>
      </c>
      <c r="D4448" s="1" t="s">
        <v>26</v>
      </c>
      <c r="E4448" s="1" t="s">
        <v>27</v>
      </c>
      <c r="F4448" s="1" t="s">
        <v>18</v>
      </c>
      <c r="G4448" s="1">
        <v>8</v>
      </c>
      <c r="H4448" s="1">
        <v>543</v>
      </c>
      <c r="I4448" s="1">
        <v>5</v>
      </c>
      <c r="J4448" s="4">
        <v>4126.8</v>
      </c>
      <c r="K4448" s="4">
        <v>3281.29</v>
      </c>
      <c r="L4448" s="4">
        <v>845.51</v>
      </c>
      <c r="M4448" s="1" t="str">
        <f>TEXT(Table1[[#This Row],[Order_Date]], "MMM")</f>
        <v>Jan</v>
      </c>
      <c r="N4448" s="1">
        <f>YEAR(Table1[[#This Row],[Order_Date]])</f>
        <v>2023</v>
      </c>
      <c r="O4448" s="7">
        <f>Table1[[#This Row],[Profit]]/Table1[[#This Row],[Total_Sales]]</f>
        <v>0.20488271784433459</v>
      </c>
    </row>
    <row r="4449" spans="1:15" x14ac:dyDescent="0.25">
      <c r="A4449" s="1">
        <v>4448</v>
      </c>
      <c r="B4449" s="2">
        <v>45429</v>
      </c>
      <c r="C4449" s="1" t="s">
        <v>12</v>
      </c>
      <c r="D4449" s="1" t="s">
        <v>26</v>
      </c>
      <c r="E4449" s="1" t="s">
        <v>37</v>
      </c>
      <c r="F4449" s="1" t="s">
        <v>40</v>
      </c>
      <c r="G4449" s="1">
        <v>4</v>
      </c>
      <c r="H4449" s="1">
        <v>351</v>
      </c>
      <c r="I4449" s="1">
        <v>0</v>
      </c>
      <c r="J4449" s="4">
        <v>1404</v>
      </c>
      <c r="K4449" s="4">
        <v>772.79</v>
      </c>
      <c r="L4449" s="4">
        <v>631.21</v>
      </c>
      <c r="M4449" s="1" t="str">
        <f>TEXT(Table1[[#This Row],[Order_Date]], "MMM")</f>
        <v>May</v>
      </c>
      <c r="N4449" s="1">
        <f>YEAR(Table1[[#This Row],[Order_Date]])</f>
        <v>2024</v>
      </c>
      <c r="O4449" s="7">
        <f>Table1[[#This Row],[Profit]]/Table1[[#This Row],[Total_Sales]]</f>
        <v>0.44957977207977212</v>
      </c>
    </row>
    <row r="4450" spans="1:15" x14ac:dyDescent="0.25">
      <c r="A4450" s="1">
        <v>4449</v>
      </c>
      <c r="B4450" s="2">
        <v>45591</v>
      </c>
      <c r="C4450" s="1" t="s">
        <v>12</v>
      </c>
      <c r="D4450" s="1" t="s">
        <v>26</v>
      </c>
      <c r="E4450" s="1" t="s">
        <v>42</v>
      </c>
      <c r="F4450" s="1" t="s">
        <v>18</v>
      </c>
      <c r="G4450" s="1">
        <v>9</v>
      </c>
      <c r="H4450" s="1">
        <v>554</v>
      </c>
      <c r="I4450" s="1">
        <v>0</v>
      </c>
      <c r="J4450" s="4">
        <v>4986</v>
      </c>
      <c r="K4450" s="4">
        <v>3923.46</v>
      </c>
      <c r="L4450" s="4">
        <v>1062.54</v>
      </c>
      <c r="M4450" s="1" t="str">
        <f>TEXT(Table1[[#This Row],[Order_Date]], "MMM")</f>
        <v>Oct</v>
      </c>
      <c r="N4450" s="1">
        <f>YEAR(Table1[[#This Row],[Order_Date]])</f>
        <v>2024</v>
      </c>
      <c r="O4450" s="7">
        <f>Table1[[#This Row],[Profit]]/Table1[[#This Row],[Total_Sales]]</f>
        <v>0.21310469314079422</v>
      </c>
    </row>
    <row r="4451" spans="1:15" x14ac:dyDescent="0.25">
      <c r="A4451" s="1">
        <v>4450</v>
      </c>
      <c r="B4451" s="2">
        <v>45029</v>
      </c>
      <c r="C4451" s="1" t="s">
        <v>19</v>
      </c>
      <c r="D4451" s="1" t="s">
        <v>13</v>
      </c>
      <c r="E4451" s="1" t="s">
        <v>14</v>
      </c>
      <c r="F4451" s="1" t="s">
        <v>31</v>
      </c>
      <c r="G4451" s="1">
        <v>2</v>
      </c>
      <c r="H4451" s="1">
        <v>264</v>
      </c>
      <c r="I4451" s="1">
        <v>15</v>
      </c>
      <c r="J4451" s="4">
        <v>448.8</v>
      </c>
      <c r="K4451" s="4">
        <v>305.87</v>
      </c>
      <c r="L4451" s="4">
        <v>142.93</v>
      </c>
      <c r="M4451" s="1" t="str">
        <f>TEXT(Table1[[#This Row],[Order_Date]], "MMM")</f>
        <v>Apr</v>
      </c>
      <c r="N4451" s="1">
        <f>YEAR(Table1[[#This Row],[Order_Date]])</f>
        <v>2023</v>
      </c>
      <c r="O4451" s="7">
        <f>Table1[[#This Row],[Profit]]/Table1[[#This Row],[Total_Sales]]</f>
        <v>0.31847147950089127</v>
      </c>
    </row>
    <row r="4452" spans="1:15" x14ac:dyDescent="0.25">
      <c r="A4452" s="1">
        <v>4451</v>
      </c>
      <c r="B4452" s="2">
        <v>45415</v>
      </c>
      <c r="C4452" s="1" t="s">
        <v>12</v>
      </c>
      <c r="D4452" s="1" t="s">
        <v>26</v>
      </c>
      <c r="E4452" s="1" t="s">
        <v>46</v>
      </c>
      <c r="F4452" s="1" t="s">
        <v>31</v>
      </c>
      <c r="G4452" s="1">
        <v>7</v>
      </c>
      <c r="H4452" s="1">
        <v>371</v>
      </c>
      <c r="I4452" s="1">
        <v>0</v>
      </c>
      <c r="J4452" s="4">
        <v>2597</v>
      </c>
      <c r="K4452" s="4">
        <v>1897.26</v>
      </c>
      <c r="L4452" s="4">
        <v>699.74</v>
      </c>
      <c r="M4452" s="1" t="str">
        <f>TEXT(Table1[[#This Row],[Order_Date]], "MMM")</f>
        <v>May</v>
      </c>
      <c r="N4452" s="1">
        <f>YEAR(Table1[[#This Row],[Order_Date]])</f>
        <v>2024</v>
      </c>
      <c r="O4452" s="7">
        <f>Table1[[#This Row],[Profit]]/Table1[[#This Row],[Total_Sales]]</f>
        <v>0.26944166345783599</v>
      </c>
    </row>
    <row r="4453" spans="1:15" x14ac:dyDescent="0.25">
      <c r="A4453" s="1">
        <v>4452</v>
      </c>
      <c r="B4453" s="2">
        <v>45074</v>
      </c>
      <c r="C4453" s="1" t="s">
        <v>19</v>
      </c>
      <c r="D4453" s="1" t="s">
        <v>22</v>
      </c>
      <c r="E4453" s="1" t="s">
        <v>36</v>
      </c>
      <c r="F4453" s="1" t="s">
        <v>31</v>
      </c>
      <c r="G4453" s="1">
        <v>5</v>
      </c>
      <c r="H4453" s="1">
        <v>309</v>
      </c>
      <c r="I4453" s="1">
        <v>0</v>
      </c>
      <c r="J4453" s="4">
        <v>1545</v>
      </c>
      <c r="K4453" s="4">
        <v>993.22</v>
      </c>
      <c r="L4453" s="4">
        <v>551.78</v>
      </c>
      <c r="M4453" s="1" t="str">
        <f>TEXT(Table1[[#This Row],[Order_Date]], "MMM")</f>
        <v>May</v>
      </c>
      <c r="N4453" s="1">
        <f>YEAR(Table1[[#This Row],[Order_Date]])</f>
        <v>2023</v>
      </c>
      <c r="O4453" s="7">
        <f>Table1[[#This Row],[Profit]]/Table1[[#This Row],[Total_Sales]]</f>
        <v>0.35713915857605177</v>
      </c>
    </row>
    <row r="4454" spans="1:15" x14ac:dyDescent="0.25">
      <c r="A4454" s="1">
        <v>4453</v>
      </c>
      <c r="B4454" s="2">
        <v>45172</v>
      </c>
      <c r="C4454" s="1" t="s">
        <v>12</v>
      </c>
      <c r="D4454" s="1" t="s">
        <v>32</v>
      </c>
      <c r="E4454" s="1" t="s">
        <v>41</v>
      </c>
      <c r="F4454" s="1" t="s">
        <v>31</v>
      </c>
      <c r="G4454" s="1">
        <v>3</v>
      </c>
      <c r="H4454" s="1">
        <v>439</v>
      </c>
      <c r="I4454" s="1">
        <v>10</v>
      </c>
      <c r="J4454" s="4">
        <v>1185.3</v>
      </c>
      <c r="K4454" s="4">
        <v>924.57</v>
      </c>
      <c r="L4454" s="4">
        <v>260.73</v>
      </c>
      <c r="M4454" s="1" t="str">
        <f>TEXT(Table1[[#This Row],[Order_Date]], "MMM")</f>
        <v>Sep</v>
      </c>
      <c r="N4454" s="1">
        <f>YEAR(Table1[[#This Row],[Order_Date]])</f>
        <v>2023</v>
      </c>
      <c r="O4454" s="7">
        <f>Table1[[#This Row],[Profit]]/Table1[[#This Row],[Total_Sales]]</f>
        <v>0.21996962794229311</v>
      </c>
    </row>
    <row r="4455" spans="1:15" x14ac:dyDescent="0.25">
      <c r="A4455" s="1">
        <v>4454</v>
      </c>
      <c r="B4455" s="2">
        <v>45086</v>
      </c>
      <c r="C4455" s="1" t="s">
        <v>16</v>
      </c>
      <c r="D4455" s="1" t="s">
        <v>32</v>
      </c>
      <c r="E4455" s="1" t="s">
        <v>33</v>
      </c>
      <c r="F4455" s="1" t="s">
        <v>24</v>
      </c>
      <c r="G4455" s="1">
        <v>5</v>
      </c>
      <c r="H4455" s="1">
        <v>163</v>
      </c>
      <c r="I4455" s="1">
        <v>10</v>
      </c>
      <c r="J4455" s="4">
        <v>733.5</v>
      </c>
      <c r="K4455" s="4">
        <v>439.35</v>
      </c>
      <c r="L4455" s="4">
        <v>294.14999999999998</v>
      </c>
      <c r="M4455" s="1" t="str">
        <f>TEXT(Table1[[#This Row],[Order_Date]], "MMM")</f>
        <v>Jun</v>
      </c>
      <c r="N4455" s="1">
        <f>YEAR(Table1[[#This Row],[Order_Date]])</f>
        <v>2023</v>
      </c>
      <c r="O4455" s="7">
        <f>Table1[[#This Row],[Profit]]/Table1[[#This Row],[Total_Sales]]</f>
        <v>0.4010224948875255</v>
      </c>
    </row>
    <row r="4456" spans="1:15" x14ac:dyDescent="0.25">
      <c r="A4456" s="1">
        <v>4455</v>
      </c>
      <c r="B4456" s="2">
        <v>45267</v>
      </c>
      <c r="C4456" s="1" t="s">
        <v>12</v>
      </c>
      <c r="D4456" s="1" t="s">
        <v>20</v>
      </c>
      <c r="E4456" s="1" t="s">
        <v>28</v>
      </c>
      <c r="F4456" s="1" t="s">
        <v>15</v>
      </c>
      <c r="G4456" s="1">
        <v>4</v>
      </c>
      <c r="H4456" s="1">
        <v>868</v>
      </c>
      <c r="I4456" s="1">
        <v>20</v>
      </c>
      <c r="J4456" s="4">
        <v>2777.6</v>
      </c>
      <c r="K4456" s="4">
        <v>1851.76</v>
      </c>
      <c r="L4456" s="4">
        <v>925.84</v>
      </c>
      <c r="M4456" s="1" t="str">
        <f>TEXT(Table1[[#This Row],[Order_Date]], "MMM")</f>
        <v>Dec</v>
      </c>
      <c r="N4456" s="1">
        <f>YEAR(Table1[[#This Row],[Order_Date]])</f>
        <v>2023</v>
      </c>
      <c r="O4456" s="7">
        <f>Table1[[#This Row],[Profit]]/Table1[[#This Row],[Total_Sales]]</f>
        <v>0.33332373271889404</v>
      </c>
    </row>
    <row r="4457" spans="1:15" x14ac:dyDescent="0.25">
      <c r="A4457" s="1">
        <v>4456</v>
      </c>
      <c r="B4457" s="2">
        <v>45092</v>
      </c>
      <c r="C4457" s="1" t="s">
        <v>25</v>
      </c>
      <c r="D4457" s="1" t="s">
        <v>13</v>
      </c>
      <c r="E4457" s="1" t="s">
        <v>39</v>
      </c>
      <c r="F4457" s="1" t="s">
        <v>31</v>
      </c>
      <c r="G4457" s="1">
        <v>4</v>
      </c>
      <c r="H4457" s="1">
        <v>578</v>
      </c>
      <c r="I4457" s="1">
        <v>0</v>
      </c>
      <c r="J4457" s="4">
        <v>2312</v>
      </c>
      <c r="K4457" s="4">
        <v>1827.38</v>
      </c>
      <c r="L4457" s="4">
        <v>484.62</v>
      </c>
      <c r="M4457" s="1" t="str">
        <f>TEXT(Table1[[#This Row],[Order_Date]], "MMM")</f>
        <v>Jun</v>
      </c>
      <c r="N4457" s="1">
        <f>YEAR(Table1[[#This Row],[Order_Date]])</f>
        <v>2023</v>
      </c>
      <c r="O4457" s="7">
        <f>Table1[[#This Row],[Profit]]/Table1[[#This Row],[Total_Sales]]</f>
        <v>0.20961072664359862</v>
      </c>
    </row>
    <row r="4458" spans="1:15" x14ac:dyDescent="0.25">
      <c r="A4458" s="1">
        <v>4457</v>
      </c>
      <c r="B4458" s="2">
        <v>45319</v>
      </c>
      <c r="C4458" s="1" t="s">
        <v>16</v>
      </c>
      <c r="D4458" s="1" t="s">
        <v>13</v>
      </c>
      <c r="E4458" s="1" t="s">
        <v>39</v>
      </c>
      <c r="F4458" s="1" t="s">
        <v>18</v>
      </c>
      <c r="G4458" s="1">
        <v>5</v>
      </c>
      <c r="H4458" s="1">
        <v>16</v>
      </c>
      <c r="I4458" s="1">
        <v>20</v>
      </c>
      <c r="J4458" s="4">
        <v>64</v>
      </c>
      <c r="K4458" s="4">
        <v>39.590000000000003</v>
      </c>
      <c r="L4458" s="4">
        <v>24.41</v>
      </c>
      <c r="M4458" s="1" t="str">
        <f>TEXT(Table1[[#This Row],[Order_Date]], "MMM")</f>
        <v>Jan</v>
      </c>
      <c r="N4458" s="1">
        <f>YEAR(Table1[[#This Row],[Order_Date]])</f>
        <v>2024</v>
      </c>
      <c r="O4458" s="7">
        <f>Table1[[#This Row],[Profit]]/Table1[[#This Row],[Total_Sales]]</f>
        <v>0.38140625</v>
      </c>
    </row>
    <row r="4459" spans="1:15" x14ac:dyDescent="0.25">
      <c r="A4459" s="1">
        <v>4458</v>
      </c>
      <c r="B4459" s="2">
        <v>44942</v>
      </c>
      <c r="C4459" s="1" t="s">
        <v>25</v>
      </c>
      <c r="D4459" s="1" t="s">
        <v>13</v>
      </c>
      <c r="E4459" s="1" t="s">
        <v>38</v>
      </c>
      <c r="F4459" s="1" t="s">
        <v>31</v>
      </c>
      <c r="G4459" s="1">
        <v>8</v>
      </c>
      <c r="H4459" s="1">
        <v>521</v>
      </c>
      <c r="I4459" s="1">
        <v>0</v>
      </c>
      <c r="J4459" s="4">
        <v>4168</v>
      </c>
      <c r="K4459" s="4">
        <v>2517.87</v>
      </c>
      <c r="L4459" s="4">
        <v>1650.13</v>
      </c>
      <c r="M4459" s="1" t="str">
        <f>TEXT(Table1[[#This Row],[Order_Date]], "MMM")</f>
        <v>Jan</v>
      </c>
      <c r="N4459" s="1">
        <f>YEAR(Table1[[#This Row],[Order_Date]])</f>
        <v>2023</v>
      </c>
      <c r="O4459" s="7">
        <f>Table1[[#This Row],[Profit]]/Table1[[#This Row],[Total_Sales]]</f>
        <v>0.3959045105566219</v>
      </c>
    </row>
    <row r="4460" spans="1:15" x14ac:dyDescent="0.25">
      <c r="A4460" s="1">
        <v>4459</v>
      </c>
      <c r="B4460" s="2">
        <v>45054</v>
      </c>
      <c r="C4460" s="1" t="s">
        <v>16</v>
      </c>
      <c r="D4460" s="1" t="s">
        <v>22</v>
      </c>
      <c r="E4460" s="1" t="s">
        <v>36</v>
      </c>
      <c r="F4460" s="1" t="s">
        <v>18</v>
      </c>
      <c r="G4460" s="1">
        <v>9</v>
      </c>
      <c r="H4460" s="1">
        <v>301</v>
      </c>
      <c r="I4460" s="1">
        <v>20</v>
      </c>
      <c r="J4460" s="4">
        <v>2167.1999999999998</v>
      </c>
      <c r="K4460" s="4">
        <v>1382.54</v>
      </c>
      <c r="L4460" s="4">
        <v>784.66</v>
      </c>
      <c r="M4460" s="1" t="str">
        <f>TEXT(Table1[[#This Row],[Order_Date]], "MMM")</f>
        <v>May</v>
      </c>
      <c r="N4460" s="1">
        <f>YEAR(Table1[[#This Row],[Order_Date]])</f>
        <v>2023</v>
      </c>
      <c r="O4460" s="7">
        <f>Table1[[#This Row],[Profit]]/Table1[[#This Row],[Total_Sales]]</f>
        <v>0.36206164636397198</v>
      </c>
    </row>
    <row r="4461" spans="1:15" x14ac:dyDescent="0.25">
      <c r="A4461" s="1">
        <v>4460</v>
      </c>
      <c r="B4461" s="2">
        <v>45467</v>
      </c>
      <c r="C4461" s="1" t="s">
        <v>25</v>
      </c>
      <c r="D4461" s="1" t="s">
        <v>20</v>
      </c>
      <c r="E4461" s="1" t="s">
        <v>28</v>
      </c>
      <c r="F4461" s="1" t="s">
        <v>24</v>
      </c>
      <c r="G4461" s="1">
        <v>7</v>
      </c>
      <c r="H4461" s="1">
        <v>121</v>
      </c>
      <c r="I4461" s="1">
        <v>5</v>
      </c>
      <c r="J4461" s="4">
        <v>804.65</v>
      </c>
      <c r="K4461" s="4">
        <v>484.65</v>
      </c>
      <c r="L4461" s="4">
        <v>320</v>
      </c>
      <c r="M4461" s="1" t="str">
        <f>TEXT(Table1[[#This Row],[Order_Date]], "MMM")</f>
        <v>Jun</v>
      </c>
      <c r="N4461" s="1">
        <f>YEAR(Table1[[#This Row],[Order_Date]])</f>
        <v>2024</v>
      </c>
      <c r="O4461" s="7">
        <f>Table1[[#This Row],[Profit]]/Table1[[#This Row],[Total_Sales]]</f>
        <v>0.39768843596594794</v>
      </c>
    </row>
    <row r="4462" spans="1:15" x14ac:dyDescent="0.25">
      <c r="A4462" s="1">
        <v>4461</v>
      </c>
      <c r="B4462" s="2">
        <v>45079</v>
      </c>
      <c r="C4462" s="1" t="s">
        <v>19</v>
      </c>
      <c r="D4462" s="1" t="s">
        <v>13</v>
      </c>
      <c r="E4462" s="1" t="s">
        <v>14</v>
      </c>
      <c r="F4462" s="1" t="s">
        <v>31</v>
      </c>
      <c r="G4462" s="1">
        <v>8</v>
      </c>
      <c r="H4462" s="1">
        <v>274</v>
      </c>
      <c r="I4462" s="1">
        <v>15</v>
      </c>
      <c r="J4462" s="4">
        <v>1863.2</v>
      </c>
      <c r="K4462" s="4">
        <v>1426.78</v>
      </c>
      <c r="L4462" s="4">
        <v>436.42</v>
      </c>
      <c r="M4462" s="1" t="str">
        <f>TEXT(Table1[[#This Row],[Order_Date]], "MMM")</f>
        <v>Jun</v>
      </c>
      <c r="N4462" s="1">
        <f>YEAR(Table1[[#This Row],[Order_Date]])</f>
        <v>2023</v>
      </c>
      <c r="O4462" s="7">
        <f>Table1[[#This Row],[Profit]]/Table1[[#This Row],[Total_Sales]]</f>
        <v>0.23423142979819667</v>
      </c>
    </row>
    <row r="4463" spans="1:15" x14ac:dyDescent="0.25">
      <c r="A4463" s="1">
        <v>4462</v>
      </c>
      <c r="B4463" s="2">
        <v>45614</v>
      </c>
      <c r="C4463" s="1" t="s">
        <v>19</v>
      </c>
      <c r="D4463" s="1" t="s">
        <v>13</v>
      </c>
      <c r="E4463" s="1" t="s">
        <v>39</v>
      </c>
      <c r="F4463" s="1" t="s">
        <v>18</v>
      </c>
      <c r="G4463" s="1">
        <v>6</v>
      </c>
      <c r="H4463" s="1">
        <v>841</v>
      </c>
      <c r="I4463" s="1">
        <v>15</v>
      </c>
      <c r="J4463" s="4">
        <v>4289.1000000000004</v>
      </c>
      <c r="K4463" s="4">
        <v>2635.19</v>
      </c>
      <c r="L4463" s="4">
        <v>1653.91</v>
      </c>
      <c r="M4463" s="1" t="str">
        <f>TEXT(Table1[[#This Row],[Order_Date]], "MMM")</f>
        <v>Nov</v>
      </c>
      <c r="N4463" s="1">
        <f>YEAR(Table1[[#This Row],[Order_Date]])</f>
        <v>2024</v>
      </c>
      <c r="O4463" s="7">
        <f>Table1[[#This Row],[Profit]]/Table1[[#This Row],[Total_Sales]]</f>
        <v>0.38560770324776761</v>
      </c>
    </row>
    <row r="4464" spans="1:15" x14ac:dyDescent="0.25">
      <c r="A4464" s="1">
        <v>4463</v>
      </c>
      <c r="B4464" s="2">
        <v>45373</v>
      </c>
      <c r="C4464" s="1" t="s">
        <v>25</v>
      </c>
      <c r="D4464" s="1" t="s">
        <v>26</v>
      </c>
      <c r="E4464" s="1" t="s">
        <v>37</v>
      </c>
      <c r="F4464" s="1" t="s">
        <v>24</v>
      </c>
      <c r="G4464" s="1">
        <v>4</v>
      </c>
      <c r="H4464" s="1">
        <v>474</v>
      </c>
      <c r="I4464" s="1">
        <v>0</v>
      </c>
      <c r="J4464" s="4">
        <v>1896</v>
      </c>
      <c r="K4464" s="4">
        <v>1296.3800000000001</v>
      </c>
      <c r="L4464" s="4">
        <v>599.62</v>
      </c>
      <c r="M4464" s="1" t="str">
        <f>TEXT(Table1[[#This Row],[Order_Date]], "MMM")</f>
        <v>Mar</v>
      </c>
      <c r="N4464" s="1">
        <f>YEAR(Table1[[#This Row],[Order_Date]])</f>
        <v>2024</v>
      </c>
      <c r="O4464" s="7">
        <f>Table1[[#This Row],[Profit]]/Table1[[#This Row],[Total_Sales]]</f>
        <v>0.31625527426160338</v>
      </c>
    </row>
    <row r="4465" spans="1:15" x14ac:dyDescent="0.25">
      <c r="A4465" s="1">
        <v>4464</v>
      </c>
      <c r="B4465" s="2">
        <v>45579</v>
      </c>
      <c r="C4465" s="1" t="s">
        <v>19</v>
      </c>
      <c r="D4465" s="1" t="s">
        <v>22</v>
      </c>
      <c r="E4465" s="1" t="s">
        <v>23</v>
      </c>
      <c r="F4465" s="1" t="s">
        <v>35</v>
      </c>
      <c r="G4465" s="1">
        <v>7</v>
      </c>
      <c r="H4465" s="1">
        <v>254</v>
      </c>
      <c r="I4465" s="1">
        <v>5</v>
      </c>
      <c r="J4465" s="4">
        <v>1689.1</v>
      </c>
      <c r="K4465" s="4">
        <v>1107.99</v>
      </c>
      <c r="L4465" s="4">
        <v>581.11</v>
      </c>
      <c r="M4465" s="1" t="str">
        <f>TEXT(Table1[[#This Row],[Order_Date]], "MMM")</f>
        <v>Oct</v>
      </c>
      <c r="N4465" s="1">
        <f>YEAR(Table1[[#This Row],[Order_Date]])</f>
        <v>2024</v>
      </c>
      <c r="O4465" s="7">
        <f>Table1[[#This Row],[Profit]]/Table1[[#This Row],[Total_Sales]]</f>
        <v>0.34403528506305137</v>
      </c>
    </row>
    <row r="4466" spans="1:15" x14ac:dyDescent="0.25">
      <c r="A4466" s="1">
        <v>4465</v>
      </c>
      <c r="B4466" s="2">
        <v>45229</v>
      </c>
      <c r="C4466" s="1" t="s">
        <v>12</v>
      </c>
      <c r="D4466" s="1" t="s">
        <v>26</v>
      </c>
      <c r="E4466" s="1" t="s">
        <v>27</v>
      </c>
      <c r="F4466" s="1" t="s">
        <v>24</v>
      </c>
      <c r="G4466" s="1">
        <v>2</v>
      </c>
      <c r="H4466" s="1">
        <v>511</v>
      </c>
      <c r="I4466" s="1">
        <v>5</v>
      </c>
      <c r="J4466" s="4">
        <v>970.9</v>
      </c>
      <c r="K4466" s="4">
        <v>487.15</v>
      </c>
      <c r="L4466" s="4">
        <v>483.75</v>
      </c>
      <c r="M4466" s="1" t="str">
        <f>TEXT(Table1[[#This Row],[Order_Date]], "MMM")</f>
        <v>Oct</v>
      </c>
      <c r="N4466" s="1">
        <f>YEAR(Table1[[#This Row],[Order_Date]])</f>
        <v>2023</v>
      </c>
      <c r="O4466" s="7">
        <f>Table1[[#This Row],[Profit]]/Table1[[#This Row],[Total_Sales]]</f>
        <v>0.49824904727572356</v>
      </c>
    </row>
    <row r="4467" spans="1:15" x14ac:dyDescent="0.25">
      <c r="A4467" s="1">
        <v>4466</v>
      </c>
      <c r="B4467" s="2">
        <v>45551</v>
      </c>
      <c r="C4467" s="1" t="s">
        <v>12</v>
      </c>
      <c r="D4467" s="1" t="s">
        <v>22</v>
      </c>
      <c r="E4467" s="1" t="s">
        <v>29</v>
      </c>
      <c r="F4467" s="1" t="s">
        <v>35</v>
      </c>
      <c r="G4467" s="1">
        <v>10</v>
      </c>
      <c r="H4467" s="1">
        <v>719</v>
      </c>
      <c r="I4467" s="1">
        <v>0</v>
      </c>
      <c r="J4467" s="4">
        <v>7190</v>
      </c>
      <c r="K4467" s="4">
        <v>4770.3599999999997</v>
      </c>
      <c r="L4467" s="4">
        <v>2419.64</v>
      </c>
      <c r="M4467" s="1" t="str">
        <f>TEXT(Table1[[#This Row],[Order_Date]], "MMM")</f>
        <v>Sep</v>
      </c>
      <c r="N4467" s="1">
        <f>YEAR(Table1[[#This Row],[Order_Date]])</f>
        <v>2024</v>
      </c>
      <c r="O4467" s="7">
        <f>Table1[[#This Row],[Profit]]/Table1[[#This Row],[Total_Sales]]</f>
        <v>0.33652851182197496</v>
      </c>
    </row>
    <row r="4468" spans="1:15" x14ac:dyDescent="0.25">
      <c r="A4468" s="1">
        <v>4467</v>
      </c>
      <c r="B4468" s="2">
        <v>45340</v>
      </c>
      <c r="C4468" s="1" t="s">
        <v>12</v>
      </c>
      <c r="D4468" s="1" t="s">
        <v>32</v>
      </c>
      <c r="E4468" s="1" t="s">
        <v>34</v>
      </c>
      <c r="F4468" s="1" t="s">
        <v>35</v>
      </c>
      <c r="G4468" s="1">
        <v>1</v>
      </c>
      <c r="H4468" s="1">
        <v>54</v>
      </c>
      <c r="I4468" s="1">
        <v>20</v>
      </c>
      <c r="J4468" s="4">
        <v>43.2</v>
      </c>
      <c r="K4468" s="4">
        <v>28.57</v>
      </c>
      <c r="L4468" s="4">
        <v>14.63</v>
      </c>
      <c r="M4468" s="1" t="str">
        <f>TEXT(Table1[[#This Row],[Order_Date]], "MMM")</f>
        <v>Feb</v>
      </c>
      <c r="N4468" s="1">
        <f>YEAR(Table1[[#This Row],[Order_Date]])</f>
        <v>2024</v>
      </c>
      <c r="O4468" s="7">
        <f>Table1[[#This Row],[Profit]]/Table1[[#This Row],[Total_Sales]]</f>
        <v>0.33865740740740741</v>
      </c>
    </row>
    <row r="4469" spans="1:15" x14ac:dyDescent="0.25">
      <c r="A4469" s="1">
        <v>4468</v>
      </c>
      <c r="B4469" s="2">
        <v>45037</v>
      </c>
      <c r="C4469" s="1" t="s">
        <v>12</v>
      </c>
      <c r="D4469" s="1" t="s">
        <v>26</v>
      </c>
      <c r="E4469" s="1" t="s">
        <v>46</v>
      </c>
      <c r="F4469" s="1" t="s">
        <v>31</v>
      </c>
      <c r="G4469" s="1">
        <v>1</v>
      </c>
      <c r="H4469" s="1">
        <v>352</v>
      </c>
      <c r="I4469" s="1">
        <v>15</v>
      </c>
      <c r="J4469" s="4">
        <v>299.2</v>
      </c>
      <c r="K4469" s="4">
        <v>229.2</v>
      </c>
      <c r="L4469" s="4">
        <v>70</v>
      </c>
      <c r="M4469" s="1" t="str">
        <f>TEXT(Table1[[#This Row],[Order_Date]], "MMM")</f>
        <v>Apr</v>
      </c>
      <c r="N4469" s="1">
        <f>YEAR(Table1[[#This Row],[Order_Date]])</f>
        <v>2023</v>
      </c>
      <c r="O4469" s="7">
        <f>Table1[[#This Row],[Profit]]/Table1[[#This Row],[Total_Sales]]</f>
        <v>0.23395721925133692</v>
      </c>
    </row>
    <row r="4470" spans="1:15" x14ac:dyDescent="0.25">
      <c r="A4470" s="1">
        <v>4469</v>
      </c>
      <c r="B4470" s="2">
        <v>45001</v>
      </c>
      <c r="C4470" s="1" t="s">
        <v>16</v>
      </c>
      <c r="D4470" s="1" t="s">
        <v>13</v>
      </c>
      <c r="E4470" s="1" t="s">
        <v>39</v>
      </c>
      <c r="F4470" s="1" t="s">
        <v>31</v>
      </c>
      <c r="G4470" s="1">
        <v>10</v>
      </c>
      <c r="H4470" s="1">
        <v>616</v>
      </c>
      <c r="I4470" s="1">
        <v>0</v>
      </c>
      <c r="J4470" s="4">
        <v>6160</v>
      </c>
      <c r="K4470" s="4">
        <v>3538.46</v>
      </c>
      <c r="L4470" s="4">
        <v>2621.54</v>
      </c>
      <c r="M4470" s="1" t="str">
        <f>TEXT(Table1[[#This Row],[Order_Date]], "MMM")</f>
        <v>Mar</v>
      </c>
      <c r="N4470" s="1">
        <f>YEAR(Table1[[#This Row],[Order_Date]])</f>
        <v>2023</v>
      </c>
      <c r="O4470" s="7">
        <f>Table1[[#This Row],[Profit]]/Table1[[#This Row],[Total_Sales]]</f>
        <v>0.4255746753246753</v>
      </c>
    </row>
    <row r="4471" spans="1:15" x14ac:dyDescent="0.25">
      <c r="A4471" s="1">
        <v>4470</v>
      </c>
      <c r="B4471" s="2">
        <v>45057</v>
      </c>
      <c r="C4471" s="1" t="s">
        <v>12</v>
      </c>
      <c r="D4471" s="1" t="s">
        <v>26</v>
      </c>
      <c r="E4471" s="1" t="s">
        <v>37</v>
      </c>
      <c r="F4471" s="1" t="s">
        <v>40</v>
      </c>
      <c r="G4471" s="1">
        <v>3</v>
      </c>
      <c r="H4471" s="1">
        <v>28</v>
      </c>
      <c r="I4471" s="1">
        <v>15</v>
      </c>
      <c r="J4471" s="4">
        <v>71.400000000000006</v>
      </c>
      <c r="K4471" s="4">
        <v>52.73</v>
      </c>
      <c r="L4471" s="4">
        <v>18.670000000000002</v>
      </c>
      <c r="M4471" s="1" t="str">
        <f>TEXT(Table1[[#This Row],[Order_Date]], "MMM")</f>
        <v>May</v>
      </c>
      <c r="N4471" s="1">
        <f>YEAR(Table1[[#This Row],[Order_Date]])</f>
        <v>2023</v>
      </c>
      <c r="O4471" s="7">
        <f>Table1[[#This Row],[Profit]]/Table1[[#This Row],[Total_Sales]]</f>
        <v>0.26148459383753503</v>
      </c>
    </row>
    <row r="4472" spans="1:15" x14ac:dyDescent="0.25">
      <c r="A4472" s="1">
        <v>4471</v>
      </c>
      <c r="B4472" s="2">
        <v>45262</v>
      </c>
      <c r="C4472" s="1" t="s">
        <v>12</v>
      </c>
      <c r="D4472" s="1" t="s">
        <v>32</v>
      </c>
      <c r="E4472" s="1" t="s">
        <v>41</v>
      </c>
      <c r="F4472" s="1" t="s">
        <v>18</v>
      </c>
      <c r="G4472" s="1">
        <v>4</v>
      </c>
      <c r="H4472" s="1">
        <v>500</v>
      </c>
      <c r="I4472" s="1">
        <v>15</v>
      </c>
      <c r="J4472" s="4">
        <v>1700</v>
      </c>
      <c r="K4472" s="4">
        <v>985.5</v>
      </c>
      <c r="L4472" s="4">
        <v>714.5</v>
      </c>
      <c r="M4472" s="1" t="str">
        <f>TEXT(Table1[[#This Row],[Order_Date]], "MMM")</f>
        <v>Dec</v>
      </c>
      <c r="N4472" s="1">
        <f>YEAR(Table1[[#This Row],[Order_Date]])</f>
        <v>2023</v>
      </c>
      <c r="O4472" s="7">
        <f>Table1[[#This Row],[Profit]]/Table1[[#This Row],[Total_Sales]]</f>
        <v>0.42029411764705882</v>
      </c>
    </row>
    <row r="4473" spans="1:15" x14ac:dyDescent="0.25">
      <c r="A4473" s="1">
        <v>4472</v>
      </c>
      <c r="B4473" s="2">
        <v>45649</v>
      </c>
      <c r="C4473" s="1" t="s">
        <v>19</v>
      </c>
      <c r="D4473" s="1" t="s">
        <v>32</v>
      </c>
      <c r="E4473" s="1" t="s">
        <v>34</v>
      </c>
      <c r="F4473" s="1" t="s">
        <v>35</v>
      </c>
      <c r="G4473" s="1">
        <v>8</v>
      </c>
      <c r="H4473" s="1">
        <v>123</v>
      </c>
      <c r="I4473" s="1">
        <v>15</v>
      </c>
      <c r="J4473" s="4">
        <v>836.4</v>
      </c>
      <c r="K4473" s="4">
        <v>551.91</v>
      </c>
      <c r="L4473" s="4">
        <v>284.49</v>
      </c>
      <c r="M4473" s="1" t="str">
        <f>TEXT(Table1[[#This Row],[Order_Date]], "MMM")</f>
        <v>Dec</v>
      </c>
      <c r="N4473" s="1">
        <f>YEAR(Table1[[#This Row],[Order_Date]])</f>
        <v>2024</v>
      </c>
      <c r="O4473" s="7">
        <f>Table1[[#This Row],[Profit]]/Table1[[#This Row],[Total_Sales]]</f>
        <v>0.34013629842180776</v>
      </c>
    </row>
    <row r="4474" spans="1:15" x14ac:dyDescent="0.25">
      <c r="A4474" s="1">
        <v>4473</v>
      </c>
      <c r="B4474" s="2">
        <v>45373</v>
      </c>
      <c r="C4474" s="1" t="s">
        <v>12</v>
      </c>
      <c r="D4474" s="1" t="s">
        <v>20</v>
      </c>
      <c r="E4474" s="1" t="s">
        <v>43</v>
      </c>
      <c r="F4474" s="1" t="s">
        <v>24</v>
      </c>
      <c r="G4474" s="1">
        <v>5</v>
      </c>
      <c r="H4474" s="1">
        <v>575</v>
      </c>
      <c r="I4474" s="1">
        <v>10</v>
      </c>
      <c r="J4474" s="4">
        <v>2587.5</v>
      </c>
      <c r="K4474" s="4">
        <v>2062.7399999999998</v>
      </c>
      <c r="L4474" s="4">
        <v>524.76</v>
      </c>
      <c r="M4474" s="1" t="str">
        <f>TEXT(Table1[[#This Row],[Order_Date]], "MMM")</f>
        <v>Mar</v>
      </c>
      <c r="N4474" s="1">
        <f>YEAR(Table1[[#This Row],[Order_Date]])</f>
        <v>2024</v>
      </c>
      <c r="O4474" s="7">
        <f>Table1[[#This Row],[Profit]]/Table1[[#This Row],[Total_Sales]]</f>
        <v>0.20280579710144928</v>
      </c>
    </row>
    <row r="4475" spans="1:15" x14ac:dyDescent="0.25">
      <c r="A4475" s="1">
        <v>4474</v>
      </c>
      <c r="B4475" s="2">
        <v>45250</v>
      </c>
      <c r="C4475" s="1" t="s">
        <v>19</v>
      </c>
      <c r="D4475" s="1" t="s">
        <v>22</v>
      </c>
      <c r="E4475" s="1" t="s">
        <v>36</v>
      </c>
      <c r="F4475" s="1" t="s">
        <v>15</v>
      </c>
      <c r="G4475" s="1">
        <v>5</v>
      </c>
      <c r="H4475" s="1">
        <v>263</v>
      </c>
      <c r="I4475" s="1">
        <v>15</v>
      </c>
      <c r="J4475" s="4">
        <v>1117.75</v>
      </c>
      <c r="K4475" s="4">
        <v>667.26</v>
      </c>
      <c r="L4475" s="4">
        <v>450.49</v>
      </c>
      <c r="M4475" s="1" t="str">
        <f>TEXT(Table1[[#This Row],[Order_Date]], "MMM")</f>
        <v>Nov</v>
      </c>
      <c r="N4475" s="1">
        <f>YEAR(Table1[[#This Row],[Order_Date]])</f>
        <v>2023</v>
      </c>
      <c r="O4475" s="7">
        <f>Table1[[#This Row],[Profit]]/Table1[[#This Row],[Total_Sales]]</f>
        <v>0.40303287855065983</v>
      </c>
    </row>
    <row r="4476" spans="1:15" x14ac:dyDescent="0.25">
      <c r="A4476" s="1">
        <v>4475</v>
      </c>
      <c r="B4476" s="2">
        <v>45260</v>
      </c>
      <c r="C4476" s="1" t="s">
        <v>19</v>
      </c>
      <c r="D4476" s="1" t="s">
        <v>13</v>
      </c>
      <c r="E4476" s="1" t="s">
        <v>38</v>
      </c>
      <c r="F4476" s="1" t="s">
        <v>31</v>
      </c>
      <c r="G4476" s="1">
        <v>10</v>
      </c>
      <c r="H4476" s="1">
        <v>629</v>
      </c>
      <c r="I4476" s="1">
        <v>10</v>
      </c>
      <c r="J4476" s="4">
        <v>5661</v>
      </c>
      <c r="K4476" s="4">
        <v>3419.5</v>
      </c>
      <c r="L4476" s="4">
        <v>2241.5</v>
      </c>
      <c r="M4476" s="1" t="str">
        <f>TEXT(Table1[[#This Row],[Order_Date]], "MMM")</f>
        <v>Nov</v>
      </c>
      <c r="N4476" s="1">
        <f>YEAR(Table1[[#This Row],[Order_Date]])</f>
        <v>2023</v>
      </c>
      <c r="O4476" s="7">
        <f>Table1[[#This Row],[Profit]]/Table1[[#This Row],[Total_Sales]]</f>
        <v>0.39595477830771947</v>
      </c>
    </row>
    <row r="4477" spans="1:15" x14ac:dyDescent="0.25">
      <c r="A4477" s="1">
        <v>4476</v>
      </c>
      <c r="B4477" s="2">
        <v>45223</v>
      </c>
      <c r="C4477" s="1" t="s">
        <v>25</v>
      </c>
      <c r="D4477" s="1" t="s">
        <v>20</v>
      </c>
      <c r="E4477" s="1" t="s">
        <v>28</v>
      </c>
      <c r="F4477" s="1" t="s">
        <v>15</v>
      </c>
      <c r="G4477" s="1">
        <v>3</v>
      </c>
      <c r="H4477" s="1">
        <v>940</v>
      </c>
      <c r="I4477" s="1">
        <v>20</v>
      </c>
      <c r="J4477" s="4">
        <v>2256</v>
      </c>
      <c r="K4477" s="4">
        <v>1603.7</v>
      </c>
      <c r="L4477" s="4">
        <v>652.29999999999995</v>
      </c>
      <c r="M4477" s="1" t="str">
        <f>TEXT(Table1[[#This Row],[Order_Date]], "MMM")</f>
        <v>Oct</v>
      </c>
      <c r="N4477" s="1">
        <f>YEAR(Table1[[#This Row],[Order_Date]])</f>
        <v>2023</v>
      </c>
      <c r="O4477" s="7">
        <f>Table1[[#This Row],[Profit]]/Table1[[#This Row],[Total_Sales]]</f>
        <v>0.28914007092198579</v>
      </c>
    </row>
    <row r="4478" spans="1:15" x14ac:dyDescent="0.25">
      <c r="A4478" s="1">
        <v>4477</v>
      </c>
      <c r="B4478" s="2">
        <v>45307</v>
      </c>
      <c r="C4478" s="1" t="s">
        <v>19</v>
      </c>
      <c r="D4478" s="1" t="s">
        <v>26</v>
      </c>
      <c r="E4478" s="1" t="s">
        <v>42</v>
      </c>
      <c r="F4478" s="1" t="s">
        <v>24</v>
      </c>
      <c r="G4478" s="1">
        <v>2</v>
      </c>
      <c r="H4478" s="1">
        <v>152</v>
      </c>
      <c r="I4478" s="1">
        <v>5</v>
      </c>
      <c r="J4478" s="4">
        <v>288.8</v>
      </c>
      <c r="K4478" s="4">
        <v>212.09</v>
      </c>
      <c r="L4478" s="4">
        <v>76.709999999999994</v>
      </c>
      <c r="M4478" s="1" t="str">
        <f>TEXT(Table1[[#This Row],[Order_Date]], "MMM")</f>
        <v>Jan</v>
      </c>
      <c r="N4478" s="1">
        <f>YEAR(Table1[[#This Row],[Order_Date]])</f>
        <v>2024</v>
      </c>
      <c r="O4478" s="7">
        <f>Table1[[#This Row],[Profit]]/Table1[[#This Row],[Total_Sales]]</f>
        <v>0.26561634349030466</v>
      </c>
    </row>
    <row r="4479" spans="1:15" x14ac:dyDescent="0.25">
      <c r="A4479" s="1">
        <v>4478</v>
      </c>
      <c r="B4479" s="2">
        <v>45289</v>
      </c>
      <c r="C4479" s="1" t="s">
        <v>16</v>
      </c>
      <c r="D4479" s="1" t="s">
        <v>26</v>
      </c>
      <c r="E4479" s="1" t="s">
        <v>46</v>
      </c>
      <c r="F4479" s="1" t="s">
        <v>24</v>
      </c>
      <c r="G4479" s="1">
        <v>10</v>
      </c>
      <c r="H4479" s="1">
        <v>448</v>
      </c>
      <c r="I4479" s="1">
        <v>5</v>
      </c>
      <c r="J4479" s="4">
        <v>4256</v>
      </c>
      <c r="K4479" s="4">
        <v>2418.06</v>
      </c>
      <c r="L4479" s="4">
        <v>1837.94</v>
      </c>
      <c r="M4479" s="1" t="str">
        <f>TEXT(Table1[[#This Row],[Order_Date]], "MMM")</f>
        <v>Dec</v>
      </c>
      <c r="N4479" s="1">
        <f>YEAR(Table1[[#This Row],[Order_Date]])</f>
        <v>2023</v>
      </c>
      <c r="O4479" s="7">
        <f>Table1[[#This Row],[Profit]]/Table1[[#This Row],[Total_Sales]]</f>
        <v>0.43184680451127821</v>
      </c>
    </row>
    <row r="4480" spans="1:15" x14ac:dyDescent="0.25">
      <c r="A4480" s="1">
        <v>4479</v>
      </c>
      <c r="B4480" s="2">
        <v>45504</v>
      </c>
      <c r="C4480" s="1" t="s">
        <v>16</v>
      </c>
      <c r="D4480" s="1" t="s">
        <v>20</v>
      </c>
      <c r="E4480" s="1" t="s">
        <v>30</v>
      </c>
      <c r="F4480" s="1" t="s">
        <v>15</v>
      </c>
      <c r="G4480" s="1">
        <v>8</v>
      </c>
      <c r="H4480" s="1">
        <v>142</v>
      </c>
      <c r="I4480" s="1">
        <v>0</v>
      </c>
      <c r="J4480" s="4">
        <v>1136</v>
      </c>
      <c r="K4480" s="4">
        <v>569.19000000000005</v>
      </c>
      <c r="L4480" s="4">
        <v>566.80999999999995</v>
      </c>
      <c r="M4480" s="1" t="str">
        <f>TEXT(Table1[[#This Row],[Order_Date]], "MMM")</f>
        <v>Jul</v>
      </c>
      <c r="N4480" s="1">
        <f>YEAR(Table1[[#This Row],[Order_Date]])</f>
        <v>2024</v>
      </c>
      <c r="O4480" s="7">
        <f>Table1[[#This Row],[Profit]]/Table1[[#This Row],[Total_Sales]]</f>
        <v>0.49895246478873234</v>
      </c>
    </row>
    <row r="4481" spans="1:15" x14ac:dyDescent="0.25">
      <c r="A4481" s="1">
        <v>4480</v>
      </c>
      <c r="B4481" s="2">
        <v>45158</v>
      </c>
      <c r="C4481" s="1" t="s">
        <v>16</v>
      </c>
      <c r="D4481" s="1" t="s">
        <v>26</v>
      </c>
      <c r="E4481" s="1" t="s">
        <v>46</v>
      </c>
      <c r="F4481" s="1" t="s">
        <v>40</v>
      </c>
      <c r="G4481" s="1">
        <v>2</v>
      </c>
      <c r="H4481" s="1">
        <v>726</v>
      </c>
      <c r="I4481" s="1">
        <v>5</v>
      </c>
      <c r="J4481" s="4">
        <v>1379.4</v>
      </c>
      <c r="K4481" s="4">
        <v>707.95</v>
      </c>
      <c r="L4481" s="4">
        <v>671.45</v>
      </c>
      <c r="M4481" s="1" t="str">
        <f>TEXT(Table1[[#This Row],[Order_Date]], "MMM")</f>
        <v>Aug</v>
      </c>
      <c r="N4481" s="1">
        <f>YEAR(Table1[[#This Row],[Order_Date]])</f>
        <v>2023</v>
      </c>
      <c r="O4481" s="7">
        <f>Table1[[#This Row],[Profit]]/Table1[[#This Row],[Total_Sales]]</f>
        <v>0.48676960997535162</v>
      </c>
    </row>
    <row r="4482" spans="1:15" x14ac:dyDescent="0.25">
      <c r="A4482" s="1">
        <v>4481</v>
      </c>
      <c r="B4482" s="2">
        <v>45305</v>
      </c>
      <c r="C4482" s="1" t="s">
        <v>25</v>
      </c>
      <c r="D4482" s="1" t="s">
        <v>26</v>
      </c>
      <c r="E4482" s="1" t="s">
        <v>27</v>
      </c>
      <c r="F4482" s="1" t="s">
        <v>35</v>
      </c>
      <c r="G4482" s="1">
        <v>8</v>
      </c>
      <c r="H4482" s="1">
        <v>412</v>
      </c>
      <c r="I4482" s="1">
        <v>5</v>
      </c>
      <c r="J4482" s="4">
        <v>3131.2</v>
      </c>
      <c r="K4482" s="4">
        <v>2458.31</v>
      </c>
      <c r="L4482" s="4">
        <v>672.89</v>
      </c>
      <c r="M4482" s="1" t="str">
        <f>TEXT(Table1[[#This Row],[Order_Date]], "MMM")</f>
        <v>Jan</v>
      </c>
      <c r="N4482" s="1">
        <f>YEAR(Table1[[#This Row],[Order_Date]])</f>
        <v>2024</v>
      </c>
      <c r="O4482" s="7">
        <f>Table1[[#This Row],[Profit]]/Table1[[#This Row],[Total_Sales]]</f>
        <v>0.21489844149207973</v>
      </c>
    </row>
    <row r="4483" spans="1:15" x14ac:dyDescent="0.25">
      <c r="A4483" s="1">
        <v>4482</v>
      </c>
      <c r="B4483" s="2">
        <v>45248</v>
      </c>
      <c r="C4483" s="1" t="s">
        <v>16</v>
      </c>
      <c r="D4483" s="1" t="s">
        <v>26</v>
      </c>
      <c r="E4483" s="1" t="s">
        <v>42</v>
      </c>
      <c r="F4483" s="1" t="s">
        <v>35</v>
      </c>
      <c r="G4483" s="1">
        <v>8</v>
      </c>
      <c r="H4483" s="1">
        <v>226</v>
      </c>
      <c r="I4483" s="1">
        <v>5</v>
      </c>
      <c r="J4483" s="4">
        <v>1717.6</v>
      </c>
      <c r="K4483" s="4">
        <v>1327.36</v>
      </c>
      <c r="L4483" s="4">
        <v>390.24</v>
      </c>
      <c r="M4483" s="1" t="str">
        <f>TEXT(Table1[[#This Row],[Order_Date]], "MMM")</f>
        <v>Nov</v>
      </c>
      <c r="N4483" s="1">
        <f>YEAR(Table1[[#This Row],[Order_Date]])</f>
        <v>2023</v>
      </c>
      <c r="O4483" s="7">
        <f>Table1[[#This Row],[Profit]]/Table1[[#This Row],[Total_Sales]]</f>
        <v>0.22720074522589662</v>
      </c>
    </row>
    <row r="4484" spans="1:15" x14ac:dyDescent="0.25">
      <c r="A4484" s="1">
        <v>4483</v>
      </c>
      <c r="B4484" s="2">
        <v>45597</v>
      </c>
      <c r="C4484" s="1" t="s">
        <v>19</v>
      </c>
      <c r="D4484" s="1" t="s">
        <v>13</v>
      </c>
      <c r="E4484" s="1" t="s">
        <v>14</v>
      </c>
      <c r="F4484" s="1" t="s">
        <v>15</v>
      </c>
      <c r="G4484" s="1">
        <v>1</v>
      </c>
      <c r="H4484" s="1">
        <v>668</v>
      </c>
      <c r="I4484" s="1">
        <v>10</v>
      </c>
      <c r="J4484" s="4">
        <v>601.20000000000005</v>
      </c>
      <c r="K4484" s="4">
        <v>375.66</v>
      </c>
      <c r="L4484" s="4">
        <v>225.54</v>
      </c>
      <c r="M4484" s="1" t="str">
        <f>TEXT(Table1[[#This Row],[Order_Date]], "MMM")</f>
        <v>Nov</v>
      </c>
      <c r="N4484" s="1">
        <f>YEAR(Table1[[#This Row],[Order_Date]])</f>
        <v>2024</v>
      </c>
      <c r="O4484" s="7">
        <f>Table1[[#This Row],[Profit]]/Table1[[#This Row],[Total_Sales]]</f>
        <v>0.37514970059880237</v>
      </c>
    </row>
    <row r="4485" spans="1:15" x14ac:dyDescent="0.25">
      <c r="A4485" s="1">
        <v>4484</v>
      </c>
      <c r="B4485" s="2">
        <v>45010</v>
      </c>
      <c r="C4485" s="1" t="s">
        <v>16</v>
      </c>
      <c r="D4485" s="1" t="s">
        <v>22</v>
      </c>
      <c r="E4485" s="1" t="s">
        <v>36</v>
      </c>
      <c r="F4485" s="1" t="s">
        <v>15</v>
      </c>
      <c r="G4485" s="1">
        <v>2</v>
      </c>
      <c r="H4485" s="1">
        <v>268</v>
      </c>
      <c r="I4485" s="1">
        <v>5</v>
      </c>
      <c r="J4485" s="4">
        <v>509.2</v>
      </c>
      <c r="K4485" s="4">
        <v>296.43</v>
      </c>
      <c r="L4485" s="4">
        <v>212.77</v>
      </c>
      <c r="M4485" s="1" t="str">
        <f>TEXT(Table1[[#This Row],[Order_Date]], "MMM")</f>
        <v>Mar</v>
      </c>
      <c r="N4485" s="1">
        <f>YEAR(Table1[[#This Row],[Order_Date]])</f>
        <v>2023</v>
      </c>
      <c r="O4485" s="7">
        <f>Table1[[#This Row],[Profit]]/Table1[[#This Row],[Total_Sales]]</f>
        <v>0.41785153181461121</v>
      </c>
    </row>
    <row r="4486" spans="1:15" x14ac:dyDescent="0.25">
      <c r="A4486" s="1">
        <v>4485</v>
      </c>
      <c r="B4486" s="2">
        <v>44998</v>
      </c>
      <c r="C4486" s="1" t="s">
        <v>12</v>
      </c>
      <c r="D4486" s="1" t="s">
        <v>26</v>
      </c>
      <c r="E4486" s="1" t="s">
        <v>37</v>
      </c>
      <c r="F4486" s="1" t="s">
        <v>31</v>
      </c>
      <c r="G4486" s="1">
        <v>1</v>
      </c>
      <c r="H4486" s="1">
        <v>681</v>
      </c>
      <c r="I4486" s="1">
        <v>5</v>
      </c>
      <c r="J4486" s="4">
        <v>646.95000000000005</v>
      </c>
      <c r="K4486" s="4">
        <v>411.38</v>
      </c>
      <c r="L4486" s="4">
        <v>235.57</v>
      </c>
      <c r="M4486" s="1" t="str">
        <f>TEXT(Table1[[#This Row],[Order_Date]], "MMM")</f>
        <v>Mar</v>
      </c>
      <c r="N4486" s="1">
        <f>YEAR(Table1[[#This Row],[Order_Date]])</f>
        <v>2023</v>
      </c>
      <c r="O4486" s="7">
        <f>Table1[[#This Row],[Profit]]/Table1[[#This Row],[Total_Sales]]</f>
        <v>0.3641239663034237</v>
      </c>
    </row>
    <row r="4487" spans="1:15" x14ac:dyDescent="0.25">
      <c r="A4487" s="1">
        <v>4486</v>
      </c>
      <c r="B4487" s="2">
        <v>45077</v>
      </c>
      <c r="C4487" s="1" t="s">
        <v>25</v>
      </c>
      <c r="D4487" s="1" t="s">
        <v>22</v>
      </c>
      <c r="E4487" s="1" t="s">
        <v>44</v>
      </c>
      <c r="F4487" s="1" t="s">
        <v>35</v>
      </c>
      <c r="G4487" s="1">
        <v>1</v>
      </c>
      <c r="H4487" s="1">
        <v>334</v>
      </c>
      <c r="I4487" s="1">
        <v>15</v>
      </c>
      <c r="J4487" s="4">
        <v>283.89999999999998</v>
      </c>
      <c r="K4487" s="4">
        <v>158.66999999999999</v>
      </c>
      <c r="L4487" s="4">
        <v>125.23</v>
      </c>
      <c r="M4487" s="1" t="str">
        <f>TEXT(Table1[[#This Row],[Order_Date]], "MMM")</f>
        <v>May</v>
      </c>
      <c r="N4487" s="1">
        <f>YEAR(Table1[[#This Row],[Order_Date]])</f>
        <v>2023</v>
      </c>
      <c r="O4487" s="7">
        <f>Table1[[#This Row],[Profit]]/Table1[[#This Row],[Total_Sales]]</f>
        <v>0.44110602324762244</v>
      </c>
    </row>
    <row r="4488" spans="1:15" x14ac:dyDescent="0.25">
      <c r="A4488" s="1">
        <v>4487</v>
      </c>
      <c r="B4488" s="2">
        <v>45443</v>
      </c>
      <c r="C4488" s="1" t="s">
        <v>16</v>
      </c>
      <c r="D4488" s="1" t="s">
        <v>26</v>
      </c>
      <c r="E4488" s="1" t="s">
        <v>37</v>
      </c>
      <c r="F4488" s="1" t="s">
        <v>18</v>
      </c>
      <c r="G4488" s="1">
        <v>3</v>
      </c>
      <c r="H4488" s="1">
        <v>916</v>
      </c>
      <c r="I4488" s="1">
        <v>0</v>
      </c>
      <c r="J4488" s="4">
        <v>2748</v>
      </c>
      <c r="K4488" s="4">
        <v>2092.35</v>
      </c>
      <c r="L4488" s="4">
        <v>655.65</v>
      </c>
      <c r="M4488" s="1" t="str">
        <f>TEXT(Table1[[#This Row],[Order_Date]], "MMM")</f>
        <v>May</v>
      </c>
      <c r="N4488" s="1">
        <f>YEAR(Table1[[#This Row],[Order_Date]])</f>
        <v>2024</v>
      </c>
      <c r="O4488" s="7">
        <f>Table1[[#This Row],[Profit]]/Table1[[#This Row],[Total_Sales]]</f>
        <v>0.23859170305676855</v>
      </c>
    </row>
    <row r="4489" spans="1:15" x14ac:dyDescent="0.25">
      <c r="A4489" s="1">
        <v>4488</v>
      </c>
      <c r="B4489" s="2">
        <v>45570</v>
      </c>
      <c r="C4489" s="1" t="s">
        <v>25</v>
      </c>
      <c r="D4489" s="1" t="s">
        <v>13</v>
      </c>
      <c r="E4489" s="1" t="s">
        <v>14</v>
      </c>
      <c r="F4489" s="1" t="s">
        <v>40</v>
      </c>
      <c r="G4489" s="1">
        <v>10</v>
      </c>
      <c r="H4489" s="1">
        <v>909</v>
      </c>
      <c r="I4489" s="1">
        <v>20</v>
      </c>
      <c r="J4489" s="4">
        <v>7272</v>
      </c>
      <c r="K4489" s="4">
        <v>4735.37</v>
      </c>
      <c r="L4489" s="4">
        <v>2536.63</v>
      </c>
      <c r="M4489" s="1" t="str">
        <f>TEXT(Table1[[#This Row],[Order_Date]], "MMM")</f>
        <v>Oct</v>
      </c>
      <c r="N4489" s="1">
        <f>YEAR(Table1[[#This Row],[Order_Date]])</f>
        <v>2024</v>
      </c>
      <c r="O4489" s="7">
        <f>Table1[[#This Row],[Profit]]/Table1[[#This Row],[Total_Sales]]</f>
        <v>0.34882150715071508</v>
      </c>
    </row>
    <row r="4490" spans="1:15" x14ac:dyDescent="0.25">
      <c r="A4490" s="1">
        <v>4489</v>
      </c>
      <c r="B4490" s="2">
        <v>45323</v>
      </c>
      <c r="C4490" s="1" t="s">
        <v>16</v>
      </c>
      <c r="D4490" s="1" t="s">
        <v>26</v>
      </c>
      <c r="E4490" s="1" t="s">
        <v>42</v>
      </c>
      <c r="F4490" s="1" t="s">
        <v>31</v>
      </c>
      <c r="G4490" s="1">
        <v>2</v>
      </c>
      <c r="H4490" s="1">
        <v>268</v>
      </c>
      <c r="I4490" s="1">
        <v>20</v>
      </c>
      <c r="J4490" s="4">
        <v>428.8</v>
      </c>
      <c r="K4490" s="4">
        <v>262.02</v>
      </c>
      <c r="L4490" s="4">
        <v>166.78</v>
      </c>
      <c r="M4490" s="1" t="str">
        <f>TEXT(Table1[[#This Row],[Order_Date]], "MMM")</f>
        <v>Feb</v>
      </c>
      <c r="N4490" s="1">
        <f>YEAR(Table1[[#This Row],[Order_Date]])</f>
        <v>2024</v>
      </c>
      <c r="O4490" s="7">
        <f>Table1[[#This Row],[Profit]]/Table1[[#This Row],[Total_Sales]]</f>
        <v>0.38894589552238806</v>
      </c>
    </row>
    <row r="4491" spans="1:15" x14ac:dyDescent="0.25">
      <c r="A4491" s="1">
        <v>4490</v>
      </c>
      <c r="B4491" s="2">
        <v>45578</v>
      </c>
      <c r="C4491" s="1" t="s">
        <v>12</v>
      </c>
      <c r="D4491" s="1" t="s">
        <v>20</v>
      </c>
      <c r="E4491" s="1" t="s">
        <v>30</v>
      </c>
      <c r="F4491" s="1" t="s">
        <v>35</v>
      </c>
      <c r="G4491" s="1">
        <v>3</v>
      </c>
      <c r="H4491" s="1">
        <v>760</v>
      </c>
      <c r="I4491" s="1">
        <v>10</v>
      </c>
      <c r="J4491" s="4">
        <v>2052</v>
      </c>
      <c r="K4491" s="4">
        <v>1036.03</v>
      </c>
      <c r="L4491" s="4">
        <v>1015.97</v>
      </c>
      <c r="M4491" s="1" t="str">
        <f>TEXT(Table1[[#This Row],[Order_Date]], "MMM")</f>
        <v>Oct</v>
      </c>
      <c r="N4491" s="1">
        <f>YEAR(Table1[[#This Row],[Order_Date]])</f>
        <v>2024</v>
      </c>
      <c r="O4491" s="7">
        <f>Table1[[#This Row],[Profit]]/Table1[[#This Row],[Total_Sales]]</f>
        <v>0.4951120857699805</v>
      </c>
    </row>
    <row r="4492" spans="1:15" x14ac:dyDescent="0.25">
      <c r="A4492" s="1">
        <v>4491</v>
      </c>
      <c r="B4492" s="2">
        <v>45535</v>
      </c>
      <c r="C4492" s="1" t="s">
        <v>25</v>
      </c>
      <c r="D4492" s="1" t="s">
        <v>22</v>
      </c>
      <c r="E4492" s="1" t="s">
        <v>44</v>
      </c>
      <c r="F4492" s="1" t="s">
        <v>35</v>
      </c>
      <c r="G4492" s="1">
        <v>7</v>
      </c>
      <c r="H4492" s="1">
        <v>378</v>
      </c>
      <c r="I4492" s="1">
        <v>20</v>
      </c>
      <c r="J4492" s="4">
        <v>2116.8000000000002</v>
      </c>
      <c r="K4492" s="4">
        <v>1107.43</v>
      </c>
      <c r="L4492" s="4">
        <v>1009.37</v>
      </c>
      <c r="M4492" s="1" t="str">
        <f>TEXT(Table1[[#This Row],[Order_Date]], "MMM")</f>
        <v>Aug</v>
      </c>
      <c r="N4492" s="1">
        <f>YEAR(Table1[[#This Row],[Order_Date]])</f>
        <v>2024</v>
      </c>
      <c r="O4492" s="7">
        <f>Table1[[#This Row],[Profit]]/Table1[[#This Row],[Total_Sales]]</f>
        <v>0.47683767951625089</v>
      </c>
    </row>
    <row r="4493" spans="1:15" x14ac:dyDescent="0.25">
      <c r="A4493" s="1">
        <v>4492</v>
      </c>
      <c r="B4493" s="2">
        <v>44947</v>
      </c>
      <c r="C4493" s="1" t="s">
        <v>19</v>
      </c>
      <c r="D4493" s="1" t="s">
        <v>22</v>
      </c>
      <c r="E4493" s="1" t="s">
        <v>44</v>
      </c>
      <c r="F4493" s="1" t="s">
        <v>24</v>
      </c>
      <c r="G4493" s="1">
        <v>1</v>
      </c>
      <c r="H4493" s="1">
        <v>128</v>
      </c>
      <c r="I4493" s="1">
        <v>5</v>
      </c>
      <c r="J4493" s="4">
        <v>121.6</v>
      </c>
      <c r="K4493" s="4">
        <v>63.29</v>
      </c>
      <c r="L4493" s="4">
        <v>58.31</v>
      </c>
      <c r="M4493" s="1" t="str">
        <f>TEXT(Table1[[#This Row],[Order_Date]], "MMM")</f>
        <v>Jan</v>
      </c>
      <c r="N4493" s="1">
        <f>YEAR(Table1[[#This Row],[Order_Date]])</f>
        <v>2023</v>
      </c>
      <c r="O4493" s="7">
        <f>Table1[[#This Row],[Profit]]/Table1[[#This Row],[Total_Sales]]</f>
        <v>0.47952302631578952</v>
      </c>
    </row>
    <row r="4494" spans="1:15" x14ac:dyDescent="0.25">
      <c r="A4494" s="1">
        <v>4493</v>
      </c>
      <c r="B4494" s="2">
        <v>45515</v>
      </c>
      <c r="C4494" s="1" t="s">
        <v>19</v>
      </c>
      <c r="D4494" s="1" t="s">
        <v>20</v>
      </c>
      <c r="E4494" s="1" t="s">
        <v>43</v>
      </c>
      <c r="F4494" s="1" t="s">
        <v>15</v>
      </c>
      <c r="G4494" s="1">
        <v>8</v>
      </c>
      <c r="H4494" s="1">
        <v>345</v>
      </c>
      <c r="I4494" s="1">
        <v>20</v>
      </c>
      <c r="J4494" s="4">
        <v>2208</v>
      </c>
      <c r="K4494" s="4">
        <v>1501.9</v>
      </c>
      <c r="L4494" s="4">
        <v>706.1</v>
      </c>
      <c r="M4494" s="1" t="str">
        <f>TEXT(Table1[[#This Row],[Order_Date]], "MMM")</f>
        <v>Aug</v>
      </c>
      <c r="N4494" s="1">
        <f>YEAR(Table1[[#This Row],[Order_Date]])</f>
        <v>2024</v>
      </c>
      <c r="O4494" s="7">
        <f>Table1[[#This Row],[Profit]]/Table1[[#This Row],[Total_Sales]]</f>
        <v>0.3197916666666667</v>
      </c>
    </row>
    <row r="4495" spans="1:15" x14ac:dyDescent="0.25">
      <c r="A4495" s="1">
        <v>4494</v>
      </c>
      <c r="B4495" s="2">
        <v>45242</v>
      </c>
      <c r="C4495" s="1" t="s">
        <v>16</v>
      </c>
      <c r="D4495" s="1" t="s">
        <v>20</v>
      </c>
      <c r="E4495" s="1" t="s">
        <v>30</v>
      </c>
      <c r="F4495" s="1" t="s">
        <v>24</v>
      </c>
      <c r="G4495" s="1">
        <v>7</v>
      </c>
      <c r="H4495" s="1">
        <v>857</v>
      </c>
      <c r="I4495" s="1">
        <v>15</v>
      </c>
      <c r="J4495" s="4">
        <v>5099.1499999999996</v>
      </c>
      <c r="K4495" s="4">
        <v>3480.48</v>
      </c>
      <c r="L4495" s="4">
        <v>1618.67</v>
      </c>
      <c r="M4495" s="1" t="str">
        <f>TEXT(Table1[[#This Row],[Order_Date]], "MMM")</f>
        <v>Nov</v>
      </c>
      <c r="N4495" s="1">
        <f>YEAR(Table1[[#This Row],[Order_Date]])</f>
        <v>2023</v>
      </c>
      <c r="O4495" s="7">
        <f>Table1[[#This Row],[Profit]]/Table1[[#This Row],[Total_Sales]]</f>
        <v>0.31743918103997731</v>
      </c>
    </row>
    <row r="4496" spans="1:15" x14ac:dyDescent="0.25">
      <c r="A4496" s="1">
        <v>4495</v>
      </c>
      <c r="B4496" s="2">
        <v>45350</v>
      </c>
      <c r="C4496" s="1" t="s">
        <v>12</v>
      </c>
      <c r="D4496" s="1" t="s">
        <v>22</v>
      </c>
      <c r="E4496" s="1" t="s">
        <v>23</v>
      </c>
      <c r="F4496" s="1" t="s">
        <v>40</v>
      </c>
      <c r="G4496" s="1">
        <v>2</v>
      </c>
      <c r="H4496" s="1">
        <v>780</v>
      </c>
      <c r="I4496" s="1">
        <v>20</v>
      </c>
      <c r="J4496" s="4">
        <v>1248</v>
      </c>
      <c r="K4496" s="4">
        <v>986.69</v>
      </c>
      <c r="L4496" s="4">
        <v>261.31</v>
      </c>
      <c r="M4496" s="1" t="str">
        <f>TEXT(Table1[[#This Row],[Order_Date]], "MMM")</f>
        <v>Feb</v>
      </c>
      <c r="N4496" s="1">
        <f>YEAR(Table1[[#This Row],[Order_Date]])</f>
        <v>2024</v>
      </c>
      <c r="O4496" s="7">
        <f>Table1[[#This Row],[Profit]]/Table1[[#This Row],[Total_Sales]]</f>
        <v>0.20938301282051283</v>
      </c>
    </row>
    <row r="4497" spans="1:15" x14ac:dyDescent="0.25">
      <c r="A4497" s="1">
        <v>4496</v>
      </c>
      <c r="B4497" s="2">
        <v>45028</v>
      </c>
      <c r="C4497" s="1" t="s">
        <v>25</v>
      </c>
      <c r="D4497" s="1" t="s">
        <v>20</v>
      </c>
      <c r="E4497" s="1" t="s">
        <v>30</v>
      </c>
      <c r="F4497" s="1" t="s">
        <v>18</v>
      </c>
      <c r="G4497" s="1">
        <v>7</v>
      </c>
      <c r="H4497" s="1">
        <v>803</v>
      </c>
      <c r="I4497" s="1">
        <v>10</v>
      </c>
      <c r="J4497" s="4">
        <v>5058.8999999999996</v>
      </c>
      <c r="K4497" s="4">
        <v>2631.22</v>
      </c>
      <c r="L4497" s="4">
        <v>2427.6799999999998</v>
      </c>
      <c r="M4497" s="1" t="str">
        <f>TEXT(Table1[[#This Row],[Order_Date]], "MMM")</f>
        <v>Apr</v>
      </c>
      <c r="N4497" s="1">
        <f>YEAR(Table1[[#This Row],[Order_Date]])</f>
        <v>2023</v>
      </c>
      <c r="O4497" s="7">
        <f>Table1[[#This Row],[Profit]]/Table1[[#This Row],[Total_Sales]]</f>
        <v>0.47988297851311551</v>
      </c>
    </row>
    <row r="4498" spans="1:15" x14ac:dyDescent="0.25">
      <c r="A4498" s="1">
        <v>4497</v>
      </c>
      <c r="B4498" s="2">
        <v>45541</v>
      </c>
      <c r="C4498" s="1" t="s">
        <v>12</v>
      </c>
      <c r="D4498" s="1" t="s">
        <v>20</v>
      </c>
      <c r="E4498" s="1" t="s">
        <v>30</v>
      </c>
      <c r="F4498" s="1" t="s">
        <v>31</v>
      </c>
      <c r="G4498" s="1">
        <v>6</v>
      </c>
      <c r="H4498" s="1">
        <v>884</v>
      </c>
      <c r="I4498" s="1">
        <v>15</v>
      </c>
      <c r="J4498" s="4">
        <v>4508.3999999999996</v>
      </c>
      <c r="K4498" s="4">
        <v>2513.75</v>
      </c>
      <c r="L4498" s="4">
        <v>1994.65</v>
      </c>
      <c r="M4498" s="1" t="str">
        <f>TEXT(Table1[[#This Row],[Order_Date]], "MMM")</f>
        <v>Sep</v>
      </c>
      <c r="N4498" s="1">
        <f>YEAR(Table1[[#This Row],[Order_Date]])</f>
        <v>2024</v>
      </c>
      <c r="O4498" s="7">
        <f>Table1[[#This Row],[Profit]]/Table1[[#This Row],[Total_Sales]]</f>
        <v>0.44242968680684946</v>
      </c>
    </row>
    <row r="4499" spans="1:15" x14ac:dyDescent="0.25">
      <c r="A4499" s="1">
        <v>4498</v>
      </c>
      <c r="B4499" s="2">
        <v>45181</v>
      </c>
      <c r="C4499" s="1" t="s">
        <v>19</v>
      </c>
      <c r="D4499" s="1" t="s">
        <v>13</v>
      </c>
      <c r="E4499" s="1" t="s">
        <v>38</v>
      </c>
      <c r="F4499" s="1" t="s">
        <v>24</v>
      </c>
      <c r="G4499" s="1">
        <v>2</v>
      </c>
      <c r="H4499" s="1">
        <v>639</v>
      </c>
      <c r="I4499" s="1">
        <v>0</v>
      </c>
      <c r="J4499" s="4">
        <v>1278</v>
      </c>
      <c r="K4499" s="4">
        <v>985.85</v>
      </c>
      <c r="L4499" s="4">
        <v>292.14999999999998</v>
      </c>
      <c r="M4499" s="1" t="str">
        <f>TEXT(Table1[[#This Row],[Order_Date]], "MMM")</f>
        <v>Sep</v>
      </c>
      <c r="N4499" s="1">
        <f>YEAR(Table1[[#This Row],[Order_Date]])</f>
        <v>2023</v>
      </c>
      <c r="O4499" s="7">
        <f>Table1[[#This Row],[Profit]]/Table1[[#This Row],[Total_Sales]]</f>
        <v>0.22859937402190922</v>
      </c>
    </row>
    <row r="4500" spans="1:15" x14ac:dyDescent="0.25">
      <c r="A4500" s="1">
        <v>4499</v>
      </c>
      <c r="B4500" s="2">
        <v>45101</v>
      </c>
      <c r="C4500" s="1" t="s">
        <v>12</v>
      </c>
      <c r="D4500" s="1" t="s">
        <v>26</v>
      </c>
      <c r="E4500" s="1" t="s">
        <v>37</v>
      </c>
      <c r="F4500" s="1" t="s">
        <v>40</v>
      </c>
      <c r="G4500" s="1">
        <v>10</v>
      </c>
      <c r="H4500" s="1">
        <v>878</v>
      </c>
      <c r="I4500" s="1">
        <v>10</v>
      </c>
      <c r="J4500" s="4">
        <v>7902</v>
      </c>
      <c r="K4500" s="4">
        <v>3976.1</v>
      </c>
      <c r="L4500" s="4">
        <v>3925.9</v>
      </c>
      <c r="M4500" s="1" t="str">
        <f>TEXT(Table1[[#This Row],[Order_Date]], "MMM")</f>
        <v>Jun</v>
      </c>
      <c r="N4500" s="1">
        <f>YEAR(Table1[[#This Row],[Order_Date]])</f>
        <v>2023</v>
      </c>
      <c r="O4500" s="7">
        <f>Table1[[#This Row],[Profit]]/Table1[[#This Row],[Total_Sales]]</f>
        <v>0.49682358896481904</v>
      </c>
    </row>
    <row r="4501" spans="1:15" x14ac:dyDescent="0.25">
      <c r="A4501" s="1">
        <v>4500</v>
      </c>
      <c r="B4501" s="2">
        <v>45538</v>
      </c>
      <c r="C4501" s="1" t="s">
        <v>12</v>
      </c>
      <c r="D4501" s="1" t="s">
        <v>26</v>
      </c>
      <c r="E4501" s="1" t="s">
        <v>46</v>
      </c>
      <c r="F4501" s="1" t="s">
        <v>40</v>
      </c>
      <c r="G4501" s="1">
        <v>1</v>
      </c>
      <c r="H4501" s="1">
        <v>558</v>
      </c>
      <c r="I4501" s="1">
        <v>0</v>
      </c>
      <c r="J4501" s="4">
        <v>558</v>
      </c>
      <c r="K4501" s="4">
        <v>340.54</v>
      </c>
      <c r="L4501" s="4">
        <v>217.46</v>
      </c>
      <c r="M4501" s="1" t="str">
        <f>TEXT(Table1[[#This Row],[Order_Date]], "MMM")</f>
        <v>Sep</v>
      </c>
      <c r="N4501" s="1">
        <f>YEAR(Table1[[#This Row],[Order_Date]])</f>
        <v>2024</v>
      </c>
      <c r="O4501" s="7">
        <f>Table1[[#This Row],[Profit]]/Table1[[#This Row],[Total_Sales]]</f>
        <v>0.38971326164874553</v>
      </c>
    </row>
    <row r="4502" spans="1:15" x14ac:dyDescent="0.25">
      <c r="A4502" s="1">
        <v>4501</v>
      </c>
      <c r="B4502" s="2">
        <v>45511</v>
      </c>
      <c r="C4502" s="1" t="s">
        <v>12</v>
      </c>
      <c r="D4502" s="1" t="s">
        <v>26</v>
      </c>
      <c r="E4502" s="1" t="s">
        <v>42</v>
      </c>
      <c r="F4502" s="1" t="s">
        <v>35</v>
      </c>
      <c r="G4502" s="1">
        <v>6</v>
      </c>
      <c r="H4502" s="1">
        <v>502</v>
      </c>
      <c r="I4502" s="1">
        <v>10</v>
      </c>
      <c r="J4502" s="4">
        <v>2710.8</v>
      </c>
      <c r="K4502" s="4">
        <v>1653.5</v>
      </c>
      <c r="L4502" s="4">
        <v>1057.3</v>
      </c>
      <c r="M4502" s="1" t="str">
        <f>TEXT(Table1[[#This Row],[Order_Date]], "MMM")</f>
        <v>Aug</v>
      </c>
      <c r="N4502" s="1">
        <f>YEAR(Table1[[#This Row],[Order_Date]])</f>
        <v>2024</v>
      </c>
      <c r="O4502" s="7">
        <f>Table1[[#This Row],[Profit]]/Table1[[#This Row],[Total_Sales]]</f>
        <v>0.39003246274162606</v>
      </c>
    </row>
    <row r="4503" spans="1:15" x14ac:dyDescent="0.25">
      <c r="A4503" s="1">
        <v>4502</v>
      </c>
      <c r="B4503" s="2">
        <v>45326</v>
      </c>
      <c r="C4503" s="1" t="s">
        <v>16</v>
      </c>
      <c r="D4503" s="1" t="s">
        <v>26</v>
      </c>
      <c r="E4503" s="1" t="s">
        <v>27</v>
      </c>
      <c r="F4503" s="1" t="s">
        <v>18</v>
      </c>
      <c r="G4503" s="1">
        <v>8</v>
      </c>
      <c r="H4503" s="1">
        <v>74</v>
      </c>
      <c r="I4503" s="1">
        <v>0</v>
      </c>
      <c r="J4503" s="4">
        <v>592</v>
      </c>
      <c r="K4503" s="4">
        <v>380.45</v>
      </c>
      <c r="L4503" s="4">
        <v>211.55</v>
      </c>
      <c r="M4503" s="1" t="str">
        <f>TEXT(Table1[[#This Row],[Order_Date]], "MMM")</f>
        <v>Feb</v>
      </c>
      <c r="N4503" s="1">
        <f>YEAR(Table1[[#This Row],[Order_Date]])</f>
        <v>2024</v>
      </c>
      <c r="O4503" s="7">
        <f>Table1[[#This Row],[Profit]]/Table1[[#This Row],[Total_Sales]]</f>
        <v>0.35734797297297299</v>
      </c>
    </row>
    <row r="4504" spans="1:15" x14ac:dyDescent="0.25">
      <c r="A4504" s="1">
        <v>4503</v>
      </c>
      <c r="B4504" s="2">
        <v>45139</v>
      </c>
      <c r="C4504" s="1" t="s">
        <v>25</v>
      </c>
      <c r="D4504" s="1" t="s">
        <v>13</v>
      </c>
      <c r="E4504" s="1" t="s">
        <v>39</v>
      </c>
      <c r="F4504" s="1" t="s">
        <v>31</v>
      </c>
      <c r="G4504" s="1">
        <v>10</v>
      </c>
      <c r="H4504" s="1">
        <v>511</v>
      </c>
      <c r="I4504" s="1">
        <v>10</v>
      </c>
      <c r="J4504" s="4">
        <v>4599</v>
      </c>
      <c r="K4504" s="4">
        <v>2558.66</v>
      </c>
      <c r="L4504" s="4">
        <v>2040.34</v>
      </c>
      <c r="M4504" s="1" t="str">
        <f>TEXT(Table1[[#This Row],[Order_Date]], "MMM")</f>
        <v>Aug</v>
      </c>
      <c r="N4504" s="1">
        <f>YEAR(Table1[[#This Row],[Order_Date]])</f>
        <v>2023</v>
      </c>
      <c r="O4504" s="7">
        <f>Table1[[#This Row],[Profit]]/Table1[[#This Row],[Total_Sales]]</f>
        <v>0.44364861926505761</v>
      </c>
    </row>
    <row r="4505" spans="1:15" x14ac:dyDescent="0.25">
      <c r="A4505" s="1">
        <v>4504</v>
      </c>
      <c r="B4505" s="2">
        <v>45304</v>
      </c>
      <c r="C4505" s="1" t="s">
        <v>19</v>
      </c>
      <c r="D4505" s="1" t="s">
        <v>20</v>
      </c>
      <c r="E4505" s="1" t="s">
        <v>30</v>
      </c>
      <c r="F4505" s="1" t="s">
        <v>31</v>
      </c>
      <c r="G4505" s="1">
        <v>3</v>
      </c>
      <c r="H4505" s="1">
        <v>619</v>
      </c>
      <c r="I4505" s="1">
        <v>20</v>
      </c>
      <c r="J4505" s="4">
        <v>1485.6</v>
      </c>
      <c r="K4505" s="4">
        <v>1156.6199999999999</v>
      </c>
      <c r="L4505" s="4">
        <v>328.98</v>
      </c>
      <c r="M4505" s="1" t="str">
        <f>TEXT(Table1[[#This Row],[Order_Date]], "MMM")</f>
        <v>Jan</v>
      </c>
      <c r="N4505" s="1">
        <f>YEAR(Table1[[#This Row],[Order_Date]])</f>
        <v>2024</v>
      </c>
      <c r="O4505" s="7">
        <f>Table1[[#This Row],[Profit]]/Table1[[#This Row],[Total_Sales]]</f>
        <v>0.22144588045234251</v>
      </c>
    </row>
    <row r="4506" spans="1:15" x14ac:dyDescent="0.25">
      <c r="A4506" s="1">
        <v>4505</v>
      </c>
      <c r="B4506" s="2">
        <v>45536</v>
      </c>
      <c r="C4506" s="1" t="s">
        <v>12</v>
      </c>
      <c r="D4506" s="1" t="s">
        <v>26</v>
      </c>
      <c r="E4506" s="1" t="s">
        <v>37</v>
      </c>
      <c r="F4506" s="1" t="s">
        <v>24</v>
      </c>
      <c r="G4506" s="1">
        <v>6</v>
      </c>
      <c r="H4506" s="1">
        <v>696</v>
      </c>
      <c r="I4506" s="1">
        <v>0</v>
      </c>
      <c r="J4506" s="4">
        <v>4176</v>
      </c>
      <c r="K4506" s="4">
        <v>2548.2199999999998</v>
      </c>
      <c r="L4506" s="4">
        <v>1627.78</v>
      </c>
      <c r="M4506" s="1" t="str">
        <f>TEXT(Table1[[#This Row],[Order_Date]], "MMM")</f>
        <v>Sep</v>
      </c>
      <c r="N4506" s="1">
        <f>YEAR(Table1[[#This Row],[Order_Date]])</f>
        <v>2024</v>
      </c>
      <c r="O4506" s="7">
        <f>Table1[[#This Row],[Profit]]/Table1[[#This Row],[Total_Sales]]</f>
        <v>0.38979406130268196</v>
      </c>
    </row>
    <row r="4507" spans="1:15" x14ac:dyDescent="0.25">
      <c r="A4507" s="1">
        <v>4506</v>
      </c>
      <c r="B4507" s="2">
        <v>45477</v>
      </c>
      <c r="C4507" s="1" t="s">
        <v>25</v>
      </c>
      <c r="D4507" s="1" t="s">
        <v>22</v>
      </c>
      <c r="E4507" s="1" t="s">
        <v>23</v>
      </c>
      <c r="F4507" s="1" t="s">
        <v>40</v>
      </c>
      <c r="G4507" s="1">
        <v>9</v>
      </c>
      <c r="H4507" s="1">
        <v>287</v>
      </c>
      <c r="I4507" s="1">
        <v>0</v>
      </c>
      <c r="J4507" s="4">
        <v>2583</v>
      </c>
      <c r="K4507" s="4">
        <v>1773.42</v>
      </c>
      <c r="L4507" s="4">
        <v>809.58</v>
      </c>
      <c r="M4507" s="1" t="str">
        <f>TEXT(Table1[[#This Row],[Order_Date]], "MMM")</f>
        <v>Jul</v>
      </c>
      <c r="N4507" s="1">
        <f>YEAR(Table1[[#This Row],[Order_Date]])</f>
        <v>2024</v>
      </c>
      <c r="O4507" s="7">
        <f>Table1[[#This Row],[Profit]]/Table1[[#This Row],[Total_Sales]]</f>
        <v>0.31342624854819978</v>
      </c>
    </row>
    <row r="4508" spans="1:15" x14ac:dyDescent="0.25">
      <c r="A4508" s="1">
        <v>4507</v>
      </c>
      <c r="B4508" s="2">
        <v>45214</v>
      </c>
      <c r="C4508" s="1" t="s">
        <v>19</v>
      </c>
      <c r="D4508" s="1" t="s">
        <v>20</v>
      </c>
      <c r="E4508" s="1" t="s">
        <v>28</v>
      </c>
      <c r="F4508" s="1" t="s">
        <v>31</v>
      </c>
      <c r="G4508" s="1">
        <v>7</v>
      </c>
      <c r="H4508" s="1">
        <v>582</v>
      </c>
      <c r="I4508" s="1">
        <v>5</v>
      </c>
      <c r="J4508" s="4">
        <v>3870.3</v>
      </c>
      <c r="K4508" s="4">
        <v>2119.81</v>
      </c>
      <c r="L4508" s="4">
        <v>1750.49</v>
      </c>
      <c r="M4508" s="1" t="str">
        <f>TEXT(Table1[[#This Row],[Order_Date]], "MMM")</f>
        <v>Oct</v>
      </c>
      <c r="N4508" s="1">
        <f>YEAR(Table1[[#This Row],[Order_Date]])</f>
        <v>2023</v>
      </c>
      <c r="O4508" s="7">
        <f>Table1[[#This Row],[Profit]]/Table1[[#This Row],[Total_Sales]]</f>
        <v>0.45228793633568454</v>
      </c>
    </row>
    <row r="4509" spans="1:15" x14ac:dyDescent="0.25">
      <c r="A4509" s="1">
        <v>4508</v>
      </c>
      <c r="B4509" s="2">
        <v>45534</v>
      </c>
      <c r="C4509" s="1" t="s">
        <v>25</v>
      </c>
      <c r="D4509" s="1" t="s">
        <v>22</v>
      </c>
      <c r="E4509" s="1" t="s">
        <v>23</v>
      </c>
      <c r="F4509" s="1" t="s">
        <v>18</v>
      </c>
      <c r="G4509" s="1">
        <v>4</v>
      </c>
      <c r="H4509" s="1">
        <v>984</v>
      </c>
      <c r="I4509" s="1">
        <v>15</v>
      </c>
      <c r="J4509" s="4">
        <v>3345.6</v>
      </c>
      <c r="K4509" s="4">
        <v>2015.81</v>
      </c>
      <c r="L4509" s="4">
        <v>1329.79</v>
      </c>
      <c r="M4509" s="1" t="str">
        <f>TEXT(Table1[[#This Row],[Order_Date]], "MMM")</f>
        <v>Aug</v>
      </c>
      <c r="N4509" s="1">
        <f>YEAR(Table1[[#This Row],[Order_Date]])</f>
        <v>2024</v>
      </c>
      <c r="O4509" s="7">
        <f>Table1[[#This Row],[Profit]]/Table1[[#This Row],[Total_Sales]]</f>
        <v>0.39747429459588712</v>
      </c>
    </row>
    <row r="4510" spans="1:15" x14ac:dyDescent="0.25">
      <c r="A4510" s="1">
        <v>4509</v>
      </c>
      <c r="B4510" s="2">
        <v>45581</v>
      </c>
      <c r="C4510" s="1" t="s">
        <v>25</v>
      </c>
      <c r="D4510" s="1" t="s">
        <v>26</v>
      </c>
      <c r="E4510" s="1" t="s">
        <v>27</v>
      </c>
      <c r="F4510" s="1" t="s">
        <v>15</v>
      </c>
      <c r="G4510" s="1">
        <v>10</v>
      </c>
      <c r="H4510" s="1">
        <v>268</v>
      </c>
      <c r="I4510" s="1">
        <v>15</v>
      </c>
      <c r="J4510" s="4">
        <v>2278</v>
      </c>
      <c r="K4510" s="4">
        <v>1232.53</v>
      </c>
      <c r="L4510" s="4">
        <v>1045.47</v>
      </c>
      <c r="M4510" s="1" t="str">
        <f>TEXT(Table1[[#This Row],[Order_Date]], "MMM")</f>
        <v>Oct</v>
      </c>
      <c r="N4510" s="1">
        <f>YEAR(Table1[[#This Row],[Order_Date]])</f>
        <v>2024</v>
      </c>
      <c r="O4510" s="7">
        <f>Table1[[#This Row],[Profit]]/Table1[[#This Row],[Total_Sales]]</f>
        <v>0.45894205443371378</v>
      </c>
    </row>
    <row r="4511" spans="1:15" x14ac:dyDescent="0.25">
      <c r="A4511" s="1">
        <v>4510</v>
      </c>
      <c r="B4511" s="2">
        <v>45173</v>
      </c>
      <c r="C4511" s="1" t="s">
        <v>12</v>
      </c>
      <c r="D4511" s="1" t="s">
        <v>20</v>
      </c>
      <c r="E4511" s="1" t="s">
        <v>21</v>
      </c>
      <c r="F4511" s="1" t="s">
        <v>31</v>
      </c>
      <c r="G4511" s="1">
        <v>7</v>
      </c>
      <c r="H4511" s="1">
        <v>933</v>
      </c>
      <c r="I4511" s="1">
        <v>0</v>
      </c>
      <c r="J4511" s="4">
        <v>6531</v>
      </c>
      <c r="K4511" s="4">
        <v>3598.56</v>
      </c>
      <c r="L4511" s="4">
        <v>2932.44</v>
      </c>
      <c r="M4511" s="1" t="str">
        <f>TEXT(Table1[[#This Row],[Order_Date]], "MMM")</f>
        <v>Sep</v>
      </c>
      <c r="N4511" s="1">
        <f>YEAR(Table1[[#This Row],[Order_Date]])</f>
        <v>2023</v>
      </c>
      <c r="O4511" s="7">
        <f>Table1[[#This Row],[Profit]]/Table1[[#This Row],[Total_Sales]]</f>
        <v>0.44900321543408361</v>
      </c>
    </row>
    <row r="4512" spans="1:15" x14ac:dyDescent="0.25">
      <c r="A4512" s="1">
        <v>4511</v>
      </c>
      <c r="B4512" s="2">
        <v>44990</v>
      </c>
      <c r="C4512" s="1" t="s">
        <v>25</v>
      </c>
      <c r="D4512" s="1" t="s">
        <v>26</v>
      </c>
      <c r="E4512" s="1" t="s">
        <v>42</v>
      </c>
      <c r="F4512" s="1" t="s">
        <v>18</v>
      </c>
      <c r="G4512" s="1">
        <v>7</v>
      </c>
      <c r="H4512" s="1">
        <v>960</v>
      </c>
      <c r="I4512" s="1">
        <v>5</v>
      </c>
      <c r="J4512" s="4">
        <v>6384</v>
      </c>
      <c r="K4512" s="4">
        <v>5057.0200000000004</v>
      </c>
      <c r="L4512" s="4">
        <v>1326.98</v>
      </c>
      <c r="M4512" s="1" t="str">
        <f>TEXT(Table1[[#This Row],[Order_Date]], "MMM")</f>
        <v>Mar</v>
      </c>
      <c r="N4512" s="1">
        <f>YEAR(Table1[[#This Row],[Order_Date]])</f>
        <v>2023</v>
      </c>
      <c r="O4512" s="7">
        <f>Table1[[#This Row],[Profit]]/Table1[[#This Row],[Total_Sales]]</f>
        <v>0.20786027568922305</v>
      </c>
    </row>
    <row r="4513" spans="1:15" x14ac:dyDescent="0.25">
      <c r="A4513" s="1">
        <v>4512</v>
      </c>
      <c r="B4513" s="2">
        <v>45629</v>
      </c>
      <c r="C4513" s="1" t="s">
        <v>16</v>
      </c>
      <c r="D4513" s="1" t="s">
        <v>22</v>
      </c>
      <c r="E4513" s="1" t="s">
        <v>29</v>
      </c>
      <c r="F4513" s="1" t="s">
        <v>35</v>
      </c>
      <c r="G4513" s="1">
        <v>8</v>
      </c>
      <c r="H4513" s="1">
        <v>280</v>
      </c>
      <c r="I4513" s="1">
        <v>0</v>
      </c>
      <c r="J4513" s="4">
        <v>2240</v>
      </c>
      <c r="K4513" s="4">
        <v>1781.31</v>
      </c>
      <c r="L4513" s="4">
        <v>458.69</v>
      </c>
      <c r="M4513" s="1" t="str">
        <f>TEXT(Table1[[#This Row],[Order_Date]], "MMM")</f>
        <v>Dec</v>
      </c>
      <c r="N4513" s="1">
        <f>YEAR(Table1[[#This Row],[Order_Date]])</f>
        <v>2024</v>
      </c>
      <c r="O4513" s="7">
        <f>Table1[[#This Row],[Profit]]/Table1[[#This Row],[Total_Sales]]</f>
        <v>0.20477232142857144</v>
      </c>
    </row>
    <row r="4514" spans="1:15" x14ac:dyDescent="0.25">
      <c r="A4514" s="1">
        <v>4513</v>
      </c>
      <c r="B4514" s="2">
        <v>44952</v>
      </c>
      <c r="C4514" s="1" t="s">
        <v>25</v>
      </c>
      <c r="D4514" s="1" t="s">
        <v>32</v>
      </c>
      <c r="E4514" s="1" t="s">
        <v>33</v>
      </c>
      <c r="F4514" s="1" t="s">
        <v>18</v>
      </c>
      <c r="G4514" s="1">
        <v>7</v>
      </c>
      <c r="H4514" s="1">
        <v>981</v>
      </c>
      <c r="I4514" s="1">
        <v>0</v>
      </c>
      <c r="J4514" s="4">
        <v>6867</v>
      </c>
      <c r="K4514" s="4">
        <v>3734.05</v>
      </c>
      <c r="L4514" s="4">
        <v>3132.95</v>
      </c>
      <c r="M4514" s="1" t="str">
        <f>TEXT(Table1[[#This Row],[Order_Date]], "MMM")</f>
        <v>Jan</v>
      </c>
      <c r="N4514" s="1">
        <f>YEAR(Table1[[#This Row],[Order_Date]])</f>
        <v>2023</v>
      </c>
      <c r="O4514" s="7">
        <f>Table1[[#This Row],[Profit]]/Table1[[#This Row],[Total_Sales]]</f>
        <v>0.45623270715013831</v>
      </c>
    </row>
    <row r="4515" spans="1:15" x14ac:dyDescent="0.25">
      <c r="A4515" s="1">
        <v>4514</v>
      </c>
      <c r="B4515" s="2">
        <v>45217</v>
      </c>
      <c r="C4515" s="1" t="s">
        <v>25</v>
      </c>
      <c r="D4515" s="1" t="s">
        <v>32</v>
      </c>
      <c r="E4515" s="1" t="s">
        <v>33</v>
      </c>
      <c r="F4515" s="1" t="s">
        <v>40</v>
      </c>
      <c r="G4515" s="1">
        <v>3</v>
      </c>
      <c r="H4515" s="1">
        <v>228</v>
      </c>
      <c r="I4515" s="1">
        <v>0</v>
      </c>
      <c r="J4515" s="4">
        <v>684</v>
      </c>
      <c r="K4515" s="4">
        <v>466.25</v>
      </c>
      <c r="L4515" s="4">
        <v>217.75</v>
      </c>
      <c r="M4515" s="1" t="str">
        <f>TEXT(Table1[[#This Row],[Order_Date]], "MMM")</f>
        <v>Oct</v>
      </c>
      <c r="N4515" s="1">
        <f>YEAR(Table1[[#This Row],[Order_Date]])</f>
        <v>2023</v>
      </c>
      <c r="O4515" s="7">
        <f>Table1[[#This Row],[Profit]]/Table1[[#This Row],[Total_Sales]]</f>
        <v>0.31834795321637427</v>
      </c>
    </row>
    <row r="4516" spans="1:15" x14ac:dyDescent="0.25">
      <c r="A4516" s="1">
        <v>4515</v>
      </c>
      <c r="B4516" s="2">
        <v>45182</v>
      </c>
      <c r="C4516" s="1" t="s">
        <v>25</v>
      </c>
      <c r="D4516" s="1" t="s">
        <v>26</v>
      </c>
      <c r="E4516" s="1" t="s">
        <v>46</v>
      </c>
      <c r="F4516" s="1" t="s">
        <v>35</v>
      </c>
      <c r="G4516" s="1">
        <v>6</v>
      </c>
      <c r="H4516" s="1">
        <v>890</v>
      </c>
      <c r="I4516" s="1">
        <v>15</v>
      </c>
      <c r="J4516" s="4">
        <v>4539</v>
      </c>
      <c r="K4516" s="4">
        <v>2516.17</v>
      </c>
      <c r="L4516" s="4">
        <v>2022.83</v>
      </c>
      <c r="M4516" s="1" t="str">
        <f>TEXT(Table1[[#This Row],[Order_Date]], "MMM")</f>
        <v>Sep</v>
      </c>
      <c r="N4516" s="1">
        <f>YEAR(Table1[[#This Row],[Order_Date]])</f>
        <v>2023</v>
      </c>
      <c r="O4516" s="7">
        <f>Table1[[#This Row],[Profit]]/Table1[[#This Row],[Total_Sales]]</f>
        <v>0.44565543071161046</v>
      </c>
    </row>
    <row r="4517" spans="1:15" x14ac:dyDescent="0.25">
      <c r="A4517" s="1">
        <v>4516</v>
      </c>
      <c r="B4517" s="2">
        <v>45440</v>
      </c>
      <c r="C4517" s="1" t="s">
        <v>19</v>
      </c>
      <c r="D4517" s="1" t="s">
        <v>13</v>
      </c>
      <c r="E4517" s="1" t="s">
        <v>39</v>
      </c>
      <c r="F4517" s="1" t="s">
        <v>18</v>
      </c>
      <c r="G4517" s="1">
        <v>9</v>
      </c>
      <c r="H4517" s="1">
        <v>533</v>
      </c>
      <c r="I4517" s="1">
        <v>10</v>
      </c>
      <c r="J4517" s="4">
        <v>4317.3</v>
      </c>
      <c r="K4517" s="4">
        <v>2570.85</v>
      </c>
      <c r="L4517" s="4">
        <v>1746.45</v>
      </c>
      <c r="M4517" s="1" t="str">
        <f>TEXT(Table1[[#This Row],[Order_Date]], "MMM")</f>
        <v>May</v>
      </c>
      <c r="N4517" s="1">
        <f>YEAR(Table1[[#This Row],[Order_Date]])</f>
        <v>2024</v>
      </c>
      <c r="O4517" s="7">
        <f>Table1[[#This Row],[Profit]]/Table1[[#This Row],[Total_Sales]]</f>
        <v>0.40452366062122158</v>
      </c>
    </row>
    <row r="4518" spans="1:15" x14ac:dyDescent="0.25">
      <c r="A4518" s="1">
        <v>4517</v>
      </c>
      <c r="B4518" s="2">
        <v>45506</v>
      </c>
      <c r="C4518" s="1" t="s">
        <v>25</v>
      </c>
      <c r="D4518" s="1" t="s">
        <v>20</v>
      </c>
      <c r="E4518" s="1" t="s">
        <v>21</v>
      </c>
      <c r="F4518" s="1" t="s">
        <v>24</v>
      </c>
      <c r="G4518" s="1">
        <v>4</v>
      </c>
      <c r="H4518" s="1">
        <v>551</v>
      </c>
      <c r="I4518" s="1">
        <v>10</v>
      </c>
      <c r="J4518" s="4">
        <v>1983.6</v>
      </c>
      <c r="K4518" s="4">
        <v>1243.0999999999999</v>
      </c>
      <c r="L4518" s="4">
        <v>740.5</v>
      </c>
      <c r="M4518" s="1" t="str">
        <f>TEXT(Table1[[#This Row],[Order_Date]], "MMM")</f>
        <v>Aug</v>
      </c>
      <c r="N4518" s="1">
        <f>YEAR(Table1[[#This Row],[Order_Date]])</f>
        <v>2024</v>
      </c>
      <c r="O4518" s="7">
        <f>Table1[[#This Row],[Profit]]/Table1[[#This Row],[Total_Sales]]</f>
        <v>0.37331115144182297</v>
      </c>
    </row>
    <row r="4519" spans="1:15" x14ac:dyDescent="0.25">
      <c r="A4519" s="1">
        <v>4518</v>
      </c>
      <c r="B4519" s="2">
        <v>45140</v>
      </c>
      <c r="C4519" s="1" t="s">
        <v>25</v>
      </c>
      <c r="D4519" s="1" t="s">
        <v>20</v>
      </c>
      <c r="E4519" s="1" t="s">
        <v>30</v>
      </c>
      <c r="F4519" s="1" t="s">
        <v>31</v>
      </c>
      <c r="G4519" s="1">
        <v>3</v>
      </c>
      <c r="H4519" s="1">
        <v>545</v>
      </c>
      <c r="I4519" s="1">
        <v>20</v>
      </c>
      <c r="J4519" s="4">
        <v>1308</v>
      </c>
      <c r="K4519" s="4">
        <v>884.34</v>
      </c>
      <c r="L4519" s="4">
        <v>423.66</v>
      </c>
      <c r="M4519" s="1" t="str">
        <f>TEXT(Table1[[#This Row],[Order_Date]], "MMM")</f>
        <v>Aug</v>
      </c>
      <c r="N4519" s="1">
        <f>YEAR(Table1[[#This Row],[Order_Date]])</f>
        <v>2023</v>
      </c>
      <c r="O4519" s="7">
        <f>Table1[[#This Row],[Profit]]/Table1[[#This Row],[Total_Sales]]</f>
        <v>0.32389908256880734</v>
      </c>
    </row>
    <row r="4520" spans="1:15" x14ac:dyDescent="0.25">
      <c r="A4520" s="1">
        <v>4519</v>
      </c>
      <c r="B4520" s="2">
        <v>45361</v>
      </c>
      <c r="C4520" s="1" t="s">
        <v>25</v>
      </c>
      <c r="D4520" s="1" t="s">
        <v>32</v>
      </c>
      <c r="E4520" s="1" t="s">
        <v>34</v>
      </c>
      <c r="F4520" s="1" t="s">
        <v>35</v>
      </c>
      <c r="G4520" s="1">
        <v>3</v>
      </c>
      <c r="H4520" s="1">
        <v>860</v>
      </c>
      <c r="I4520" s="1">
        <v>5</v>
      </c>
      <c r="J4520" s="4">
        <v>2451</v>
      </c>
      <c r="K4520" s="4">
        <v>1400.65</v>
      </c>
      <c r="L4520" s="4">
        <v>1050.3499999999999</v>
      </c>
      <c r="M4520" s="1" t="str">
        <f>TEXT(Table1[[#This Row],[Order_Date]], "MMM")</f>
        <v>Mar</v>
      </c>
      <c r="N4520" s="1">
        <f>YEAR(Table1[[#This Row],[Order_Date]])</f>
        <v>2024</v>
      </c>
      <c r="O4520" s="7">
        <f>Table1[[#This Row],[Profit]]/Table1[[#This Row],[Total_Sales]]</f>
        <v>0.42853937168502648</v>
      </c>
    </row>
    <row r="4521" spans="1:15" x14ac:dyDescent="0.25">
      <c r="A4521" s="1">
        <v>4520</v>
      </c>
      <c r="B4521" s="2">
        <v>45645</v>
      </c>
      <c r="C4521" s="1" t="s">
        <v>12</v>
      </c>
      <c r="D4521" s="1" t="s">
        <v>22</v>
      </c>
      <c r="E4521" s="1" t="s">
        <v>44</v>
      </c>
      <c r="F4521" s="1" t="s">
        <v>31</v>
      </c>
      <c r="G4521" s="1">
        <v>3</v>
      </c>
      <c r="H4521" s="1">
        <v>300</v>
      </c>
      <c r="I4521" s="1">
        <v>10</v>
      </c>
      <c r="J4521" s="4">
        <v>810</v>
      </c>
      <c r="K4521" s="4">
        <v>579.1</v>
      </c>
      <c r="L4521" s="4">
        <v>230.9</v>
      </c>
      <c r="M4521" s="1" t="str">
        <f>TEXT(Table1[[#This Row],[Order_Date]], "MMM")</f>
        <v>Dec</v>
      </c>
      <c r="N4521" s="1">
        <f>YEAR(Table1[[#This Row],[Order_Date]])</f>
        <v>2024</v>
      </c>
      <c r="O4521" s="7">
        <f>Table1[[#This Row],[Profit]]/Table1[[#This Row],[Total_Sales]]</f>
        <v>0.28506172839506172</v>
      </c>
    </row>
    <row r="4522" spans="1:15" x14ac:dyDescent="0.25">
      <c r="A4522" s="1">
        <v>4521</v>
      </c>
      <c r="B4522" s="2">
        <v>45375</v>
      </c>
      <c r="C4522" s="1" t="s">
        <v>19</v>
      </c>
      <c r="D4522" s="1" t="s">
        <v>20</v>
      </c>
      <c r="E4522" s="1" t="s">
        <v>28</v>
      </c>
      <c r="F4522" s="1" t="s">
        <v>24</v>
      </c>
      <c r="G4522" s="1">
        <v>10</v>
      </c>
      <c r="H4522" s="1">
        <v>464</v>
      </c>
      <c r="I4522" s="1">
        <v>5</v>
      </c>
      <c r="J4522" s="4">
        <v>4408</v>
      </c>
      <c r="K4522" s="4">
        <v>3514.26</v>
      </c>
      <c r="L4522" s="4">
        <v>893.74</v>
      </c>
      <c r="M4522" s="1" t="str">
        <f>TEXT(Table1[[#This Row],[Order_Date]], "MMM")</f>
        <v>Mar</v>
      </c>
      <c r="N4522" s="1">
        <f>YEAR(Table1[[#This Row],[Order_Date]])</f>
        <v>2024</v>
      </c>
      <c r="O4522" s="7">
        <f>Table1[[#This Row],[Profit]]/Table1[[#This Row],[Total_Sales]]</f>
        <v>0.20275408348457349</v>
      </c>
    </row>
    <row r="4523" spans="1:15" x14ac:dyDescent="0.25">
      <c r="A4523" s="1">
        <v>4522</v>
      </c>
      <c r="B4523" s="2">
        <v>45439</v>
      </c>
      <c r="C4523" s="1" t="s">
        <v>25</v>
      </c>
      <c r="D4523" s="1" t="s">
        <v>32</v>
      </c>
      <c r="E4523" s="1" t="s">
        <v>45</v>
      </c>
      <c r="F4523" s="1" t="s">
        <v>31</v>
      </c>
      <c r="G4523" s="1">
        <v>4</v>
      </c>
      <c r="H4523" s="1">
        <v>829</v>
      </c>
      <c r="I4523" s="1">
        <v>0</v>
      </c>
      <c r="J4523" s="4">
        <v>3316</v>
      </c>
      <c r="K4523" s="4">
        <v>1900.82</v>
      </c>
      <c r="L4523" s="4">
        <v>1415.18</v>
      </c>
      <c r="M4523" s="1" t="str">
        <f>TEXT(Table1[[#This Row],[Order_Date]], "MMM")</f>
        <v>May</v>
      </c>
      <c r="N4523" s="1">
        <f>YEAR(Table1[[#This Row],[Order_Date]])</f>
        <v>2024</v>
      </c>
      <c r="O4523" s="7">
        <f>Table1[[#This Row],[Profit]]/Table1[[#This Row],[Total_Sales]]</f>
        <v>0.42677322074788904</v>
      </c>
    </row>
    <row r="4524" spans="1:15" x14ac:dyDescent="0.25">
      <c r="A4524" s="1">
        <v>4523</v>
      </c>
      <c r="B4524" s="2">
        <v>45404</v>
      </c>
      <c r="C4524" s="1" t="s">
        <v>16</v>
      </c>
      <c r="D4524" s="1" t="s">
        <v>26</v>
      </c>
      <c r="E4524" s="1" t="s">
        <v>27</v>
      </c>
      <c r="F4524" s="1" t="s">
        <v>15</v>
      </c>
      <c r="G4524" s="1">
        <v>5</v>
      </c>
      <c r="H4524" s="1">
        <v>779</v>
      </c>
      <c r="I4524" s="1">
        <v>10</v>
      </c>
      <c r="J4524" s="4">
        <v>3505.5</v>
      </c>
      <c r="K4524" s="4">
        <v>2340.6799999999998</v>
      </c>
      <c r="L4524" s="4">
        <v>1164.82</v>
      </c>
      <c r="M4524" s="1" t="str">
        <f>TEXT(Table1[[#This Row],[Order_Date]], "MMM")</f>
        <v>Apr</v>
      </c>
      <c r="N4524" s="1">
        <f>YEAR(Table1[[#This Row],[Order_Date]])</f>
        <v>2024</v>
      </c>
      <c r="O4524" s="7">
        <f>Table1[[#This Row],[Profit]]/Table1[[#This Row],[Total_Sales]]</f>
        <v>0.33228355441449148</v>
      </c>
    </row>
    <row r="4525" spans="1:15" x14ac:dyDescent="0.25">
      <c r="A4525" s="1">
        <v>4524</v>
      </c>
      <c r="B4525" s="2">
        <v>45397</v>
      </c>
      <c r="C4525" s="1" t="s">
        <v>12</v>
      </c>
      <c r="D4525" s="1" t="s">
        <v>22</v>
      </c>
      <c r="E4525" s="1" t="s">
        <v>23</v>
      </c>
      <c r="F4525" s="1" t="s">
        <v>40</v>
      </c>
      <c r="G4525" s="1">
        <v>7</v>
      </c>
      <c r="H4525" s="1">
        <v>71</v>
      </c>
      <c r="I4525" s="1">
        <v>10</v>
      </c>
      <c r="J4525" s="4">
        <v>447.3</v>
      </c>
      <c r="K4525" s="4">
        <v>291.89</v>
      </c>
      <c r="L4525" s="4">
        <v>155.41</v>
      </c>
      <c r="M4525" s="1" t="str">
        <f>TEXT(Table1[[#This Row],[Order_Date]], "MMM")</f>
        <v>Apr</v>
      </c>
      <c r="N4525" s="1">
        <f>YEAR(Table1[[#This Row],[Order_Date]])</f>
        <v>2024</v>
      </c>
      <c r="O4525" s="7">
        <f>Table1[[#This Row],[Profit]]/Table1[[#This Row],[Total_Sales]]</f>
        <v>0.34744019673597137</v>
      </c>
    </row>
    <row r="4526" spans="1:15" x14ac:dyDescent="0.25">
      <c r="A4526" s="1">
        <v>4525</v>
      </c>
      <c r="B4526" s="2">
        <v>45204</v>
      </c>
      <c r="C4526" s="1" t="s">
        <v>25</v>
      </c>
      <c r="D4526" s="1" t="s">
        <v>13</v>
      </c>
      <c r="E4526" s="1" t="s">
        <v>38</v>
      </c>
      <c r="F4526" s="1" t="s">
        <v>31</v>
      </c>
      <c r="G4526" s="1">
        <v>3</v>
      </c>
      <c r="H4526" s="1">
        <v>340</v>
      </c>
      <c r="I4526" s="1">
        <v>5</v>
      </c>
      <c r="J4526" s="4">
        <v>969</v>
      </c>
      <c r="K4526" s="4">
        <v>603.02</v>
      </c>
      <c r="L4526" s="4">
        <v>365.98</v>
      </c>
      <c r="M4526" s="1" t="str">
        <f>TEXT(Table1[[#This Row],[Order_Date]], "MMM")</f>
        <v>Oct</v>
      </c>
      <c r="N4526" s="1">
        <f>YEAR(Table1[[#This Row],[Order_Date]])</f>
        <v>2023</v>
      </c>
      <c r="O4526" s="7">
        <f>Table1[[#This Row],[Profit]]/Table1[[#This Row],[Total_Sales]]</f>
        <v>0.37768833849329209</v>
      </c>
    </row>
    <row r="4527" spans="1:15" x14ac:dyDescent="0.25">
      <c r="A4527" s="1">
        <v>4526</v>
      </c>
      <c r="B4527" s="2">
        <v>45612</v>
      </c>
      <c r="C4527" s="1" t="s">
        <v>12</v>
      </c>
      <c r="D4527" s="1" t="s">
        <v>20</v>
      </c>
      <c r="E4527" s="1" t="s">
        <v>43</v>
      </c>
      <c r="F4527" s="1" t="s">
        <v>35</v>
      </c>
      <c r="G4527" s="1">
        <v>2</v>
      </c>
      <c r="H4527" s="1">
        <v>287</v>
      </c>
      <c r="I4527" s="1">
        <v>0</v>
      </c>
      <c r="J4527" s="4">
        <v>574</v>
      </c>
      <c r="K4527" s="4">
        <v>367.71</v>
      </c>
      <c r="L4527" s="4">
        <v>206.29</v>
      </c>
      <c r="M4527" s="1" t="str">
        <f>TEXT(Table1[[#This Row],[Order_Date]], "MMM")</f>
        <v>Nov</v>
      </c>
      <c r="N4527" s="1">
        <f>YEAR(Table1[[#This Row],[Order_Date]])</f>
        <v>2024</v>
      </c>
      <c r="O4527" s="7">
        <f>Table1[[#This Row],[Profit]]/Table1[[#This Row],[Total_Sales]]</f>
        <v>0.35939024390243901</v>
      </c>
    </row>
    <row r="4528" spans="1:15" x14ac:dyDescent="0.25">
      <c r="A4528" s="1">
        <v>4527</v>
      </c>
      <c r="B4528" s="2">
        <v>45493</v>
      </c>
      <c r="C4528" s="1" t="s">
        <v>19</v>
      </c>
      <c r="D4528" s="1" t="s">
        <v>22</v>
      </c>
      <c r="E4528" s="1" t="s">
        <v>44</v>
      </c>
      <c r="F4528" s="1" t="s">
        <v>31</v>
      </c>
      <c r="G4528" s="1">
        <v>1</v>
      </c>
      <c r="H4528" s="1">
        <v>174</v>
      </c>
      <c r="I4528" s="1">
        <v>0</v>
      </c>
      <c r="J4528" s="4">
        <v>174</v>
      </c>
      <c r="K4528" s="4">
        <v>131.41</v>
      </c>
      <c r="L4528" s="4">
        <v>42.59</v>
      </c>
      <c r="M4528" s="1" t="str">
        <f>TEXT(Table1[[#This Row],[Order_Date]], "MMM")</f>
        <v>Jul</v>
      </c>
      <c r="N4528" s="1">
        <f>YEAR(Table1[[#This Row],[Order_Date]])</f>
        <v>2024</v>
      </c>
      <c r="O4528" s="7">
        <f>Table1[[#This Row],[Profit]]/Table1[[#This Row],[Total_Sales]]</f>
        <v>0.24477011494252876</v>
      </c>
    </row>
    <row r="4529" spans="1:15" x14ac:dyDescent="0.25">
      <c r="A4529" s="1">
        <v>4528</v>
      </c>
      <c r="B4529" s="2">
        <v>45060</v>
      </c>
      <c r="C4529" s="1" t="s">
        <v>25</v>
      </c>
      <c r="D4529" s="1" t="s">
        <v>26</v>
      </c>
      <c r="E4529" s="1" t="s">
        <v>46</v>
      </c>
      <c r="F4529" s="1" t="s">
        <v>31</v>
      </c>
      <c r="G4529" s="1">
        <v>10</v>
      </c>
      <c r="H4529" s="1">
        <v>752</v>
      </c>
      <c r="I4529" s="1">
        <v>5</v>
      </c>
      <c r="J4529" s="4">
        <v>7144</v>
      </c>
      <c r="K4529" s="4">
        <v>5258.99</v>
      </c>
      <c r="L4529" s="4">
        <v>1885.01</v>
      </c>
      <c r="M4529" s="1" t="str">
        <f>TEXT(Table1[[#This Row],[Order_Date]], "MMM")</f>
        <v>May</v>
      </c>
      <c r="N4529" s="1">
        <f>YEAR(Table1[[#This Row],[Order_Date]])</f>
        <v>2023</v>
      </c>
      <c r="O4529" s="7">
        <f>Table1[[#This Row],[Profit]]/Table1[[#This Row],[Total_Sales]]</f>
        <v>0.26385918253079504</v>
      </c>
    </row>
    <row r="4530" spans="1:15" x14ac:dyDescent="0.25">
      <c r="A4530" s="1">
        <v>4529</v>
      </c>
      <c r="B4530" s="2">
        <v>45067</v>
      </c>
      <c r="C4530" s="1" t="s">
        <v>25</v>
      </c>
      <c r="D4530" s="1" t="s">
        <v>13</v>
      </c>
      <c r="E4530" s="1" t="s">
        <v>14</v>
      </c>
      <c r="F4530" s="1" t="s">
        <v>40</v>
      </c>
      <c r="G4530" s="1">
        <v>1</v>
      </c>
      <c r="H4530" s="1">
        <v>708</v>
      </c>
      <c r="I4530" s="1">
        <v>20</v>
      </c>
      <c r="J4530" s="4">
        <v>566.4</v>
      </c>
      <c r="K4530" s="4">
        <v>427.74</v>
      </c>
      <c r="L4530" s="4">
        <v>138.66</v>
      </c>
      <c r="M4530" s="1" t="str">
        <f>TEXT(Table1[[#This Row],[Order_Date]], "MMM")</f>
        <v>May</v>
      </c>
      <c r="N4530" s="1">
        <f>YEAR(Table1[[#This Row],[Order_Date]])</f>
        <v>2023</v>
      </c>
      <c r="O4530" s="7">
        <f>Table1[[#This Row],[Profit]]/Table1[[#This Row],[Total_Sales]]</f>
        <v>0.2448093220338983</v>
      </c>
    </row>
    <row r="4531" spans="1:15" x14ac:dyDescent="0.25">
      <c r="A4531" s="1">
        <v>4530</v>
      </c>
      <c r="B4531" s="2">
        <v>45326</v>
      </c>
      <c r="C4531" s="1" t="s">
        <v>19</v>
      </c>
      <c r="D4531" s="1" t="s">
        <v>26</v>
      </c>
      <c r="E4531" s="1" t="s">
        <v>37</v>
      </c>
      <c r="F4531" s="1" t="s">
        <v>18</v>
      </c>
      <c r="G4531" s="1">
        <v>7</v>
      </c>
      <c r="H4531" s="1">
        <v>61</v>
      </c>
      <c r="I4531" s="1">
        <v>10</v>
      </c>
      <c r="J4531" s="4">
        <v>384.3</v>
      </c>
      <c r="K4531" s="4">
        <v>307.24</v>
      </c>
      <c r="L4531" s="4">
        <v>77.06</v>
      </c>
      <c r="M4531" s="1" t="str">
        <f>TEXT(Table1[[#This Row],[Order_Date]], "MMM")</f>
        <v>Feb</v>
      </c>
      <c r="N4531" s="1">
        <f>YEAR(Table1[[#This Row],[Order_Date]])</f>
        <v>2024</v>
      </c>
      <c r="O4531" s="7">
        <f>Table1[[#This Row],[Profit]]/Table1[[#This Row],[Total_Sales]]</f>
        <v>0.20052042674993495</v>
      </c>
    </row>
    <row r="4532" spans="1:15" x14ac:dyDescent="0.25">
      <c r="A4532" s="1">
        <v>4531</v>
      </c>
      <c r="B4532" s="2">
        <v>45176</v>
      </c>
      <c r="C4532" s="1" t="s">
        <v>25</v>
      </c>
      <c r="D4532" s="1" t="s">
        <v>13</v>
      </c>
      <c r="E4532" s="1" t="s">
        <v>38</v>
      </c>
      <c r="F4532" s="1" t="s">
        <v>18</v>
      </c>
      <c r="G4532" s="1">
        <v>10</v>
      </c>
      <c r="H4532" s="1">
        <v>991</v>
      </c>
      <c r="I4532" s="1">
        <v>5</v>
      </c>
      <c r="J4532" s="4">
        <v>9414.5</v>
      </c>
      <c r="K4532" s="4">
        <v>6184.23</v>
      </c>
      <c r="L4532" s="4">
        <v>3230.27</v>
      </c>
      <c r="M4532" s="1" t="str">
        <f>TEXT(Table1[[#This Row],[Order_Date]], "MMM")</f>
        <v>Sep</v>
      </c>
      <c r="N4532" s="1">
        <f>YEAR(Table1[[#This Row],[Order_Date]])</f>
        <v>2023</v>
      </c>
      <c r="O4532" s="7">
        <f>Table1[[#This Row],[Profit]]/Table1[[#This Row],[Total_Sales]]</f>
        <v>0.34311646927611661</v>
      </c>
    </row>
    <row r="4533" spans="1:15" x14ac:dyDescent="0.25">
      <c r="A4533" s="1">
        <v>4532</v>
      </c>
      <c r="B4533" s="2">
        <v>45122</v>
      </c>
      <c r="C4533" s="1" t="s">
        <v>25</v>
      </c>
      <c r="D4533" s="1" t="s">
        <v>22</v>
      </c>
      <c r="E4533" s="1" t="s">
        <v>29</v>
      </c>
      <c r="F4533" s="1" t="s">
        <v>35</v>
      </c>
      <c r="G4533" s="1">
        <v>2</v>
      </c>
      <c r="H4533" s="1">
        <v>209</v>
      </c>
      <c r="I4533" s="1">
        <v>20</v>
      </c>
      <c r="J4533" s="4">
        <v>334.4</v>
      </c>
      <c r="K4533" s="4">
        <v>212.66</v>
      </c>
      <c r="L4533" s="4">
        <v>121.74</v>
      </c>
      <c r="M4533" s="1" t="str">
        <f>TEXT(Table1[[#This Row],[Order_Date]], "MMM")</f>
        <v>Jul</v>
      </c>
      <c r="N4533" s="1">
        <f>YEAR(Table1[[#This Row],[Order_Date]])</f>
        <v>2023</v>
      </c>
      <c r="O4533" s="7">
        <f>Table1[[#This Row],[Profit]]/Table1[[#This Row],[Total_Sales]]</f>
        <v>0.36405502392344496</v>
      </c>
    </row>
    <row r="4534" spans="1:15" x14ac:dyDescent="0.25">
      <c r="A4534" s="1">
        <v>4533</v>
      </c>
      <c r="B4534" s="2">
        <v>45407</v>
      </c>
      <c r="C4534" s="1" t="s">
        <v>16</v>
      </c>
      <c r="D4534" s="1" t="s">
        <v>26</v>
      </c>
      <c r="E4534" s="1" t="s">
        <v>42</v>
      </c>
      <c r="F4534" s="1" t="s">
        <v>18</v>
      </c>
      <c r="G4534" s="1">
        <v>7</v>
      </c>
      <c r="H4534" s="1">
        <v>762</v>
      </c>
      <c r="I4534" s="1">
        <v>0</v>
      </c>
      <c r="J4534" s="4">
        <v>5334</v>
      </c>
      <c r="K4534" s="4">
        <v>3086.66</v>
      </c>
      <c r="L4534" s="4">
        <v>2247.34</v>
      </c>
      <c r="M4534" s="1" t="str">
        <f>TEXT(Table1[[#This Row],[Order_Date]], "MMM")</f>
        <v>Apr</v>
      </c>
      <c r="N4534" s="1">
        <f>YEAR(Table1[[#This Row],[Order_Date]])</f>
        <v>2024</v>
      </c>
      <c r="O4534" s="7">
        <f>Table1[[#This Row],[Profit]]/Table1[[#This Row],[Total_Sales]]</f>
        <v>0.42132358455193103</v>
      </c>
    </row>
    <row r="4535" spans="1:15" x14ac:dyDescent="0.25">
      <c r="A4535" s="1">
        <v>4534</v>
      </c>
      <c r="B4535" s="2">
        <v>45363</v>
      </c>
      <c r="C4535" s="1" t="s">
        <v>25</v>
      </c>
      <c r="D4535" s="1" t="s">
        <v>26</v>
      </c>
      <c r="E4535" s="1" t="s">
        <v>37</v>
      </c>
      <c r="F4535" s="1" t="s">
        <v>35</v>
      </c>
      <c r="G4535" s="1">
        <v>1</v>
      </c>
      <c r="H4535" s="1">
        <v>403</v>
      </c>
      <c r="I4535" s="1">
        <v>0</v>
      </c>
      <c r="J4535" s="4">
        <v>403</v>
      </c>
      <c r="K4535" s="4">
        <v>227.88</v>
      </c>
      <c r="L4535" s="4">
        <v>175.12</v>
      </c>
      <c r="M4535" s="1" t="str">
        <f>TEXT(Table1[[#This Row],[Order_Date]], "MMM")</f>
        <v>Mar</v>
      </c>
      <c r="N4535" s="1">
        <f>YEAR(Table1[[#This Row],[Order_Date]])</f>
        <v>2024</v>
      </c>
      <c r="O4535" s="7">
        <f>Table1[[#This Row],[Profit]]/Table1[[#This Row],[Total_Sales]]</f>
        <v>0.43454094292803969</v>
      </c>
    </row>
    <row r="4536" spans="1:15" x14ac:dyDescent="0.25">
      <c r="A4536" s="1">
        <v>4535</v>
      </c>
      <c r="B4536" s="2">
        <v>45219</v>
      </c>
      <c r="C4536" s="1" t="s">
        <v>25</v>
      </c>
      <c r="D4536" s="1" t="s">
        <v>26</v>
      </c>
      <c r="E4536" s="1" t="s">
        <v>46</v>
      </c>
      <c r="F4536" s="1" t="s">
        <v>31</v>
      </c>
      <c r="G4536" s="1">
        <v>10</v>
      </c>
      <c r="H4536" s="1">
        <v>472</v>
      </c>
      <c r="I4536" s="1">
        <v>15</v>
      </c>
      <c r="J4536" s="4">
        <v>4012</v>
      </c>
      <c r="K4536" s="4">
        <v>2534.2600000000002</v>
      </c>
      <c r="L4536" s="4">
        <v>1477.74</v>
      </c>
      <c r="M4536" s="1" t="str">
        <f>TEXT(Table1[[#This Row],[Order_Date]], "MMM")</f>
        <v>Oct</v>
      </c>
      <c r="N4536" s="1">
        <f>YEAR(Table1[[#This Row],[Order_Date]])</f>
        <v>2023</v>
      </c>
      <c r="O4536" s="7">
        <f>Table1[[#This Row],[Profit]]/Table1[[#This Row],[Total_Sales]]</f>
        <v>0.36833000997008974</v>
      </c>
    </row>
    <row r="4537" spans="1:15" x14ac:dyDescent="0.25">
      <c r="A4537" s="1">
        <v>4536</v>
      </c>
      <c r="B4537" s="2">
        <v>45590</v>
      </c>
      <c r="C4537" s="1" t="s">
        <v>12</v>
      </c>
      <c r="D4537" s="1" t="s">
        <v>32</v>
      </c>
      <c r="E4537" s="1" t="s">
        <v>45</v>
      </c>
      <c r="F4537" s="1" t="s">
        <v>24</v>
      </c>
      <c r="G4537" s="1">
        <v>4</v>
      </c>
      <c r="H4537" s="1">
        <v>467</v>
      </c>
      <c r="I4537" s="1">
        <v>0</v>
      </c>
      <c r="J4537" s="4">
        <v>1868</v>
      </c>
      <c r="K4537" s="4">
        <v>1418.59</v>
      </c>
      <c r="L4537" s="4">
        <v>449.41</v>
      </c>
      <c r="M4537" s="1" t="str">
        <f>TEXT(Table1[[#This Row],[Order_Date]], "MMM")</f>
        <v>Oct</v>
      </c>
      <c r="N4537" s="1">
        <f>YEAR(Table1[[#This Row],[Order_Date]])</f>
        <v>2024</v>
      </c>
      <c r="O4537" s="7">
        <f>Table1[[#This Row],[Profit]]/Table1[[#This Row],[Total_Sales]]</f>
        <v>0.24058351177730194</v>
      </c>
    </row>
    <row r="4538" spans="1:15" x14ac:dyDescent="0.25">
      <c r="A4538" s="1">
        <v>4537</v>
      </c>
      <c r="B4538" s="2">
        <v>45120</v>
      </c>
      <c r="C4538" s="1" t="s">
        <v>19</v>
      </c>
      <c r="D4538" s="1" t="s">
        <v>22</v>
      </c>
      <c r="E4538" s="1" t="s">
        <v>23</v>
      </c>
      <c r="F4538" s="1" t="s">
        <v>40</v>
      </c>
      <c r="G4538" s="1">
        <v>1</v>
      </c>
      <c r="H4538" s="1">
        <v>364</v>
      </c>
      <c r="I4538" s="1">
        <v>15</v>
      </c>
      <c r="J4538" s="4">
        <v>309.39999999999998</v>
      </c>
      <c r="K4538" s="4">
        <v>220.56</v>
      </c>
      <c r="L4538" s="4">
        <v>88.84</v>
      </c>
      <c r="M4538" s="1" t="str">
        <f>TEXT(Table1[[#This Row],[Order_Date]], "MMM")</f>
        <v>Jul</v>
      </c>
      <c r="N4538" s="1">
        <f>YEAR(Table1[[#This Row],[Order_Date]])</f>
        <v>2023</v>
      </c>
      <c r="O4538" s="7">
        <f>Table1[[#This Row],[Profit]]/Table1[[#This Row],[Total_Sales]]</f>
        <v>0.28713639301874599</v>
      </c>
    </row>
    <row r="4539" spans="1:15" x14ac:dyDescent="0.25">
      <c r="A4539" s="1">
        <v>4538</v>
      </c>
      <c r="B4539" s="2">
        <v>45379</v>
      </c>
      <c r="C4539" s="1" t="s">
        <v>12</v>
      </c>
      <c r="D4539" s="1" t="s">
        <v>13</v>
      </c>
      <c r="E4539" s="1" t="s">
        <v>39</v>
      </c>
      <c r="F4539" s="1" t="s">
        <v>31</v>
      </c>
      <c r="G4539" s="1">
        <v>8</v>
      </c>
      <c r="H4539" s="1">
        <v>960</v>
      </c>
      <c r="I4539" s="1">
        <v>0</v>
      </c>
      <c r="J4539" s="4">
        <v>7680</v>
      </c>
      <c r="K4539" s="4">
        <v>4435.84</v>
      </c>
      <c r="L4539" s="4">
        <v>3244.16</v>
      </c>
      <c r="M4539" s="1" t="str">
        <f>TEXT(Table1[[#This Row],[Order_Date]], "MMM")</f>
        <v>Mar</v>
      </c>
      <c r="N4539" s="1">
        <f>YEAR(Table1[[#This Row],[Order_Date]])</f>
        <v>2024</v>
      </c>
      <c r="O4539" s="7">
        <f>Table1[[#This Row],[Profit]]/Table1[[#This Row],[Total_Sales]]</f>
        <v>0.42241666666666666</v>
      </c>
    </row>
    <row r="4540" spans="1:15" x14ac:dyDescent="0.25">
      <c r="A4540" s="1">
        <v>4539</v>
      </c>
      <c r="B4540" s="2">
        <v>45189</v>
      </c>
      <c r="C4540" s="1" t="s">
        <v>12</v>
      </c>
      <c r="D4540" s="1" t="s">
        <v>32</v>
      </c>
      <c r="E4540" s="1" t="s">
        <v>34</v>
      </c>
      <c r="F4540" s="1" t="s">
        <v>24</v>
      </c>
      <c r="G4540" s="1">
        <v>2</v>
      </c>
      <c r="H4540" s="1">
        <v>398</v>
      </c>
      <c r="I4540" s="1">
        <v>5</v>
      </c>
      <c r="J4540" s="4">
        <v>756.2</v>
      </c>
      <c r="K4540" s="4">
        <v>471.2</v>
      </c>
      <c r="L4540" s="4">
        <v>285</v>
      </c>
      <c r="M4540" s="1" t="str">
        <f>TEXT(Table1[[#This Row],[Order_Date]], "MMM")</f>
        <v>Sep</v>
      </c>
      <c r="N4540" s="1">
        <f>YEAR(Table1[[#This Row],[Order_Date]])</f>
        <v>2023</v>
      </c>
      <c r="O4540" s="7">
        <f>Table1[[#This Row],[Profit]]/Table1[[#This Row],[Total_Sales]]</f>
        <v>0.37688442211055273</v>
      </c>
    </row>
    <row r="4541" spans="1:15" x14ac:dyDescent="0.25">
      <c r="A4541" s="1">
        <v>4540</v>
      </c>
      <c r="B4541" s="2">
        <v>44999</v>
      </c>
      <c r="C4541" s="1" t="s">
        <v>25</v>
      </c>
      <c r="D4541" s="1" t="s">
        <v>22</v>
      </c>
      <c r="E4541" s="1" t="s">
        <v>23</v>
      </c>
      <c r="F4541" s="1" t="s">
        <v>35</v>
      </c>
      <c r="G4541" s="1">
        <v>2</v>
      </c>
      <c r="H4541" s="1">
        <v>905</v>
      </c>
      <c r="I4541" s="1">
        <v>5</v>
      </c>
      <c r="J4541" s="4">
        <v>1719.5</v>
      </c>
      <c r="K4541" s="4">
        <v>1341.25</v>
      </c>
      <c r="L4541" s="4">
        <v>378.25</v>
      </c>
      <c r="M4541" s="1" t="str">
        <f>TEXT(Table1[[#This Row],[Order_Date]], "MMM")</f>
        <v>Mar</v>
      </c>
      <c r="N4541" s="1">
        <f>YEAR(Table1[[#This Row],[Order_Date]])</f>
        <v>2023</v>
      </c>
      <c r="O4541" s="7">
        <f>Table1[[#This Row],[Profit]]/Table1[[#This Row],[Total_Sales]]</f>
        <v>0.21997673742366966</v>
      </c>
    </row>
    <row r="4542" spans="1:15" x14ac:dyDescent="0.25">
      <c r="A4542" s="1">
        <v>4541</v>
      </c>
      <c r="B4542" s="2">
        <v>45480</v>
      </c>
      <c r="C4542" s="1" t="s">
        <v>19</v>
      </c>
      <c r="D4542" s="1" t="s">
        <v>26</v>
      </c>
      <c r="E4542" s="1" t="s">
        <v>46</v>
      </c>
      <c r="F4542" s="1" t="s">
        <v>24</v>
      </c>
      <c r="G4542" s="1">
        <v>1</v>
      </c>
      <c r="H4542" s="1">
        <v>770</v>
      </c>
      <c r="I4542" s="1">
        <v>20</v>
      </c>
      <c r="J4542" s="4">
        <v>616</v>
      </c>
      <c r="K4542" s="4">
        <v>361.85</v>
      </c>
      <c r="L4542" s="4">
        <v>254.15</v>
      </c>
      <c r="M4542" s="1" t="str">
        <f>TEXT(Table1[[#This Row],[Order_Date]], "MMM")</f>
        <v>Jul</v>
      </c>
      <c r="N4542" s="1">
        <f>YEAR(Table1[[#This Row],[Order_Date]])</f>
        <v>2024</v>
      </c>
      <c r="O4542" s="7">
        <f>Table1[[#This Row],[Profit]]/Table1[[#This Row],[Total_Sales]]</f>
        <v>0.41258116883116885</v>
      </c>
    </row>
    <row r="4543" spans="1:15" x14ac:dyDescent="0.25">
      <c r="A4543" s="1">
        <v>4542</v>
      </c>
      <c r="B4543" s="2">
        <v>45339</v>
      </c>
      <c r="C4543" s="1" t="s">
        <v>19</v>
      </c>
      <c r="D4543" s="1" t="s">
        <v>26</v>
      </c>
      <c r="E4543" s="1" t="s">
        <v>37</v>
      </c>
      <c r="F4543" s="1" t="s">
        <v>35</v>
      </c>
      <c r="G4543" s="1">
        <v>7</v>
      </c>
      <c r="H4543" s="1">
        <v>839</v>
      </c>
      <c r="I4543" s="1">
        <v>20</v>
      </c>
      <c r="J4543" s="4">
        <v>4698.3999999999996</v>
      </c>
      <c r="K4543" s="4">
        <v>3487.85</v>
      </c>
      <c r="L4543" s="4">
        <v>1210.55</v>
      </c>
      <c r="M4543" s="1" t="str">
        <f>TEXT(Table1[[#This Row],[Order_Date]], "MMM")</f>
        <v>Feb</v>
      </c>
      <c r="N4543" s="1">
        <f>YEAR(Table1[[#This Row],[Order_Date]])</f>
        <v>2024</v>
      </c>
      <c r="O4543" s="7">
        <f>Table1[[#This Row],[Profit]]/Table1[[#This Row],[Total_Sales]]</f>
        <v>0.25765154095011067</v>
      </c>
    </row>
    <row r="4544" spans="1:15" x14ac:dyDescent="0.25">
      <c r="A4544" s="1">
        <v>4543</v>
      </c>
      <c r="B4544" s="2">
        <v>45284</v>
      </c>
      <c r="C4544" s="1" t="s">
        <v>16</v>
      </c>
      <c r="D4544" s="1" t="s">
        <v>20</v>
      </c>
      <c r="E4544" s="1" t="s">
        <v>43</v>
      </c>
      <c r="F4544" s="1" t="s">
        <v>31</v>
      </c>
      <c r="G4544" s="1">
        <v>1</v>
      </c>
      <c r="H4544" s="1">
        <v>666</v>
      </c>
      <c r="I4544" s="1">
        <v>15</v>
      </c>
      <c r="J4544" s="4">
        <v>566.1</v>
      </c>
      <c r="K4544" s="4">
        <v>325.5</v>
      </c>
      <c r="L4544" s="4">
        <v>240.6</v>
      </c>
      <c r="M4544" s="1" t="str">
        <f>TEXT(Table1[[#This Row],[Order_Date]], "MMM")</f>
        <v>Dec</v>
      </c>
      <c r="N4544" s="1">
        <f>YEAR(Table1[[#This Row],[Order_Date]])</f>
        <v>2023</v>
      </c>
      <c r="O4544" s="7">
        <f>Table1[[#This Row],[Profit]]/Table1[[#This Row],[Total_Sales]]</f>
        <v>0.42501324854266026</v>
      </c>
    </row>
    <row r="4545" spans="1:15" x14ac:dyDescent="0.25">
      <c r="A4545" s="1">
        <v>4544</v>
      </c>
      <c r="B4545" s="2">
        <v>45061</v>
      </c>
      <c r="C4545" s="1" t="s">
        <v>12</v>
      </c>
      <c r="D4545" s="1" t="s">
        <v>22</v>
      </c>
      <c r="E4545" s="1" t="s">
        <v>36</v>
      </c>
      <c r="F4545" s="1" t="s">
        <v>24</v>
      </c>
      <c r="G4545" s="1">
        <v>4</v>
      </c>
      <c r="H4545" s="1">
        <v>542</v>
      </c>
      <c r="I4545" s="1">
        <v>15</v>
      </c>
      <c r="J4545" s="4">
        <v>1842.8</v>
      </c>
      <c r="K4545" s="4">
        <v>1068.68</v>
      </c>
      <c r="L4545" s="4">
        <v>774.12</v>
      </c>
      <c r="M4545" s="1" t="str">
        <f>TEXT(Table1[[#This Row],[Order_Date]], "MMM")</f>
        <v>May</v>
      </c>
      <c r="N4545" s="1">
        <f>YEAR(Table1[[#This Row],[Order_Date]])</f>
        <v>2023</v>
      </c>
      <c r="O4545" s="7">
        <f>Table1[[#This Row],[Profit]]/Table1[[#This Row],[Total_Sales]]</f>
        <v>0.42007814195789017</v>
      </c>
    </row>
    <row r="4546" spans="1:15" x14ac:dyDescent="0.25">
      <c r="A4546" s="1">
        <v>4545</v>
      </c>
      <c r="B4546" s="2">
        <v>45140</v>
      </c>
      <c r="C4546" s="1" t="s">
        <v>19</v>
      </c>
      <c r="D4546" s="1" t="s">
        <v>22</v>
      </c>
      <c r="E4546" s="1" t="s">
        <v>29</v>
      </c>
      <c r="F4546" s="1" t="s">
        <v>18</v>
      </c>
      <c r="G4546" s="1">
        <v>9</v>
      </c>
      <c r="H4546" s="1">
        <v>284</v>
      </c>
      <c r="I4546" s="1">
        <v>0</v>
      </c>
      <c r="J4546" s="4">
        <v>2556</v>
      </c>
      <c r="K4546" s="4">
        <v>1594.23</v>
      </c>
      <c r="L4546" s="4">
        <v>961.77</v>
      </c>
      <c r="M4546" s="1" t="str">
        <f>TEXT(Table1[[#This Row],[Order_Date]], "MMM")</f>
        <v>Aug</v>
      </c>
      <c r="N4546" s="1">
        <f>YEAR(Table1[[#This Row],[Order_Date]])</f>
        <v>2023</v>
      </c>
      <c r="O4546" s="7">
        <f>Table1[[#This Row],[Profit]]/Table1[[#This Row],[Total_Sales]]</f>
        <v>0.37627934272300467</v>
      </c>
    </row>
    <row r="4547" spans="1:15" x14ac:dyDescent="0.25">
      <c r="A4547" s="1">
        <v>4546</v>
      </c>
      <c r="B4547" s="2">
        <v>45089</v>
      </c>
      <c r="C4547" s="1" t="s">
        <v>25</v>
      </c>
      <c r="D4547" s="1" t="s">
        <v>20</v>
      </c>
      <c r="E4547" s="1" t="s">
        <v>30</v>
      </c>
      <c r="F4547" s="1" t="s">
        <v>15</v>
      </c>
      <c r="G4547" s="1">
        <v>1</v>
      </c>
      <c r="H4547" s="1">
        <v>679</v>
      </c>
      <c r="I4547" s="1">
        <v>5</v>
      </c>
      <c r="J4547" s="4">
        <v>645.04999999999995</v>
      </c>
      <c r="K4547" s="4">
        <v>396.95</v>
      </c>
      <c r="L4547" s="4">
        <v>248.1</v>
      </c>
      <c r="M4547" s="1" t="str">
        <f>TEXT(Table1[[#This Row],[Order_Date]], "MMM")</f>
        <v>Jun</v>
      </c>
      <c r="N4547" s="1">
        <f>YEAR(Table1[[#This Row],[Order_Date]])</f>
        <v>2023</v>
      </c>
      <c r="O4547" s="7">
        <f>Table1[[#This Row],[Profit]]/Table1[[#This Row],[Total_Sales]]</f>
        <v>0.384621347182389</v>
      </c>
    </row>
    <row r="4548" spans="1:15" x14ac:dyDescent="0.25">
      <c r="A4548" s="1">
        <v>4547</v>
      </c>
      <c r="B4548" s="2">
        <v>45314</v>
      </c>
      <c r="C4548" s="1" t="s">
        <v>16</v>
      </c>
      <c r="D4548" s="1" t="s">
        <v>22</v>
      </c>
      <c r="E4548" s="1" t="s">
        <v>23</v>
      </c>
      <c r="F4548" s="1" t="s">
        <v>31</v>
      </c>
      <c r="G4548" s="1">
        <v>5</v>
      </c>
      <c r="H4548" s="1">
        <v>441</v>
      </c>
      <c r="I4548" s="1">
        <v>5</v>
      </c>
      <c r="J4548" s="4">
        <v>2094.75</v>
      </c>
      <c r="K4548" s="4">
        <v>1087.73</v>
      </c>
      <c r="L4548" s="4">
        <v>1007.02</v>
      </c>
      <c r="M4548" s="1" t="str">
        <f>TEXT(Table1[[#This Row],[Order_Date]], "MMM")</f>
        <v>Jan</v>
      </c>
      <c r="N4548" s="1">
        <f>YEAR(Table1[[#This Row],[Order_Date]])</f>
        <v>2024</v>
      </c>
      <c r="O4548" s="7">
        <f>Table1[[#This Row],[Profit]]/Table1[[#This Row],[Total_Sales]]</f>
        <v>0.48073517126148702</v>
      </c>
    </row>
    <row r="4549" spans="1:15" x14ac:dyDescent="0.25">
      <c r="A4549" s="1">
        <v>4548</v>
      </c>
      <c r="B4549" s="2">
        <v>45264</v>
      </c>
      <c r="C4549" s="1" t="s">
        <v>12</v>
      </c>
      <c r="D4549" s="1" t="s">
        <v>32</v>
      </c>
      <c r="E4549" s="1" t="s">
        <v>45</v>
      </c>
      <c r="F4549" s="1" t="s">
        <v>24</v>
      </c>
      <c r="G4549" s="1">
        <v>2</v>
      </c>
      <c r="H4549" s="1">
        <v>425</v>
      </c>
      <c r="I4549" s="1">
        <v>10</v>
      </c>
      <c r="J4549" s="4">
        <v>765</v>
      </c>
      <c r="K4549" s="4">
        <v>472.51</v>
      </c>
      <c r="L4549" s="4">
        <v>292.49</v>
      </c>
      <c r="M4549" s="1" t="str">
        <f>TEXT(Table1[[#This Row],[Order_Date]], "MMM")</f>
        <v>Dec</v>
      </c>
      <c r="N4549" s="1">
        <f>YEAR(Table1[[#This Row],[Order_Date]])</f>
        <v>2023</v>
      </c>
      <c r="O4549" s="7">
        <f>Table1[[#This Row],[Profit]]/Table1[[#This Row],[Total_Sales]]</f>
        <v>0.38233986928104574</v>
      </c>
    </row>
    <row r="4550" spans="1:15" x14ac:dyDescent="0.25">
      <c r="A4550" s="1">
        <v>4549</v>
      </c>
      <c r="B4550" s="2">
        <v>45547</v>
      </c>
      <c r="C4550" s="1" t="s">
        <v>19</v>
      </c>
      <c r="D4550" s="1" t="s">
        <v>20</v>
      </c>
      <c r="E4550" s="1" t="s">
        <v>28</v>
      </c>
      <c r="F4550" s="1" t="s">
        <v>35</v>
      </c>
      <c r="G4550" s="1">
        <v>6</v>
      </c>
      <c r="H4550" s="1">
        <v>353</v>
      </c>
      <c r="I4550" s="1">
        <v>20</v>
      </c>
      <c r="J4550" s="4">
        <v>1694.4</v>
      </c>
      <c r="K4550" s="4">
        <v>1078.78</v>
      </c>
      <c r="L4550" s="4">
        <v>615.62</v>
      </c>
      <c r="M4550" s="1" t="str">
        <f>TEXT(Table1[[#This Row],[Order_Date]], "MMM")</f>
        <v>Sep</v>
      </c>
      <c r="N4550" s="1">
        <f>YEAR(Table1[[#This Row],[Order_Date]])</f>
        <v>2024</v>
      </c>
      <c r="O4550" s="7">
        <f>Table1[[#This Row],[Profit]]/Table1[[#This Row],[Total_Sales]]</f>
        <v>0.36332625118035883</v>
      </c>
    </row>
    <row r="4551" spans="1:15" x14ac:dyDescent="0.25">
      <c r="A4551" s="1">
        <v>4550</v>
      </c>
      <c r="B4551" s="2">
        <v>45406</v>
      </c>
      <c r="C4551" s="1" t="s">
        <v>19</v>
      </c>
      <c r="D4551" s="1" t="s">
        <v>13</v>
      </c>
      <c r="E4551" s="1" t="s">
        <v>39</v>
      </c>
      <c r="F4551" s="1" t="s">
        <v>18</v>
      </c>
      <c r="G4551" s="1">
        <v>7</v>
      </c>
      <c r="H4551" s="1">
        <v>241</v>
      </c>
      <c r="I4551" s="1">
        <v>10</v>
      </c>
      <c r="J4551" s="4">
        <v>1518.3</v>
      </c>
      <c r="K4551" s="4">
        <v>1139.48</v>
      </c>
      <c r="L4551" s="4">
        <v>378.82</v>
      </c>
      <c r="M4551" s="1" t="str">
        <f>TEXT(Table1[[#This Row],[Order_Date]], "MMM")</f>
        <v>Apr</v>
      </c>
      <c r="N4551" s="1">
        <f>YEAR(Table1[[#This Row],[Order_Date]])</f>
        <v>2024</v>
      </c>
      <c r="O4551" s="7">
        <f>Table1[[#This Row],[Profit]]/Table1[[#This Row],[Total_Sales]]</f>
        <v>0.24950273332016071</v>
      </c>
    </row>
    <row r="4552" spans="1:15" x14ac:dyDescent="0.25">
      <c r="A4552" s="1">
        <v>4551</v>
      </c>
      <c r="B4552" s="2">
        <v>45130</v>
      </c>
      <c r="C4552" s="1" t="s">
        <v>25</v>
      </c>
      <c r="D4552" s="1" t="s">
        <v>26</v>
      </c>
      <c r="E4552" s="1" t="s">
        <v>37</v>
      </c>
      <c r="F4552" s="1" t="s">
        <v>31</v>
      </c>
      <c r="G4552" s="1">
        <v>5</v>
      </c>
      <c r="H4552" s="1">
        <v>371</v>
      </c>
      <c r="I4552" s="1">
        <v>15</v>
      </c>
      <c r="J4552" s="4">
        <v>1576.75</v>
      </c>
      <c r="K4552" s="4">
        <v>1116.78</v>
      </c>
      <c r="L4552" s="4">
        <v>459.97</v>
      </c>
      <c r="M4552" s="1" t="str">
        <f>TEXT(Table1[[#This Row],[Order_Date]], "MMM")</f>
        <v>Jul</v>
      </c>
      <c r="N4552" s="1">
        <f>YEAR(Table1[[#This Row],[Order_Date]])</f>
        <v>2023</v>
      </c>
      <c r="O4552" s="7">
        <f>Table1[[#This Row],[Profit]]/Table1[[#This Row],[Total_Sales]]</f>
        <v>0.29172031076581578</v>
      </c>
    </row>
    <row r="4553" spans="1:15" x14ac:dyDescent="0.25">
      <c r="A4553" s="1">
        <v>4552</v>
      </c>
      <c r="B4553" s="2">
        <v>44966</v>
      </c>
      <c r="C4553" s="1" t="s">
        <v>16</v>
      </c>
      <c r="D4553" s="1" t="s">
        <v>13</v>
      </c>
      <c r="E4553" s="1" t="s">
        <v>17</v>
      </c>
      <c r="F4553" s="1" t="s">
        <v>18</v>
      </c>
      <c r="G4553" s="1">
        <v>8</v>
      </c>
      <c r="H4553" s="1">
        <v>857</v>
      </c>
      <c r="I4553" s="1">
        <v>5</v>
      </c>
      <c r="J4553" s="4">
        <v>6513.2</v>
      </c>
      <c r="K4553" s="4">
        <v>3296.62</v>
      </c>
      <c r="L4553" s="4">
        <v>3216.58</v>
      </c>
      <c r="M4553" s="1" t="str">
        <f>TEXT(Table1[[#This Row],[Order_Date]], "MMM")</f>
        <v>Feb</v>
      </c>
      <c r="N4553" s="1">
        <f>YEAR(Table1[[#This Row],[Order_Date]])</f>
        <v>2023</v>
      </c>
      <c r="O4553" s="7">
        <f>Table1[[#This Row],[Profit]]/Table1[[#This Row],[Total_Sales]]</f>
        <v>0.49385555487318061</v>
      </c>
    </row>
    <row r="4554" spans="1:15" x14ac:dyDescent="0.25">
      <c r="A4554" s="1">
        <v>4553</v>
      </c>
      <c r="B4554" s="2">
        <v>45583</v>
      </c>
      <c r="C4554" s="1" t="s">
        <v>12</v>
      </c>
      <c r="D4554" s="1" t="s">
        <v>26</v>
      </c>
      <c r="E4554" s="1" t="s">
        <v>46</v>
      </c>
      <c r="F4554" s="1" t="s">
        <v>24</v>
      </c>
      <c r="G4554" s="1">
        <v>8</v>
      </c>
      <c r="H4554" s="1">
        <v>146</v>
      </c>
      <c r="I4554" s="1">
        <v>0</v>
      </c>
      <c r="J4554" s="4">
        <v>1168</v>
      </c>
      <c r="K4554" s="4">
        <v>901.15</v>
      </c>
      <c r="L4554" s="4">
        <v>266.85000000000002</v>
      </c>
      <c r="M4554" s="1" t="str">
        <f>TEXT(Table1[[#This Row],[Order_Date]], "MMM")</f>
        <v>Oct</v>
      </c>
      <c r="N4554" s="1">
        <f>YEAR(Table1[[#This Row],[Order_Date]])</f>
        <v>2024</v>
      </c>
      <c r="O4554" s="7">
        <f>Table1[[#This Row],[Profit]]/Table1[[#This Row],[Total_Sales]]</f>
        <v>0.22846746575342466</v>
      </c>
    </row>
    <row r="4555" spans="1:15" x14ac:dyDescent="0.25">
      <c r="A4555" s="1">
        <v>4554</v>
      </c>
      <c r="B4555" s="2">
        <v>45602</v>
      </c>
      <c r="C4555" s="1" t="s">
        <v>16</v>
      </c>
      <c r="D4555" s="1" t="s">
        <v>20</v>
      </c>
      <c r="E4555" s="1" t="s">
        <v>21</v>
      </c>
      <c r="F4555" s="1" t="s">
        <v>31</v>
      </c>
      <c r="G4555" s="1">
        <v>1</v>
      </c>
      <c r="H4555" s="1">
        <v>589</v>
      </c>
      <c r="I4555" s="1">
        <v>15</v>
      </c>
      <c r="J4555" s="4">
        <v>500.65</v>
      </c>
      <c r="K4555" s="4">
        <v>269.3</v>
      </c>
      <c r="L4555" s="4">
        <v>231.35</v>
      </c>
      <c r="M4555" s="1" t="str">
        <f>TEXT(Table1[[#This Row],[Order_Date]], "MMM")</f>
        <v>Nov</v>
      </c>
      <c r="N4555" s="1">
        <f>YEAR(Table1[[#This Row],[Order_Date]])</f>
        <v>2024</v>
      </c>
      <c r="O4555" s="7">
        <f>Table1[[#This Row],[Profit]]/Table1[[#This Row],[Total_Sales]]</f>
        <v>0.46209927094776793</v>
      </c>
    </row>
    <row r="4556" spans="1:15" x14ac:dyDescent="0.25">
      <c r="A4556" s="1">
        <v>4555</v>
      </c>
      <c r="B4556" s="2">
        <v>45284</v>
      </c>
      <c r="C4556" s="1" t="s">
        <v>12</v>
      </c>
      <c r="D4556" s="1" t="s">
        <v>32</v>
      </c>
      <c r="E4556" s="1" t="s">
        <v>41</v>
      </c>
      <c r="F4556" s="1" t="s">
        <v>15</v>
      </c>
      <c r="G4556" s="1">
        <v>9</v>
      </c>
      <c r="H4556" s="1">
        <v>732</v>
      </c>
      <c r="I4556" s="1">
        <v>5</v>
      </c>
      <c r="J4556" s="4">
        <v>6258.6</v>
      </c>
      <c r="K4556" s="4">
        <v>4299.38</v>
      </c>
      <c r="L4556" s="4">
        <v>1959.22</v>
      </c>
      <c r="M4556" s="1" t="str">
        <f>TEXT(Table1[[#This Row],[Order_Date]], "MMM")</f>
        <v>Dec</v>
      </c>
      <c r="N4556" s="1">
        <f>YEAR(Table1[[#This Row],[Order_Date]])</f>
        <v>2023</v>
      </c>
      <c r="O4556" s="7">
        <f>Table1[[#This Row],[Profit]]/Table1[[#This Row],[Total_Sales]]</f>
        <v>0.31304445083565013</v>
      </c>
    </row>
    <row r="4557" spans="1:15" x14ac:dyDescent="0.25">
      <c r="A4557" s="1">
        <v>4556</v>
      </c>
      <c r="B4557" s="2">
        <v>45520</v>
      </c>
      <c r="C4557" s="1" t="s">
        <v>25</v>
      </c>
      <c r="D4557" s="1" t="s">
        <v>26</v>
      </c>
      <c r="E4557" s="1" t="s">
        <v>27</v>
      </c>
      <c r="F4557" s="1" t="s">
        <v>31</v>
      </c>
      <c r="G4557" s="1">
        <v>5</v>
      </c>
      <c r="H4557" s="1">
        <v>622</v>
      </c>
      <c r="I4557" s="1">
        <v>10</v>
      </c>
      <c r="J4557" s="4">
        <v>2799</v>
      </c>
      <c r="K4557" s="4">
        <v>1832.57</v>
      </c>
      <c r="L4557" s="4">
        <v>966.43</v>
      </c>
      <c r="M4557" s="1" t="str">
        <f>TEXT(Table1[[#This Row],[Order_Date]], "MMM")</f>
        <v>Aug</v>
      </c>
      <c r="N4557" s="1">
        <f>YEAR(Table1[[#This Row],[Order_Date]])</f>
        <v>2024</v>
      </c>
      <c r="O4557" s="7">
        <f>Table1[[#This Row],[Profit]]/Table1[[#This Row],[Total_Sales]]</f>
        <v>0.34527688460164341</v>
      </c>
    </row>
    <row r="4558" spans="1:15" x14ac:dyDescent="0.25">
      <c r="A4558" s="1">
        <v>4557</v>
      </c>
      <c r="B4558" s="2">
        <v>45572</v>
      </c>
      <c r="C4558" s="1" t="s">
        <v>25</v>
      </c>
      <c r="D4558" s="1" t="s">
        <v>13</v>
      </c>
      <c r="E4558" s="1" t="s">
        <v>14</v>
      </c>
      <c r="F4558" s="1" t="s">
        <v>35</v>
      </c>
      <c r="G4558" s="1">
        <v>8</v>
      </c>
      <c r="H4558" s="1">
        <v>520</v>
      </c>
      <c r="I4558" s="1">
        <v>15</v>
      </c>
      <c r="J4558" s="4">
        <v>3536</v>
      </c>
      <c r="K4558" s="4">
        <v>1923.37</v>
      </c>
      <c r="L4558" s="4">
        <v>1612.63</v>
      </c>
      <c r="M4558" s="1" t="str">
        <f>TEXT(Table1[[#This Row],[Order_Date]], "MMM")</f>
        <v>Oct</v>
      </c>
      <c r="N4558" s="1">
        <f>YEAR(Table1[[#This Row],[Order_Date]])</f>
        <v>2024</v>
      </c>
      <c r="O4558" s="7">
        <f>Table1[[#This Row],[Profit]]/Table1[[#This Row],[Total_Sales]]</f>
        <v>0.45606052036199096</v>
      </c>
    </row>
    <row r="4559" spans="1:15" x14ac:dyDescent="0.25">
      <c r="A4559" s="1">
        <v>4558</v>
      </c>
      <c r="B4559" s="2">
        <v>45177</v>
      </c>
      <c r="C4559" s="1" t="s">
        <v>25</v>
      </c>
      <c r="D4559" s="1" t="s">
        <v>26</v>
      </c>
      <c r="E4559" s="1" t="s">
        <v>46</v>
      </c>
      <c r="F4559" s="1" t="s">
        <v>31</v>
      </c>
      <c r="G4559" s="1">
        <v>3</v>
      </c>
      <c r="H4559" s="1">
        <v>328</v>
      </c>
      <c r="I4559" s="1">
        <v>20</v>
      </c>
      <c r="J4559" s="4">
        <v>787.2</v>
      </c>
      <c r="K4559" s="4">
        <v>521.67999999999995</v>
      </c>
      <c r="L4559" s="4">
        <v>265.52</v>
      </c>
      <c r="M4559" s="1" t="str">
        <f>TEXT(Table1[[#This Row],[Order_Date]], "MMM")</f>
        <v>Sep</v>
      </c>
      <c r="N4559" s="1">
        <f>YEAR(Table1[[#This Row],[Order_Date]])</f>
        <v>2023</v>
      </c>
      <c r="O4559" s="7">
        <f>Table1[[#This Row],[Profit]]/Table1[[#This Row],[Total_Sales]]</f>
        <v>0.33729674796747966</v>
      </c>
    </row>
    <row r="4560" spans="1:15" x14ac:dyDescent="0.25">
      <c r="A4560" s="1">
        <v>4559</v>
      </c>
      <c r="B4560" s="2">
        <v>45312</v>
      </c>
      <c r="C4560" s="1" t="s">
        <v>16</v>
      </c>
      <c r="D4560" s="1" t="s">
        <v>13</v>
      </c>
      <c r="E4560" s="1" t="s">
        <v>39</v>
      </c>
      <c r="F4560" s="1" t="s">
        <v>31</v>
      </c>
      <c r="G4560" s="1">
        <v>9</v>
      </c>
      <c r="H4560" s="1">
        <v>539</v>
      </c>
      <c r="I4560" s="1">
        <v>0</v>
      </c>
      <c r="J4560" s="4">
        <v>4851</v>
      </c>
      <c r="K4560" s="4">
        <v>2611.48</v>
      </c>
      <c r="L4560" s="4">
        <v>2239.52</v>
      </c>
      <c r="M4560" s="1" t="str">
        <f>TEXT(Table1[[#This Row],[Order_Date]], "MMM")</f>
        <v>Jan</v>
      </c>
      <c r="N4560" s="1">
        <f>YEAR(Table1[[#This Row],[Order_Date]])</f>
        <v>2024</v>
      </c>
      <c r="O4560" s="7">
        <f>Table1[[#This Row],[Profit]]/Table1[[#This Row],[Total_Sales]]</f>
        <v>0.46166151309008452</v>
      </c>
    </row>
    <row r="4561" spans="1:15" x14ac:dyDescent="0.25">
      <c r="A4561" s="1">
        <v>4560</v>
      </c>
      <c r="B4561" s="2">
        <v>45346</v>
      </c>
      <c r="C4561" s="1" t="s">
        <v>19</v>
      </c>
      <c r="D4561" s="1" t="s">
        <v>22</v>
      </c>
      <c r="E4561" s="1" t="s">
        <v>36</v>
      </c>
      <c r="F4561" s="1" t="s">
        <v>35</v>
      </c>
      <c r="G4561" s="1">
        <v>5</v>
      </c>
      <c r="H4561" s="1">
        <v>348</v>
      </c>
      <c r="I4561" s="1">
        <v>15</v>
      </c>
      <c r="J4561" s="4">
        <v>1479</v>
      </c>
      <c r="K4561" s="4">
        <v>764.73</v>
      </c>
      <c r="L4561" s="4">
        <v>714.27</v>
      </c>
      <c r="M4561" s="1" t="str">
        <f>TEXT(Table1[[#This Row],[Order_Date]], "MMM")</f>
        <v>Feb</v>
      </c>
      <c r="N4561" s="1">
        <f>YEAR(Table1[[#This Row],[Order_Date]])</f>
        <v>2024</v>
      </c>
      <c r="O4561" s="7">
        <f>Table1[[#This Row],[Profit]]/Table1[[#This Row],[Total_Sales]]</f>
        <v>0.48294117647058821</v>
      </c>
    </row>
    <row r="4562" spans="1:15" x14ac:dyDescent="0.25">
      <c r="A4562" s="1">
        <v>4561</v>
      </c>
      <c r="B4562" s="2">
        <v>45109</v>
      </c>
      <c r="C4562" s="1" t="s">
        <v>19</v>
      </c>
      <c r="D4562" s="1" t="s">
        <v>32</v>
      </c>
      <c r="E4562" s="1" t="s">
        <v>34</v>
      </c>
      <c r="F4562" s="1" t="s">
        <v>35</v>
      </c>
      <c r="G4562" s="1">
        <v>1</v>
      </c>
      <c r="H4562" s="1">
        <v>818</v>
      </c>
      <c r="I4562" s="1">
        <v>10</v>
      </c>
      <c r="J4562" s="4">
        <v>736.2</v>
      </c>
      <c r="K4562" s="4">
        <v>378.32</v>
      </c>
      <c r="L4562" s="4">
        <v>357.88</v>
      </c>
      <c r="M4562" s="1" t="str">
        <f>TEXT(Table1[[#This Row],[Order_Date]], "MMM")</f>
        <v>Jul</v>
      </c>
      <c r="N4562" s="1">
        <f>YEAR(Table1[[#This Row],[Order_Date]])</f>
        <v>2023</v>
      </c>
      <c r="O4562" s="7">
        <f>Table1[[#This Row],[Profit]]/Table1[[#This Row],[Total_Sales]]</f>
        <v>0.48611790274381955</v>
      </c>
    </row>
    <row r="4563" spans="1:15" x14ac:dyDescent="0.25">
      <c r="A4563" s="1">
        <v>4562</v>
      </c>
      <c r="B4563" s="2">
        <v>45517</v>
      </c>
      <c r="C4563" s="1" t="s">
        <v>19</v>
      </c>
      <c r="D4563" s="1" t="s">
        <v>32</v>
      </c>
      <c r="E4563" s="1" t="s">
        <v>33</v>
      </c>
      <c r="F4563" s="1" t="s">
        <v>31</v>
      </c>
      <c r="G4563" s="1">
        <v>2</v>
      </c>
      <c r="H4563" s="1">
        <v>174</v>
      </c>
      <c r="I4563" s="1">
        <v>10</v>
      </c>
      <c r="J4563" s="4">
        <v>313.2</v>
      </c>
      <c r="K4563" s="4">
        <v>165.49</v>
      </c>
      <c r="L4563" s="4">
        <v>147.71</v>
      </c>
      <c r="M4563" s="1" t="str">
        <f>TEXT(Table1[[#This Row],[Order_Date]], "MMM")</f>
        <v>Aug</v>
      </c>
      <c r="N4563" s="1">
        <f>YEAR(Table1[[#This Row],[Order_Date]])</f>
        <v>2024</v>
      </c>
      <c r="O4563" s="7">
        <f>Table1[[#This Row],[Profit]]/Table1[[#This Row],[Total_Sales]]</f>
        <v>0.47161558109833979</v>
      </c>
    </row>
    <row r="4564" spans="1:15" x14ac:dyDescent="0.25">
      <c r="A4564" s="1">
        <v>4563</v>
      </c>
      <c r="B4564" s="2">
        <v>45456</v>
      </c>
      <c r="C4564" s="1" t="s">
        <v>19</v>
      </c>
      <c r="D4564" s="1" t="s">
        <v>20</v>
      </c>
      <c r="E4564" s="1" t="s">
        <v>21</v>
      </c>
      <c r="F4564" s="1" t="s">
        <v>18</v>
      </c>
      <c r="G4564" s="1">
        <v>4</v>
      </c>
      <c r="H4564" s="1">
        <v>892</v>
      </c>
      <c r="I4564" s="1">
        <v>0</v>
      </c>
      <c r="J4564" s="4">
        <v>3568</v>
      </c>
      <c r="K4564" s="4">
        <v>1984.62</v>
      </c>
      <c r="L4564" s="4">
        <v>1583.38</v>
      </c>
      <c r="M4564" s="1" t="str">
        <f>TEXT(Table1[[#This Row],[Order_Date]], "MMM")</f>
        <v>Jun</v>
      </c>
      <c r="N4564" s="1">
        <f>YEAR(Table1[[#This Row],[Order_Date]])</f>
        <v>2024</v>
      </c>
      <c r="O4564" s="7">
        <f>Table1[[#This Row],[Profit]]/Table1[[#This Row],[Total_Sales]]</f>
        <v>0.44377242152466373</v>
      </c>
    </row>
    <row r="4565" spans="1:15" x14ac:dyDescent="0.25">
      <c r="A4565" s="1">
        <v>4564</v>
      </c>
      <c r="B4565" s="2">
        <v>45546</v>
      </c>
      <c r="C4565" s="1" t="s">
        <v>12</v>
      </c>
      <c r="D4565" s="1" t="s">
        <v>13</v>
      </c>
      <c r="E4565" s="1" t="s">
        <v>38</v>
      </c>
      <c r="F4565" s="1" t="s">
        <v>18</v>
      </c>
      <c r="G4565" s="1">
        <v>2</v>
      </c>
      <c r="H4565" s="1">
        <v>290</v>
      </c>
      <c r="I4565" s="1">
        <v>20</v>
      </c>
      <c r="J4565" s="4">
        <v>464</v>
      </c>
      <c r="K4565" s="4">
        <v>348.33</v>
      </c>
      <c r="L4565" s="4">
        <v>115.67</v>
      </c>
      <c r="M4565" s="1" t="str">
        <f>TEXT(Table1[[#This Row],[Order_Date]], "MMM")</f>
        <v>Sep</v>
      </c>
      <c r="N4565" s="1">
        <f>YEAR(Table1[[#This Row],[Order_Date]])</f>
        <v>2024</v>
      </c>
      <c r="O4565" s="7">
        <f>Table1[[#This Row],[Profit]]/Table1[[#This Row],[Total_Sales]]</f>
        <v>0.24928879310344829</v>
      </c>
    </row>
    <row r="4566" spans="1:15" x14ac:dyDescent="0.25">
      <c r="A4566" s="1">
        <v>4565</v>
      </c>
      <c r="B4566" s="2">
        <v>45407</v>
      </c>
      <c r="C4566" s="1" t="s">
        <v>12</v>
      </c>
      <c r="D4566" s="1" t="s">
        <v>26</v>
      </c>
      <c r="E4566" s="1" t="s">
        <v>37</v>
      </c>
      <c r="F4566" s="1" t="s">
        <v>15</v>
      </c>
      <c r="G4566" s="1">
        <v>5</v>
      </c>
      <c r="H4566" s="1">
        <v>103</v>
      </c>
      <c r="I4566" s="1">
        <v>0</v>
      </c>
      <c r="J4566" s="4">
        <v>515</v>
      </c>
      <c r="K4566" s="4">
        <v>378.65</v>
      </c>
      <c r="L4566" s="4">
        <v>136.35</v>
      </c>
      <c r="M4566" s="1" t="str">
        <f>TEXT(Table1[[#This Row],[Order_Date]], "MMM")</f>
        <v>Apr</v>
      </c>
      <c r="N4566" s="1">
        <f>YEAR(Table1[[#This Row],[Order_Date]])</f>
        <v>2024</v>
      </c>
      <c r="O4566" s="7">
        <f>Table1[[#This Row],[Profit]]/Table1[[#This Row],[Total_Sales]]</f>
        <v>0.26475728155339806</v>
      </c>
    </row>
    <row r="4567" spans="1:15" x14ac:dyDescent="0.25">
      <c r="A4567" s="1">
        <v>4566</v>
      </c>
      <c r="B4567" s="2">
        <v>45235</v>
      </c>
      <c r="C4567" s="1" t="s">
        <v>19</v>
      </c>
      <c r="D4567" s="1" t="s">
        <v>13</v>
      </c>
      <c r="E4567" s="1" t="s">
        <v>17</v>
      </c>
      <c r="F4567" s="1" t="s">
        <v>24</v>
      </c>
      <c r="G4567" s="1">
        <v>9</v>
      </c>
      <c r="H4567" s="1">
        <v>431</v>
      </c>
      <c r="I4567" s="1">
        <v>10</v>
      </c>
      <c r="J4567" s="4">
        <v>3491.1</v>
      </c>
      <c r="K4567" s="4">
        <v>2610.75</v>
      </c>
      <c r="L4567" s="4">
        <v>880.35</v>
      </c>
      <c r="M4567" s="1" t="str">
        <f>TEXT(Table1[[#This Row],[Order_Date]], "MMM")</f>
        <v>Nov</v>
      </c>
      <c r="N4567" s="1">
        <f>YEAR(Table1[[#This Row],[Order_Date]])</f>
        <v>2023</v>
      </c>
      <c r="O4567" s="7">
        <f>Table1[[#This Row],[Profit]]/Table1[[#This Row],[Total_Sales]]</f>
        <v>0.25216980321388677</v>
      </c>
    </row>
    <row r="4568" spans="1:15" x14ac:dyDescent="0.25">
      <c r="A4568" s="1">
        <v>4567</v>
      </c>
      <c r="B4568" s="2">
        <v>45026</v>
      </c>
      <c r="C4568" s="1" t="s">
        <v>25</v>
      </c>
      <c r="D4568" s="1" t="s">
        <v>32</v>
      </c>
      <c r="E4568" s="1" t="s">
        <v>34</v>
      </c>
      <c r="F4568" s="1" t="s">
        <v>40</v>
      </c>
      <c r="G4568" s="1">
        <v>4</v>
      </c>
      <c r="H4568" s="1">
        <v>78</v>
      </c>
      <c r="I4568" s="1">
        <v>5</v>
      </c>
      <c r="J4568" s="4">
        <v>296.39999999999998</v>
      </c>
      <c r="K4568" s="4">
        <v>175.48</v>
      </c>
      <c r="L4568" s="4">
        <v>120.92</v>
      </c>
      <c r="M4568" s="1" t="str">
        <f>TEXT(Table1[[#This Row],[Order_Date]], "MMM")</f>
        <v>Apr</v>
      </c>
      <c r="N4568" s="1">
        <f>YEAR(Table1[[#This Row],[Order_Date]])</f>
        <v>2023</v>
      </c>
      <c r="O4568" s="7">
        <f>Table1[[#This Row],[Profit]]/Table1[[#This Row],[Total_Sales]]</f>
        <v>0.40796221322537118</v>
      </c>
    </row>
    <row r="4569" spans="1:15" x14ac:dyDescent="0.25">
      <c r="A4569" s="1">
        <v>4568</v>
      </c>
      <c r="B4569" s="2">
        <v>45062</v>
      </c>
      <c r="C4569" s="1" t="s">
        <v>25</v>
      </c>
      <c r="D4569" s="1" t="s">
        <v>26</v>
      </c>
      <c r="E4569" s="1" t="s">
        <v>42</v>
      </c>
      <c r="F4569" s="1" t="s">
        <v>18</v>
      </c>
      <c r="G4569" s="1">
        <v>6</v>
      </c>
      <c r="H4569" s="1">
        <v>612</v>
      </c>
      <c r="I4569" s="1">
        <v>10</v>
      </c>
      <c r="J4569" s="4">
        <v>3304.8</v>
      </c>
      <c r="K4569" s="4">
        <v>2330.14</v>
      </c>
      <c r="L4569" s="4">
        <v>974.66</v>
      </c>
      <c r="M4569" s="1" t="str">
        <f>TEXT(Table1[[#This Row],[Order_Date]], "MMM")</f>
        <v>May</v>
      </c>
      <c r="N4569" s="1">
        <f>YEAR(Table1[[#This Row],[Order_Date]])</f>
        <v>2023</v>
      </c>
      <c r="O4569" s="7">
        <f>Table1[[#This Row],[Profit]]/Table1[[#This Row],[Total_Sales]]</f>
        <v>0.29492253691600095</v>
      </c>
    </row>
    <row r="4570" spans="1:15" x14ac:dyDescent="0.25">
      <c r="A4570" s="1">
        <v>4569</v>
      </c>
      <c r="B4570" s="2">
        <v>45489</v>
      </c>
      <c r="C4570" s="1" t="s">
        <v>12</v>
      </c>
      <c r="D4570" s="1" t="s">
        <v>20</v>
      </c>
      <c r="E4570" s="1" t="s">
        <v>43</v>
      </c>
      <c r="F4570" s="1" t="s">
        <v>24</v>
      </c>
      <c r="G4570" s="1">
        <v>6</v>
      </c>
      <c r="H4570" s="1">
        <v>137</v>
      </c>
      <c r="I4570" s="1">
        <v>5</v>
      </c>
      <c r="J4570" s="4">
        <v>780.9</v>
      </c>
      <c r="K4570" s="4">
        <v>395.93</v>
      </c>
      <c r="L4570" s="4">
        <v>384.97</v>
      </c>
      <c r="M4570" s="1" t="str">
        <f>TEXT(Table1[[#This Row],[Order_Date]], "MMM")</f>
        <v>Jul</v>
      </c>
      <c r="N4570" s="1">
        <f>YEAR(Table1[[#This Row],[Order_Date]])</f>
        <v>2024</v>
      </c>
      <c r="O4570" s="7">
        <f>Table1[[#This Row],[Profit]]/Table1[[#This Row],[Total_Sales]]</f>
        <v>0.49298245614035091</v>
      </c>
    </row>
    <row r="4571" spans="1:15" x14ac:dyDescent="0.25">
      <c r="A4571" s="1">
        <v>4570</v>
      </c>
      <c r="B4571" s="2">
        <v>45148</v>
      </c>
      <c r="C4571" s="1" t="s">
        <v>12</v>
      </c>
      <c r="D4571" s="1" t="s">
        <v>26</v>
      </c>
      <c r="E4571" s="1" t="s">
        <v>42</v>
      </c>
      <c r="F4571" s="1" t="s">
        <v>35</v>
      </c>
      <c r="G4571" s="1">
        <v>9</v>
      </c>
      <c r="H4571" s="1">
        <v>323</v>
      </c>
      <c r="I4571" s="1">
        <v>0</v>
      </c>
      <c r="J4571" s="4">
        <v>2907</v>
      </c>
      <c r="K4571" s="4">
        <v>1629.58</v>
      </c>
      <c r="L4571" s="4">
        <v>1277.42</v>
      </c>
      <c r="M4571" s="1" t="str">
        <f>TEXT(Table1[[#This Row],[Order_Date]], "MMM")</f>
        <v>Aug</v>
      </c>
      <c r="N4571" s="1">
        <f>YEAR(Table1[[#This Row],[Order_Date]])</f>
        <v>2023</v>
      </c>
      <c r="O4571" s="7">
        <f>Table1[[#This Row],[Profit]]/Table1[[#This Row],[Total_Sales]]</f>
        <v>0.43942896456828345</v>
      </c>
    </row>
    <row r="4572" spans="1:15" x14ac:dyDescent="0.25">
      <c r="A4572" s="1">
        <v>4571</v>
      </c>
      <c r="B4572" s="2">
        <v>45454</v>
      </c>
      <c r="C4572" s="1" t="s">
        <v>12</v>
      </c>
      <c r="D4572" s="1" t="s">
        <v>13</v>
      </c>
      <c r="E4572" s="1" t="s">
        <v>17</v>
      </c>
      <c r="F4572" s="1" t="s">
        <v>15</v>
      </c>
      <c r="G4572" s="1">
        <v>7</v>
      </c>
      <c r="H4572" s="1">
        <v>918</v>
      </c>
      <c r="I4572" s="1">
        <v>15</v>
      </c>
      <c r="J4572" s="4">
        <v>5462.1</v>
      </c>
      <c r="K4572" s="4">
        <v>3666.71</v>
      </c>
      <c r="L4572" s="4">
        <v>1795.39</v>
      </c>
      <c r="M4572" s="1" t="str">
        <f>TEXT(Table1[[#This Row],[Order_Date]], "MMM")</f>
        <v>Jun</v>
      </c>
      <c r="N4572" s="1">
        <f>YEAR(Table1[[#This Row],[Order_Date]])</f>
        <v>2024</v>
      </c>
      <c r="O4572" s="7">
        <f>Table1[[#This Row],[Profit]]/Table1[[#This Row],[Total_Sales]]</f>
        <v>0.32869958440892699</v>
      </c>
    </row>
    <row r="4573" spans="1:15" x14ac:dyDescent="0.25">
      <c r="A4573" s="1">
        <v>4572</v>
      </c>
      <c r="B4573" s="2">
        <v>45217</v>
      </c>
      <c r="C4573" s="1" t="s">
        <v>12</v>
      </c>
      <c r="D4573" s="1" t="s">
        <v>20</v>
      </c>
      <c r="E4573" s="1" t="s">
        <v>30</v>
      </c>
      <c r="F4573" s="1" t="s">
        <v>31</v>
      </c>
      <c r="G4573" s="1">
        <v>4</v>
      </c>
      <c r="H4573" s="1">
        <v>340</v>
      </c>
      <c r="I4573" s="1">
        <v>5</v>
      </c>
      <c r="J4573" s="4">
        <v>1292</v>
      </c>
      <c r="K4573" s="4">
        <v>651.29</v>
      </c>
      <c r="L4573" s="4">
        <v>640.71</v>
      </c>
      <c r="M4573" s="1" t="str">
        <f>TEXT(Table1[[#This Row],[Order_Date]], "MMM")</f>
        <v>Oct</v>
      </c>
      <c r="N4573" s="1">
        <f>YEAR(Table1[[#This Row],[Order_Date]])</f>
        <v>2023</v>
      </c>
      <c r="O4573" s="7">
        <f>Table1[[#This Row],[Profit]]/Table1[[#This Row],[Total_Sales]]</f>
        <v>0.49590557275541797</v>
      </c>
    </row>
    <row r="4574" spans="1:15" x14ac:dyDescent="0.25">
      <c r="A4574" s="1">
        <v>4573</v>
      </c>
      <c r="B4574" s="2">
        <v>45641</v>
      </c>
      <c r="C4574" s="1" t="s">
        <v>12</v>
      </c>
      <c r="D4574" s="1" t="s">
        <v>22</v>
      </c>
      <c r="E4574" s="1" t="s">
        <v>29</v>
      </c>
      <c r="F4574" s="1" t="s">
        <v>15</v>
      </c>
      <c r="G4574" s="1">
        <v>3</v>
      </c>
      <c r="H4574" s="1">
        <v>214</v>
      </c>
      <c r="I4574" s="1">
        <v>0</v>
      </c>
      <c r="J4574" s="4">
        <v>642</v>
      </c>
      <c r="K4574" s="4">
        <v>341.86</v>
      </c>
      <c r="L4574" s="4">
        <v>300.14</v>
      </c>
      <c r="M4574" s="1" t="str">
        <f>TEXT(Table1[[#This Row],[Order_Date]], "MMM")</f>
        <v>Dec</v>
      </c>
      <c r="N4574" s="1">
        <f>YEAR(Table1[[#This Row],[Order_Date]])</f>
        <v>2024</v>
      </c>
      <c r="O4574" s="7">
        <f>Table1[[#This Row],[Profit]]/Table1[[#This Row],[Total_Sales]]</f>
        <v>0.46750778816199373</v>
      </c>
    </row>
    <row r="4575" spans="1:15" x14ac:dyDescent="0.25">
      <c r="A4575" s="1">
        <v>4574</v>
      </c>
      <c r="B4575" s="2">
        <v>45224</v>
      </c>
      <c r="C4575" s="1" t="s">
        <v>16</v>
      </c>
      <c r="D4575" s="1" t="s">
        <v>20</v>
      </c>
      <c r="E4575" s="1" t="s">
        <v>43</v>
      </c>
      <c r="F4575" s="1" t="s">
        <v>24</v>
      </c>
      <c r="G4575" s="1">
        <v>6</v>
      </c>
      <c r="H4575" s="1">
        <v>863</v>
      </c>
      <c r="I4575" s="1">
        <v>5</v>
      </c>
      <c r="J4575" s="4">
        <v>4919.1000000000004</v>
      </c>
      <c r="K4575" s="4">
        <v>3130.38</v>
      </c>
      <c r="L4575" s="4">
        <v>1788.72</v>
      </c>
      <c r="M4575" s="1" t="str">
        <f>TEXT(Table1[[#This Row],[Order_Date]], "MMM")</f>
        <v>Oct</v>
      </c>
      <c r="N4575" s="1">
        <f>YEAR(Table1[[#This Row],[Order_Date]])</f>
        <v>2023</v>
      </c>
      <c r="O4575" s="7">
        <f>Table1[[#This Row],[Profit]]/Table1[[#This Row],[Total_Sales]]</f>
        <v>0.36362749283405499</v>
      </c>
    </row>
    <row r="4576" spans="1:15" x14ac:dyDescent="0.25">
      <c r="A4576" s="1">
        <v>4575</v>
      </c>
      <c r="B4576" s="2">
        <v>45089</v>
      </c>
      <c r="C4576" s="1" t="s">
        <v>16</v>
      </c>
      <c r="D4576" s="1" t="s">
        <v>32</v>
      </c>
      <c r="E4576" s="1" t="s">
        <v>41</v>
      </c>
      <c r="F4576" s="1" t="s">
        <v>15</v>
      </c>
      <c r="G4576" s="1">
        <v>6</v>
      </c>
      <c r="H4576" s="1">
        <v>98</v>
      </c>
      <c r="I4576" s="1">
        <v>10</v>
      </c>
      <c r="J4576" s="4">
        <v>529.20000000000005</v>
      </c>
      <c r="K4576" s="4">
        <v>332.95</v>
      </c>
      <c r="L4576" s="4">
        <v>196.25</v>
      </c>
      <c r="M4576" s="1" t="str">
        <f>TEXT(Table1[[#This Row],[Order_Date]], "MMM")</f>
        <v>Jun</v>
      </c>
      <c r="N4576" s="1">
        <f>YEAR(Table1[[#This Row],[Order_Date]])</f>
        <v>2023</v>
      </c>
      <c r="O4576" s="7">
        <f>Table1[[#This Row],[Profit]]/Table1[[#This Row],[Total_Sales]]</f>
        <v>0.37084278155706724</v>
      </c>
    </row>
    <row r="4577" spans="1:15" x14ac:dyDescent="0.25">
      <c r="A4577" s="1">
        <v>4576</v>
      </c>
      <c r="B4577" s="2">
        <v>45178</v>
      </c>
      <c r="C4577" s="1" t="s">
        <v>25</v>
      </c>
      <c r="D4577" s="1" t="s">
        <v>13</v>
      </c>
      <c r="E4577" s="1" t="s">
        <v>38</v>
      </c>
      <c r="F4577" s="1" t="s">
        <v>31</v>
      </c>
      <c r="G4577" s="1">
        <v>5</v>
      </c>
      <c r="H4577" s="1">
        <v>45</v>
      </c>
      <c r="I4577" s="1">
        <v>0</v>
      </c>
      <c r="J4577" s="4">
        <v>225</v>
      </c>
      <c r="K4577" s="4">
        <v>158.28</v>
      </c>
      <c r="L4577" s="4">
        <v>66.72</v>
      </c>
      <c r="M4577" s="1" t="str">
        <f>TEXT(Table1[[#This Row],[Order_Date]], "MMM")</f>
        <v>Sep</v>
      </c>
      <c r="N4577" s="1">
        <f>YEAR(Table1[[#This Row],[Order_Date]])</f>
        <v>2023</v>
      </c>
      <c r="O4577" s="7">
        <f>Table1[[#This Row],[Profit]]/Table1[[#This Row],[Total_Sales]]</f>
        <v>0.29653333333333332</v>
      </c>
    </row>
    <row r="4578" spans="1:15" x14ac:dyDescent="0.25">
      <c r="A4578" s="1">
        <v>4577</v>
      </c>
      <c r="B4578" s="2">
        <v>45138</v>
      </c>
      <c r="C4578" s="1" t="s">
        <v>19</v>
      </c>
      <c r="D4578" s="1" t="s">
        <v>22</v>
      </c>
      <c r="E4578" s="1" t="s">
        <v>23</v>
      </c>
      <c r="F4578" s="1" t="s">
        <v>15</v>
      </c>
      <c r="G4578" s="1">
        <v>10</v>
      </c>
      <c r="H4578" s="1">
        <v>970</v>
      </c>
      <c r="I4578" s="1">
        <v>5</v>
      </c>
      <c r="J4578" s="4">
        <v>9215</v>
      </c>
      <c r="K4578" s="4">
        <v>5672.65</v>
      </c>
      <c r="L4578" s="4">
        <v>3542.35</v>
      </c>
      <c r="M4578" s="1" t="str">
        <f>TEXT(Table1[[#This Row],[Order_Date]], "MMM")</f>
        <v>Jul</v>
      </c>
      <c r="N4578" s="1">
        <f>YEAR(Table1[[#This Row],[Order_Date]])</f>
        <v>2023</v>
      </c>
      <c r="O4578" s="7">
        <f>Table1[[#This Row],[Profit]]/Table1[[#This Row],[Total_Sales]]</f>
        <v>0.38441128594682583</v>
      </c>
    </row>
    <row r="4579" spans="1:15" x14ac:dyDescent="0.25">
      <c r="A4579" s="1">
        <v>4578</v>
      </c>
      <c r="B4579" s="2">
        <v>45130</v>
      </c>
      <c r="C4579" s="1" t="s">
        <v>16</v>
      </c>
      <c r="D4579" s="1" t="s">
        <v>13</v>
      </c>
      <c r="E4579" s="1" t="s">
        <v>38</v>
      </c>
      <c r="F4579" s="1" t="s">
        <v>40</v>
      </c>
      <c r="G4579" s="1">
        <v>9</v>
      </c>
      <c r="H4579" s="1">
        <v>102</v>
      </c>
      <c r="I4579" s="1">
        <v>15</v>
      </c>
      <c r="J4579" s="4">
        <v>780.3</v>
      </c>
      <c r="K4579" s="4">
        <v>434.29</v>
      </c>
      <c r="L4579" s="4">
        <v>346.01</v>
      </c>
      <c r="M4579" s="1" t="str">
        <f>TEXT(Table1[[#This Row],[Order_Date]], "MMM")</f>
        <v>Jul</v>
      </c>
      <c r="N4579" s="1">
        <f>YEAR(Table1[[#This Row],[Order_Date]])</f>
        <v>2023</v>
      </c>
      <c r="O4579" s="7">
        <f>Table1[[#This Row],[Profit]]/Table1[[#This Row],[Total_Sales]]</f>
        <v>0.44343201332820709</v>
      </c>
    </row>
    <row r="4580" spans="1:15" x14ac:dyDescent="0.25">
      <c r="A4580" s="1">
        <v>4579</v>
      </c>
      <c r="B4580" s="2">
        <v>45561</v>
      </c>
      <c r="C4580" s="1" t="s">
        <v>12</v>
      </c>
      <c r="D4580" s="1" t="s">
        <v>22</v>
      </c>
      <c r="E4580" s="1" t="s">
        <v>44</v>
      </c>
      <c r="F4580" s="1" t="s">
        <v>15</v>
      </c>
      <c r="G4580" s="1">
        <v>1</v>
      </c>
      <c r="H4580" s="1">
        <v>377</v>
      </c>
      <c r="I4580" s="1">
        <v>10</v>
      </c>
      <c r="J4580" s="4">
        <v>339.3</v>
      </c>
      <c r="K4580" s="4">
        <v>228.64</v>
      </c>
      <c r="L4580" s="4">
        <v>110.66</v>
      </c>
      <c r="M4580" s="1" t="str">
        <f>TEXT(Table1[[#This Row],[Order_Date]], "MMM")</f>
        <v>Sep</v>
      </c>
      <c r="N4580" s="1">
        <f>YEAR(Table1[[#This Row],[Order_Date]])</f>
        <v>2024</v>
      </c>
      <c r="O4580" s="7">
        <f>Table1[[#This Row],[Profit]]/Table1[[#This Row],[Total_Sales]]</f>
        <v>0.32614205717653993</v>
      </c>
    </row>
    <row r="4581" spans="1:15" x14ac:dyDescent="0.25">
      <c r="A4581" s="1">
        <v>4580</v>
      </c>
      <c r="B4581" s="2">
        <v>45205</v>
      </c>
      <c r="C4581" s="1" t="s">
        <v>25</v>
      </c>
      <c r="D4581" s="1" t="s">
        <v>22</v>
      </c>
      <c r="E4581" s="1" t="s">
        <v>23</v>
      </c>
      <c r="F4581" s="1" t="s">
        <v>18</v>
      </c>
      <c r="G4581" s="1">
        <v>2</v>
      </c>
      <c r="H4581" s="1">
        <v>501</v>
      </c>
      <c r="I4581" s="1">
        <v>20</v>
      </c>
      <c r="J4581" s="4">
        <v>801.6</v>
      </c>
      <c r="K4581" s="4">
        <v>634.23</v>
      </c>
      <c r="L4581" s="4">
        <v>167.37</v>
      </c>
      <c r="M4581" s="1" t="str">
        <f>TEXT(Table1[[#This Row],[Order_Date]], "MMM")</f>
        <v>Oct</v>
      </c>
      <c r="N4581" s="1">
        <f>YEAR(Table1[[#This Row],[Order_Date]])</f>
        <v>2023</v>
      </c>
      <c r="O4581" s="7">
        <f>Table1[[#This Row],[Profit]]/Table1[[#This Row],[Total_Sales]]</f>
        <v>0.20879491017964072</v>
      </c>
    </row>
    <row r="4582" spans="1:15" x14ac:dyDescent="0.25">
      <c r="A4582" s="1">
        <v>4581</v>
      </c>
      <c r="B4582" s="2">
        <v>45086</v>
      </c>
      <c r="C4582" s="1" t="s">
        <v>12</v>
      </c>
      <c r="D4582" s="1" t="s">
        <v>26</v>
      </c>
      <c r="E4582" s="1" t="s">
        <v>46</v>
      </c>
      <c r="F4582" s="1" t="s">
        <v>15</v>
      </c>
      <c r="G4582" s="1">
        <v>5</v>
      </c>
      <c r="H4582" s="1">
        <v>572</v>
      </c>
      <c r="I4582" s="1">
        <v>0</v>
      </c>
      <c r="J4582" s="4">
        <v>2860</v>
      </c>
      <c r="K4582" s="4">
        <v>1566.6</v>
      </c>
      <c r="L4582" s="4">
        <v>1293.4000000000001</v>
      </c>
      <c r="M4582" s="1" t="str">
        <f>TEXT(Table1[[#This Row],[Order_Date]], "MMM")</f>
        <v>Jun</v>
      </c>
      <c r="N4582" s="1">
        <f>YEAR(Table1[[#This Row],[Order_Date]])</f>
        <v>2023</v>
      </c>
      <c r="O4582" s="7">
        <f>Table1[[#This Row],[Profit]]/Table1[[#This Row],[Total_Sales]]</f>
        <v>0.45223776223776224</v>
      </c>
    </row>
    <row r="4583" spans="1:15" x14ac:dyDescent="0.25">
      <c r="A4583" s="1">
        <v>4582</v>
      </c>
      <c r="B4583" s="2">
        <v>45635</v>
      </c>
      <c r="C4583" s="1" t="s">
        <v>16</v>
      </c>
      <c r="D4583" s="1" t="s">
        <v>22</v>
      </c>
      <c r="E4583" s="1" t="s">
        <v>44</v>
      </c>
      <c r="F4583" s="1" t="s">
        <v>24</v>
      </c>
      <c r="G4583" s="1">
        <v>8</v>
      </c>
      <c r="H4583" s="1">
        <v>795</v>
      </c>
      <c r="I4583" s="1">
        <v>10</v>
      </c>
      <c r="J4583" s="4">
        <v>5724</v>
      </c>
      <c r="K4583" s="4">
        <v>3172.62</v>
      </c>
      <c r="L4583" s="4">
        <v>2551.38</v>
      </c>
      <c r="M4583" s="1" t="str">
        <f>TEXT(Table1[[#This Row],[Order_Date]], "MMM")</f>
        <v>Dec</v>
      </c>
      <c r="N4583" s="1">
        <f>YEAR(Table1[[#This Row],[Order_Date]])</f>
        <v>2024</v>
      </c>
      <c r="O4583" s="7">
        <f>Table1[[#This Row],[Profit]]/Table1[[#This Row],[Total_Sales]]</f>
        <v>0.4457337526205451</v>
      </c>
    </row>
    <row r="4584" spans="1:15" x14ac:dyDescent="0.25">
      <c r="A4584" s="1">
        <v>4583</v>
      </c>
      <c r="B4584" s="2">
        <v>44930</v>
      </c>
      <c r="C4584" s="1" t="s">
        <v>19</v>
      </c>
      <c r="D4584" s="1" t="s">
        <v>20</v>
      </c>
      <c r="E4584" s="1" t="s">
        <v>30</v>
      </c>
      <c r="F4584" s="1" t="s">
        <v>24</v>
      </c>
      <c r="G4584" s="1">
        <v>7</v>
      </c>
      <c r="H4584" s="1">
        <v>982</v>
      </c>
      <c r="I4584" s="1">
        <v>20</v>
      </c>
      <c r="J4584" s="4">
        <v>5499.2</v>
      </c>
      <c r="K4584" s="4">
        <v>4357.68</v>
      </c>
      <c r="L4584" s="4">
        <v>1141.52</v>
      </c>
      <c r="M4584" s="1" t="str">
        <f>TEXT(Table1[[#This Row],[Order_Date]], "MMM")</f>
        <v>Jan</v>
      </c>
      <c r="N4584" s="1">
        <f>YEAR(Table1[[#This Row],[Order_Date]])</f>
        <v>2023</v>
      </c>
      <c r="O4584" s="7">
        <f>Table1[[#This Row],[Profit]]/Table1[[#This Row],[Total_Sales]]</f>
        <v>0.20757928425952865</v>
      </c>
    </row>
    <row r="4585" spans="1:15" x14ac:dyDescent="0.25">
      <c r="A4585" s="1">
        <v>4584</v>
      </c>
      <c r="B4585" s="2">
        <v>45116</v>
      </c>
      <c r="C4585" s="1" t="s">
        <v>25</v>
      </c>
      <c r="D4585" s="1" t="s">
        <v>20</v>
      </c>
      <c r="E4585" s="1" t="s">
        <v>21</v>
      </c>
      <c r="F4585" s="1" t="s">
        <v>35</v>
      </c>
      <c r="G4585" s="1">
        <v>7</v>
      </c>
      <c r="H4585" s="1">
        <v>247</v>
      </c>
      <c r="I4585" s="1">
        <v>15</v>
      </c>
      <c r="J4585" s="4">
        <v>1469.65</v>
      </c>
      <c r="K4585" s="4">
        <v>1047.78</v>
      </c>
      <c r="L4585" s="4">
        <v>421.87</v>
      </c>
      <c r="M4585" s="1" t="str">
        <f>TEXT(Table1[[#This Row],[Order_Date]], "MMM")</f>
        <v>Jul</v>
      </c>
      <c r="N4585" s="1">
        <f>YEAR(Table1[[#This Row],[Order_Date]])</f>
        <v>2023</v>
      </c>
      <c r="O4585" s="7">
        <f>Table1[[#This Row],[Profit]]/Table1[[#This Row],[Total_Sales]]</f>
        <v>0.28705474092470995</v>
      </c>
    </row>
    <row r="4586" spans="1:15" x14ac:dyDescent="0.25">
      <c r="A4586" s="1">
        <v>4585</v>
      </c>
      <c r="B4586" s="2">
        <v>45122</v>
      </c>
      <c r="C4586" s="1" t="s">
        <v>25</v>
      </c>
      <c r="D4586" s="1" t="s">
        <v>32</v>
      </c>
      <c r="E4586" s="1" t="s">
        <v>33</v>
      </c>
      <c r="F4586" s="1" t="s">
        <v>18</v>
      </c>
      <c r="G4586" s="1">
        <v>7</v>
      </c>
      <c r="H4586" s="1">
        <v>623</v>
      </c>
      <c r="I4586" s="1">
        <v>15</v>
      </c>
      <c r="J4586" s="4">
        <v>3706.85</v>
      </c>
      <c r="K4586" s="4">
        <v>2693.58</v>
      </c>
      <c r="L4586" s="4">
        <v>1013.27</v>
      </c>
      <c r="M4586" s="1" t="str">
        <f>TEXT(Table1[[#This Row],[Order_Date]], "MMM")</f>
        <v>Jul</v>
      </c>
      <c r="N4586" s="1">
        <f>YEAR(Table1[[#This Row],[Order_Date]])</f>
        <v>2023</v>
      </c>
      <c r="O4586" s="7">
        <f>Table1[[#This Row],[Profit]]/Table1[[#This Row],[Total_Sales]]</f>
        <v>0.27335068859004275</v>
      </c>
    </row>
    <row r="4587" spans="1:15" x14ac:dyDescent="0.25">
      <c r="A4587" s="1">
        <v>4586</v>
      </c>
      <c r="B4587" s="2">
        <v>45123</v>
      </c>
      <c r="C4587" s="1" t="s">
        <v>12</v>
      </c>
      <c r="D4587" s="1" t="s">
        <v>26</v>
      </c>
      <c r="E4587" s="1" t="s">
        <v>46</v>
      </c>
      <c r="F4587" s="1" t="s">
        <v>15</v>
      </c>
      <c r="G4587" s="1">
        <v>9</v>
      </c>
      <c r="H4587" s="1">
        <v>649</v>
      </c>
      <c r="I4587" s="1">
        <v>10</v>
      </c>
      <c r="J4587" s="4">
        <v>5256.9</v>
      </c>
      <c r="K4587" s="4">
        <v>3757.84</v>
      </c>
      <c r="L4587" s="4">
        <v>1499.06</v>
      </c>
      <c r="M4587" s="1" t="str">
        <f>TEXT(Table1[[#This Row],[Order_Date]], "MMM")</f>
        <v>Jul</v>
      </c>
      <c r="N4587" s="1">
        <f>YEAR(Table1[[#This Row],[Order_Date]])</f>
        <v>2023</v>
      </c>
      <c r="O4587" s="7">
        <f>Table1[[#This Row],[Profit]]/Table1[[#This Row],[Total_Sales]]</f>
        <v>0.28516045578192473</v>
      </c>
    </row>
    <row r="4588" spans="1:15" x14ac:dyDescent="0.25">
      <c r="A4588" s="1">
        <v>4587</v>
      </c>
      <c r="B4588" s="2">
        <v>45124</v>
      </c>
      <c r="C4588" s="1" t="s">
        <v>19</v>
      </c>
      <c r="D4588" s="1" t="s">
        <v>20</v>
      </c>
      <c r="E4588" s="1" t="s">
        <v>28</v>
      </c>
      <c r="F4588" s="1" t="s">
        <v>40</v>
      </c>
      <c r="G4588" s="1">
        <v>6</v>
      </c>
      <c r="H4588" s="1">
        <v>972</v>
      </c>
      <c r="I4588" s="1">
        <v>15</v>
      </c>
      <c r="J4588" s="4">
        <v>4957.2</v>
      </c>
      <c r="K4588" s="4">
        <v>3286.75</v>
      </c>
      <c r="L4588" s="4">
        <v>1670.45</v>
      </c>
      <c r="M4588" s="1" t="str">
        <f>TEXT(Table1[[#This Row],[Order_Date]], "MMM")</f>
        <v>Jul</v>
      </c>
      <c r="N4588" s="1">
        <f>YEAR(Table1[[#This Row],[Order_Date]])</f>
        <v>2023</v>
      </c>
      <c r="O4588" s="7">
        <f>Table1[[#This Row],[Profit]]/Table1[[#This Row],[Total_Sales]]</f>
        <v>0.33697450173485033</v>
      </c>
    </row>
    <row r="4589" spans="1:15" x14ac:dyDescent="0.25">
      <c r="A4589" s="1">
        <v>4588</v>
      </c>
      <c r="B4589" s="2">
        <v>45179</v>
      </c>
      <c r="C4589" s="1" t="s">
        <v>19</v>
      </c>
      <c r="D4589" s="1" t="s">
        <v>26</v>
      </c>
      <c r="E4589" s="1" t="s">
        <v>42</v>
      </c>
      <c r="F4589" s="1" t="s">
        <v>40</v>
      </c>
      <c r="G4589" s="1">
        <v>10</v>
      </c>
      <c r="H4589" s="1">
        <v>747</v>
      </c>
      <c r="I4589" s="1">
        <v>15</v>
      </c>
      <c r="J4589" s="4">
        <v>6349.5</v>
      </c>
      <c r="K4589" s="4">
        <v>3372.45</v>
      </c>
      <c r="L4589" s="4">
        <v>2977.05</v>
      </c>
      <c r="M4589" s="1" t="str">
        <f>TEXT(Table1[[#This Row],[Order_Date]], "MMM")</f>
        <v>Sep</v>
      </c>
      <c r="N4589" s="1">
        <f>YEAR(Table1[[#This Row],[Order_Date]])</f>
        <v>2023</v>
      </c>
      <c r="O4589" s="7">
        <f>Table1[[#This Row],[Profit]]/Table1[[#This Row],[Total_Sales]]</f>
        <v>0.46886369005433504</v>
      </c>
    </row>
    <row r="4590" spans="1:15" x14ac:dyDescent="0.25">
      <c r="A4590" s="1">
        <v>4589</v>
      </c>
      <c r="B4590" s="2">
        <v>45032</v>
      </c>
      <c r="C4590" s="1" t="s">
        <v>19</v>
      </c>
      <c r="D4590" s="1" t="s">
        <v>26</v>
      </c>
      <c r="E4590" s="1" t="s">
        <v>42</v>
      </c>
      <c r="F4590" s="1" t="s">
        <v>15</v>
      </c>
      <c r="G4590" s="1">
        <v>10</v>
      </c>
      <c r="H4590" s="1">
        <v>798</v>
      </c>
      <c r="I4590" s="1">
        <v>0</v>
      </c>
      <c r="J4590" s="4">
        <v>7980</v>
      </c>
      <c r="K4590" s="4">
        <v>4701.4799999999996</v>
      </c>
      <c r="L4590" s="4">
        <v>3278.52</v>
      </c>
      <c r="M4590" s="1" t="str">
        <f>TEXT(Table1[[#This Row],[Order_Date]], "MMM")</f>
        <v>Apr</v>
      </c>
      <c r="N4590" s="1">
        <f>YEAR(Table1[[#This Row],[Order_Date]])</f>
        <v>2023</v>
      </c>
      <c r="O4590" s="7">
        <f>Table1[[#This Row],[Profit]]/Table1[[#This Row],[Total_Sales]]</f>
        <v>0.4108421052631579</v>
      </c>
    </row>
    <row r="4591" spans="1:15" x14ac:dyDescent="0.25">
      <c r="A4591" s="1">
        <v>4590</v>
      </c>
      <c r="B4591" s="2">
        <v>45076</v>
      </c>
      <c r="C4591" s="1" t="s">
        <v>19</v>
      </c>
      <c r="D4591" s="1" t="s">
        <v>32</v>
      </c>
      <c r="E4591" s="1" t="s">
        <v>33</v>
      </c>
      <c r="F4591" s="1" t="s">
        <v>40</v>
      </c>
      <c r="G4591" s="1">
        <v>8</v>
      </c>
      <c r="H4591" s="1">
        <v>321</v>
      </c>
      <c r="I4591" s="1">
        <v>15</v>
      </c>
      <c r="J4591" s="4">
        <v>2182.8000000000002</v>
      </c>
      <c r="K4591" s="4">
        <v>1222.5899999999999</v>
      </c>
      <c r="L4591" s="4">
        <v>960.21</v>
      </c>
      <c r="M4591" s="1" t="str">
        <f>TEXT(Table1[[#This Row],[Order_Date]], "MMM")</f>
        <v>May</v>
      </c>
      <c r="N4591" s="1">
        <f>YEAR(Table1[[#This Row],[Order_Date]])</f>
        <v>2023</v>
      </c>
      <c r="O4591" s="7">
        <f>Table1[[#This Row],[Profit]]/Table1[[#This Row],[Total_Sales]]</f>
        <v>0.43989829576690487</v>
      </c>
    </row>
    <row r="4592" spans="1:15" x14ac:dyDescent="0.25">
      <c r="A4592" s="1">
        <v>4591</v>
      </c>
      <c r="B4592" s="2">
        <v>45599</v>
      </c>
      <c r="C4592" s="1" t="s">
        <v>25</v>
      </c>
      <c r="D4592" s="1" t="s">
        <v>26</v>
      </c>
      <c r="E4592" s="1" t="s">
        <v>42</v>
      </c>
      <c r="F4592" s="1" t="s">
        <v>35</v>
      </c>
      <c r="G4592" s="1">
        <v>8</v>
      </c>
      <c r="H4592" s="1">
        <v>875</v>
      </c>
      <c r="I4592" s="1">
        <v>20</v>
      </c>
      <c r="J4592" s="4">
        <v>5600</v>
      </c>
      <c r="K4592" s="4">
        <v>3805.7</v>
      </c>
      <c r="L4592" s="4">
        <v>1794.3</v>
      </c>
      <c r="M4592" s="1" t="str">
        <f>TEXT(Table1[[#This Row],[Order_Date]], "MMM")</f>
        <v>Nov</v>
      </c>
      <c r="N4592" s="1">
        <f>YEAR(Table1[[#This Row],[Order_Date]])</f>
        <v>2024</v>
      </c>
      <c r="O4592" s="7">
        <f>Table1[[#This Row],[Profit]]/Table1[[#This Row],[Total_Sales]]</f>
        <v>0.32041071428571427</v>
      </c>
    </row>
    <row r="4593" spans="1:15" x14ac:dyDescent="0.25">
      <c r="A4593" s="1">
        <v>4592</v>
      </c>
      <c r="B4593" s="2">
        <v>45655</v>
      </c>
      <c r="C4593" s="1" t="s">
        <v>16</v>
      </c>
      <c r="D4593" s="1" t="s">
        <v>22</v>
      </c>
      <c r="E4593" s="1" t="s">
        <v>29</v>
      </c>
      <c r="F4593" s="1" t="s">
        <v>18</v>
      </c>
      <c r="G4593" s="1">
        <v>4</v>
      </c>
      <c r="H4593" s="1">
        <v>592</v>
      </c>
      <c r="I4593" s="1">
        <v>5</v>
      </c>
      <c r="J4593" s="4">
        <v>2249.6</v>
      </c>
      <c r="K4593" s="4">
        <v>1676.07</v>
      </c>
      <c r="L4593" s="4">
        <v>573.53</v>
      </c>
      <c r="M4593" s="1" t="str">
        <f>TEXT(Table1[[#This Row],[Order_Date]], "MMM")</f>
        <v>Dec</v>
      </c>
      <c r="N4593" s="1">
        <f>YEAR(Table1[[#This Row],[Order_Date]])</f>
        <v>2024</v>
      </c>
      <c r="O4593" s="7">
        <f>Table1[[#This Row],[Profit]]/Table1[[#This Row],[Total_Sales]]</f>
        <v>0.25494754623044097</v>
      </c>
    </row>
    <row r="4594" spans="1:15" x14ac:dyDescent="0.25">
      <c r="A4594" s="1">
        <v>4593</v>
      </c>
      <c r="B4594" s="2">
        <v>44994</v>
      </c>
      <c r="C4594" s="1" t="s">
        <v>12</v>
      </c>
      <c r="D4594" s="1" t="s">
        <v>22</v>
      </c>
      <c r="E4594" s="1" t="s">
        <v>23</v>
      </c>
      <c r="F4594" s="1" t="s">
        <v>15</v>
      </c>
      <c r="G4594" s="1">
        <v>3</v>
      </c>
      <c r="H4594" s="1">
        <v>33</v>
      </c>
      <c r="I4594" s="1">
        <v>20</v>
      </c>
      <c r="J4594" s="4">
        <v>79.2</v>
      </c>
      <c r="K4594" s="4">
        <v>57.76</v>
      </c>
      <c r="L4594" s="4">
        <v>21.44</v>
      </c>
      <c r="M4594" s="1" t="str">
        <f>TEXT(Table1[[#This Row],[Order_Date]], "MMM")</f>
        <v>Mar</v>
      </c>
      <c r="N4594" s="1">
        <f>YEAR(Table1[[#This Row],[Order_Date]])</f>
        <v>2023</v>
      </c>
      <c r="O4594" s="7">
        <f>Table1[[#This Row],[Profit]]/Table1[[#This Row],[Total_Sales]]</f>
        <v>0.27070707070707073</v>
      </c>
    </row>
    <row r="4595" spans="1:15" x14ac:dyDescent="0.25">
      <c r="A4595" s="1">
        <v>4594</v>
      </c>
      <c r="B4595" s="2">
        <v>45237</v>
      </c>
      <c r="C4595" s="1" t="s">
        <v>16</v>
      </c>
      <c r="D4595" s="1" t="s">
        <v>13</v>
      </c>
      <c r="E4595" s="1" t="s">
        <v>14</v>
      </c>
      <c r="F4595" s="1" t="s">
        <v>35</v>
      </c>
      <c r="G4595" s="1">
        <v>6</v>
      </c>
      <c r="H4595" s="1">
        <v>503</v>
      </c>
      <c r="I4595" s="1">
        <v>20</v>
      </c>
      <c r="J4595" s="4">
        <v>2414.4</v>
      </c>
      <c r="K4595" s="4">
        <v>1912.64</v>
      </c>
      <c r="L4595" s="4">
        <v>501.76</v>
      </c>
      <c r="M4595" s="1" t="str">
        <f>TEXT(Table1[[#This Row],[Order_Date]], "MMM")</f>
        <v>Nov</v>
      </c>
      <c r="N4595" s="1">
        <f>YEAR(Table1[[#This Row],[Order_Date]])</f>
        <v>2023</v>
      </c>
      <c r="O4595" s="7">
        <f>Table1[[#This Row],[Profit]]/Table1[[#This Row],[Total_Sales]]</f>
        <v>0.20781974817760104</v>
      </c>
    </row>
    <row r="4596" spans="1:15" x14ac:dyDescent="0.25">
      <c r="A4596" s="1">
        <v>4595</v>
      </c>
      <c r="B4596" s="2">
        <v>45072</v>
      </c>
      <c r="C4596" s="1" t="s">
        <v>12</v>
      </c>
      <c r="D4596" s="1" t="s">
        <v>13</v>
      </c>
      <c r="E4596" s="1" t="s">
        <v>14</v>
      </c>
      <c r="F4596" s="1" t="s">
        <v>24</v>
      </c>
      <c r="G4596" s="1">
        <v>9</v>
      </c>
      <c r="H4596" s="1">
        <v>619</v>
      </c>
      <c r="I4596" s="1">
        <v>0</v>
      </c>
      <c r="J4596" s="4">
        <v>5571</v>
      </c>
      <c r="K4596" s="4">
        <v>3230.85</v>
      </c>
      <c r="L4596" s="4">
        <v>2340.15</v>
      </c>
      <c r="M4596" s="1" t="str">
        <f>TEXT(Table1[[#This Row],[Order_Date]], "MMM")</f>
        <v>May</v>
      </c>
      <c r="N4596" s="1">
        <f>YEAR(Table1[[#This Row],[Order_Date]])</f>
        <v>2023</v>
      </c>
      <c r="O4596" s="7">
        <f>Table1[[#This Row],[Profit]]/Table1[[#This Row],[Total_Sales]]</f>
        <v>0.42005923532579431</v>
      </c>
    </row>
    <row r="4597" spans="1:15" x14ac:dyDescent="0.25">
      <c r="A4597" s="1">
        <v>4596</v>
      </c>
      <c r="B4597" s="2">
        <v>45301</v>
      </c>
      <c r="C4597" s="1" t="s">
        <v>12</v>
      </c>
      <c r="D4597" s="1" t="s">
        <v>32</v>
      </c>
      <c r="E4597" s="1" t="s">
        <v>41</v>
      </c>
      <c r="F4597" s="1" t="s">
        <v>40</v>
      </c>
      <c r="G4597" s="1">
        <v>2</v>
      </c>
      <c r="H4597" s="1">
        <v>943</v>
      </c>
      <c r="I4597" s="1">
        <v>15</v>
      </c>
      <c r="J4597" s="4">
        <v>1603.1</v>
      </c>
      <c r="K4597" s="4">
        <v>1032.31</v>
      </c>
      <c r="L4597" s="4">
        <v>570.79</v>
      </c>
      <c r="M4597" s="1" t="str">
        <f>TEXT(Table1[[#This Row],[Order_Date]], "MMM")</f>
        <v>Jan</v>
      </c>
      <c r="N4597" s="1">
        <f>YEAR(Table1[[#This Row],[Order_Date]])</f>
        <v>2024</v>
      </c>
      <c r="O4597" s="7">
        <f>Table1[[#This Row],[Profit]]/Table1[[#This Row],[Total_Sales]]</f>
        <v>0.35605389557731892</v>
      </c>
    </row>
    <row r="4598" spans="1:15" x14ac:dyDescent="0.25">
      <c r="A4598" s="1">
        <v>4597</v>
      </c>
      <c r="B4598" s="2">
        <v>45256</v>
      </c>
      <c r="C4598" s="1" t="s">
        <v>25</v>
      </c>
      <c r="D4598" s="1" t="s">
        <v>26</v>
      </c>
      <c r="E4598" s="1" t="s">
        <v>46</v>
      </c>
      <c r="F4598" s="1" t="s">
        <v>24</v>
      </c>
      <c r="G4598" s="1">
        <v>7</v>
      </c>
      <c r="H4598" s="1">
        <v>634</v>
      </c>
      <c r="I4598" s="1">
        <v>5</v>
      </c>
      <c r="J4598" s="4">
        <v>4216.1000000000004</v>
      </c>
      <c r="K4598" s="4">
        <v>2953.94</v>
      </c>
      <c r="L4598" s="4">
        <v>1262.1600000000001</v>
      </c>
      <c r="M4598" s="1" t="str">
        <f>TEXT(Table1[[#This Row],[Order_Date]], "MMM")</f>
        <v>Nov</v>
      </c>
      <c r="N4598" s="1">
        <f>YEAR(Table1[[#This Row],[Order_Date]])</f>
        <v>2023</v>
      </c>
      <c r="O4598" s="7">
        <f>Table1[[#This Row],[Profit]]/Table1[[#This Row],[Total_Sales]]</f>
        <v>0.2993667133132516</v>
      </c>
    </row>
    <row r="4599" spans="1:15" x14ac:dyDescent="0.25">
      <c r="A4599" s="1">
        <v>4598</v>
      </c>
      <c r="B4599" s="2">
        <v>45645</v>
      </c>
      <c r="C4599" s="1" t="s">
        <v>12</v>
      </c>
      <c r="D4599" s="1" t="s">
        <v>32</v>
      </c>
      <c r="E4599" s="1" t="s">
        <v>34</v>
      </c>
      <c r="F4599" s="1" t="s">
        <v>35</v>
      </c>
      <c r="G4599" s="1">
        <v>9</v>
      </c>
      <c r="H4599" s="1">
        <v>294</v>
      </c>
      <c r="I4599" s="1">
        <v>0</v>
      </c>
      <c r="J4599" s="4">
        <v>2646</v>
      </c>
      <c r="K4599" s="4">
        <v>2025.8</v>
      </c>
      <c r="L4599" s="4">
        <v>620.20000000000005</v>
      </c>
      <c r="M4599" s="1" t="str">
        <f>TEXT(Table1[[#This Row],[Order_Date]], "MMM")</f>
        <v>Dec</v>
      </c>
      <c r="N4599" s="1">
        <f>YEAR(Table1[[#This Row],[Order_Date]])</f>
        <v>2024</v>
      </c>
      <c r="O4599" s="7">
        <f>Table1[[#This Row],[Profit]]/Table1[[#This Row],[Total_Sales]]</f>
        <v>0.2343915343915344</v>
      </c>
    </row>
    <row r="4600" spans="1:15" x14ac:dyDescent="0.25">
      <c r="A4600" s="1">
        <v>4599</v>
      </c>
      <c r="B4600" s="2">
        <v>45401</v>
      </c>
      <c r="C4600" s="1" t="s">
        <v>19</v>
      </c>
      <c r="D4600" s="1" t="s">
        <v>22</v>
      </c>
      <c r="E4600" s="1" t="s">
        <v>44</v>
      </c>
      <c r="F4600" s="1" t="s">
        <v>31</v>
      </c>
      <c r="G4600" s="1">
        <v>6</v>
      </c>
      <c r="H4600" s="1">
        <v>582</v>
      </c>
      <c r="I4600" s="1">
        <v>15</v>
      </c>
      <c r="J4600" s="4">
        <v>2968.2</v>
      </c>
      <c r="K4600" s="4">
        <v>2328.94</v>
      </c>
      <c r="L4600" s="4">
        <v>639.26</v>
      </c>
      <c r="M4600" s="1" t="str">
        <f>TEXT(Table1[[#This Row],[Order_Date]], "MMM")</f>
        <v>Apr</v>
      </c>
      <c r="N4600" s="1">
        <f>YEAR(Table1[[#This Row],[Order_Date]])</f>
        <v>2024</v>
      </c>
      <c r="O4600" s="7">
        <f>Table1[[#This Row],[Profit]]/Table1[[#This Row],[Total_Sales]]</f>
        <v>0.21536958425982078</v>
      </c>
    </row>
    <row r="4601" spans="1:15" x14ac:dyDescent="0.25">
      <c r="A4601" s="1">
        <v>4600</v>
      </c>
      <c r="B4601" s="2">
        <v>45066</v>
      </c>
      <c r="C4601" s="1" t="s">
        <v>19</v>
      </c>
      <c r="D4601" s="1" t="s">
        <v>26</v>
      </c>
      <c r="E4601" s="1" t="s">
        <v>46</v>
      </c>
      <c r="F4601" s="1" t="s">
        <v>40</v>
      </c>
      <c r="G4601" s="1">
        <v>3</v>
      </c>
      <c r="H4601" s="1">
        <v>19</v>
      </c>
      <c r="I4601" s="1">
        <v>0</v>
      </c>
      <c r="J4601" s="4">
        <v>57</v>
      </c>
      <c r="K4601" s="4">
        <v>39.78</v>
      </c>
      <c r="L4601" s="4">
        <v>17.22</v>
      </c>
      <c r="M4601" s="1" t="str">
        <f>TEXT(Table1[[#This Row],[Order_Date]], "MMM")</f>
        <v>May</v>
      </c>
      <c r="N4601" s="1">
        <f>YEAR(Table1[[#This Row],[Order_Date]])</f>
        <v>2023</v>
      </c>
      <c r="O4601" s="7">
        <f>Table1[[#This Row],[Profit]]/Table1[[#This Row],[Total_Sales]]</f>
        <v>0.30210526315789471</v>
      </c>
    </row>
    <row r="4602" spans="1:15" x14ac:dyDescent="0.25">
      <c r="A4602" s="1">
        <v>4601</v>
      </c>
      <c r="B4602" s="2">
        <v>45119</v>
      </c>
      <c r="C4602" s="1" t="s">
        <v>12</v>
      </c>
      <c r="D4602" s="1" t="s">
        <v>13</v>
      </c>
      <c r="E4602" s="1" t="s">
        <v>14</v>
      </c>
      <c r="F4602" s="1" t="s">
        <v>40</v>
      </c>
      <c r="G4602" s="1">
        <v>7</v>
      </c>
      <c r="H4602" s="1">
        <v>22</v>
      </c>
      <c r="I4602" s="1">
        <v>0</v>
      </c>
      <c r="J4602" s="4">
        <v>154</v>
      </c>
      <c r="K4602" s="4">
        <v>107.12</v>
      </c>
      <c r="L4602" s="4">
        <v>46.88</v>
      </c>
      <c r="M4602" s="1" t="str">
        <f>TEXT(Table1[[#This Row],[Order_Date]], "MMM")</f>
        <v>Jul</v>
      </c>
      <c r="N4602" s="1">
        <f>YEAR(Table1[[#This Row],[Order_Date]])</f>
        <v>2023</v>
      </c>
      <c r="O4602" s="7">
        <f>Table1[[#This Row],[Profit]]/Table1[[#This Row],[Total_Sales]]</f>
        <v>0.30441558441558442</v>
      </c>
    </row>
    <row r="4603" spans="1:15" x14ac:dyDescent="0.25">
      <c r="A4603" s="1">
        <v>4602</v>
      </c>
      <c r="B4603" s="2">
        <v>45410</v>
      </c>
      <c r="C4603" s="1" t="s">
        <v>16</v>
      </c>
      <c r="D4603" s="1" t="s">
        <v>20</v>
      </c>
      <c r="E4603" s="1" t="s">
        <v>30</v>
      </c>
      <c r="F4603" s="1" t="s">
        <v>35</v>
      </c>
      <c r="G4603" s="1">
        <v>10</v>
      </c>
      <c r="H4603" s="1">
        <v>886</v>
      </c>
      <c r="I4603" s="1">
        <v>15</v>
      </c>
      <c r="J4603" s="4">
        <v>7531</v>
      </c>
      <c r="K4603" s="4">
        <v>4059.52</v>
      </c>
      <c r="L4603" s="4">
        <v>3471.48</v>
      </c>
      <c r="M4603" s="1" t="str">
        <f>TEXT(Table1[[#This Row],[Order_Date]], "MMM")</f>
        <v>Apr</v>
      </c>
      <c r="N4603" s="1">
        <f>YEAR(Table1[[#This Row],[Order_Date]])</f>
        <v>2024</v>
      </c>
      <c r="O4603" s="7">
        <f>Table1[[#This Row],[Profit]]/Table1[[#This Row],[Total_Sales]]</f>
        <v>0.46095870402337008</v>
      </c>
    </row>
    <row r="4604" spans="1:15" x14ac:dyDescent="0.25">
      <c r="A4604" s="1">
        <v>4603</v>
      </c>
      <c r="B4604" s="2">
        <v>45294</v>
      </c>
      <c r="C4604" s="1" t="s">
        <v>19</v>
      </c>
      <c r="D4604" s="1" t="s">
        <v>32</v>
      </c>
      <c r="E4604" s="1" t="s">
        <v>34</v>
      </c>
      <c r="F4604" s="1" t="s">
        <v>35</v>
      </c>
      <c r="G4604" s="1">
        <v>6</v>
      </c>
      <c r="H4604" s="1">
        <v>330</v>
      </c>
      <c r="I4604" s="1">
        <v>10</v>
      </c>
      <c r="J4604" s="4">
        <v>1782</v>
      </c>
      <c r="K4604" s="4">
        <v>968.48</v>
      </c>
      <c r="L4604" s="4">
        <v>813.52</v>
      </c>
      <c r="M4604" s="1" t="str">
        <f>TEXT(Table1[[#This Row],[Order_Date]], "MMM")</f>
        <v>Jan</v>
      </c>
      <c r="N4604" s="1">
        <f>YEAR(Table1[[#This Row],[Order_Date]])</f>
        <v>2024</v>
      </c>
      <c r="O4604" s="7">
        <f>Table1[[#This Row],[Profit]]/Table1[[#This Row],[Total_Sales]]</f>
        <v>0.45652076318742985</v>
      </c>
    </row>
    <row r="4605" spans="1:15" x14ac:dyDescent="0.25">
      <c r="A4605" s="1">
        <v>4604</v>
      </c>
      <c r="B4605" s="2">
        <v>45098</v>
      </c>
      <c r="C4605" s="1" t="s">
        <v>12</v>
      </c>
      <c r="D4605" s="1" t="s">
        <v>32</v>
      </c>
      <c r="E4605" s="1" t="s">
        <v>34</v>
      </c>
      <c r="F4605" s="1" t="s">
        <v>15</v>
      </c>
      <c r="G4605" s="1">
        <v>8</v>
      </c>
      <c r="H4605" s="1">
        <v>318</v>
      </c>
      <c r="I4605" s="1">
        <v>20</v>
      </c>
      <c r="J4605" s="4">
        <v>2035.2</v>
      </c>
      <c r="K4605" s="4">
        <v>1468.9</v>
      </c>
      <c r="L4605" s="4">
        <v>566.29999999999995</v>
      </c>
      <c r="M4605" s="1" t="str">
        <f>TEXT(Table1[[#This Row],[Order_Date]], "MMM")</f>
        <v>Jun</v>
      </c>
      <c r="N4605" s="1">
        <f>YEAR(Table1[[#This Row],[Order_Date]])</f>
        <v>2023</v>
      </c>
      <c r="O4605" s="7">
        <f>Table1[[#This Row],[Profit]]/Table1[[#This Row],[Total_Sales]]</f>
        <v>0.27825275157232704</v>
      </c>
    </row>
    <row r="4606" spans="1:15" x14ac:dyDescent="0.25">
      <c r="A4606" s="1">
        <v>4605</v>
      </c>
      <c r="B4606" s="2">
        <v>45365</v>
      </c>
      <c r="C4606" s="1" t="s">
        <v>19</v>
      </c>
      <c r="D4606" s="1" t="s">
        <v>32</v>
      </c>
      <c r="E4606" s="1" t="s">
        <v>41</v>
      </c>
      <c r="F4606" s="1" t="s">
        <v>24</v>
      </c>
      <c r="G4606" s="1">
        <v>5</v>
      </c>
      <c r="H4606" s="1">
        <v>117</v>
      </c>
      <c r="I4606" s="1">
        <v>10</v>
      </c>
      <c r="J4606" s="4">
        <v>526.5</v>
      </c>
      <c r="K4606" s="4">
        <v>284.20999999999998</v>
      </c>
      <c r="L4606" s="4">
        <v>242.29</v>
      </c>
      <c r="M4606" s="1" t="str">
        <f>TEXT(Table1[[#This Row],[Order_Date]], "MMM")</f>
        <v>Mar</v>
      </c>
      <c r="N4606" s="1">
        <f>YEAR(Table1[[#This Row],[Order_Date]])</f>
        <v>2024</v>
      </c>
      <c r="O4606" s="7">
        <f>Table1[[#This Row],[Profit]]/Table1[[#This Row],[Total_Sales]]</f>
        <v>0.46018993352326681</v>
      </c>
    </row>
    <row r="4607" spans="1:15" x14ac:dyDescent="0.25">
      <c r="A4607" s="1">
        <v>4606</v>
      </c>
      <c r="B4607" s="2">
        <v>45246</v>
      </c>
      <c r="C4607" s="1" t="s">
        <v>12</v>
      </c>
      <c r="D4607" s="1" t="s">
        <v>32</v>
      </c>
      <c r="E4607" s="1" t="s">
        <v>45</v>
      </c>
      <c r="F4607" s="1" t="s">
        <v>15</v>
      </c>
      <c r="G4607" s="1">
        <v>8</v>
      </c>
      <c r="H4607" s="1">
        <v>883</v>
      </c>
      <c r="I4607" s="1">
        <v>0</v>
      </c>
      <c r="J4607" s="4">
        <v>7064</v>
      </c>
      <c r="K4607" s="4">
        <v>5373.38</v>
      </c>
      <c r="L4607" s="4">
        <v>1690.62</v>
      </c>
      <c r="M4607" s="1" t="str">
        <f>TEXT(Table1[[#This Row],[Order_Date]], "MMM")</f>
        <v>Nov</v>
      </c>
      <c r="N4607" s="1">
        <f>YEAR(Table1[[#This Row],[Order_Date]])</f>
        <v>2023</v>
      </c>
      <c r="O4607" s="7">
        <f>Table1[[#This Row],[Profit]]/Table1[[#This Row],[Total_Sales]]</f>
        <v>0.23932899207248018</v>
      </c>
    </row>
    <row r="4608" spans="1:15" x14ac:dyDescent="0.25">
      <c r="A4608" s="1">
        <v>4607</v>
      </c>
      <c r="B4608" s="2">
        <v>45440</v>
      </c>
      <c r="C4608" s="1" t="s">
        <v>19</v>
      </c>
      <c r="D4608" s="1" t="s">
        <v>20</v>
      </c>
      <c r="E4608" s="1" t="s">
        <v>28</v>
      </c>
      <c r="F4608" s="1" t="s">
        <v>31</v>
      </c>
      <c r="G4608" s="1">
        <v>6</v>
      </c>
      <c r="H4608" s="1">
        <v>20</v>
      </c>
      <c r="I4608" s="1">
        <v>0</v>
      </c>
      <c r="J4608" s="4">
        <v>120</v>
      </c>
      <c r="K4608" s="4">
        <v>93.22</v>
      </c>
      <c r="L4608" s="4">
        <v>26.78</v>
      </c>
      <c r="M4608" s="1" t="str">
        <f>TEXT(Table1[[#This Row],[Order_Date]], "MMM")</f>
        <v>May</v>
      </c>
      <c r="N4608" s="1">
        <f>YEAR(Table1[[#This Row],[Order_Date]])</f>
        <v>2024</v>
      </c>
      <c r="O4608" s="7">
        <f>Table1[[#This Row],[Profit]]/Table1[[#This Row],[Total_Sales]]</f>
        <v>0.22316666666666668</v>
      </c>
    </row>
    <row r="4609" spans="1:15" x14ac:dyDescent="0.25">
      <c r="A4609" s="1">
        <v>4608</v>
      </c>
      <c r="B4609" s="2">
        <v>45111</v>
      </c>
      <c r="C4609" s="1" t="s">
        <v>19</v>
      </c>
      <c r="D4609" s="1" t="s">
        <v>32</v>
      </c>
      <c r="E4609" s="1" t="s">
        <v>41</v>
      </c>
      <c r="F4609" s="1" t="s">
        <v>40</v>
      </c>
      <c r="G4609" s="1">
        <v>8</v>
      </c>
      <c r="H4609" s="1">
        <v>176</v>
      </c>
      <c r="I4609" s="1">
        <v>10</v>
      </c>
      <c r="J4609" s="4">
        <v>1267.2</v>
      </c>
      <c r="K4609" s="4">
        <v>679.9</v>
      </c>
      <c r="L4609" s="4">
        <v>587.29999999999995</v>
      </c>
      <c r="M4609" s="1" t="str">
        <f>TEXT(Table1[[#This Row],[Order_Date]], "MMM")</f>
        <v>Jul</v>
      </c>
      <c r="N4609" s="1">
        <f>YEAR(Table1[[#This Row],[Order_Date]])</f>
        <v>2023</v>
      </c>
      <c r="O4609" s="7">
        <f>Table1[[#This Row],[Profit]]/Table1[[#This Row],[Total_Sales]]</f>
        <v>0.46346275252525249</v>
      </c>
    </row>
    <row r="4610" spans="1:15" x14ac:dyDescent="0.25">
      <c r="A4610" s="1">
        <v>4609</v>
      </c>
      <c r="B4610" s="2">
        <v>45240</v>
      </c>
      <c r="C4610" s="1" t="s">
        <v>12</v>
      </c>
      <c r="D4610" s="1" t="s">
        <v>22</v>
      </c>
      <c r="E4610" s="1" t="s">
        <v>29</v>
      </c>
      <c r="F4610" s="1" t="s">
        <v>24</v>
      </c>
      <c r="G4610" s="1">
        <v>5</v>
      </c>
      <c r="H4610" s="1">
        <v>122</v>
      </c>
      <c r="I4610" s="1">
        <v>15</v>
      </c>
      <c r="J4610" s="4">
        <v>518.5</v>
      </c>
      <c r="K4610" s="4">
        <v>398.88</v>
      </c>
      <c r="L4610" s="4">
        <v>119.62</v>
      </c>
      <c r="M4610" s="1" t="str">
        <f>TEXT(Table1[[#This Row],[Order_Date]], "MMM")</f>
        <v>Nov</v>
      </c>
      <c r="N4610" s="1">
        <f>YEAR(Table1[[#This Row],[Order_Date]])</f>
        <v>2023</v>
      </c>
      <c r="O4610" s="7">
        <f>Table1[[#This Row],[Profit]]/Table1[[#This Row],[Total_Sales]]</f>
        <v>0.23070395371263261</v>
      </c>
    </row>
    <row r="4611" spans="1:15" x14ac:dyDescent="0.25">
      <c r="A4611" s="1">
        <v>4610</v>
      </c>
      <c r="B4611" s="2">
        <v>45649</v>
      </c>
      <c r="C4611" s="1" t="s">
        <v>16</v>
      </c>
      <c r="D4611" s="1" t="s">
        <v>13</v>
      </c>
      <c r="E4611" s="1" t="s">
        <v>39</v>
      </c>
      <c r="F4611" s="1" t="s">
        <v>40</v>
      </c>
      <c r="G4611" s="1">
        <v>10</v>
      </c>
      <c r="H4611" s="1">
        <v>961</v>
      </c>
      <c r="I4611" s="1">
        <v>0</v>
      </c>
      <c r="J4611" s="4">
        <v>9610</v>
      </c>
      <c r="K4611" s="4">
        <v>4979.3599999999997</v>
      </c>
      <c r="L4611" s="4">
        <v>4630.6400000000003</v>
      </c>
      <c r="M4611" s="1" t="str">
        <f>TEXT(Table1[[#This Row],[Order_Date]], "MMM")</f>
        <v>Dec</v>
      </c>
      <c r="N4611" s="1">
        <f>YEAR(Table1[[#This Row],[Order_Date]])</f>
        <v>2024</v>
      </c>
      <c r="O4611" s="7">
        <f>Table1[[#This Row],[Profit]]/Table1[[#This Row],[Total_Sales]]</f>
        <v>0.48185639958376697</v>
      </c>
    </row>
    <row r="4612" spans="1:15" x14ac:dyDescent="0.25">
      <c r="A4612" s="1">
        <v>4611</v>
      </c>
      <c r="B4612" s="2">
        <v>45318</v>
      </c>
      <c r="C4612" s="1" t="s">
        <v>12</v>
      </c>
      <c r="D4612" s="1" t="s">
        <v>26</v>
      </c>
      <c r="E4612" s="1" t="s">
        <v>42</v>
      </c>
      <c r="F4612" s="1" t="s">
        <v>15</v>
      </c>
      <c r="G4612" s="1">
        <v>9</v>
      </c>
      <c r="H4612" s="1">
        <v>865</v>
      </c>
      <c r="I4612" s="1">
        <v>5</v>
      </c>
      <c r="J4612" s="4">
        <v>7395.75</v>
      </c>
      <c r="K4612" s="4">
        <v>5753.71</v>
      </c>
      <c r="L4612" s="4">
        <v>1642.04</v>
      </c>
      <c r="M4612" s="1" t="str">
        <f>TEXT(Table1[[#This Row],[Order_Date]], "MMM")</f>
        <v>Jan</v>
      </c>
      <c r="N4612" s="1">
        <f>YEAR(Table1[[#This Row],[Order_Date]])</f>
        <v>2024</v>
      </c>
      <c r="O4612" s="7">
        <f>Table1[[#This Row],[Profit]]/Table1[[#This Row],[Total_Sales]]</f>
        <v>0.22202481154717235</v>
      </c>
    </row>
    <row r="4613" spans="1:15" x14ac:dyDescent="0.25">
      <c r="A4613" s="1">
        <v>4612</v>
      </c>
      <c r="B4613" s="2">
        <v>45027</v>
      </c>
      <c r="C4613" s="1" t="s">
        <v>19</v>
      </c>
      <c r="D4613" s="1" t="s">
        <v>22</v>
      </c>
      <c r="E4613" s="1" t="s">
        <v>44</v>
      </c>
      <c r="F4613" s="1" t="s">
        <v>15</v>
      </c>
      <c r="G4613" s="1">
        <v>3</v>
      </c>
      <c r="H4613" s="1">
        <v>932</v>
      </c>
      <c r="I4613" s="1">
        <v>0</v>
      </c>
      <c r="J4613" s="4">
        <v>2796</v>
      </c>
      <c r="K4613" s="4">
        <v>1566.01</v>
      </c>
      <c r="L4613" s="4">
        <v>1229.99</v>
      </c>
      <c r="M4613" s="1" t="str">
        <f>TEXT(Table1[[#This Row],[Order_Date]], "MMM")</f>
        <v>Apr</v>
      </c>
      <c r="N4613" s="1">
        <f>YEAR(Table1[[#This Row],[Order_Date]])</f>
        <v>2023</v>
      </c>
      <c r="O4613" s="7">
        <f>Table1[[#This Row],[Profit]]/Table1[[#This Row],[Total_Sales]]</f>
        <v>0.43991058655221743</v>
      </c>
    </row>
    <row r="4614" spans="1:15" x14ac:dyDescent="0.25">
      <c r="A4614" s="1">
        <v>4613</v>
      </c>
      <c r="B4614" s="2">
        <v>45056</v>
      </c>
      <c r="C4614" s="1" t="s">
        <v>12</v>
      </c>
      <c r="D4614" s="1" t="s">
        <v>22</v>
      </c>
      <c r="E4614" s="1" t="s">
        <v>29</v>
      </c>
      <c r="F4614" s="1" t="s">
        <v>31</v>
      </c>
      <c r="G4614" s="1">
        <v>9</v>
      </c>
      <c r="H4614" s="1">
        <v>345</v>
      </c>
      <c r="I4614" s="1">
        <v>20</v>
      </c>
      <c r="J4614" s="4">
        <v>2484</v>
      </c>
      <c r="K4614" s="4">
        <v>1934</v>
      </c>
      <c r="L4614" s="4">
        <v>550</v>
      </c>
      <c r="M4614" s="1" t="str">
        <f>TEXT(Table1[[#This Row],[Order_Date]], "MMM")</f>
        <v>May</v>
      </c>
      <c r="N4614" s="1">
        <f>YEAR(Table1[[#This Row],[Order_Date]])</f>
        <v>2023</v>
      </c>
      <c r="O4614" s="7">
        <f>Table1[[#This Row],[Profit]]/Table1[[#This Row],[Total_Sales]]</f>
        <v>0.22141706924315621</v>
      </c>
    </row>
    <row r="4615" spans="1:15" x14ac:dyDescent="0.25">
      <c r="A4615" s="1">
        <v>4614</v>
      </c>
      <c r="B4615" s="2">
        <v>45130</v>
      </c>
      <c r="C4615" s="1" t="s">
        <v>25</v>
      </c>
      <c r="D4615" s="1" t="s">
        <v>22</v>
      </c>
      <c r="E4615" s="1" t="s">
        <v>36</v>
      </c>
      <c r="F4615" s="1" t="s">
        <v>18</v>
      </c>
      <c r="G4615" s="1">
        <v>1</v>
      </c>
      <c r="H4615" s="1">
        <v>181</v>
      </c>
      <c r="I4615" s="1">
        <v>0</v>
      </c>
      <c r="J4615" s="4">
        <v>181</v>
      </c>
      <c r="K4615" s="4">
        <v>101.47</v>
      </c>
      <c r="L4615" s="4">
        <v>79.53</v>
      </c>
      <c r="M4615" s="1" t="str">
        <f>TEXT(Table1[[#This Row],[Order_Date]], "MMM")</f>
        <v>Jul</v>
      </c>
      <c r="N4615" s="1">
        <f>YEAR(Table1[[#This Row],[Order_Date]])</f>
        <v>2023</v>
      </c>
      <c r="O4615" s="7">
        <f>Table1[[#This Row],[Profit]]/Table1[[#This Row],[Total_Sales]]</f>
        <v>0.43939226519337016</v>
      </c>
    </row>
    <row r="4616" spans="1:15" x14ac:dyDescent="0.25">
      <c r="A4616" s="1">
        <v>4615</v>
      </c>
      <c r="B4616" s="2">
        <v>45397</v>
      </c>
      <c r="C4616" s="1" t="s">
        <v>25</v>
      </c>
      <c r="D4616" s="1" t="s">
        <v>32</v>
      </c>
      <c r="E4616" s="1" t="s">
        <v>45</v>
      </c>
      <c r="F4616" s="1" t="s">
        <v>24</v>
      </c>
      <c r="G4616" s="1">
        <v>7</v>
      </c>
      <c r="H4616" s="1">
        <v>709</v>
      </c>
      <c r="I4616" s="1">
        <v>10</v>
      </c>
      <c r="J4616" s="4">
        <v>4466.7</v>
      </c>
      <c r="K4616" s="4">
        <v>2746.34</v>
      </c>
      <c r="L4616" s="4">
        <v>1720.36</v>
      </c>
      <c r="M4616" s="1" t="str">
        <f>TEXT(Table1[[#This Row],[Order_Date]], "MMM")</f>
        <v>Apr</v>
      </c>
      <c r="N4616" s="1">
        <f>YEAR(Table1[[#This Row],[Order_Date]])</f>
        <v>2024</v>
      </c>
      <c r="O4616" s="7">
        <f>Table1[[#This Row],[Profit]]/Table1[[#This Row],[Total_Sales]]</f>
        <v>0.38515234960933126</v>
      </c>
    </row>
    <row r="4617" spans="1:15" x14ac:dyDescent="0.25">
      <c r="A4617" s="1">
        <v>4616</v>
      </c>
      <c r="B4617" s="2">
        <v>45372</v>
      </c>
      <c r="C4617" s="1" t="s">
        <v>12</v>
      </c>
      <c r="D4617" s="1" t="s">
        <v>20</v>
      </c>
      <c r="E4617" s="1" t="s">
        <v>30</v>
      </c>
      <c r="F4617" s="1" t="s">
        <v>31</v>
      </c>
      <c r="G4617" s="1">
        <v>8</v>
      </c>
      <c r="H4617" s="1">
        <v>599</v>
      </c>
      <c r="I4617" s="1">
        <v>15</v>
      </c>
      <c r="J4617" s="4">
        <v>4073.2</v>
      </c>
      <c r="K4617" s="4">
        <v>3077.75</v>
      </c>
      <c r="L4617" s="4">
        <v>995.45</v>
      </c>
      <c r="M4617" s="1" t="str">
        <f>TEXT(Table1[[#This Row],[Order_Date]], "MMM")</f>
        <v>Mar</v>
      </c>
      <c r="N4617" s="1">
        <f>YEAR(Table1[[#This Row],[Order_Date]])</f>
        <v>2024</v>
      </c>
      <c r="O4617" s="7">
        <f>Table1[[#This Row],[Profit]]/Table1[[#This Row],[Total_Sales]]</f>
        <v>0.2443901600707061</v>
      </c>
    </row>
    <row r="4618" spans="1:15" x14ac:dyDescent="0.25">
      <c r="A4618" s="1">
        <v>4617</v>
      </c>
      <c r="B4618" s="2">
        <v>45195</v>
      </c>
      <c r="C4618" s="1" t="s">
        <v>25</v>
      </c>
      <c r="D4618" s="1" t="s">
        <v>26</v>
      </c>
      <c r="E4618" s="1" t="s">
        <v>37</v>
      </c>
      <c r="F4618" s="1" t="s">
        <v>40</v>
      </c>
      <c r="G4618" s="1">
        <v>5</v>
      </c>
      <c r="H4618" s="1">
        <v>444</v>
      </c>
      <c r="I4618" s="1">
        <v>0</v>
      </c>
      <c r="J4618" s="4">
        <v>2220</v>
      </c>
      <c r="K4618" s="4">
        <v>1431.37</v>
      </c>
      <c r="L4618" s="4">
        <v>788.63</v>
      </c>
      <c r="M4618" s="1" t="str">
        <f>TEXT(Table1[[#This Row],[Order_Date]], "MMM")</f>
        <v>Sep</v>
      </c>
      <c r="N4618" s="1">
        <f>YEAR(Table1[[#This Row],[Order_Date]])</f>
        <v>2023</v>
      </c>
      <c r="O4618" s="7">
        <f>Table1[[#This Row],[Profit]]/Table1[[#This Row],[Total_Sales]]</f>
        <v>0.35523873873873874</v>
      </c>
    </row>
    <row r="4619" spans="1:15" x14ac:dyDescent="0.25">
      <c r="A4619" s="1">
        <v>4618</v>
      </c>
      <c r="B4619" s="2">
        <v>45473</v>
      </c>
      <c r="C4619" s="1" t="s">
        <v>12</v>
      </c>
      <c r="D4619" s="1" t="s">
        <v>13</v>
      </c>
      <c r="E4619" s="1" t="s">
        <v>17</v>
      </c>
      <c r="F4619" s="1" t="s">
        <v>40</v>
      </c>
      <c r="G4619" s="1">
        <v>1</v>
      </c>
      <c r="H4619" s="1">
        <v>129</v>
      </c>
      <c r="I4619" s="1">
        <v>20</v>
      </c>
      <c r="J4619" s="4">
        <v>103.2</v>
      </c>
      <c r="K4619" s="4">
        <v>75.040000000000006</v>
      </c>
      <c r="L4619" s="4">
        <v>28.16</v>
      </c>
      <c r="M4619" s="1" t="str">
        <f>TEXT(Table1[[#This Row],[Order_Date]], "MMM")</f>
        <v>Jun</v>
      </c>
      <c r="N4619" s="1">
        <f>YEAR(Table1[[#This Row],[Order_Date]])</f>
        <v>2024</v>
      </c>
      <c r="O4619" s="7">
        <f>Table1[[#This Row],[Profit]]/Table1[[#This Row],[Total_Sales]]</f>
        <v>0.27286821705426356</v>
      </c>
    </row>
    <row r="4620" spans="1:15" x14ac:dyDescent="0.25">
      <c r="A4620" s="1">
        <v>4619</v>
      </c>
      <c r="B4620" s="2">
        <v>45359</v>
      </c>
      <c r="C4620" s="1" t="s">
        <v>12</v>
      </c>
      <c r="D4620" s="1" t="s">
        <v>22</v>
      </c>
      <c r="E4620" s="1" t="s">
        <v>23</v>
      </c>
      <c r="F4620" s="1" t="s">
        <v>35</v>
      </c>
      <c r="G4620" s="1">
        <v>1</v>
      </c>
      <c r="H4620" s="1">
        <v>22</v>
      </c>
      <c r="I4620" s="1">
        <v>10</v>
      </c>
      <c r="J4620" s="4">
        <v>19.8</v>
      </c>
      <c r="K4620" s="4">
        <v>15.29</v>
      </c>
      <c r="L4620" s="4">
        <v>4.51</v>
      </c>
      <c r="M4620" s="1" t="str">
        <f>TEXT(Table1[[#This Row],[Order_Date]], "MMM")</f>
        <v>Mar</v>
      </c>
      <c r="N4620" s="1">
        <f>YEAR(Table1[[#This Row],[Order_Date]])</f>
        <v>2024</v>
      </c>
      <c r="O4620" s="7">
        <f>Table1[[#This Row],[Profit]]/Table1[[#This Row],[Total_Sales]]</f>
        <v>0.22777777777777775</v>
      </c>
    </row>
    <row r="4621" spans="1:15" x14ac:dyDescent="0.25">
      <c r="A4621" s="1">
        <v>4620</v>
      </c>
      <c r="B4621" s="2">
        <v>45497</v>
      </c>
      <c r="C4621" s="1" t="s">
        <v>25</v>
      </c>
      <c r="D4621" s="1" t="s">
        <v>32</v>
      </c>
      <c r="E4621" s="1" t="s">
        <v>41</v>
      </c>
      <c r="F4621" s="1" t="s">
        <v>15</v>
      </c>
      <c r="G4621" s="1">
        <v>3</v>
      </c>
      <c r="H4621" s="1">
        <v>409</v>
      </c>
      <c r="I4621" s="1">
        <v>5</v>
      </c>
      <c r="J4621" s="4">
        <v>1165.6500000000001</v>
      </c>
      <c r="K4621" s="4">
        <v>668.35</v>
      </c>
      <c r="L4621" s="4">
        <v>497.3</v>
      </c>
      <c r="M4621" s="1" t="str">
        <f>TEXT(Table1[[#This Row],[Order_Date]], "MMM")</f>
        <v>Jul</v>
      </c>
      <c r="N4621" s="1">
        <f>YEAR(Table1[[#This Row],[Order_Date]])</f>
        <v>2024</v>
      </c>
      <c r="O4621" s="7">
        <f>Table1[[#This Row],[Profit]]/Table1[[#This Row],[Total_Sales]]</f>
        <v>0.42662891948698151</v>
      </c>
    </row>
    <row r="4622" spans="1:15" x14ac:dyDescent="0.25">
      <c r="A4622" s="1">
        <v>4621</v>
      </c>
      <c r="B4622" s="2">
        <v>45618</v>
      </c>
      <c r="C4622" s="1" t="s">
        <v>25</v>
      </c>
      <c r="D4622" s="1" t="s">
        <v>20</v>
      </c>
      <c r="E4622" s="1" t="s">
        <v>28</v>
      </c>
      <c r="F4622" s="1" t="s">
        <v>18</v>
      </c>
      <c r="G4622" s="1">
        <v>4</v>
      </c>
      <c r="H4622" s="1">
        <v>704</v>
      </c>
      <c r="I4622" s="1">
        <v>20</v>
      </c>
      <c r="J4622" s="4">
        <v>2252.8000000000002</v>
      </c>
      <c r="K4622" s="4">
        <v>1637.36</v>
      </c>
      <c r="L4622" s="4">
        <v>615.44000000000005</v>
      </c>
      <c r="M4622" s="1" t="str">
        <f>TEXT(Table1[[#This Row],[Order_Date]], "MMM")</f>
        <v>Nov</v>
      </c>
      <c r="N4622" s="1">
        <f>YEAR(Table1[[#This Row],[Order_Date]])</f>
        <v>2024</v>
      </c>
      <c r="O4622" s="7">
        <f>Table1[[#This Row],[Profit]]/Table1[[#This Row],[Total_Sales]]</f>
        <v>0.27318892045454546</v>
      </c>
    </row>
    <row r="4623" spans="1:15" x14ac:dyDescent="0.25">
      <c r="A4623" s="1">
        <v>4622</v>
      </c>
      <c r="B4623" s="2">
        <v>45375</v>
      </c>
      <c r="C4623" s="1" t="s">
        <v>12</v>
      </c>
      <c r="D4623" s="1" t="s">
        <v>26</v>
      </c>
      <c r="E4623" s="1" t="s">
        <v>37</v>
      </c>
      <c r="F4623" s="1" t="s">
        <v>35</v>
      </c>
      <c r="G4623" s="1">
        <v>8</v>
      </c>
      <c r="H4623" s="1">
        <v>312</v>
      </c>
      <c r="I4623" s="1">
        <v>20</v>
      </c>
      <c r="J4623" s="4">
        <v>1996.8</v>
      </c>
      <c r="K4623" s="4">
        <v>1485.32</v>
      </c>
      <c r="L4623" s="4">
        <v>511.48</v>
      </c>
      <c r="M4623" s="1" t="str">
        <f>TEXT(Table1[[#This Row],[Order_Date]], "MMM")</f>
        <v>Mar</v>
      </c>
      <c r="N4623" s="1">
        <f>YEAR(Table1[[#This Row],[Order_Date]])</f>
        <v>2024</v>
      </c>
      <c r="O4623" s="7">
        <f>Table1[[#This Row],[Profit]]/Table1[[#This Row],[Total_Sales]]</f>
        <v>0.25614983974358974</v>
      </c>
    </row>
    <row r="4624" spans="1:15" x14ac:dyDescent="0.25">
      <c r="A4624" s="1">
        <v>4623</v>
      </c>
      <c r="B4624" s="2">
        <v>45112</v>
      </c>
      <c r="C4624" s="1" t="s">
        <v>16</v>
      </c>
      <c r="D4624" s="1" t="s">
        <v>26</v>
      </c>
      <c r="E4624" s="1" t="s">
        <v>27</v>
      </c>
      <c r="F4624" s="1" t="s">
        <v>15</v>
      </c>
      <c r="G4624" s="1">
        <v>3</v>
      </c>
      <c r="H4624" s="1">
        <v>588</v>
      </c>
      <c r="I4624" s="1">
        <v>20</v>
      </c>
      <c r="J4624" s="4">
        <v>1411.2</v>
      </c>
      <c r="K4624" s="4">
        <v>873.05</v>
      </c>
      <c r="L4624" s="4">
        <v>538.15</v>
      </c>
      <c r="M4624" s="1" t="str">
        <f>TEXT(Table1[[#This Row],[Order_Date]], "MMM")</f>
        <v>Jul</v>
      </c>
      <c r="N4624" s="1">
        <f>YEAR(Table1[[#This Row],[Order_Date]])</f>
        <v>2023</v>
      </c>
      <c r="O4624" s="7">
        <f>Table1[[#This Row],[Profit]]/Table1[[#This Row],[Total_Sales]]</f>
        <v>0.38134212018140584</v>
      </c>
    </row>
    <row r="4625" spans="1:15" x14ac:dyDescent="0.25">
      <c r="A4625" s="1">
        <v>4624</v>
      </c>
      <c r="B4625" s="2">
        <v>44984</v>
      </c>
      <c r="C4625" s="1" t="s">
        <v>19</v>
      </c>
      <c r="D4625" s="1" t="s">
        <v>32</v>
      </c>
      <c r="E4625" s="1" t="s">
        <v>34</v>
      </c>
      <c r="F4625" s="1" t="s">
        <v>31</v>
      </c>
      <c r="G4625" s="1">
        <v>7</v>
      </c>
      <c r="H4625" s="1">
        <v>119</v>
      </c>
      <c r="I4625" s="1">
        <v>10</v>
      </c>
      <c r="J4625" s="4">
        <v>749.7</v>
      </c>
      <c r="K4625" s="4">
        <v>485.9</v>
      </c>
      <c r="L4625" s="4">
        <v>263.8</v>
      </c>
      <c r="M4625" s="1" t="str">
        <f>TEXT(Table1[[#This Row],[Order_Date]], "MMM")</f>
        <v>Feb</v>
      </c>
      <c r="N4625" s="1">
        <f>YEAR(Table1[[#This Row],[Order_Date]])</f>
        <v>2023</v>
      </c>
      <c r="O4625" s="7">
        <f>Table1[[#This Row],[Profit]]/Table1[[#This Row],[Total_Sales]]</f>
        <v>0.35187408296651995</v>
      </c>
    </row>
    <row r="4626" spans="1:15" x14ac:dyDescent="0.25">
      <c r="A4626" s="1">
        <v>4625</v>
      </c>
      <c r="B4626" s="2">
        <v>45223</v>
      </c>
      <c r="C4626" s="1" t="s">
        <v>19</v>
      </c>
      <c r="D4626" s="1" t="s">
        <v>20</v>
      </c>
      <c r="E4626" s="1" t="s">
        <v>30</v>
      </c>
      <c r="F4626" s="1" t="s">
        <v>31</v>
      </c>
      <c r="G4626" s="1">
        <v>5</v>
      </c>
      <c r="H4626" s="1">
        <v>601</v>
      </c>
      <c r="I4626" s="1">
        <v>0</v>
      </c>
      <c r="J4626" s="4">
        <v>3005</v>
      </c>
      <c r="K4626" s="4">
        <v>1510.59</v>
      </c>
      <c r="L4626" s="4">
        <v>1494.41</v>
      </c>
      <c r="M4626" s="1" t="str">
        <f>TEXT(Table1[[#This Row],[Order_Date]], "MMM")</f>
        <v>Oct</v>
      </c>
      <c r="N4626" s="1">
        <f>YEAR(Table1[[#This Row],[Order_Date]])</f>
        <v>2023</v>
      </c>
      <c r="O4626" s="7">
        <f>Table1[[#This Row],[Profit]]/Table1[[#This Row],[Total_Sales]]</f>
        <v>0.49730782029950088</v>
      </c>
    </row>
    <row r="4627" spans="1:15" x14ac:dyDescent="0.25">
      <c r="A4627" s="1">
        <v>4626</v>
      </c>
      <c r="B4627" s="2">
        <v>45582</v>
      </c>
      <c r="C4627" s="1" t="s">
        <v>19</v>
      </c>
      <c r="D4627" s="1" t="s">
        <v>26</v>
      </c>
      <c r="E4627" s="1" t="s">
        <v>37</v>
      </c>
      <c r="F4627" s="1" t="s">
        <v>35</v>
      </c>
      <c r="G4627" s="1">
        <v>5</v>
      </c>
      <c r="H4627" s="1">
        <v>424</v>
      </c>
      <c r="I4627" s="1">
        <v>10</v>
      </c>
      <c r="J4627" s="4">
        <v>1908</v>
      </c>
      <c r="K4627" s="4">
        <v>1063.74</v>
      </c>
      <c r="L4627" s="4">
        <v>844.26</v>
      </c>
      <c r="M4627" s="1" t="str">
        <f>TEXT(Table1[[#This Row],[Order_Date]], "MMM")</f>
        <v>Oct</v>
      </c>
      <c r="N4627" s="1">
        <f>YEAR(Table1[[#This Row],[Order_Date]])</f>
        <v>2024</v>
      </c>
      <c r="O4627" s="7">
        <f>Table1[[#This Row],[Profit]]/Table1[[#This Row],[Total_Sales]]</f>
        <v>0.44248427672955976</v>
      </c>
    </row>
    <row r="4628" spans="1:15" x14ac:dyDescent="0.25">
      <c r="A4628" s="1">
        <v>4627</v>
      </c>
      <c r="B4628" s="2">
        <v>45576</v>
      </c>
      <c r="C4628" s="1" t="s">
        <v>25</v>
      </c>
      <c r="D4628" s="1" t="s">
        <v>20</v>
      </c>
      <c r="E4628" s="1" t="s">
        <v>28</v>
      </c>
      <c r="F4628" s="1" t="s">
        <v>18</v>
      </c>
      <c r="G4628" s="1">
        <v>4</v>
      </c>
      <c r="H4628" s="1">
        <v>25</v>
      </c>
      <c r="I4628" s="1">
        <v>15</v>
      </c>
      <c r="J4628" s="4">
        <v>85</v>
      </c>
      <c r="K4628" s="4">
        <v>66.23</v>
      </c>
      <c r="L4628" s="4">
        <v>18.77</v>
      </c>
      <c r="M4628" s="1" t="str">
        <f>TEXT(Table1[[#This Row],[Order_Date]], "MMM")</f>
        <v>Oct</v>
      </c>
      <c r="N4628" s="1">
        <f>YEAR(Table1[[#This Row],[Order_Date]])</f>
        <v>2024</v>
      </c>
      <c r="O4628" s="7">
        <f>Table1[[#This Row],[Profit]]/Table1[[#This Row],[Total_Sales]]</f>
        <v>0.2208235294117647</v>
      </c>
    </row>
    <row r="4629" spans="1:15" x14ac:dyDescent="0.25">
      <c r="A4629" s="1">
        <v>4628</v>
      </c>
      <c r="B4629" s="2">
        <v>45181</v>
      </c>
      <c r="C4629" s="1" t="s">
        <v>12</v>
      </c>
      <c r="D4629" s="1" t="s">
        <v>13</v>
      </c>
      <c r="E4629" s="1" t="s">
        <v>14</v>
      </c>
      <c r="F4629" s="1" t="s">
        <v>35</v>
      </c>
      <c r="G4629" s="1">
        <v>5</v>
      </c>
      <c r="H4629" s="1">
        <v>134</v>
      </c>
      <c r="I4629" s="1">
        <v>5</v>
      </c>
      <c r="J4629" s="4">
        <v>636.5</v>
      </c>
      <c r="K4629" s="4">
        <v>416.15</v>
      </c>
      <c r="L4629" s="4">
        <v>220.35</v>
      </c>
      <c r="M4629" s="1" t="str">
        <f>TEXT(Table1[[#This Row],[Order_Date]], "MMM")</f>
        <v>Sep</v>
      </c>
      <c r="N4629" s="1">
        <f>YEAR(Table1[[#This Row],[Order_Date]])</f>
        <v>2023</v>
      </c>
      <c r="O4629" s="7">
        <f>Table1[[#This Row],[Profit]]/Table1[[#This Row],[Total_Sales]]</f>
        <v>0.34619010212097406</v>
      </c>
    </row>
    <row r="4630" spans="1:15" x14ac:dyDescent="0.25">
      <c r="A4630" s="1">
        <v>4629</v>
      </c>
      <c r="B4630" s="2">
        <v>45402</v>
      </c>
      <c r="C4630" s="1" t="s">
        <v>16</v>
      </c>
      <c r="D4630" s="1" t="s">
        <v>20</v>
      </c>
      <c r="E4630" s="1" t="s">
        <v>30</v>
      </c>
      <c r="F4630" s="1" t="s">
        <v>24</v>
      </c>
      <c r="G4630" s="1">
        <v>2</v>
      </c>
      <c r="H4630" s="1">
        <v>13</v>
      </c>
      <c r="I4630" s="1">
        <v>20</v>
      </c>
      <c r="J4630" s="4">
        <v>20.8</v>
      </c>
      <c r="K4630" s="4">
        <v>16.63</v>
      </c>
      <c r="L4630" s="4">
        <v>4.17</v>
      </c>
      <c r="M4630" s="1" t="str">
        <f>TEXT(Table1[[#This Row],[Order_Date]], "MMM")</f>
        <v>Apr</v>
      </c>
      <c r="N4630" s="1">
        <f>YEAR(Table1[[#This Row],[Order_Date]])</f>
        <v>2024</v>
      </c>
      <c r="O4630" s="7">
        <f>Table1[[#This Row],[Profit]]/Table1[[#This Row],[Total_Sales]]</f>
        <v>0.20048076923076921</v>
      </c>
    </row>
    <row r="4631" spans="1:15" x14ac:dyDescent="0.25">
      <c r="A4631" s="1">
        <v>4630</v>
      </c>
      <c r="B4631" s="2">
        <v>45500</v>
      </c>
      <c r="C4631" s="1" t="s">
        <v>16</v>
      </c>
      <c r="D4631" s="1" t="s">
        <v>32</v>
      </c>
      <c r="E4631" s="1" t="s">
        <v>41</v>
      </c>
      <c r="F4631" s="1" t="s">
        <v>15</v>
      </c>
      <c r="G4631" s="1">
        <v>8</v>
      </c>
      <c r="H4631" s="1">
        <v>345</v>
      </c>
      <c r="I4631" s="1">
        <v>5</v>
      </c>
      <c r="J4631" s="4">
        <v>2622</v>
      </c>
      <c r="K4631" s="4">
        <v>1658.58</v>
      </c>
      <c r="L4631" s="4">
        <v>963.42</v>
      </c>
      <c r="M4631" s="1" t="str">
        <f>TEXT(Table1[[#This Row],[Order_Date]], "MMM")</f>
        <v>Jul</v>
      </c>
      <c r="N4631" s="1">
        <f>YEAR(Table1[[#This Row],[Order_Date]])</f>
        <v>2024</v>
      </c>
      <c r="O4631" s="7">
        <f>Table1[[#This Row],[Profit]]/Table1[[#This Row],[Total_Sales]]</f>
        <v>0.36743707093821509</v>
      </c>
    </row>
    <row r="4632" spans="1:15" x14ac:dyDescent="0.25">
      <c r="A4632" s="1">
        <v>4631</v>
      </c>
      <c r="B4632" s="2">
        <v>45457</v>
      </c>
      <c r="C4632" s="1" t="s">
        <v>25</v>
      </c>
      <c r="D4632" s="1" t="s">
        <v>13</v>
      </c>
      <c r="E4632" s="1" t="s">
        <v>17</v>
      </c>
      <c r="F4632" s="1" t="s">
        <v>24</v>
      </c>
      <c r="G4632" s="1">
        <v>1</v>
      </c>
      <c r="H4632" s="1">
        <v>287</v>
      </c>
      <c r="I4632" s="1">
        <v>10</v>
      </c>
      <c r="J4632" s="4">
        <v>258.3</v>
      </c>
      <c r="K4632" s="4">
        <v>165.82</v>
      </c>
      <c r="L4632" s="4">
        <v>92.48</v>
      </c>
      <c r="M4632" s="1" t="str">
        <f>TEXT(Table1[[#This Row],[Order_Date]], "MMM")</f>
        <v>Jun</v>
      </c>
      <c r="N4632" s="1">
        <f>YEAR(Table1[[#This Row],[Order_Date]])</f>
        <v>2024</v>
      </c>
      <c r="O4632" s="7">
        <f>Table1[[#This Row],[Profit]]/Table1[[#This Row],[Total_Sales]]</f>
        <v>0.35803329461866046</v>
      </c>
    </row>
    <row r="4633" spans="1:15" x14ac:dyDescent="0.25">
      <c r="A4633" s="1">
        <v>4632</v>
      </c>
      <c r="B4633" s="2">
        <v>45205</v>
      </c>
      <c r="C4633" s="1" t="s">
        <v>16</v>
      </c>
      <c r="D4633" s="1" t="s">
        <v>22</v>
      </c>
      <c r="E4633" s="1" t="s">
        <v>44</v>
      </c>
      <c r="F4633" s="1" t="s">
        <v>24</v>
      </c>
      <c r="G4633" s="1">
        <v>5</v>
      </c>
      <c r="H4633" s="1">
        <v>228</v>
      </c>
      <c r="I4633" s="1">
        <v>10</v>
      </c>
      <c r="J4633" s="4">
        <v>1026</v>
      </c>
      <c r="K4633" s="4">
        <v>545.80999999999995</v>
      </c>
      <c r="L4633" s="4">
        <v>480.19</v>
      </c>
      <c r="M4633" s="1" t="str">
        <f>TEXT(Table1[[#This Row],[Order_Date]], "MMM")</f>
        <v>Oct</v>
      </c>
      <c r="N4633" s="1">
        <f>YEAR(Table1[[#This Row],[Order_Date]])</f>
        <v>2023</v>
      </c>
      <c r="O4633" s="7">
        <f>Table1[[#This Row],[Profit]]/Table1[[#This Row],[Total_Sales]]</f>
        <v>0.46802144249512673</v>
      </c>
    </row>
    <row r="4634" spans="1:15" x14ac:dyDescent="0.25">
      <c r="A4634" s="1">
        <v>4633</v>
      </c>
      <c r="B4634" s="2">
        <v>45191</v>
      </c>
      <c r="C4634" s="1" t="s">
        <v>16</v>
      </c>
      <c r="D4634" s="1" t="s">
        <v>32</v>
      </c>
      <c r="E4634" s="1" t="s">
        <v>34</v>
      </c>
      <c r="F4634" s="1" t="s">
        <v>31</v>
      </c>
      <c r="G4634" s="1">
        <v>2</v>
      </c>
      <c r="H4634" s="1">
        <v>593</v>
      </c>
      <c r="I4634" s="1">
        <v>10</v>
      </c>
      <c r="J4634" s="4">
        <v>1067.4000000000001</v>
      </c>
      <c r="K4634" s="4">
        <v>629.76</v>
      </c>
      <c r="L4634" s="4">
        <v>437.64</v>
      </c>
      <c r="M4634" s="1" t="str">
        <f>TEXT(Table1[[#This Row],[Order_Date]], "MMM")</f>
        <v>Sep</v>
      </c>
      <c r="N4634" s="1">
        <f>YEAR(Table1[[#This Row],[Order_Date]])</f>
        <v>2023</v>
      </c>
      <c r="O4634" s="7">
        <f>Table1[[#This Row],[Profit]]/Table1[[#This Row],[Total_Sales]]</f>
        <v>0.41000562113546934</v>
      </c>
    </row>
    <row r="4635" spans="1:15" x14ac:dyDescent="0.25">
      <c r="A4635" s="1">
        <v>4634</v>
      </c>
      <c r="B4635" s="2">
        <v>45267</v>
      </c>
      <c r="C4635" s="1" t="s">
        <v>19</v>
      </c>
      <c r="D4635" s="1" t="s">
        <v>26</v>
      </c>
      <c r="E4635" s="1" t="s">
        <v>42</v>
      </c>
      <c r="F4635" s="1" t="s">
        <v>15</v>
      </c>
      <c r="G4635" s="1">
        <v>8</v>
      </c>
      <c r="H4635" s="1">
        <v>578</v>
      </c>
      <c r="I4635" s="1">
        <v>0</v>
      </c>
      <c r="J4635" s="4">
        <v>4624</v>
      </c>
      <c r="K4635" s="4">
        <v>3246.74</v>
      </c>
      <c r="L4635" s="4">
        <v>1377.26</v>
      </c>
      <c r="M4635" s="1" t="str">
        <f>TEXT(Table1[[#This Row],[Order_Date]], "MMM")</f>
        <v>Dec</v>
      </c>
      <c r="N4635" s="1">
        <f>YEAR(Table1[[#This Row],[Order_Date]])</f>
        <v>2023</v>
      </c>
      <c r="O4635" s="7">
        <f>Table1[[#This Row],[Profit]]/Table1[[#This Row],[Total_Sales]]</f>
        <v>0.29785034602076127</v>
      </c>
    </row>
    <row r="4636" spans="1:15" x14ac:dyDescent="0.25">
      <c r="A4636" s="1">
        <v>4635</v>
      </c>
      <c r="B4636" s="2">
        <v>45288</v>
      </c>
      <c r="C4636" s="1" t="s">
        <v>16</v>
      </c>
      <c r="D4636" s="1" t="s">
        <v>22</v>
      </c>
      <c r="E4636" s="1" t="s">
        <v>36</v>
      </c>
      <c r="F4636" s="1" t="s">
        <v>24</v>
      </c>
      <c r="G4636" s="1">
        <v>4</v>
      </c>
      <c r="H4636" s="1">
        <v>267</v>
      </c>
      <c r="I4636" s="1">
        <v>15</v>
      </c>
      <c r="J4636" s="4">
        <v>907.8</v>
      </c>
      <c r="K4636" s="4">
        <v>609.66</v>
      </c>
      <c r="L4636" s="4">
        <v>298.14</v>
      </c>
      <c r="M4636" s="1" t="str">
        <f>TEXT(Table1[[#This Row],[Order_Date]], "MMM")</f>
        <v>Dec</v>
      </c>
      <c r="N4636" s="1">
        <f>YEAR(Table1[[#This Row],[Order_Date]])</f>
        <v>2023</v>
      </c>
      <c r="O4636" s="7">
        <f>Table1[[#This Row],[Profit]]/Table1[[#This Row],[Total_Sales]]</f>
        <v>0.32842035690680765</v>
      </c>
    </row>
    <row r="4637" spans="1:15" x14ac:dyDescent="0.25">
      <c r="A4637" s="1">
        <v>4636</v>
      </c>
      <c r="B4637" s="2">
        <v>45549</v>
      </c>
      <c r="C4637" s="1" t="s">
        <v>16</v>
      </c>
      <c r="D4637" s="1" t="s">
        <v>26</v>
      </c>
      <c r="E4637" s="1" t="s">
        <v>42</v>
      </c>
      <c r="F4637" s="1" t="s">
        <v>40</v>
      </c>
      <c r="G4637" s="1">
        <v>2</v>
      </c>
      <c r="H4637" s="1">
        <v>328</v>
      </c>
      <c r="I4637" s="1">
        <v>10</v>
      </c>
      <c r="J4637" s="4">
        <v>590.4</v>
      </c>
      <c r="K4637" s="4">
        <v>442.14</v>
      </c>
      <c r="L4637" s="4">
        <v>148.26</v>
      </c>
      <c r="M4637" s="1" t="str">
        <f>TEXT(Table1[[#This Row],[Order_Date]], "MMM")</f>
        <v>Sep</v>
      </c>
      <c r="N4637" s="1">
        <f>YEAR(Table1[[#This Row],[Order_Date]])</f>
        <v>2024</v>
      </c>
      <c r="O4637" s="7">
        <f>Table1[[#This Row],[Profit]]/Table1[[#This Row],[Total_Sales]]</f>
        <v>0.25111788617886177</v>
      </c>
    </row>
    <row r="4638" spans="1:15" x14ac:dyDescent="0.25">
      <c r="A4638" s="1">
        <v>4637</v>
      </c>
      <c r="B4638" s="2">
        <v>45334</v>
      </c>
      <c r="C4638" s="1" t="s">
        <v>19</v>
      </c>
      <c r="D4638" s="1" t="s">
        <v>22</v>
      </c>
      <c r="E4638" s="1" t="s">
        <v>29</v>
      </c>
      <c r="F4638" s="1" t="s">
        <v>24</v>
      </c>
      <c r="G4638" s="1">
        <v>5</v>
      </c>
      <c r="H4638" s="1">
        <v>229</v>
      </c>
      <c r="I4638" s="1">
        <v>10</v>
      </c>
      <c r="J4638" s="4">
        <v>1030.5</v>
      </c>
      <c r="K4638" s="4">
        <v>552.9</v>
      </c>
      <c r="L4638" s="4">
        <v>477.6</v>
      </c>
      <c r="M4638" s="1" t="str">
        <f>TEXT(Table1[[#This Row],[Order_Date]], "MMM")</f>
        <v>Feb</v>
      </c>
      <c r="N4638" s="1">
        <f>YEAR(Table1[[#This Row],[Order_Date]])</f>
        <v>2024</v>
      </c>
      <c r="O4638" s="7">
        <f>Table1[[#This Row],[Profit]]/Table1[[#This Row],[Total_Sales]]</f>
        <v>0.46346433770014556</v>
      </c>
    </row>
    <row r="4639" spans="1:15" x14ac:dyDescent="0.25">
      <c r="A4639" s="1">
        <v>4638</v>
      </c>
      <c r="B4639" s="2">
        <v>45543</v>
      </c>
      <c r="C4639" s="1" t="s">
        <v>19</v>
      </c>
      <c r="D4639" s="1" t="s">
        <v>22</v>
      </c>
      <c r="E4639" s="1" t="s">
        <v>29</v>
      </c>
      <c r="F4639" s="1" t="s">
        <v>24</v>
      </c>
      <c r="G4639" s="1">
        <v>6</v>
      </c>
      <c r="H4639" s="1">
        <v>280</v>
      </c>
      <c r="I4639" s="1">
        <v>5</v>
      </c>
      <c r="J4639" s="4">
        <v>1596</v>
      </c>
      <c r="K4639" s="4">
        <v>1198.82</v>
      </c>
      <c r="L4639" s="4">
        <v>397.18</v>
      </c>
      <c r="M4639" s="1" t="str">
        <f>TEXT(Table1[[#This Row],[Order_Date]], "MMM")</f>
        <v>Sep</v>
      </c>
      <c r="N4639" s="1">
        <f>YEAR(Table1[[#This Row],[Order_Date]])</f>
        <v>2024</v>
      </c>
      <c r="O4639" s="7">
        <f>Table1[[#This Row],[Profit]]/Table1[[#This Row],[Total_Sales]]</f>
        <v>0.24885964912280703</v>
      </c>
    </row>
    <row r="4640" spans="1:15" x14ac:dyDescent="0.25">
      <c r="A4640" s="1">
        <v>4639</v>
      </c>
      <c r="B4640" s="2">
        <v>45339</v>
      </c>
      <c r="C4640" s="1" t="s">
        <v>16</v>
      </c>
      <c r="D4640" s="1" t="s">
        <v>20</v>
      </c>
      <c r="E4640" s="1" t="s">
        <v>21</v>
      </c>
      <c r="F4640" s="1" t="s">
        <v>40</v>
      </c>
      <c r="G4640" s="1">
        <v>4</v>
      </c>
      <c r="H4640" s="1">
        <v>371</v>
      </c>
      <c r="I4640" s="1">
        <v>15</v>
      </c>
      <c r="J4640" s="4">
        <v>1261.4000000000001</v>
      </c>
      <c r="K4640" s="4">
        <v>833.69</v>
      </c>
      <c r="L4640" s="4">
        <v>427.71</v>
      </c>
      <c r="M4640" s="1" t="str">
        <f>TEXT(Table1[[#This Row],[Order_Date]], "MMM")</f>
        <v>Feb</v>
      </c>
      <c r="N4640" s="1">
        <f>YEAR(Table1[[#This Row],[Order_Date]])</f>
        <v>2024</v>
      </c>
      <c r="O4640" s="7">
        <f>Table1[[#This Row],[Profit]]/Table1[[#This Row],[Total_Sales]]</f>
        <v>0.3390756302521008</v>
      </c>
    </row>
    <row r="4641" spans="1:15" x14ac:dyDescent="0.25">
      <c r="A4641" s="1">
        <v>4640</v>
      </c>
      <c r="B4641" s="2">
        <v>45609</v>
      </c>
      <c r="C4641" s="1" t="s">
        <v>16</v>
      </c>
      <c r="D4641" s="1" t="s">
        <v>13</v>
      </c>
      <c r="E4641" s="1" t="s">
        <v>39</v>
      </c>
      <c r="F4641" s="1" t="s">
        <v>35</v>
      </c>
      <c r="G4641" s="1">
        <v>9</v>
      </c>
      <c r="H4641" s="1">
        <v>29</v>
      </c>
      <c r="I4641" s="1">
        <v>0</v>
      </c>
      <c r="J4641" s="4">
        <v>261</v>
      </c>
      <c r="K4641" s="4">
        <v>131.66999999999999</v>
      </c>
      <c r="L4641" s="4">
        <v>129.33000000000001</v>
      </c>
      <c r="M4641" s="1" t="str">
        <f>TEXT(Table1[[#This Row],[Order_Date]], "MMM")</f>
        <v>Nov</v>
      </c>
      <c r="N4641" s="1">
        <f>YEAR(Table1[[#This Row],[Order_Date]])</f>
        <v>2024</v>
      </c>
      <c r="O4641" s="7">
        <f>Table1[[#This Row],[Profit]]/Table1[[#This Row],[Total_Sales]]</f>
        <v>0.49551724137931041</v>
      </c>
    </row>
    <row r="4642" spans="1:15" x14ac:dyDescent="0.25">
      <c r="A4642" s="1">
        <v>4641</v>
      </c>
      <c r="B4642" s="2">
        <v>44968</v>
      </c>
      <c r="C4642" s="1" t="s">
        <v>25</v>
      </c>
      <c r="D4642" s="1" t="s">
        <v>32</v>
      </c>
      <c r="E4642" s="1" t="s">
        <v>34</v>
      </c>
      <c r="F4642" s="1" t="s">
        <v>18</v>
      </c>
      <c r="G4642" s="1">
        <v>1</v>
      </c>
      <c r="H4642" s="1">
        <v>884</v>
      </c>
      <c r="I4642" s="1">
        <v>5</v>
      </c>
      <c r="J4642" s="4">
        <v>839.8</v>
      </c>
      <c r="K4642" s="4">
        <v>486.23</v>
      </c>
      <c r="L4642" s="4">
        <v>353.57</v>
      </c>
      <c r="M4642" s="1" t="str">
        <f>TEXT(Table1[[#This Row],[Order_Date]], "MMM")</f>
        <v>Feb</v>
      </c>
      <c r="N4642" s="1">
        <f>YEAR(Table1[[#This Row],[Order_Date]])</f>
        <v>2023</v>
      </c>
      <c r="O4642" s="7">
        <f>Table1[[#This Row],[Profit]]/Table1[[#This Row],[Total_Sales]]</f>
        <v>0.42101690878780662</v>
      </c>
    </row>
    <row r="4643" spans="1:15" x14ac:dyDescent="0.25">
      <c r="A4643" s="1">
        <v>4642</v>
      </c>
      <c r="B4643" s="2">
        <v>45590</v>
      </c>
      <c r="C4643" s="1" t="s">
        <v>16</v>
      </c>
      <c r="D4643" s="1" t="s">
        <v>20</v>
      </c>
      <c r="E4643" s="1" t="s">
        <v>28</v>
      </c>
      <c r="F4643" s="1" t="s">
        <v>35</v>
      </c>
      <c r="G4643" s="1">
        <v>10</v>
      </c>
      <c r="H4643" s="1">
        <v>522</v>
      </c>
      <c r="I4643" s="1">
        <v>15</v>
      </c>
      <c r="J4643" s="4">
        <v>4437</v>
      </c>
      <c r="K4643" s="4">
        <v>3152.46</v>
      </c>
      <c r="L4643" s="4">
        <v>1284.54</v>
      </c>
      <c r="M4643" s="1" t="str">
        <f>TEXT(Table1[[#This Row],[Order_Date]], "MMM")</f>
        <v>Oct</v>
      </c>
      <c r="N4643" s="1">
        <f>YEAR(Table1[[#This Row],[Order_Date]])</f>
        <v>2024</v>
      </c>
      <c r="O4643" s="7">
        <f>Table1[[#This Row],[Profit]]/Table1[[#This Row],[Total_Sales]]</f>
        <v>0.28950642325895876</v>
      </c>
    </row>
    <row r="4644" spans="1:15" x14ac:dyDescent="0.25">
      <c r="A4644" s="1">
        <v>4643</v>
      </c>
      <c r="B4644" s="2">
        <v>45649</v>
      </c>
      <c r="C4644" s="1" t="s">
        <v>25</v>
      </c>
      <c r="D4644" s="1" t="s">
        <v>22</v>
      </c>
      <c r="E4644" s="1" t="s">
        <v>29</v>
      </c>
      <c r="F4644" s="1" t="s">
        <v>24</v>
      </c>
      <c r="G4644" s="1">
        <v>3</v>
      </c>
      <c r="H4644" s="1">
        <v>574</v>
      </c>
      <c r="I4644" s="1">
        <v>5</v>
      </c>
      <c r="J4644" s="4">
        <v>1635.9</v>
      </c>
      <c r="K4644" s="4">
        <v>1242.6099999999999</v>
      </c>
      <c r="L4644" s="4">
        <v>393.29</v>
      </c>
      <c r="M4644" s="1" t="str">
        <f>TEXT(Table1[[#This Row],[Order_Date]], "MMM")</f>
        <v>Dec</v>
      </c>
      <c r="N4644" s="1">
        <f>YEAR(Table1[[#This Row],[Order_Date]])</f>
        <v>2024</v>
      </c>
      <c r="O4644" s="7">
        <f>Table1[[#This Row],[Profit]]/Table1[[#This Row],[Total_Sales]]</f>
        <v>0.24041200562381562</v>
      </c>
    </row>
    <row r="4645" spans="1:15" x14ac:dyDescent="0.25">
      <c r="A4645" s="1">
        <v>4644</v>
      </c>
      <c r="B4645" s="2">
        <v>45233</v>
      </c>
      <c r="C4645" s="1" t="s">
        <v>16</v>
      </c>
      <c r="D4645" s="1" t="s">
        <v>32</v>
      </c>
      <c r="E4645" s="1" t="s">
        <v>33</v>
      </c>
      <c r="F4645" s="1" t="s">
        <v>24</v>
      </c>
      <c r="G4645" s="1">
        <v>9</v>
      </c>
      <c r="H4645" s="1">
        <v>769</v>
      </c>
      <c r="I4645" s="1">
        <v>5</v>
      </c>
      <c r="J4645" s="4">
        <v>6574.95</v>
      </c>
      <c r="K4645" s="4">
        <v>3379.87</v>
      </c>
      <c r="L4645" s="4">
        <v>3195.08</v>
      </c>
      <c r="M4645" s="1" t="str">
        <f>TEXT(Table1[[#This Row],[Order_Date]], "MMM")</f>
        <v>Nov</v>
      </c>
      <c r="N4645" s="1">
        <f>YEAR(Table1[[#This Row],[Order_Date]])</f>
        <v>2023</v>
      </c>
      <c r="O4645" s="7">
        <f>Table1[[#This Row],[Profit]]/Table1[[#This Row],[Total_Sales]]</f>
        <v>0.48594742165339661</v>
      </c>
    </row>
    <row r="4646" spans="1:15" x14ac:dyDescent="0.25">
      <c r="A4646" s="1">
        <v>4645</v>
      </c>
      <c r="B4646" s="2">
        <v>45152</v>
      </c>
      <c r="C4646" s="1" t="s">
        <v>25</v>
      </c>
      <c r="D4646" s="1" t="s">
        <v>22</v>
      </c>
      <c r="E4646" s="1" t="s">
        <v>23</v>
      </c>
      <c r="F4646" s="1" t="s">
        <v>15</v>
      </c>
      <c r="G4646" s="1">
        <v>3</v>
      </c>
      <c r="H4646" s="1">
        <v>140</v>
      </c>
      <c r="I4646" s="1">
        <v>5</v>
      </c>
      <c r="J4646" s="4">
        <v>399</v>
      </c>
      <c r="K4646" s="4">
        <v>243.15</v>
      </c>
      <c r="L4646" s="4">
        <v>155.85</v>
      </c>
      <c r="M4646" s="1" t="str">
        <f>TEXT(Table1[[#This Row],[Order_Date]], "MMM")</f>
        <v>Aug</v>
      </c>
      <c r="N4646" s="1">
        <f>YEAR(Table1[[#This Row],[Order_Date]])</f>
        <v>2023</v>
      </c>
      <c r="O4646" s="7">
        <f>Table1[[#This Row],[Profit]]/Table1[[#This Row],[Total_Sales]]</f>
        <v>0.39060150375939851</v>
      </c>
    </row>
    <row r="4647" spans="1:15" x14ac:dyDescent="0.25">
      <c r="A4647" s="1">
        <v>4646</v>
      </c>
      <c r="B4647" s="2">
        <v>45120</v>
      </c>
      <c r="C4647" s="1" t="s">
        <v>12</v>
      </c>
      <c r="D4647" s="1" t="s">
        <v>13</v>
      </c>
      <c r="E4647" s="1" t="s">
        <v>17</v>
      </c>
      <c r="F4647" s="1" t="s">
        <v>18</v>
      </c>
      <c r="G4647" s="1">
        <v>2</v>
      </c>
      <c r="H4647" s="1">
        <v>358</v>
      </c>
      <c r="I4647" s="1">
        <v>20</v>
      </c>
      <c r="J4647" s="4">
        <v>572.79999999999995</v>
      </c>
      <c r="K4647" s="4">
        <v>332.35</v>
      </c>
      <c r="L4647" s="4">
        <v>240.45</v>
      </c>
      <c r="M4647" s="1" t="str">
        <f>TEXT(Table1[[#This Row],[Order_Date]], "MMM")</f>
        <v>Jul</v>
      </c>
      <c r="N4647" s="1">
        <f>YEAR(Table1[[#This Row],[Order_Date]])</f>
        <v>2023</v>
      </c>
      <c r="O4647" s="7">
        <f>Table1[[#This Row],[Profit]]/Table1[[#This Row],[Total_Sales]]</f>
        <v>0.41978002793296093</v>
      </c>
    </row>
    <row r="4648" spans="1:15" x14ac:dyDescent="0.25">
      <c r="A4648" s="1">
        <v>4647</v>
      </c>
      <c r="B4648" s="2">
        <v>45057</v>
      </c>
      <c r="C4648" s="1" t="s">
        <v>12</v>
      </c>
      <c r="D4648" s="1" t="s">
        <v>26</v>
      </c>
      <c r="E4648" s="1" t="s">
        <v>27</v>
      </c>
      <c r="F4648" s="1" t="s">
        <v>31</v>
      </c>
      <c r="G4648" s="1">
        <v>3</v>
      </c>
      <c r="H4648" s="1">
        <v>356</v>
      </c>
      <c r="I4648" s="1">
        <v>10</v>
      </c>
      <c r="J4648" s="4">
        <v>961.2</v>
      </c>
      <c r="K4648" s="4">
        <v>637.38</v>
      </c>
      <c r="L4648" s="4">
        <v>323.82</v>
      </c>
      <c r="M4648" s="1" t="str">
        <f>TEXT(Table1[[#This Row],[Order_Date]], "MMM")</f>
        <v>May</v>
      </c>
      <c r="N4648" s="1">
        <f>YEAR(Table1[[#This Row],[Order_Date]])</f>
        <v>2023</v>
      </c>
      <c r="O4648" s="7">
        <f>Table1[[#This Row],[Profit]]/Table1[[#This Row],[Total_Sales]]</f>
        <v>0.33689138576779026</v>
      </c>
    </row>
    <row r="4649" spans="1:15" x14ac:dyDescent="0.25">
      <c r="A4649" s="1">
        <v>4648</v>
      </c>
      <c r="B4649" s="2">
        <v>45589</v>
      </c>
      <c r="C4649" s="1" t="s">
        <v>12</v>
      </c>
      <c r="D4649" s="1" t="s">
        <v>32</v>
      </c>
      <c r="E4649" s="1" t="s">
        <v>41</v>
      </c>
      <c r="F4649" s="1" t="s">
        <v>31</v>
      </c>
      <c r="G4649" s="1">
        <v>1</v>
      </c>
      <c r="H4649" s="1">
        <v>794</v>
      </c>
      <c r="I4649" s="1">
        <v>15</v>
      </c>
      <c r="J4649" s="4">
        <v>674.9</v>
      </c>
      <c r="K4649" s="4">
        <v>495.5</v>
      </c>
      <c r="L4649" s="4">
        <v>179.4</v>
      </c>
      <c r="M4649" s="1" t="str">
        <f>TEXT(Table1[[#This Row],[Order_Date]], "MMM")</f>
        <v>Oct</v>
      </c>
      <c r="N4649" s="1">
        <f>YEAR(Table1[[#This Row],[Order_Date]])</f>
        <v>2024</v>
      </c>
      <c r="O4649" s="7">
        <f>Table1[[#This Row],[Profit]]/Table1[[#This Row],[Total_Sales]]</f>
        <v>0.26581715809749595</v>
      </c>
    </row>
    <row r="4650" spans="1:15" x14ac:dyDescent="0.25">
      <c r="A4650" s="1">
        <v>4649</v>
      </c>
      <c r="B4650" s="2">
        <v>45639</v>
      </c>
      <c r="C4650" s="1" t="s">
        <v>25</v>
      </c>
      <c r="D4650" s="1" t="s">
        <v>20</v>
      </c>
      <c r="E4650" s="1" t="s">
        <v>21</v>
      </c>
      <c r="F4650" s="1" t="s">
        <v>31</v>
      </c>
      <c r="G4650" s="1">
        <v>8</v>
      </c>
      <c r="H4650" s="1">
        <v>346</v>
      </c>
      <c r="I4650" s="1">
        <v>0</v>
      </c>
      <c r="J4650" s="4">
        <v>2768</v>
      </c>
      <c r="K4650" s="4">
        <v>2007.22</v>
      </c>
      <c r="L4650" s="4">
        <v>760.78</v>
      </c>
      <c r="M4650" s="1" t="str">
        <f>TEXT(Table1[[#This Row],[Order_Date]], "MMM")</f>
        <v>Dec</v>
      </c>
      <c r="N4650" s="1">
        <f>YEAR(Table1[[#This Row],[Order_Date]])</f>
        <v>2024</v>
      </c>
      <c r="O4650" s="7">
        <f>Table1[[#This Row],[Profit]]/Table1[[#This Row],[Total_Sales]]</f>
        <v>0.27484826589595374</v>
      </c>
    </row>
    <row r="4651" spans="1:15" x14ac:dyDescent="0.25">
      <c r="A4651" s="1">
        <v>4650</v>
      </c>
      <c r="B4651" s="2">
        <v>45336</v>
      </c>
      <c r="C4651" s="1" t="s">
        <v>19</v>
      </c>
      <c r="D4651" s="1" t="s">
        <v>22</v>
      </c>
      <c r="E4651" s="1" t="s">
        <v>36</v>
      </c>
      <c r="F4651" s="1" t="s">
        <v>15</v>
      </c>
      <c r="G4651" s="1">
        <v>8</v>
      </c>
      <c r="H4651" s="1">
        <v>403</v>
      </c>
      <c r="I4651" s="1">
        <v>20</v>
      </c>
      <c r="J4651" s="4">
        <v>2579.1999999999998</v>
      </c>
      <c r="K4651" s="4">
        <v>1434.6</v>
      </c>
      <c r="L4651" s="4">
        <v>1144.5999999999999</v>
      </c>
      <c r="M4651" s="1" t="str">
        <f>TEXT(Table1[[#This Row],[Order_Date]], "MMM")</f>
        <v>Feb</v>
      </c>
      <c r="N4651" s="1">
        <f>YEAR(Table1[[#This Row],[Order_Date]])</f>
        <v>2024</v>
      </c>
      <c r="O4651" s="7">
        <f>Table1[[#This Row],[Profit]]/Table1[[#This Row],[Total_Sales]]</f>
        <v>0.44378101736972703</v>
      </c>
    </row>
    <row r="4652" spans="1:15" x14ac:dyDescent="0.25">
      <c r="A4652" s="1">
        <v>4651</v>
      </c>
      <c r="B4652" s="2">
        <v>45512</v>
      </c>
      <c r="C4652" s="1" t="s">
        <v>12</v>
      </c>
      <c r="D4652" s="1" t="s">
        <v>32</v>
      </c>
      <c r="E4652" s="1" t="s">
        <v>41</v>
      </c>
      <c r="F4652" s="1" t="s">
        <v>18</v>
      </c>
      <c r="G4652" s="1">
        <v>9</v>
      </c>
      <c r="H4652" s="1">
        <v>598</v>
      </c>
      <c r="I4652" s="1">
        <v>10</v>
      </c>
      <c r="J4652" s="4">
        <v>4843.8</v>
      </c>
      <c r="K4652" s="4">
        <v>3743.97</v>
      </c>
      <c r="L4652" s="4">
        <v>1099.83</v>
      </c>
      <c r="M4652" s="1" t="str">
        <f>TEXT(Table1[[#This Row],[Order_Date]], "MMM")</f>
        <v>Aug</v>
      </c>
      <c r="N4652" s="1">
        <f>YEAR(Table1[[#This Row],[Order_Date]])</f>
        <v>2024</v>
      </c>
      <c r="O4652" s="7">
        <f>Table1[[#This Row],[Profit]]/Table1[[#This Row],[Total_Sales]]</f>
        <v>0.22705933358107269</v>
      </c>
    </row>
    <row r="4653" spans="1:15" x14ac:dyDescent="0.25">
      <c r="A4653" s="1">
        <v>4652</v>
      </c>
      <c r="B4653" s="2">
        <v>45258</v>
      </c>
      <c r="C4653" s="1" t="s">
        <v>12</v>
      </c>
      <c r="D4653" s="1" t="s">
        <v>20</v>
      </c>
      <c r="E4653" s="1" t="s">
        <v>43</v>
      </c>
      <c r="F4653" s="1" t="s">
        <v>24</v>
      </c>
      <c r="G4653" s="1">
        <v>1</v>
      </c>
      <c r="H4653" s="1">
        <v>763</v>
      </c>
      <c r="I4653" s="1">
        <v>20</v>
      </c>
      <c r="J4653" s="4">
        <v>610.4</v>
      </c>
      <c r="K4653" s="4">
        <v>471.38</v>
      </c>
      <c r="L4653" s="4">
        <v>139.02000000000001</v>
      </c>
      <c r="M4653" s="1" t="str">
        <f>TEXT(Table1[[#This Row],[Order_Date]], "MMM")</f>
        <v>Nov</v>
      </c>
      <c r="N4653" s="1">
        <f>YEAR(Table1[[#This Row],[Order_Date]])</f>
        <v>2023</v>
      </c>
      <c r="O4653" s="7">
        <f>Table1[[#This Row],[Profit]]/Table1[[#This Row],[Total_Sales]]</f>
        <v>0.22775229357798168</v>
      </c>
    </row>
    <row r="4654" spans="1:15" x14ac:dyDescent="0.25">
      <c r="A4654" s="1">
        <v>4653</v>
      </c>
      <c r="B4654" s="2">
        <v>45570</v>
      </c>
      <c r="C4654" s="1" t="s">
        <v>12</v>
      </c>
      <c r="D4654" s="1" t="s">
        <v>26</v>
      </c>
      <c r="E4654" s="1" t="s">
        <v>42</v>
      </c>
      <c r="F4654" s="1" t="s">
        <v>40</v>
      </c>
      <c r="G4654" s="1">
        <v>2</v>
      </c>
      <c r="H4654" s="1">
        <v>361</v>
      </c>
      <c r="I4654" s="1">
        <v>10</v>
      </c>
      <c r="J4654" s="4">
        <v>649.79999999999995</v>
      </c>
      <c r="K4654" s="4">
        <v>402.25</v>
      </c>
      <c r="L4654" s="4">
        <v>247.55</v>
      </c>
      <c r="M4654" s="1" t="str">
        <f>TEXT(Table1[[#This Row],[Order_Date]], "MMM")</f>
        <v>Oct</v>
      </c>
      <c r="N4654" s="1">
        <f>YEAR(Table1[[#This Row],[Order_Date]])</f>
        <v>2024</v>
      </c>
      <c r="O4654" s="7">
        <f>Table1[[#This Row],[Profit]]/Table1[[#This Row],[Total_Sales]]</f>
        <v>0.38096337334564484</v>
      </c>
    </row>
    <row r="4655" spans="1:15" x14ac:dyDescent="0.25">
      <c r="A4655" s="1">
        <v>4654</v>
      </c>
      <c r="B4655" s="2">
        <v>45545</v>
      </c>
      <c r="C4655" s="1" t="s">
        <v>16</v>
      </c>
      <c r="D4655" s="1" t="s">
        <v>13</v>
      </c>
      <c r="E4655" s="1" t="s">
        <v>38</v>
      </c>
      <c r="F4655" s="1" t="s">
        <v>18</v>
      </c>
      <c r="G4655" s="1">
        <v>6</v>
      </c>
      <c r="H4655" s="1">
        <v>252</v>
      </c>
      <c r="I4655" s="1">
        <v>0</v>
      </c>
      <c r="J4655" s="4">
        <v>1512</v>
      </c>
      <c r="K4655" s="4">
        <v>910.93</v>
      </c>
      <c r="L4655" s="4">
        <v>601.07000000000005</v>
      </c>
      <c r="M4655" s="1" t="str">
        <f>TEXT(Table1[[#This Row],[Order_Date]], "MMM")</f>
        <v>Sep</v>
      </c>
      <c r="N4655" s="1">
        <f>YEAR(Table1[[#This Row],[Order_Date]])</f>
        <v>2024</v>
      </c>
      <c r="O4655" s="7">
        <f>Table1[[#This Row],[Profit]]/Table1[[#This Row],[Total_Sales]]</f>
        <v>0.39753306878306882</v>
      </c>
    </row>
    <row r="4656" spans="1:15" x14ac:dyDescent="0.25">
      <c r="A4656" s="1">
        <v>4655</v>
      </c>
      <c r="B4656" s="2">
        <v>45461</v>
      </c>
      <c r="C4656" s="1" t="s">
        <v>12</v>
      </c>
      <c r="D4656" s="1" t="s">
        <v>20</v>
      </c>
      <c r="E4656" s="1" t="s">
        <v>43</v>
      </c>
      <c r="F4656" s="1" t="s">
        <v>18</v>
      </c>
      <c r="G4656" s="1">
        <v>1</v>
      </c>
      <c r="H4656" s="1">
        <v>953</v>
      </c>
      <c r="I4656" s="1">
        <v>5</v>
      </c>
      <c r="J4656" s="4">
        <v>905.35</v>
      </c>
      <c r="K4656" s="4">
        <v>526.45000000000005</v>
      </c>
      <c r="L4656" s="4">
        <v>378.9</v>
      </c>
      <c r="M4656" s="1" t="str">
        <f>TEXT(Table1[[#This Row],[Order_Date]], "MMM")</f>
        <v>Jun</v>
      </c>
      <c r="N4656" s="1">
        <f>YEAR(Table1[[#This Row],[Order_Date]])</f>
        <v>2024</v>
      </c>
      <c r="O4656" s="7">
        <f>Table1[[#This Row],[Profit]]/Table1[[#This Row],[Total_Sales]]</f>
        <v>0.41851217761086867</v>
      </c>
    </row>
    <row r="4657" spans="1:15" x14ac:dyDescent="0.25">
      <c r="A4657" s="1">
        <v>4656</v>
      </c>
      <c r="B4657" s="2">
        <v>45588</v>
      </c>
      <c r="C4657" s="1" t="s">
        <v>16</v>
      </c>
      <c r="D4657" s="1" t="s">
        <v>20</v>
      </c>
      <c r="E4657" s="1" t="s">
        <v>21</v>
      </c>
      <c r="F4657" s="1" t="s">
        <v>24</v>
      </c>
      <c r="G4657" s="1">
        <v>7</v>
      </c>
      <c r="H4657" s="1">
        <v>429</v>
      </c>
      <c r="I4657" s="1">
        <v>20</v>
      </c>
      <c r="J4657" s="4">
        <v>2402.4</v>
      </c>
      <c r="K4657" s="4">
        <v>1436</v>
      </c>
      <c r="L4657" s="4">
        <v>966.4</v>
      </c>
      <c r="M4657" s="1" t="str">
        <f>TEXT(Table1[[#This Row],[Order_Date]], "MMM")</f>
        <v>Oct</v>
      </c>
      <c r="N4657" s="1">
        <f>YEAR(Table1[[#This Row],[Order_Date]])</f>
        <v>2024</v>
      </c>
      <c r="O4657" s="7">
        <f>Table1[[#This Row],[Profit]]/Table1[[#This Row],[Total_Sales]]</f>
        <v>0.40226440226440224</v>
      </c>
    </row>
    <row r="4658" spans="1:15" x14ac:dyDescent="0.25">
      <c r="A4658" s="1">
        <v>4657</v>
      </c>
      <c r="B4658" s="2">
        <v>45102</v>
      </c>
      <c r="C4658" s="1" t="s">
        <v>19</v>
      </c>
      <c r="D4658" s="1" t="s">
        <v>26</v>
      </c>
      <c r="E4658" s="1" t="s">
        <v>27</v>
      </c>
      <c r="F4658" s="1" t="s">
        <v>24</v>
      </c>
      <c r="G4658" s="1">
        <v>7</v>
      </c>
      <c r="H4658" s="1">
        <v>633</v>
      </c>
      <c r="I4658" s="1">
        <v>5</v>
      </c>
      <c r="J4658" s="4">
        <v>4209.45</v>
      </c>
      <c r="K4658" s="4">
        <v>3071.79</v>
      </c>
      <c r="L4658" s="4">
        <v>1137.6600000000001</v>
      </c>
      <c r="M4658" s="1" t="str">
        <f>TEXT(Table1[[#This Row],[Order_Date]], "MMM")</f>
        <v>Jun</v>
      </c>
      <c r="N4658" s="1">
        <f>YEAR(Table1[[#This Row],[Order_Date]])</f>
        <v>2023</v>
      </c>
      <c r="O4658" s="7">
        <f>Table1[[#This Row],[Profit]]/Table1[[#This Row],[Total_Sales]]</f>
        <v>0.27026333606528175</v>
      </c>
    </row>
    <row r="4659" spans="1:15" x14ac:dyDescent="0.25">
      <c r="A4659" s="1">
        <v>4658</v>
      </c>
      <c r="B4659" s="2">
        <v>45476</v>
      </c>
      <c r="C4659" s="1" t="s">
        <v>25</v>
      </c>
      <c r="D4659" s="1" t="s">
        <v>32</v>
      </c>
      <c r="E4659" s="1" t="s">
        <v>45</v>
      </c>
      <c r="F4659" s="1" t="s">
        <v>35</v>
      </c>
      <c r="G4659" s="1">
        <v>5</v>
      </c>
      <c r="H4659" s="1">
        <v>882</v>
      </c>
      <c r="I4659" s="1">
        <v>0</v>
      </c>
      <c r="J4659" s="4">
        <v>4410</v>
      </c>
      <c r="K4659" s="4">
        <v>3445.08</v>
      </c>
      <c r="L4659" s="4">
        <v>964.92</v>
      </c>
      <c r="M4659" s="1" t="str">
        <f>TEXT(Table1[[#This Row],[Order_Date]], "MMM")</f>
        <v>Jul</v>
      </c>
      <c r="N4659" s="1">
        <f>YEAR(Table1[[#This Row],[Order_Date]])</f>
        <v>2024</v>
      </c>
      <c r="O4659" s="7">
        <f>Table1[[#This Row],[Profit]]/Table1[[#This Row],[Total_Sales]]</f>
        <v>0.21880272108843538</v>
      </c>
    </row>
    <row r="4660" spans="1:15" x14ac:dyDescent="0.25">
      <c r="A4660" s="1">
        <v>4659</v>
      </c>
      <c r="B4660" s="2">
        <v>45116</v>
      </c>
      <c r="C4660" s="1" t="s">
        <v>12</v>
      </c>
      <c r="D4660" s="1" t="s">
        <v>32</v>
      </c>
      <c r="E4660" s="1" t="s">
        <v>34</v>
      </c>
      <c r="F4660" s="1" t="s">
        <v>40</v>
      </c>
      <c r="G4660" s="1">
        <v>10</v>
      </c>
      <c r="H4660" s="1">
        <v>867</v>
      </c>
      <c r="I4660" s="1">
        <v>20</v>
      </c>
      <c r="J4660" s="4">
        <v>6936</v>
      </c>
      <c r="K4660" s="4">
        <v>4105.0600000000004</v>
      </c>
      <c r="L4660" s="4">
        <v>2830.94</v>
      </c>
      <c r="M4660" s="1" t="str">
        <f>TEXT(Table1[[#This Row],[Order_Date]], "MMM")</f>
        <v>Jul</v>
      </c>
      <c r="N4660" s="1">
        <f>YEAR(Table1[[#This Row],[Order_Date]])</f>
        <v>2023</v>
      </c>
      <c r="O4660" s="7">
        <f>Table1[[#This Row],[Profit]]/Table1[[#This Row],[Total_Sales]]</f>
        <v>0.40815167243367934</v>
      </c>
    </row>
    <row r="4661" spans="1:15" x14ac:dyDescent="0.25">
      <c r="A4661" s="1">
        <v>4660</v>
      </c>
      <c r="B4661" s="2">
        <v>45075</v>
      </c>
      <c r="C4661" s="1" t="s">
        <v>19</v>
      </c>
      <c r="D4661" s="1" t="s">
        <v>20</v>
      </c>
      <c r="E4661" s="1" t="s">
        <v>43</v>
      </c>
      <c r="F4661" s="1" t="s">
        <v>40</v>
      </c>
      <c r="G4661" s="1">
        <v>7</v>
      </c>
      <c r="H4661" s="1">
        <v>152</v>
      </c>
      <c r="I4661" s="1">
        <v>10</v>
      </c>
      <c r="J4661" s="4">
        <v>957.6</v>
      </c>
      <c r="K4661" s="4">
        <v>619.73</v>
      </c>
      <c r="L4661" s="4">
        <v>337.87</v>
      </c>
      <c r="M4661" s="1" t="str">
        <f>TEXT(Table1[[#This Row],[Order_Date]], "MMM")</f>
        <v>May</v>
      </c>
      <c r="N4661" s="1">
        <f>YEAR(Table1[[#This Row],[Order_Date]])</f>
        <v>2023</v>
      </c>
      <c r="O4661" s="7">
        <f>Table1[[#This Row],[Profit]]/Table1[[#This Row],[Total_Sales]]</f>
        <v>0.3528299916457811</v>
      </c>
    </row>
    <row r="4662" spans="1:15" x14ac:dyDescent="0.25">
      <c r="A4662" s="1">
        <v>4661</v>
      </c>
      <c r="B4662" s="2">
        <v>45098</v>
      </c>
      <c r="C4662" s="1" t="s">
        <v>12</v>
      </c>
      <c r="D4662" s="1" t="s">
        <v>20</v>
      </c>
      <c r="E4662" s="1" t="s">
        <v>43</v>
      </c>
      <c r="F4662" s="1" t="s">
        <v>40</v>
      </c>
      <c r="G4662" s="1">
        <v>7</v>
      </c>
      <c r="H4662" s="1">
        <v>822</v>
      </c>
      <c r="I4662" s="1">
        <v>15</v>
      </c>
      <c r="J4662" s="4">
        <v>4890.8999999999996</v>
      </c>
      <c r="K4662" s="4">
        <v>3316.16</v>
      </c>
      <c r="L4662" s="4">
        <v>1574.74</v>
      </c>
      <c r="M4662" s="1" t="str">
        <f>TEXT(Table1[[#This Row],[Order_Date]], "MMM")</f>
        <v>Jun</v>
      </c>
      <c r="N4662" s="1">
        <f>YEAR(Table1[[#This Row],[Order_Date]])</f>
        <v>2023</v>
      </c>
      <c r="O4662" s="7">
        <f>Table1[[#This Row],[Profit]]/Table1[[#This Row],[Total_Sales]]</f>
        <v>0.32197346091721363</v>
      </c>
    </row>
    <row r="4663" spans="1:15" x14ac:dyDescent="0.25">
      <c r="A4663" s="1">
        <v>4662</v>
      </c>
      <c r="B4663" s="2">
        <v>45314</v>
      </c>
      <c r="C4663" s="1" t="s">
        <v>25</v>
      </c>
      <c r="D4663" s="1" t="s">
        <v>26</v>
      </c>
      <c r="E4663" s="1" t="s">
        <v>46</v>
      </c>
      <c r="F4663" s="1" t="s">
        <v>31</v>
      </c>
      <c r="G4663" s="1">
        <v>3</v>
      </c>
      <c r="H4663" s="1">
        <v>776</v>
      </c>
      <c r="I4663" s="1">
        <v>15</v>
      </c>
      <c r="J4663" s="4">
        <v>1978.8</v>
      </c>
      <c r="K4663" s="4">
        <v>1469.46</v>
      </c>
      <c r="L4663" s="4">
        <v>509.34</v>
      </c>
      <c r="M4663" s="1" t="str">
        <f>TEXT(Table1[[#This Row],[Order_Date]], "MMM")</f>
        <v>Jan</v>
      </c>
      <c r="N4663" s="1">
        <f>YEAR(Table1[[#This Row],[Order_Date]])</f>
        <v>2024</v>
      </c>
      <c r="O4663" s="7">
        <f>Table1[[#This Row],[Profit]]/Table1[[#This Row],[Total_Sales]]</f>
        <v>0.25739842328684048</v>
      </c>
    </row>
    <row r="4664" spans="1:15" x14ac:dyDescent="0.25">
      <c r="A4664" s="1">
        <v>4663</v>
      </c>
      <c r="B4664" s="2">
        <v>45632</v>
      </c>
      <c r="C4664" s="1" t="s">
        <v>25</v>
      </c>
      <c r="D4664" s="1" t="s">
        <v>20</v>
      </c>
      <c r="E4664" s="1" t="s">
        <v>28</v>
      </c>
      <c r="F4664" s="1" t="s">
        <v>35</v>
      </c>
      <c r="G4664" s="1">
        <v>3</v>
      </c>
      <c r="H4664" s="1">
        <v>388</v>
      </c>
      <c r="I4664" s="1">
        <v>15</v>
      </c>
      <c r="J4664" s="4">
        <v>989.4</v>
      </c>
      <c r="K4664" s="4">
        <v>670.12</v>
      </c>
      <c r="L4664" s="4">
        <v>319.27999999999997</v>
      </c>
      <c r="M4664" s="1" t="str">
        <f>TEXT(Table1[[#This Row],[Order_Date]], "MMM")</f>
        <v>Dec</v>
      </c>
      <c r="N4664" s="1">
        <f>YEAR(Table1[[#This Row],[Order_Date]])</f>
        <v>2024</v>
      </c>
      <c r="O4664" s="7">
        <f>Table1[[#This Row],[Profit]]/Table1[[#This Row],[Total_Sales]]</f>
        <v>0.3227006266424095</v>
      </c>
    </row>
    <row r="4665" spans="1:15" x14ac:dyDescent="0.25">
      <c r="A4665" s="1">
        <v>4664</v>
      </c>
      <c r="B4665" s="2">
        <v>45345</v>
      </c>
      <c r="C4665" s="1" t="s">
        <v>19</v>
      </c>
      <c r="D4665" s="1" t="s">
        <v>20</v>
      </c>
      <c r="E4665" s="1" t="s">
        <v>43</v>
      </c>
      <c r="F4665" s="1" t="s">
        <v>40</v>
      </c>
      <c r="G4665" s="1">
        <v>7</v>
      </c>
      <c r="H4665" s="1">
        <v>452</v>
      </c>
      <c r="I4665" s="1">
        <v>10</v>
      </c>
      <c r="J4665" s="4">
        <v>2847.6</v>
      </c>
      <c r="K4665" s="4">
        <v>1448.1</v>
      </c>
      <c r="L4665" s="4">
        <v>1399.5</v>
      </c>
      <c r="M4665" s="1" t="str">
        <f>TEXT(Table1[[#This Row],[Order_Date]], "MMM")</f>
        <v>Feb</v>
      </c>
      <c r="N4665" s="1">
        <f>YEAR(Table1[[#This Row],[Order_Date]])</f>
        <v>2024</v>
      </c>
      <c r="O4665" s="7">
        <f>Table1[[#This Row],[Profit]]/Table1[[#This Row],[Total_Sales]]</f>
        <v>0.49146649810366627</v>
      </c>
    </row>
    <row r="4666" spans="1:15" x14ac:dyDescent="0.25">
      <c r="A4666" s="1">
        <v>4665</v>
      </c>
      <c r="B4666" s="2">
        <v>45120</v>
      </c>
      <c r="C4666" s="1" t="s">
        <v>19</v>
      </c>
      <c r="D4666" s="1" t="s">
        <v>26</v>
      </c>
      <c r="E4666" s="1" t="s">
        <v>42</v>
      </c>
      <c r="F4666" s="1" t="s">
        <v>31</v>
      </c>
      <c r="G4666" s="1">
        <v>6</v>
      </c>
      <c r="H4666" s="1">
        <v>223</v>
      </c>
      <c r="I4666" s="1">
        <v>0</v>
      </c>
      <c r="J4666" s="4">
        <v>1338</v>
      </c>
      <c r="K4666" s="4">
        <v>944.3</v>
      </c>
      <c r="L4666" s="4">
        <v>393.7</v>
      </c>
      <c r="M4666" s="1" t="str">
        <f>TEXT(Table1[[#This Row],[Order_Date]], "MMM")</f>
        <v>Jul</v>
      </c>
      <c r="N4666" s="1">
        <f>YEAR(Table1[[#This Row],[Order_Date]])</f>
        <v>2023</v>
      </c>
      <c r="O4666" s="7">
        <f>Table1[[#This Row],[Profit]]/Table1[[#This Row],[Total_Sales]]</f>
        <v>0.29424514200298951</v>
      </c>
    </row>
    <row r="4667" spans="1:15" x14ac:dyDescent="0.25">
      <c r="A4667" s="1">
        <v>4666</v>
      </c>
      <c r="B4667" s="2">
        <v>45163</v>
      </c>
      <c r="C4667" s="1" t="s">
        <v>12</v>
      </c>
      <c r="D4667" s="1" t="s">
        <v>13</v>
      </c>
      <c r="E4667" s="1" t="s">
        <v>17</v>
      </c>
      <c r="F4667" s="1" t="s">
        <v>15</v>
      </c>
      <c r="G4667" s="1">
        <v>7</v>
      </c>
      <c r="H4667" s="1">
        <v>163</v>
      </c>
      <c r="I4667" s="1">
        <v>10</v>
      </c>
      <c r="J4667" s="4">
        <v>1026.9000000000001</v>
      </c>
      <c r="K4667" s="4">
        <v>729.13</v>
      </c>
      <c r="L4667" s="4">
        <v>297.77</v>
      </c>
      <c r="M4667" s="1" t="str">
        <f>TEXT(Table1[[#This Row],[Order_Date]], "MMM")</f>
        <v>Aug</v>
      </c>
      <c r="N4667" s="1">
        <f>YEAR(Table1[[#This Row],[Order_Date]])</f>
        <v>2023</v>
      </c>
      <c r="O4667" s="7">
        <f>Table1[[#This Row],[Profit]]/Table1[[#This Row],[Total_Sales]]</f>
        <v>0.2899698120557016</v>
      </c>
    </row>
    <row r="4668" spans="1:15" x14ac:dyDescent="0.25">
      <c r="A4668" s="1">
        <v>4667</v>
      </c>
      <c r="B4668" s="2">
        <v>45314</v>
      </c>
      <c r="C4668" s="1" t="s">
        <v>19</v>
      </c>
      <c r="D4668" s="1" t="s">
        <v>22</v>
      </c>
      <c r="E4668" s="1" t="s">
        <v>36</v>
      </c>
      <c r="F4668" s="1" t="s">
        <v>15</v>
      </c>
      <c r="G4668" s="1">
        <v>10</v>
      </c>
      <c r="H4668" s="1">
        <v>292</v>
      </c>
      <c r="I4668" s="1">
        <v>15</v>
      </c>
      <c r="J4668" s="4">
        <v>2482</v>
      </c>
      <c r="K4668" s="4">
        <v>1383.1</v>
      </c>
      <c r="L4668" s="4">
        <v>1098.9000000000001</v>
      </c>
      <c r="M4668" s="1" t="str">
        <f>TEXT(Table1[[#This Row],[Order_Date]], "MMM")</f>
        <v>Jan</v>
      </c>
      <c r="N4668" s="1">
        <f>YEAR(Table1[[#This Row],[Order_Date]])</f>
        <v>2024</v>
      </c>
      <c r="O4668" s="7">
        <f>Table1[[#This Row],[Profit]]/Table1[[#This Row],[Total_Sales]]</f>
        <v>0.44274778404512494</v>
      </c>
    </row>
    <row r="4669" spans="1:15" x14ac:dyDescent="0.25">
      <c r="A4669" s="1">
        <v>4668</v>
      </c>
      <c r="B4669" s="2">
        <v>45312</v>
      </c>
      <c r="C4669" s="1" t="s">
        <v>25</v>
      </c>
      <c r="D4669" s="1" t="s">
        <v>26</v>
      </c>
      <c r="E4669" s="1" t="s">
        <v>46</v>
      </c>
      <c r="F4669" s="1" t="s">
        <v>40</v>
      </c>
      <c r="G4669" s="1">
        <v>2</v>
      </c>
      <c r="H4669" s="1">
        <v>834</v>
      </c>
      <c r="I4669" s="1">
        <v>10</v>
      </c>
      <c r="J4669" s="4">
        <v>1501.2</v>
      </c>
      <c r="K4669" s="4">
        <v>1137.75</v>
      </c>
      <c r="L4669" s="4">
        <v>363.45</v>
      </c>
      <c r="M4669" s="1" t="str">
        <f>TEXT(Table1[[#This Row],[Order_Date]], "MMM")</f>
        <v>Jan</v>
      </c>
      <c r="N4669" s="1">
        <f>YEAR(Table1[[#This Row],[Order_Date]])</f>
        <v>2024</v>
      </c>
      <c r="O4669" s="7">
        <f>Table1[[#This Row],[Profit]]/Table1[[#This Row],[Total_Sales]]</f>
        <v>0.24210631494804155</v>
      </c>
    </row>
    <row r="4670" spans="1:15" x14ac:dyDescent="0.25">
      <c r="A4670" s="1">
        <v>4669</v>
      </c>
      <c r="B4670" s="2">
        <v>45191</v>
      </c>
      <c r="C4670" s="1" t="s">
        <v>16</v>
      </c>
      <c r="D4670" s="1" t="s">
        <v>32</v>
      </c>
      <c r="E4670" s="1" t="s">
        <v>33</v>
      </c>
      <c r="F4670" s="1" t="s">
        <v>35</v>
      </c>
      <c r="G4670" s="1">
        <v>4</v>
      </c>
      <c r="H4670" s="1">
        <v>553</v>
      </c>
      <c r="I4670" s="1">
        <v>5</v>
      </c>
      <c r="J4670" s="4">
        <v>2101.4</v>
      </c>
      <c r="K4670" s="4">
        <v>1598.35</v>
      </c>
      <c r="L4670" s="4">
        <v>503.05</v>
      </c>
      <c r="M4670" s="1" t="str">
        <f>TEXT(Table1[[#This Row],[Order_Date]], "MMM")</f>
        <v>Sep</v>
      </c>
      <c r="N4670" s="1">
        <f>YEAR(Table1[[#This Row],[Order_Date]])</f>
        <v>2023</v>
      </c>
      <c r="O4670" s="7">
        <f>Table1[[#This Row],[Profit]]/Table1[[#This Row],[Total_Sales]]</f>
        <v>0.2393880270295993</v>
      </c>
    </row>
    <row r="4671" spans="1:15" x14ac:dyDescent="0.25">
      <c r="A4671" s="1">
        <v>4670</v>
      </c>
      <c r="B4671" s="2">
        <v>45450</v>
      </c>
      <c r="C4671" s="1" t="s">
        <v>12</v>
      </c>
      <c r="D4671" s="1" t="s">
        <v>32</v>
      </c>
      <c r="E4671" s="1" t="s">
        <v>34</v>
      </c>
      <c r="F4671" s="1" t="s">
        <v>40</v>
      </c>
      <c r="G4671" s="1">
        <v>5</v>
      </c>
      <c r="H4671" s="1">
        <v>642</v>
      </c>
      <c r="I4671" s="1">
        <v>20</v>
      </c>
      <c r="J4671" s="4">
        <v>2568</v>
      </c>
      <c r="K4671" s="4">
        <v>1885.22</v>
      </c>
      <c r="L4671" s="4">
        <v>682.78</v>
      </c>
      <c r="M4671" s="1" t="str">
        <f>TEXT(Table1[[#This Row],[Order_Date]], "MMM")</f>
        <v>Jun</v>
      </c>
      <c r="N4671" s="1">
        <f>YEAR(Table1[[#This Row],[Order_Date]])</f>
        <v>2024</v>
      </c>
      <c r="O4671" s="7">
        <f>Table1[[#This Row],[Profit]]/Table1[[#This Row],[Total_Sales]]</f>
        <v>0.26588006230529593</v>
      </c>
    </row>
    <row r="4672" spans="1:15" x14ac:dyDescent="0.25">
      <c r="A4672" s="1">
        <v>4671</v>
      </c>
      <c r="B4672" s="2">
        <v>45405</v>
      </c>
      <c r="C4672" s="1" t="s">
        <v>19</v>
      </c>
      <c r="D4672" s="1" t="s">
        <v>26</v>
      </c>
      <c r="E4672" s="1" t="s">
        <v>37</v>
      </c>
      <c r="F4672" s="1" t="s">
        <v>40</v>
      </c>
      <c r="G4672" s="1">
        <v>8</v>
      </c>
      <c r="H4672" s="1">
        <v>140</v>
      </c>
      <c r="I4672" s="1">
        <v>0</v>
      </c>
      <c r="J4672" s="4">
        <v>1120</v>
      </c>
      <c r="K4672" s="4">
        <v>592.9</v>
      </c>
      <c r="L4672" s="4">
        <v>527.1</v>
      </c>
      <c r="M4672" s="1" t="str">
        <f>TEXT(Table1[[#This Row],[Order_Date]], "MMM")</f>
        <v>Apr</v>
      </c>
      <c r="N4672" s="1">
        <f>YEAR(Table1[[#This Row],[Order_Date]])</f>
        <v>2024</v>
      </c>
      <c r="O4672" s="7">
        <f>Table1[[#This Row],[Profit]]/Table1[[#This Row],[Total_Sales]]</f>
        <v>0.47062500000000002</v>
      </c>
    </row>
    <row r="4673" spans="1:15" x14ac:dyDescent="0.25">
      <c r="A4673" s="1">
        <v>4672</v>
      </c>
      <c r="B4673" s="2">
        <v>45594</v>
      </c>
      <c r="C4673" s="1" t="s">
        <v>25</v>
      </c>
      <c r="D4673" s="1" t="s">
        <v>22</v>
      </c>
      <c r="E4673" s="1" t="s">
        <v>23</v>
      </c>
      <c r="F4673" s="1" t="s">
        <v>18</v>
      </c>
      <c r="G4673" s="1">
        <v>5</v>
      </c>
      <c r="H4673" s="1">
        <v>941</v>
      </c>
      <c r="I4673" s="1">
        <v>20</v>
      </c>
      <c r="J4673" s="4">
        <v>3764</v>
      </c>
      <c r="K4673" s="4">
        <v>2373.4499999999998</v>
      </c>
      <c r="L4673" s="4">
        <v>1390.55</v>
      </c>
      <c r="M4673" s="1" t="str">
        <f>TEXT(Table1[[#This Row],[Order_Date]], "MMM")</f>
        <v>Oct</v>
      </c>
      <c r="N4673" s="1">
        <f>YEAR(Table1[[#This Row],[Order_Date]])</f>
        <v>2024</v>
      </c>
      <c r="O4673" s="7">
        <f>Table1[[#This Row],[Profit]]/Table1[[#This Row],[Total_Sales]]</f>
        <v>0.36943411264612114</v>
      </c>
    </row>
    <row r="4674" spans="1:15" x14ac:dyDescent="0.25">
      <c r="A4674" s="1">
        <v>4673</v>
      </c>
      <c r="B4674" s="2">
        <v>45535</v>
      </c>
      <c r="C4674" s="1" t="s">
        <v>12</v>
      </c>
      <c r="D4674" s="1" t="s">
        <v>32</v>
      </c>
      <c r="E4674" s="1" t="s">
        <v>34</v>
      </c>
      <c r="F4674" s="1" t="s">
        <v>40</v>
      </c>
      <c r="G4674" s="1">
        <v>5</v>
      </c>
      <c r="H4674" s="1">
        <v>125</v>
      </c>
      <c r="I4674" s="1">
        <v>5</v>
      </c>
      <c r="J4674" s="4">
        <v>593.75</v>
      </c>
      <c r="K4674" s="4">
        <v>467.84</v>
      </c>
      <c r="L4674" s="4">
        <v>125.91</v>
      </c>
      <c r="M4674" s="1" t="str">
        <f>TEXT(Table1[[#This Row],[Order_Date]], "MMM")</f>
        <v>Aug</v>
      </c>
      <c r="N4674" s="1">
        <f>YEAR(Table1[[#This Row],[Order_Date]])</f>
        <v>2024</v>
      </c>
      <c r="O4674" s="7">
        <f>Table1[[#This Row],[Profit]]/Table1[[#This Row],[Total_Sales]]</f>
        <v>0.21205894736842104</v>
      </c>
    </row>
    <row r="4675" spans="1:15" x14ac:dyDescent="0.25">
      <c r="A4675" s="1">
        <v>4674</v>
      </c>
      <c r="B4675" s="2">
        <v>45408</v>
      </c>
      <c r="C4675" s="1" t="s">
        <v>16</v>
      </c>
      <c r="D4675" s="1" t="s">
        <v>22</v>
      </c>
      <c r="E4675" s="1" t="s">
        <v>23</v>
      </c>
      <c r="F4675" s="1" t="s">
        <v>35</v>
      </c>
      <c r="G4675" s="1">
        <v>5</v>
      </c>
      <c r="H4675" s="1">
        <v>387</v>
      </c>
      <c r="I4675" s="1">
        <v>0</v>
      </c>
      <c r="J4675" s="4">
        <v>1935</v>
      </c>
      <c r="K4675" s="4">
        <v>1469.1</v>
      </c>
      <c r="L4675" s="4">
        <v>465.9</v>
      </c>
      <c r="M4675" s="1" t="str">
        <f>TEXT(Table1[[#This Row],[Order_Date]], "MMM")</f>
        <v>Apr</v>
      </c>
      <c r="N4675" s="1">
        <f>YEAR(Table1[[#This Row],[Order_Date]])</f>
        <v>2024</v>
      </c>
      <c r="O4675" s="7">
        <f>Table1[[#This Row],[Profit]]/Table1[[#This Row],[Total_Sales]]</f>
        <v>0.24077519379844961</v>
      </c>
    </row>
    <row r="4676" spans="1:15" x14ac:dyDescent="0.25">
      <c r="A4676" s="1">
        <v>4675</v>
      </c>
      <c r="B4676" s="2">
        <v>45345</v>
      </c>
      <c r="C4676" s="1" t="s">
        <v>25</v>
      </c>
      <c r="D4676" s="1" t="s">
        <v>20</v>
      </c>
      <c r="E4676" s="1" t="s">
        <v>21</v>
      </c>
      <c r="F4676" s="1" t="s">
        <v>31</v>
      </c>
      <c r="G4676" s="1">
        <v>8</v>
      </c>
      <c r="H4676" s="1">
        <v>161</v>
      </c>
      <c r="I4676" s="1">
        <v>0</v>
      </c>
      <c r="J4676" s="4">
        <v>1288</v>
      </c>
      <c r="K4676" s="4">
        <v>784.01</v>
      </c>
      <c r="L4676" s="4">
        <v>503.99</v>
      </c>
      <c r="M4676" s="1" t="str">
        <f>TEXT(Table1[[#This Row],[Order_Date]], "MMM")</f>
        <v>Feb</v>
      </c>
      <c r="N4676" s="1">
        <f>YEAR(Table1[[#This Row],[Order_Date]])</f>
        <v>2024</v>
      </c>
      <c r="O4676" s="7">
        <f>Table1[[#This Row],[Profit]]/Table1[[#This Row],[Total_Sales]]</f>
        <v>0.39129658385093169</v>
      </c>
    </row>
    <row r="4677" spans="1:15" x14ac:dyDescent="0.25">
      <c r="A4677" s="1">
        <v>4676</v>
      </c>
      <c r="B4677" s="2">
        <v>45544</v>
      </c>
      <c r="C4677" s="1" t="s">
        <v>12</v>
      </c>
      <c r="D4677" s="1" t="s">
        <v>20</v>
      </c>
      <c r="E4677" s="1" t="s">
        <v>28</v>
      </c>
      <c r="F4677" s="1" t="s">
        <v>24</v>
      </c>
      <c r="G4677" s="1">
        <v>10</v>
      </c>
      <c r="H4677" s="1">
        <v>842</v>
      </c>
      <c r="I4677" s="1">
        <v>15</v>
      </c>
      <c r="J4677" s="4">
        <v>7157</v>
      </c>
      <c r="K4677" s="4">
        <v>3687.16</v>
      </c>
      <c r="L4677" s="4">
        <v>3469.84</v>
      </c>
      <c r="M4677" s="1" t="str">
        <f>TEXT(Table1[[#This Row],[Order_Date]], "MMM")</f>
        <v>Sep</v>
      </c>
      <c r="N4677" s="1">
        <f>YEAR(Table1[[#This Row],[Order_Date]])</f>
        <v>2024</v>
      </c>
      <c r="O4677" s="7">
        <f>Table1[[#This Row],[Profit]]/Table1[[#This Row],[Total_Sales]]</f>
        <v>0.48481766103115831</v>
      </c>
    </row>
    <row r="4678" spans="1:15" x14ac:dyDescent="0.25">
      <c r="A4678" s="1">
        <v>4677</v>
      </c>
      <c r="B4678" s="2">
        <v>45139</v>
      </c>
      <c r="C4678" s="1" t="s">
        <v>25</v>
      </c>
      <c r="D4678" s="1" t="s">
        <v>32</v>
      </c>
      <c r="E4678" s="1" t="s">
        <v>33</v>
      </c>
      <c r="F4678" s="1" t="s">
        <v>35</v>
      </c>
      <c r="G4678" s="1">
        <v>3</v>
      </c>
      <c r="H4678" s="1">
        <v>945</v>
      </c>
      <c r="I4678" s="1">
        <v>15</v>
      </c>
      <c r="J4678" s="4">
        <v>2409.75</v>
      </c>
      <c r="K4678" s="4">
        <v>1434.49</v>
      </c>
      <c r="L4678" s="4">
        <v>975.26</v>
      </c>
      <c r="M4678" s="1" t="str">
        <f>TEXT(Table1[[#This Row],[Order_Date]], "MMM")</f>
        <v>Aug</v>
      </c>
      <c r="N4678" s="1">
        <f>YEAR(Table1[[#This Row],[Order_Date]])</f>
        <v>2023</v>
      </c>
      <c r="O4678" s="7">
        <f>Table1[[#This Row],[Profit]]/Table1[[#This Row],[Total_Sales]]</f>
        <v>0.40471418196908393</v>
      </c>
    </row>
    <row r="4679" spans="1:15" x14ac:dyDescent="0.25">
      <c r="A4679" s="1">
        <v>4678</v>
      </c>
      <c r="B4679" s="2">
        <v>45184</v>
      </c>
      <c r="C4679" s="1" t="s">
        <v>12</v>
      </c>
      <c r="D4679" s="1" t="s">
        <v>32</v>
      </c>
      <c r="E4679" s="1" t="s">
        <v>33</v>
      </c>
      <c r="F4679" s="1" t="s">
        <v>24</v>
      </c>
      <c r="G4679" s="1">
        <v>3</v>
      </c>
      <c r="H4679" s="1">
        <v>981</v>
      </c>
      <c r="I4679" s="1">
        <v>0</v>
      </c>
      <c r="J4679" s="4">
        <v>2943</v>
      </c>
      <c r="K4679" s="4">
        <v>1524.85</v>
      </c>
      <c r="L4679" s="4">
        <v>1418.15</v>
      </c>
      <c r="M4679" s="1" t="str">
        <f>TEXT(Table1[[#This Row],[Order_Date]], "MMM")</f>
        <v>Sep</v>
      </c>
      <c r="N4679" s="1">
        <f>YEAR(Table1[[#This Row],[Order_Date]])</f>
        <v>2023</v>
      </c>
      <c r="O4679" s="7">
        <f>Table1[[#This Row],[Profit]]/Table1[[#This Row],[Total_Sales]]</f>
        <v>0.48187223921168876</v>
      </c>
    </row>
    <row r="4680" spans="1:15" x14ac:dyDescent="0.25">
      <c r="A4680" s="1">
        <v>4679</v>
      </c>
      <c r="B4680" s="2">
        <v>44943</v>
      </c>
      <c r="C4680" s="1" t="s">
        <v>25</v>
      </c>
      <c r="D4680" s="1" t="s">
        <v>22</v>
      </c>
      <c r="E4680" s="1" t="s">
        <v>44</v>
      </c>
      <c r="F4680" s="1" t="s">
        <v>18</v>
      </c>
      <c r="G4680" s="1">
        <v>4</v>
      </c>
      <c r="H4680" s="1">
        <v>502</v>
      </c>
      <c r="I4680" s="1">
        <v>0</v>
      </c>
      <c r="J4680" s="4">
        <v>2008</v>
      </c>
      <c r="K4680" s="4">
        <v>1385.09</v>
      </c>
      <c r="L4680" s="4">
        <v>622.91</v>
      </c>
      <c r="M4680" s="1" t="str">
        <f>TEXT(Table1[[#This Row],[Order_Date]], "MMM")</f>
        <v>Jan</v>
      </c>
      <c r="N4680" s="1">
        <f>YEAR(Table1[[#This Row],[Order_Date]])</f>
        <v>2023</v>
      </c>
      <c r="O4680" s="7">
        <f>Table1[[#This Row],[Profit]]/Table1[[#This Row],[Total_Sales]]</f>
        <v>0.31021414342629483</v>
      </c>
    </row>
    <row r="4681" spans="1:15" x14ac:dyDescent="0.25">
      <c r="A4681" s="1">
        <v>4680</v>
      </c>
      <c r="B4681" s="2">
        <v>45547</v>
      </c>
      <c r="C4681" s="1" t="s">
        <v>19</v>
      </c>
      <c r="D4681" s="1" t="s">
        <v>32</v>
      </c>
      <c r="E4681" s="1" t="s">
        <v>33</v>
      </c>
      <c r="F4681" s="1" t="s">
        <v>18</v>
      </c>
      <c r="G4681" s="1">
        <v>5</v>
      </c>
      <c r="H4681" s="1">
        <v>901</v>
      </c>
      <c r="I4681" s="1">
        <v>10</v>
      </c>
      <c r="J4681" s="4">
        <v>4054.5</v>
      </c>
      <c r="K4681" s="4">
        <v>2367.61</v>
      </c>
      <c r="L4681" s="4">
        <v>1686.89</v>
      </c>
      <c r="M4681" s="1" t="str">
        <f>TEXT(Table1[[#This Row],[Order_Date]], "MMM")</f>
        <v>Sep</v>
      </c>
      <c r="N4681" s="1">
        <f>YEAR(Table1[[#This Row],[Order_Date]])</f>
        <v>2024</v>
      </c>
      <c r="O4681" s="7">
        <f>Table1[[#This Row],[Profit]]/Table1[[#This Row],[Total_Sales]]</f>
        <v>0.41605376741891725</v>
      </c>
    </row>
    <row r="4682" spans="1:15" x14ac:dyDescent="0.25">
      <c r="A4682" s="1">
        <v>4681</v>
      </c>
      <c r="B4682" s="2">
        <v>45019</v>
      </c>
      <c r="C4682" s="1" t="s">
        <v>25</v>
      </c>
      <c r="D4682" s="1" t="s">
        <v>22</v>
      </c>
      <c r="E4682" s="1" t="s">
        <v>44</v>
      </c>
      <c r="F4682" s="1" t="s">
        <v>18</v>
      </c>
      <c r="G4682" s="1">
        <v>10</v>
      </c>
      <c r="H4682" s="1">
        <v>27</v>
      </c>
      <c r="I4682" s="1">
        <v>20</v>
      </c>
      <c r="J4682" s="4">
        <v>216</v>
      </c>
      <c r="K4682" s="4">
        <v>164.82</v>
      </c>
      <c r="L4682" s="4">
        <v>51.18</v>
      </c>
      <c r="M4682" s="1" t="str">
        <f>TEXT(Table1[[#This Row],[Order_Date]], "MMM")</f>
        <v>Apr</v>
      </c>
      <c r="N4682" s="1">
        <f>YEAR(Table1[[#This Row],[Order_Date]])</f>
        <v>2023</v>
      </c>
      <c r="O4682" s="7">
        <f>Table1[[#This Row],[Profit]]/Table1[[#This Row],[Total_Sales]]</f>
        <v>0.23694444444444443</v>
      </c>
    </row>
    <row r="4683" spans="1:15" x14ac:dyDescent="0.25">
      <c r="A4683" s="1">
        <v>4682</v>
      </c>
      <c r="B4683" s="2">
        <v>45152</v>
      </c>
      <c r="C4683" s="1" t="s">
        <v>12</v>
      </c>
      <c r="D4683" s="1" t="s">
        <v>32</v>
      </c>
      <c r="E4683" s="1" t="s">
        <v>33</v>
      </c>
      <c r="F4683" s="1" t="s">
        <v>15</v>
      </c>
      <c r="G4683" s="1">
        <v>2</v>
      </c>
      <c r="H4683" s="1">
        <v>228</v>
      </c>
      <c r="I4683" s="1">
        <v>15</v>
      </c>
      <c r="J4683" s="4">
        <v>387.6</v>
      </c>
      <c r="K4683" s="4">
        <v>280.11</v>
      </c>
      <c r="L4683" s="4">
        <v>107.49</v>
      </c>
      <c r="M4683" s="1" t="str">
        <f>TEXT(Table1[[#This Row],[Order_Date]], "MMM")</f>
        <v>Aug</v>
      </c>
      <c r="N4683" s="1">
        <f>YEAR(Table1[[#This Row],[Order_Date]])</f>
        <v>2023</v>
      </c>
      <c r="O4683" s="7">
        <f>Table1[[#This Row],[Profit]]/Table1[[#This Row],[Total_Sales]]</f>
        <v>0.2773219814241486</v>
      </c>
    </row>
    <row r="4684" spans="1:15" x14ac:dyDescent="0.25">
      <c r="A4684" s="1">
        <v>4683</v>
      </c>
      <c r="B4684" s="2">
        <v>45276</v>
      </c>
      <c r="C4684" s="1" t="s">
        <v>12</v>
      </c>
      <c r="D4684" s="1" t="s">
        <v>22</v>
      </c>
      <c r="E4684" s="1" t="s">
        <v>36</v>
      </c>
      <c r="F4684" s="1" t="s">
        <v>35</v>
      </c>
      <c r="G4684" s="1">
        <v>9</v>
      </c>
      <c r="H4684" s="1">
        <v>52</v>
      </c>
      <c r="I4684" s="1">
        <v>20</v>
      </c>
      <c r="J4684" s="4">
        <v>374.4</v>
      </c>
      <c r="K4684" s="4">
        <v>278.81</v>
      </c>
      <c r="L4684" s="4">
        <v>95.59</v>
      </c>
      <c r="M4684" s="1" t="str">
        <f>TEXT(Table1[[#This Row],[Order_Date]], "MMM")</f>
        <v>Dec</v>
      </c>
      <c r="N4684" s="1">
        <f>YEAR(Table1[[#This Row],[Order_Date]])</f>
        <v>2023</v>
      </c>
      <c r="O4684" s="7">
        <f>Table1[[#This Row],[Profit]]/Table1[[#This Row],[Total_Sales]]</f>
        <v>0.25531517094017098</v>
      </c>
    </row>
    <row r="4685" spans="1:15" x14ac:dyDescent="0.25">
      <c r="A4685" s="1">
        <v>4684</v>
      </c>
      <c r="B4685" s="2">
        <v>45483</v>
      </c>
      <c r="C4685" s="1" t="s">
        <v>16</v>
      </c>
      <c r="D4685" s="1" t="s">
        <v>20</v>
      </c>
      <c r="E4685" s="1" t="s">
        <v>21</v>
      </c>
      <c r="F4685" s="1" t="s">
        <v>31</v>
      </c>
      <c r="G4685" s="1">
        <v>2</v>
      </c>
      <c r="H4685" s="1">
        <v>310</v>
      </c>
      <c r="I4685" s="1">
        <v>5</v>
      </c>
      <c r="J4685" s="4">
        <v>589</v>
      </c>
      <c r="K4685" s="4">
        <v>397.78</v>
      </c>
      <c r="L4685" s="4">
        <v>191.22</v>
      </c>
      <c r="M4685" s="1" t="str">
        <f>TEXT(Table1[[#This Row],[Order_Date]], "MMM")</f>
        <v>Jul</v>
      </c>
      <c r="N4685" s="1">
        <f>YEAR(Table1[[#This Row],[Order_Date]])</f>
        <v>2024</v>
      </c>
      <c r="O4685" s="7">
        <f>Table1[[#This Row],[Profit]]/Table1[[#This Row],[Total_Sales]]</f>
        <v>0.32465195246179968</v>
      </c>
    </row>
    <row r="4686" spans="1:15" x14ac:dyDescent="0.25">
      <c r="A4686" s="1">
        <v>4685</v>
      </c>
      <c r="B4686" s="2">
        <v>45404</v>
      </c>
      <c r="C4686" s="1" t="s">
        <v>12</v>
      </c>
      <c r="D4686" s="1" t="s">
        <v>13</v>
      </c>
      <c r="E4686" s="1" t="s">
        <v>17</v>
      </c>
      <c r="F4686" s="1" t="s">
        <v>31</v>
      </c>
      <c r="G4686" s="1">
        <v>5</v>
      </c>
      <c r="H4686" s="1">
        <v>796</v>
      </c>
      <c r="I4686" s="1">
        <v>0</v>
      </c>
      <c r="J4686" s="4">
        <v>3980</v>
      </c>
      <c r="K4686" s="4">
        <v>2100.9699999999998</v>
      </c>
      <c r="L4686" s="4">
        <v>1879.03</v>
      </c>
      <c r="M4686" s="1" t="str">
        <f>TEXT(Table1[[#This Row],[Order_Date]], "MMM")</f>
        <v>Apr</v>
      </c>
      <c r="N4686" s="1">
        <f>YEAR(Table1[[#This Row],[Order_Date]])</f>
        <v>2024</v>
      </c>
      <c r="O4686" s="7">
        <f>Table1[[#This Row],[Profit]]/Table1[[#This Row],[Total_Sales]]</f>
        <v>0.47211809045226127</v>
      </c>
    </row>
    <row r="4687" spans="1:15" x14ac:dyDescent="0.25">
      <c r="A4687" s="1">
        <v>4686</v>
      </c>
      <c r="B4687" s="2">
        <v>45089</v>
      </c>
      <c r="C4687" s="1" t="s">
        <v>12</v>
      </c>
      <c r="D4687" s="1" t="s">
        <v>13</v>
      </c>
      <c r="E4687" s="1" t="s">
        <v>14</v>
      </c>
      <c r="F4687" s="1" t="s">
        <v>15</v>
      </c>
      <c r="G4687" s="1">
        <v>4</v>
      </c>
      <c r="H4687" s="1">
        <v>960</v>
      </c>
      <c r="I4687" s="1">
        <v>0</v>
      </c>
      <c r="J4687" s="4">
        <v>3840</v>
      </c>
      <c r="K4687" s="4">
        <v>3001.34</v>
      </c>
      <c r="L4687" s="4">
        <v>838.66</v>
      </c>
      <c r="M4687" s="1" t="str">
        <f>TEXT(Table1[[#This Row],[Order_Date]], "MMM")</f>
        <v>Jun</v>
      </c>
      <c r="N4687" s="1">
        <f>YEAR(Table1[[#This Row],[Order_Date]])</f>
        <v>2023</v>
      </c>
      <c r="O4687" s="7">
        <f>Table1[[#This Row],[Profit]]/Table1[[#This Row],[Total_Sales]]</f>
        <v>0.21840104166666666</v>
      </c>
    </row>
    <row r="4688" spans="1:15" x14ac:dyDescent="0.25">
      <c r="A4688" s="1">
        <v>4687</v>
      </c>
      <c r="B4688" s="2">
        <v>45320</v>
      </c>
      <c r="C4688" s="1" t="s">
        <v>25</v>
      </c>
      <c r="D4688" s="1" t="s">
        <v>20</v>
      </c>
      <c r="E4688" s="1" t="s">
        <v>43</v>
      </c>
      <c r="F4688" s="1" t="s">
        <v>40</v>
      </c>
      <c r="G4688" s="1">
        <v>3</v>
      </c>
      <c r="H4688" s="1">
        <v>951</v>
      </c>
      <c r="I4688" s="1">
        <v>15</v>
      </c>
      <c r="J4688" s="4">
        <v>2425.0500000000002</v>
      </c>
      <c r="K4688" s="4">
        <v>1779.85</v>
      </c>
      <c r="L4688" s="4">
        <v>645.20000000000005</v>
      </c>
      <c r="M4688" s="1" t="str">
        <f>TEXT(Table1[[#This Row],[Order_Date]], "MMM")</f>
        <v>Jan</v>
      </c>
      <c r="N4688" s="1">
        <f>YEAR(Table1[[#This Row],[Order_Date]])</f>
        <v>2024</v>
      </c>
      <c r="O4688" s="7">
        <f>Table1[[#This Row],[Profit]]/Table1[[#This Row],[Total_Sales]]</f>
        <v>0.26605636997175314</v>
      </c>
    </row>
    <row r="4689" spans="1:15" x14ac:dyDescent="0.25">
      <c r="A4689" s="1">
        <v>4688</v>
      </c>
      <c r="B4689" s="2">
        <v>45037</v>
      </c>
      <c r="C4689" s="1" t="s">
        <v>12</v>
      </c>
      <c r="D4689" s="1" t="s">
        <v>22</v>
      </c>
      <c r="E4689" s="1" t="s">
        <v>36</v>
      </c>
      <c r="F4689" s="1" t="s">
        <v>18</v>
      </c>
      <c r="G4689" s="1">
        <v>7</v>
      </c>
      <c r="H4689" s="1">
        <v>995</v>
      </c>
      <c r="I4689" s="1">
        <v>0</v>
      </c>
      <c r="J4689" s="4">
        <v>6965</v>
      </c>
      <c r="K4689" s="4">
        <v>4926.62</v>
      </c>
      <c r="L4689" s="4">
        <v>2038.38</v>
      </c>
      <c r="M4689" s="1" t="str">
        <f>TEXT(Table1[[#This Row],[Order_Date]], "MMM")</f>
        <v>Apr</v>
      </c>
      <c r="N4689" s="1">
        <f>YEAR(Table1[[#This Row],[Order_Date]])</f>
        <v>2023</v>
      </c>
      <c r="O4689" s="7">
        <f>Table1[[#This Row],[Profit]]/Table1[[#This Row],[Total_Sales]]</f>
        <v>0.29266044508255568</v>
      </c>
    </row>
    <row r="4690" spans="1:15" x14ac:dyDescent="0.25">
      <c r="A4690" s="1">
        <v>4689</v>
      </c>
      <c r="B4690" s="2">
        <v>45597</v>
      </c>
      <c r="C4690" s="1" t="s">
        <v>19</v>
      </c>
      <c r="D4690" s="1" t="s">
        <v>13</v>
      </c>
      <c r="E4690" s="1" t="s">
        <v>39</v>
      </c>
      <c r="F4690" s="1" t="s">
        <v>40</v>
      </c>
      <c r="G4690" s="1">
        <v>4</v>
      </c>
      <c r="H4690" s="1">
        <v>690</v>
      </c>
      <c r="I4690" s="1">
        <v>15</v>
      </c>
      <c r="J4690" s="4">
        <v>2346</v>
      </c>
      <c r="K4690" s="4">
        <v>1441.58</v>
      </c>
      <c r="L4690" s="4">
        <v>904.42</v>
      </c>
      <c r="M4690" s="1" t="str">
        <f>TEXT(Table1[[#This Row],[Order_Date]], "MMM")</f>
        <v>Nov</v>
      </c>
      <c r="N4690" s="1">
        <f>YEAR(Table1[[#This Row],[Order_Date]])</f>
        <v>2024</v>
      </c>
      <c r="O4690" s="7">
        <f>Table1[[#This Row],[Profit]]/Table1[[#This Row],[Total_Sales]]</f>
        <v>0.38551577152600169</v>
      </c>
    </row>
    <row r="4691" spans="1:15" x14ac:dyDescent="0.25">
      <c r="A4691" s="1">
        <v>4690</v>
      </c>
      <c r="B4691" s="2">
        <v>44943</v>
      </c>
      <c r="C4691" s="1" t="s">
        <v>25</v>
      </c>
      <c r="D4691" s="1" t="s">
        <v>32</v>
      </c>
      <c r="E4691" s="1" t="s">
        <v>33</v>
      </c>
      <c r="F4691" s="1" t="s">
        <v>15</v>
      </c>
      <c r="G4691" s="1">
        <v>4</v>
      </c>
      <c r="H4691" s="1">
        <v>254</v>
      </c>
      <c r="I4691" s="1">
        <v>15</v>
      </c>
      <c r="J4691" s="4">
        <v>863.6</v>
      </c>
      <c r="K4691" s="4">
        <v>467.84</v>
      </c>
      <c r="L4691" s="4">
        <v>395.76</v>
      </c>
      <c r="M4691" s="1" t="str">
        <f>TEXT(Table1[[#This Row],[Order_Date]], "MMM")</f>
        <v>Jan</v>
      </c>
      <c r="N4691" s="1">
        <f>YEAR(Table1[[#This Row],[Order_Date]])</f>
        <v>2023</v>
      </c>
      <c r="O4691" s="7">
        <f>Table1[[#This Row],[Profit]]/Table1[[#This Row],[Total_Sales]]</f>
        <v>0.45826771653543302</v>
      </c>
    </row>
    <row r="4692" spans="1:15" x14ac:dyDescent="0.25">
      <c r="A4692" s="1">
        <v>4691</v>
      </c>
      <c r="B4692" s="2">
        <v>45449</v>
      </c>
      <c r="C4692" s="1" t="s">
        <v>25</v>
      </c>
      <c r="D4692" s="1" t="s">
        <v>26</v>
      </c>
      <c r="E4692" s="1" t="s">
        <v>37</v>
      </c>
      <c r="F4692" s="1" t="s">
        <v>15</v>
      </c>
      <c r="G4692" s="1">
        <v>7</v>
      </c>
      <c r="H4692" s="1">
        <v>472</v>
      </c>
      <c r="I4692" s="1">
        <v>5</v>
      </c>
      <c r="J4692" s="4">
        <v>3138.8</v>
      </c>
      <c r="K4692" s="4">
        <v>2022.63</v>
      </c>
      <c r="L4692" s="4">
        <v>1116.17</v>
      </c>
      <c r="M4692" s="1" t="str">
        <f>TEXT(Table1[[#This Row],[Order_Date]], "MMM")</f>
        <v>Jun</v>
      </c>
      <c r="N4692" s="1">
        <f>YEAR(Table1[[#This Row],[Order_Date]])</f>
        <v>2024</v>
      </c>
      <c r="O4692" s="7">
        <f>Table1[[#This Row],[Profit]]/Table1[[#This Row],[Total_Sales]]</f>
        <v>0.35560405250414173</v>
      </c>
    </row>
    <row r="4693" spans="1:15" x14ac:dyDescent="0.25">
      <c r="A4693" s="1">
        <v>4692</v>
      </c>
      <c r="B4693" s="2">
        <v>45364</v>
      </c>
      <c r="C4693" s="1" t="s">
        <v>19</v>
      </c>
      <c r="D4693" s="1" t="s">
        <v>20</v>
      </c>
      <c r="E4693" s="1" t="s">
        <v>43</v>
      </c>
      <c r="F4693" s="1" t="s">
        <v>31</v>
      </c>
      <c r="G4693" s="1">
        <v>2</v>
      </c>
      <c r="H4693" s="1">
        <v>799</v>
      </c>
      <c r="I4693" s="1">
        <v>10</v>
      </c>
      <c r="J4693" s="4">
        <v>1438.2</v>
      </c>
      <c r="K4693" s="4">
        <v>1042.46</v>
      </c>
      <c r="L4693" s="4">
        <v>395.74</v>
      </c>
      <c r="M4693" s="1" t="str">
        <f>TEXT(Table1[[#This Row],[Order_Date]], "MMM")</f>
        <v>Mar</v>
      </c>
      <c r="N4693" s="1">
        <f>YEAR(Table1[[#This Row],[Order_Date]])</f>
        <v>2024</v>
      </c>
      <c r="O4693" s="7">
        <f>Table1[[#This Row],[Profit]]/Table1[[#This Row],[Total_Sales]]</f>
        <v>0.27516339869281048</v>
      </c>
    </row>
    <row r="4694" spans="1:15" x14ac:dyDescent="0.25">
      <c r="A4694" s="1">
        <v>4693</v>
      </c>
      <c r="B4694" s="2">
        <v>45490</v>
      </c>
      <c r="C4694" s="1" t="s">
        <v>25</v>
      </c>
      <c r="D4694" s="1" t="s">
        <v>20</v>
      </c>
      <c r="E4694" s="1" t="s">
        <v>30</v>
      </c>
      <c r="F4694" s="1" t="s">
        <v>18</v>
      </c>
      <c r="G4694" s="1">
        <v>2</v>
      </c>
      <c r="H4694" s="1">
        <v>124</v>
      </c>
      <c r="I4694" s="1">
        <v>15</v>
      </c>
      <c r="J4694" s="4">
        <v>210.8</v>
      </c>
      <c r="K4694" s="4">
        <v>139.66999999999999</v>
      </c>
      <c r="L4694" s="4">
        <v>71.13</v>
      </c>
      <c r="M4694" s="1" t="str">
        <f>TEXT(Table1[[#This Row],[Order_Date]], "MMM")</f>
        <v>Jul</v>
      </c>
      <c r="N4694" s="1">
        <f>YEAR(Table1[[#This Row],[Order_Date]])</f>
        <v>2024</v>
      </c>
      <c r="O4694" s="7">
        <f>Table1[[#This Row],[Profit]]/Table1[[#This Row],[Total_Sales]]</f>
        <v>0.33742884250474381</v>
      </c>
    </row>
    <row r="4695" spans="1:15" x14ac:dyDescent="0.25">
      <c r="A4695" s="1">
        <v>4694</v>
      </c>
      <c r="B4695" s="2">
        <v>44975</v>
      </c>
      <c r="C4695" s="1" t="s">
        <v>19</v>
      </c>
      <c r="D4695" s="1" t="s">
        <v>22</v>
      </c>
      <c r="E4695" s="1" t="s">
        <v>36</v>
      </c>
      <c r="F4695" s="1" t="s">
        <v>15</v>
      </c>
      <c r="G4695" s="1">
        <v>5</v>
      </c>
      <c r="H4695" s="1">
        <v>409</v>
      </c>
      <c r="I4695" s="1">
        <v>10</v>
      </c>
      <c r="J4695" s="4">
        <v>1840.5</v>
      </c>
      <c r="K4695" s="4">
        <v>1174.73</v>
      </c>
      <c r="L4695" s="4">
        <v>665.77</v>
      </c>
      <c r="M4695" s="1" t="str">
        <f>TEXT(Table1[[#This Row],[Order_Date]], "MMM")</f>
        <v>Feb</v>
      </c>
      <c r="N4695" s="1">
        <f>YEAR(Table1[[#This Row],[Order_Date]])</f>
        <v>2023</v>
      </c>
      <c r="O4695" s="7">
        <f>Table1[[#This Row],[Profit]]/Table1[[#This Row],[Total_Sales]]</f>
        <v>0.36173322466720997</v>
      </c>
    </row>
    <row r="4696" spans="1:15" x14ac:dyDescent="0.25">
      <c r="A4696" s="1">
        <v>4695</v>
      </c>
      <c r="B4696" s="2">
        <v>45475</v>
      </c>
      <c r="C4696" s="1" t="s">
        <v>12</v>
      </c>
      <c r="D4696" s="1" t="s">
        <v>20</v>
      </c>
      <c r="E4696" s="1" t="s">
        <v>43</v>
      </c>
      <c r="F4696" s="1" t="s">
        <v>18</v>
      </c>
      <c r="G4696" s="1">
        <v>10</v>
      </c>
      <c r="H4696" s="1">
        <v>77</v>
      </c>
      <c r="I4696" s="1">
        <v>5</v>
      </c>
      <c r="J4696" s="4">
        <v>731.5</v>
      </c>
      <c r="K4696" s="4">
        <v>426.43</v>
      </c>
      <c r="L4696" s="4">
        <v>305.07</v>
      </c>
      <c r="M4696" s="1" t="str">
        <f>TEXT(Table1[[#This Row],[Order_Date]], "MMM")</f>
        <v>Jul</v>
      </c>
      <c r="N4696" s="1">
        <f>YEAR(Table1[[#This Row],[Order_Date]])</f>
        <v>2024</v>
      </c>
      <c r="O4696" s="7">
        <f>Table1[[#This Row],[Profit]]/Table1[[#This Row],[Total_Sales]]</f>
        <v>0.41704716336295283</v>
      </c>
    </row>
    <row r="4697" spans="1:15" x14ac:dyDescent="0.25">
      <c r="A4697" s="1">
        <v>4696</v>
      </c>
      <c r="B4697" s="2">
        <v>45011</v>
      </c>
      <c r="C4697" s="1" t="s">
        <v>25</v>
      </c>
      <c r="D4697" s="1" t="s">
        <v>20</v>
      </c>
      <c r="E4697" s="1" t="s">
        <v>30</v>
      </c>
      <c r="F4697" s="1" t="s">
        <v>15</v>
      </c>
      <c r="G4697" s="1">
        <v>10</v>
      </c>
      <c r="H4697" s="1">
        <v>841</v>
      </c>
      <c r="I4697" s="1">
        <v>15</v>
      </c>
      <c r="J4697" s="4">
        <v>7148.5</v>
      </c>
      <c r="K4697" s="4">
        <v>3809.1</v>
      </c>
      <c r="L4697" s="4">
        <v>3339.4</v>
      </c>
      <c r="M4697" s="1" t="str">
        <f>TEXT(Table1[[#This Row],[Order_Date]], "MMM")</f>
        <v>Mar</v>
      </c>
      <c r="N4697" s="1">
        <f>YEAR(Table1[[#This Row],[Order_Date]])</f>
        <v>2023</v>
      </c>
      <c r="O4697" s="7">
        <f>Table1[[#This Row],[Profit]]/Table1[[#This Row],[Total_Sales]]</f>
        <v>0.46714695390641392</v>
      </c>
    </row>
    <row r="4698" spans="1:15" x14ac:dyDescent="0.25">
      <c r="A4698" s="1">
        <v>4697</v>
      </c>
      <c r="B4698" s="2">
        <v>44931</v>
      </c>
      <c r="C4698" s="1" t="s">
        <v>12</v>
      </c>
      <c r="D4698" s="1" t="s">
        <v>13</v>
      </c>
      <c r="E4698" s="1" t="s">
        <v>39</v>
      </c>
      <c r="F4698" s="1" t="s">
        <v>24</v>
      </c>
      <c r="G4698" s="1">
        <v>3</v>
      </c>
      <c r="H4698" s="1">
        <v>797</v>
      </c>
      <c r="I4698" s="1">
        <v>5</v>
      </c>
      <c r="J4698" s="4">
        <v>2271.4499999999998</v>
      </c>
      <c r="K4698" s="4">
        <v>1742.73</v>
      </c>
      <c r="L4698" s="4">
        <v>528.72</v>
      </c>
      <c r="M4698" s="1" t="str">
        <f>TEXT(Table1[[#This Row],[Order_Date]], "MMM")</f>
        <v>Jan</v>
      </c>
      <c r="N4698" s="1">
        <f>YEAR(Table1[[#This Row],[Order_Date]])</f>
        <v>2023</v>
      </c>
      <c r="O4698" s="7">
        <f>Table1[[#This Row],[Profit]]/Table1[[#This Row],[Total_Sales]]</f>
        <v>0.23276761539985474</v>
      </c>
    </row>
    <row r="4699" spans="1:15" x14ac:dyDescent="0.25">
      <c r="A4699" s="1">
        <v>4698</v>
      </c>
      <c r="B4699" s="2">
        <v>45085</v>
      </c>
      <c r="C4699" s="1" t="s">
        <v>25</v>
      </c>
      <c r="D4699" s="1" t="s">
        <v>22</v>
      </c>
      <c r="E4699" s="1" t="s">
        <v>44</v>
      </c>
      <c r="F4699" s="1" t="s">
        <v>31</v>
      </c>
      <c r="G4699" s="1">
        <v>1</v>
      </c>
      <c r="H4699" s="1">
        <v>249</v>
      </c>
      <c r="I4699" s="1">
        <v>5</v>
      </c>
      <c r="J4699" s="4">
        <v>236.55</v>
      </c>
      <c r="K4699" s="4">
        <v>159.88999999999999</v>
      </c>
      <c r="L4699" s="4">
        <v>76.66</v>
      </c>
      <c r="M4699" s="1" t="str">
        <f>TEXT(Table1[[#This Row],[Order_Date]], "MMM")</f>
        <v>Jun</v>
      </c>
      <c r="N4699" s="1">
        <f>YEAR(Table1[[#This Row],[Order_Date]])</f>
        <v>2023</v>
      </c>
      <c r="O4699" s="7">
        <f>Table1[[#This Row],[Profit]]/Table1[[#This Row],[Total_Sales]]</f>
        <v>0.32407524836186852</v>
      </c>
    </row>
    <row r="4700" spans="1:15" x14ac:dyDescent="0.25">
      <c r="A4700" s="1">
        <v>4699</v>
      </c>
      <c r="B4700" s="2">
        <v>45131</v>
      </c>
      <c r="C4700" s="1" t="s">
        <v>12</v>
      </c>
      <c r="D4700" s="1" t="s">
        <v>20</v>
      </c>
      <c r="E4700" s="1" t="s">
        <v>30</v>
      </c>
      <c r="F4700" s="1" t="s">
        <v>18</v>
      </c>
      <c r="G4700" s="1">
        <v>7</v>
      </c>
      <c r="H4700" s="1">
        <v>195</v>
      </c>
      <c r="I4700" s="1">
        <v>10</v>
      </c>
      <c r="J4700" s="4">
        <v>1228.5</v>
      </c>
      <c r="K4700" s="4">
        <v>778.04</v>
      </c>
      <c r="L4700" s="4">
        <v>450.46</v>
      </c>
      <c r="M4700" s="1" t="str">
        <f>TEXT(Table1[[#This Row],[Order_Date]], "MMM")</f>
        <v>Jul</v>
      </c>
      <c r="N4700" s="1">
        <f>YEAR(Table1[[#This Row],[Order_Date]])</f>
        <v>2023</v>
      </c>
      <c r="O4700" s="7">
        <f>Table1[[#This Row],[Profit]]/Table1[[#This Row],[Total_Sales]]</f>
        <v>0.36667480667480667</v>
      </c>
    </row>
    <row r="4701" spans="1:15" x14ac:dyDescent="0.25">
      <c r="A4701" s="1">
        <v>4700</v>
      </c>
      <c r="B4701" s="2">
        <v>45296</v>
      </c>
      <c r="C4701" s="1" t="s">
        <v>12</v>
      </c>
      <c r="D4701" s="1" t="s">
        <v>20</v>
      </c>
      <c r="E4701" s="1" t="s">
        <v>43</v>
      </c>
      <c r="F4701" s="1" t="s">
        <v>18</v>
      </c>
      <c r="G4701" s="1">
        <v>1</v>
      </c>
      <c r="H4701" s="1">
        <v>419</v>
      </c>
      <c r="I4701" s="1">
        <v>20</v>
      </c>
      <c r="J4701" s="4">
        <v>335.2</v>
      </c>
      <c r="K4701" s="4">
        <v>234.03</v>
      </c>
      <c r="L4701" s="4">
        <v>101.17</v>
      </c>
      <c r="M4701" s="1" t="str">
        <f>TEXT(Table1[[#This Row],[Order_Date]], "MMM")</f>
        <v>Jan</v>
      </c>
      <c r="N4701" s="1">
        <f>YEAR(Table1[[#This Row],[Order_Date]])</f>
        <v>2024</v>
      </c>
      <c r="O4701" s="7">
        <f>Table1[[#This Row],[Profit]]/Table1[[#This Row],[Total_Sales]]</f>
        <v>0.30181980906921241</v>
      </c>
    </row>
    <row r="4702" spans="1:15" x14ac:dyDescent="0.25">
      <c r="A4702" s="1">
        <v>4701</v>
      </c>
      <c r="B4702" s="2">
        <v>45480</v>
      </c>
      <c r="C4702" s="1" t="s">
        <v>25</v>
      </c>
      <c r="D4702" s="1" t="s">
        <v>26</v>
      </c>
      <c r="E4702" s="1" t="s">
        <v>27</v>
      </c>
      <c r="F4702" s="1" t="s">
        <v>24</v>
      </c>
      <c r="G4702" s="1">
        <v>2</v>
      </c>
      <c r="H4702" s="1">
        <v>771</v>
      </c>
      <c r="I4702" s="1">
        <v>0</v>
      </c>
      <c r="J4702" s="4">
        <v>1542</v>
      </c>
      <c r="K4702" s="4">
        <v>805.36</v>
      </c>
      <c r="L4702" s="4">
        <v>736.64</v>
      </c>
      <c r="M4702" s="1" t="str">
        <f>TEXT(Table1[[#This Row],[Order_Date]], "MMM")</f>
        <v>Jul</v>
      </c>
      <c r="N4702" s="1">
        <f>YEAR(Table1[[#This Row],[Order_Date]])</f>
        <v>2024</v>
      </c>
      <c r="O4702" s="7">
        <f>Table1[[#This Row],[Profit]]/Table1[[#This Row],[Total_Sales]]</f>
        <v>0.47771725032425422</v>
      </c>
    </row>
    <row r="4703" spans="1:15" x14ac:dyDescent="0.25">
      <c r="A4703" s="1">
        <v>4702</v>
      </c>
      <c r="B4703" s="2">
        <v>45253</v>
      </c>
      <c r="C4703" s="1" t="s">
        <v>19</v>
      </c>
      <c r="D4703" s="1" t="s">
        <v>22</v>
      </c>
      <c r="E4703" s="1" t="s">
        <v>44</v>
      </c>
      <c r="F4703" s="1" t="s">
        <v>40</v>
      </c>
      <c r="G4703" s="1">
        <v>6</v>
      </c>
      <c r="H4703" s="1">
        <v>879</v>
      </c>
      <c r="I4703" s="1">
        <v>10</v>
      </c>
      <c r="J4703" s="4">
        <v>4746.6000000000004</v>
      </c>
      <c r="K4703" s="4">
        <v>2924.31</v>
      </c>
      <c r="L4703" s="4">
        <v>1822.29</v>
      </c>
      <c r="M4703" s="1" t="str">
        <f>TEXT(Table1[[#This Row],[Order_Date]], "MMM")</f>
        <v>Nov</v>
      </c>
      <c r="N4703" s="1">
        <f>YEAR(Table1[[#This Row],[Order_Date]])</f>
        <v>2023</v>
      </c>
      <c r="O4703" s="7">
        <f>Table1[[#This Row],[Profit]]/Table1[[#This Row],[Total_Sales]]</f>
        <v>0.38391480217418783</v>
      </c>
    </row>
    <row r="4704" spans="1:15" x14ac:dyDescent="0.25">
      <c r="A4704" s="1">
        <v>4703</v>
      </c>
      <c r="B4704" s="2">
        <v>45629</v>
      </c>
      <c r="C4704" s="1" t="s">
        <v>12</v>
      </c>
      <c r="D4704" s="1" t="s">
        <v>13</v>
      </c>
      <c r="E4704" s="1" t="s">
        <v>14</v>
      </c>
      <c r="F4704" s="1" t="s">
        <v>24</v>
      </c>
      <c r="G4704" s="1">
        <v>4</v>
      </c>
      <c r="H4704" s="1">
        <v>799</v>
      </c>
      <c r="I4704" s="1">
        <v>0</v>
      </c>
      <c r="J4704" s="4">
        <v>3196</v>
      </c>
      <c r="K4704" s="4">
        <v>1815.5</v>
      </c>
      <c r="L4704" s="4">
        <v>1380.5</v>
      </c>
      <c r="M4704" s="1" t="str">
        <f>TEXT(Table1[[#This Row],[Order_Date]], "MMM")</f>
        <v>Dec</v>
      </c>
      <c r="N4704" s="1">
        <f>YEAR(Table1[[#This Row],[Order_Date]])</f>
        <v>2024</v>
      </c>
      <c r="O4704" s="7">
        <f>Table1[[#This Row],[Profit]]/Table1[[#This Row],[Total_Sales]]</f>
        <v>0.43194618272841051</v>
      </c>
    </row>
    <row r="4705" spans="1:15" x14ac:dyDescent="0.25">
      <c r="A4705" s="1">
        <v>4704</v>
      </c>
      <c r="B4705" s="2">
        <v>45323</v>
      </c>
      <c r="C4705" s="1" t="s">
        <v>12</v>
      </c>
      <c r="D4705" s="1" t="s">
        <v>26</v>
      </c>
      <c r="E4705" s="1" t="s">
        <v>46</v>
      </c>
      <c r="F4705" s="1" t="s">
        <v>24</v>
      </c>
      <c r="G4705" s="1">
        <v>6</v>
      </c>
      <c r="H4705" s="1">
        <v>137</v>
      </c>
      <c r="I4705" s="1">
        <v>0</v>
      </c>
      <c r="J4705" s="4">
        <v>822</v>
      </c>
      <c r="K4705" s="4">
        <v>577.17999999999995</v>
      </c>
      <c r="L4705" s="4">
        <v>244.82</v>
      </c>
      <c r="M4705" s="1" t="str">
        <f>TEXT(Table1[[#This Row],[Order_Date]], "MMM")</f>
        <v>Feb</v>
      </c>
      <c r="N4705" s="1">
        <f>YEAR(Table1[[#This Row],[Order_Date]])</f>
        <v>2024</v>
      </c>
      <c r="O4705" s="7">
        <f>Table1[[#This Row],[Profit]]/Table1[[#This Row],[Total_Sales]]</f>
        <v>0.29783454987834551</v>
      </c>
    </row>
    <row r="4706" spans="1:15" x14ac:dyDescent="0.25">
      <c r="A4706" s="1">
        <v>4705</v>
      </c>
      <c r="B4706" s="2">
        <v>45566</v>
      </c>
      <c r="C4706" s="1" t="s">
        <v>12</v>
      </c>
      <c r="D4706" s="1" t="s">
        <v>26</v>
      </c>
      <c r="E4706" s="1" t="s">
        <v>37</v>
      </c>
      <c r="F4706" s="1" t="s">
        <v>15</v>
      </c>
      <c r="G4706" s="1">
        <v>9</v>
      </c>
      <c r="H4706" s="1">
        <v>543</v>
      </c>
      <c r="I4706" s="1">
        <v>5</v>
      </c>
      <c r="J4706" s="4">
        <v>4642.6499999999996</v>
      </c>
      <c r="K4706" s="4">
        <v>2771.8</v>
      </c>
      <c r="L4706" s="4">
        <v>1870.85</v>
      </c>
      <c r="M4706" s="1" t="str">
        <f>TEXT(Table1[[#This Row],[Order_Date]], "MMM")</f>
        <v>Oct</v>
      </c>
      <c r="N4706" s="1">
        <f>YEAR(Table1[[#This Row],[Order_Date]])</f>
        <v>2024</v>
      </c>
      <c r="O4706" s="7">
        <f>Table1[[#This Row],[Profit]]/Table1[[#This Row],[Total_Sales]]</f>
        <v>0.40297028636662252</v>
      </c>
    </row>
    <row r="4707" spans="1:15" x14ac:dyDescent="0.25">
      <c r="A4707" s="1">
        <v>4706</v>
      </c>
      <c r="B4707" s="2">
        <v>45262</v>
      </c>
      <c r="C4707" s="1" t="s">
        <v>19</v>
      </c>
      <c r="D4707" s="1" t="s">
        <v>20</v>
      </c>
      <c r="E4707" s="1" t="s">
        <v>28</v>
      </c>
      <c r="F4707" s="1" t="s">
        <v>15</v>
      </c>
      <c r="G4707" s="1">
        <v>3</v>
      </c>
      <c r="H4707" s="1">
        <v>920</v>
      </c>
      <c r="I4707" s="1">
        <v>15</v>
      </c>
      <c r="J4707" s="4">
        <v>2346</v>
      </c>
      <c r="K4707" s="4">
        <v>1769.32</v>
      </c>
      <c r="L4707" s="4">
        <v>576.67999999999995</v>
      </c>
      <c r="M4707" s="1" t="str">
        <f>TEXT(Table1[[#This Row],[Order_Date]], "MMM")</f>
        <v>Dec</v>
      </c>
      <c r="N4707" s="1">
        <f>YEAR(Table1[[#This Row],[Order_Date]])</f>
        <v>2023</v>
      </c>
      <c r="O4707" s="7">
        <f>Table1[[#This Row],[Profit]]/Table1[[#This Row],[Total_Sales]]</f>
        <v>0.24581415174765556</v>
      </c>
    </row>
    <row r="4708" spans="1:15" x14ac:dyDescent="0.25">
      <c r="A4708" s="1">
        <v>4707</v>
      </c>
      <c r="B4708" s="2">
        <v>45553</v>
      </c>
      <c r="C4708" s="1" t="s">
        <v>16</v>
      </c>
      <c r="D4708" s="1" t="s">
        <v>20</v>
      </c>
      <c r="E4708" s="1" t="s">
        <v>30</v>
      </c>
      <c r="F4708" s="1" t="s">
        <v>31</v>
      </c>
      <c r="G4708" s="1">
        <v>8</v>
      </c>
      <c r="H4708" s="1">
        <v>866</v>
      </c>
      <c r="I4708" s="1">
        <v>10</v>
      </c>
      <c r="J4708" s="4">
        <v>6235.2</v>
      </c>
      <c r="K4708" s="4">
        <v>3697.88</v>
      </c>
      <c r="L4708" s="4">
        <v>2537.3200000000002</v>
      </c>
      <c r="M4708" s="1" t="str">
        <f>TEXT(Table1[[#This Row],[Order_Date]], "MMM")</f>
        <v>Sep</v>
      </c>
      <c r="N4708" s="1">
        <f>YEAR(Table1[[#This Row],[Order_Date]])</f>
        <v>2024</v>
      </c>
      <c r="O4708" s="7">
        <f>Table1[[#This Row],[Profit]]/Table1[[#This Row],[Total_Sales]]</f>
        <v>0.40693482165768546</v>
      </c>
    </row>
    <row r="4709" spans="1:15" x14ac:dyDescent="0.25">
      <c r="A4709" s="1">
        <v>4708</v>
      </c>
      <c r="B4709" s="2">
        <v>45640</v>
      </c>
      <c r="C4709" s="1" t="s">
        <v>16</v>
      </c>
      <c r="D4709" s="1" t="s">
        <v>26</v>
      </c>
      <c r="E4709" s="1" t="s">
        <v>46</v>
      </c>
      <c r="F4709" s="1" t="s">
        <v>35</v>
      </c>
      <c r="G4709" s="1">
        <v>5</v>
      </c>
      <c r="H4709" s="1">
        <v>900</v>
      </c>
      <c r="I4709" s="1">
        <v>15</v>
      </c>
      <c r="J4709" s="4">
        <v>3825</v>
      </c>
      <c r="K4709" s="4">
        <v>2529.6799999999998</v>
      </c>
      <c r="L4709" s="4">
        <v>1295.32</v>
      </c>
      <c r="M4709" s="1" t="str">
        <f>TEXT(Table1[[#This Row],[Order_Date]], "MMM")</f>
        <v>Dec</v>
      </c>
      <c r="N4709" s="1">
        <f>YEAR(Table1[[#This Row],[Order_Date]])</f>
        <v>2024</v>
      </c>
      <c r="O4709" s="7">
        <f>Table1[[#This Row],[Profit]]/Table1[[#This Row],[Total_Sales]]</f>
        <v>0.33864575163398691</v>
      </c>
    </row>
    <row r="4710" spans="1:15" x14ac:dyDescent="0.25">
      <c r="A4710" s="1">
        <v>4709</v>
      </c>
      <c r="B4710" s="2">
        <v>45089</v>
      </c>
      <c r="C4710" s="1" t="s">
        <v>19</v>
      </c>
      <c r="D4710" s="1" t="s">
        <v>26</v>
      </c>
      <c r="E4710" s="1" t="s">
        <v>42</v>
      </c>
      <c r="F4710" s="1" t="s">
        <v>15</v>
      </c>
      <c r="G4710" s="1">
        <v>3</v>
      </c>
      <c r="H4710" s="1">
        <v>296</v>
      </c>
      <c r="I4710" s="1">
        <v>5</v>
      </c>
      <c r="J4710" s="4">
        <v>843.6</v>
      </c>
      <c r="K4710" s="4">
        <v>505.53</v>
      </c>
      <c r="L4710" s="4">
        <v>338.07</v>
      </c>
      <c r="M4710" s="1" t="str">
        <f>TEXT(Table1[[#This Row],[Order_Date]], "MMM")</f>
        <v>Jun</v>
      </c>
      <c r="N4710" s="1">
        <f>YEAR(Table1[[#This Row],[Order_Date]])</f>
        <v>2023</v>
      </c>
      <c r="O4710" s="7">
        <f>Table1[[#This Row],[Profit]]/Table1[[#This Row],[Total_Sales]]</f>
        <v>0.40074679943100994</v>
      </c>
    </row>
    <row r="4711" spans="1:15" x14ac:dyDescent="0.25">
      <c r="A4711" s="1">
        <v>4710</v>
      </c>
      <c r="B4711" s="2">
        <v>45621</v>
      </c>
      <c r="C4711" s="1" t="s">
        <v>12</v>
      </c>
      <c r="D4711" s="1" t="s">
        <v>26</v>
      </c>
      <c r="E4711" s="1" t="s">
        <v>46</v>
      </c>
      <c r="F4711" s="1" t="s">
        <v>15</v>
      </c>
      <c r="G4711" s="1">
        <v>1</v>
      </c>
      <c r="H4711" s="1">
        <v>996</v>
      </c>
      <c r="I4711" s="1">
        <v>15</v>
      </c>
      <c r="J4711" s="4">
        <v>846.6</v>
      </c>
      <c r="K4711" s="4">
        <v>532.96</v>
      </c>
      <c r="L4711" s="4">
        <v>313.64</v>
      </c>
      <c r="M4711" s="1" t="str">
        <f>TEXT(Table1[[#This Row],[Order_Date]], "MMM")</f>
        <v>Nov</v>
      </c>
      <c r="N4711" s="1">
        <f>YEAR(Table1[[#This Row],[Order_Date]])</f>
        <v>2024</v>
      </c>
      <c r="O4711" s="7">
        <f>Table1[[#This Row],[Profit]]/Table1[[#This Row],[Total_Sales]]</f>
        <v>0.37047011575714622</v>
      </c>
    </row>
    <row r="4712" spans="1:15" x14ac:dyDescent="0.25">
      <c r="A4712" s="1">
        <v>4711</v>
      </c>
      <c r="B4712" s="2">
        <v>45339</v>
      </c>
      <c r="C4712" s="1" t="s">
        <v>19</v>
      </c>
      <c r="D4712" s="1" t="s">
        <v>22</v>
      </c>
      <c r="E4712" s="1" t="s">
        <v>36</v>
      </c>
      <c r="F4712" s="1" t="s">
        <v>24</v>
      </c>
      <c r="G4712" s="1">
        <v>8</v>
      </c>
      <c r="H4712" s="1">
        <v>214</v>
      </c>
      <c r="I4712" s="1">
        <v>15</v>
      </c>
      <c r="J4712" s="4">
        <v>1455.2</v>
      </c>
      <c r="K4712" s="4">
        <v>848.07</v>
      </c>
      <c r="L4712" s="4">
        <v>607.13</v>
      </c>
      <c r="M4712" s="1" t="str">
        <f>TEXT(Table1[[#This Row],[Order_Date]], "MMM")</f>
        <v>Feb</v>
      </c>
      <c r="N4712" s="1">
        <f>YEAR(Table1[[#This Row],[Order_Date]])</f>
        <v>2024</v>
      </c>
      <c r="O4712" s="7">
        <f>Table1[[#This Row],[Profit]]/Table1[[#This Row],[Total_Sales]]</f>
        <v>0.41721412864211105</v>
      </c>
    </row>
    <row r="4713" spans="1:15" x14ac:dyDescent="0.25">
      <c r="A4713" s="1">
        <v>4712</v>
      </c>
      <c r="B4713" s="2">
        <v>45204</v>
      </c>
      <c r="C4713" s="1" t="s">
        <v>16</v>
      </c>
      <c r="D4713" s="1" t="s">
        <v>20</v>
      </c>
      <c r="E4713" s="1" t="s">
        <v>43</v>
      </c>
      <c r="F4713" s="1" t="s">
        <v>15</v>
      </c>
      <c r="G4713" s="1">
        <v>8</v>
      </c>
      <c r="H4713" s="1">
        <v>418</v>
      </c>
      <c r="I4713" s="1">
        <v>15</v>
      </c>
      <c r="J4713" s="4">
        <v>2842.4</v>
      </c>
      <c r="K4713" s="4">
        <v>1561.68</v>
      </c>
      <c r="L4713" s="4">
        <v>1280.72</v>
      </c>
      <c r="M4713" s="1" t="str">
        <f>TEXT(Table1[[#This Row],[Order_Date]], "MMM")</f>
        <v>Oct</v>
      </c>
      <c r="N4713" s="1">
        <f>YEAR(Table1[[#This Row],[Order_Date]])</f>
        <v>2023</v>
      </c>
      <c r="O4713" s="7">
        <f>Table1[[#This Row],[Profit]]/Table1[[#This Row],[Total_Sales]]</f>
        <v>0.45057697720236417</v>
      </c>
    </row>
    <row r="4714" spans="1:15" x14ac:dyDescent="0.25">
      <c r="A4714" s="1">
        <v>4713</v>
      </c>
      <c r="B4714" s="2">
        <v>45635</v>
      </c>
      <c r="C4714" s="1" t="s">
        <v>25</v>
      </c>
      <c r="D4714" s="1" t="s">
        <v>20</v>
      </c>
      <c r="E4714" s="1" t="s">
        <v>30</v>
      </c>
      <c r="F4714" s="1" t="s">
        <v>24</v>
      </c>
      <c r="G4714" s="1">
        <v>7</v>
      </c>
      <c r="H4714" s="1">
        <v>151</v>
      </c>
      <c r="I4714" s="1">
        <v>15</v>
      </c>
      <c r="J4714" s="4">
        <v>898.45</v>
      </c>
      <c r="K4714" s="4">
        <v>703.72</v>
      </c>
      <c r="L4714" s="4">
        <v>194.73</v>
      </c>
      <c r="M4714" s="1" t="str">
        <f>TEXT(Table1[[#This Row],[Order_Date]], "MMM")</f>
        <v>Dec</v>
      </c>
      <c r="N4714" s="1">
        <f>YEAR(Table1[[#This Row],[Order_Date]])</f>
        <v>2024</v>
      </c>
      <c r="O4714" s="7">
        <f>Table1[[#This Row],[Profit]]/Table1[[#This Row],[Total_Sales]]</f>
        <v>0.21673994100951638</v>
      </c>
    </row>
    <row r="4715" spans="1:15" x14ac:dyDescent="0.25">
      <c r="A4715" s="1">
        <v>4714</v>
      </c>
      <c r="B4715" s="2">
        <v>45339</v>
      </c>
      <c r="C4715" s="1" t="s">
        <v>25</v>
      </c>
      <c r="D4715" s="1" t="s">
        <v>13</v>
      </c>
      <c r="E4715" s="1" t="s">
        <v>38</v>
      </c>
      <c r="F4715" s="1" t="s">
        <v>18</v>
      </c>
      <c r="G4715" s="1">
        <v>7</v>
      </c>
      <c r="H4715" s="1">
        <v>154</v>
      </c>
      <c r="I4715" s="1">
        <v>0</v>
      </c>
      <c r="J4715" s="4">
        <v>1078</v>
      </c>
      <c r="K4715" s="4">
        <v>651.71</v>
      </c>
      <c r="L4715" s="4">
        <v>426.29</v>
      </c>
      <c r="M4715" s="1" t="str">
        <f>TEXT(Table1[[#This Row],[Order_Date]], "MMM")</f>
        <v>Feb</v>
      </c>
      <c r="N4715" s="1">
        <f>YEAR(Table1[[#This Row],[Order_Date]])</f>
        <v>2024</v>
      </c>
      <c r="O4715" s="7">
        <f>Table1[[#This Row],[Profit]]/Table1[[#This Row],[Total_Sales]]</f>
        <v>0.39544526901669763</v>
      </c>
    </row>
    <row r="4716" spans="1:15" x14ac:dyDescent="0.25">
      <c r="A4716" s="1">
        <v>4715</v>
      </c>
      <c r="B4716" s="2">
        <v>45317</v>
      </c>
      <c r="C4716" s="1" t="s">
        <v>16</v>
      </c>
      <c r="D4716" s="1" t="s">
        <v>20</v>
      </c>
      <c r="E4716" s="1" t="s">
        <v>43</v>
      </c>
      <c r="F4716" s="1" t="s">
        <v>24</v>
      </c>
      <c r="G4716" s="1">
        <v>1</v>
      </c>
      <c r="H4716" s="1">
        <v>336</v>
      </c>
      <c r="I4716" s="1">
        <v>10</v>
      </c>
      <c r="J4716" s="4">
        <v>302.39999999999998</v>
      </c>
      <c r="K4716" s="4">
        <v>218.67</v>
      </c>
      <c r="L4716" s="4">
        <v>83.73</v>
      </c>
      <c r="M4716" s="1" t="str">
        <f>TEXT(Table1[[#This Row],[Order_Date]], "MMM")</f>
        <v>Jan</v>
      </c>
      <c r="N4716" s="1">
        <f>YEAR(Table1[[#This Row],[Order_Date]])</f>
        <v>2024</v>
      </c>
      <c r="O4716" s="7">
        <f>Table1[[#This Row],[Profit]]/Table1[[#This Row],[Total_Sales]]</f>
        <v>0.27688492063492065</v>
      </c>
    </row>
    <row r="4717" spans="1:15" x14ac:dyDescent="0.25">
      <c r="A4717" s="1">
        <v>4716</v>
      </c>
      <c r="B4717" s="2">
        <v>45005</v>
      </c>
      <c r="C4717" s="1" t="s">
        <v>25</v>
      </c>
      <c r="D4717" s="1" t="s">
        <v>22</v>
      </c>
      <c r="E4717" s="1" t="s">
        <v>23</v>
      </c>
      <c r="F4717" s="1" t="s">
        <v>24</v>
      </c>
      <c r="G4717" s="1">
        <v>10</v>
      </c>
      <c r="H4717" s="1">
        <v>767</v>
      </c>
      <c r="I4717" s="1">
        <v>0</v>
      </c>
      <c r="J4717" s="4">
        <v>7670</v>
      </c>
      <c r="K4717" s="4">
        <v>5628.75</v>
      </c>
      <c r="L4717" s="4">
        <v>2041.25</v>
      </c>
      <c r="M4717" s="1" t="str">
        <f>TEXT(Table1[[#This Row],[Order_Date]], "MMM")</f>
        <v>Mar</v>
      </c>
      <c r="N4717" s="1">
        <f>YEAR(Table1[[#This Row],[Order_Date]])</f>
        <v>2023</v>
      </c>
      <c r="O4717" s="7">
        <f>Table1[[#This Row],[Profit]]/Table1[[#This Row],[Total_Sales]]</f>
        <v>0.26613428943937417</v>
      </c>
    </row>
    <row r="4718" spans="1:15" x14ac:dyDescent="0.25">
      <c r="A4718" s="1">
        <v>4717</v>
      </c>
      <c r="B4718" s="2">
        <v>45424</v>
      </c>
      <c r="C4718" s="1" t="s">
        <v>12</v>
      </c>
      <c r="D4718" s="1" t="s">
        <v>32</v>
      </c>
      <c r="E4718" s="1" t="s">
        <v>33</v>
      </c>
      <c r="F4718" s="1" t="s">
        <v>24</v>
      </c>
      <c r="G4718" s="1">
        <v>9</v>
      </c>
      <c r="H4718" s="1">
        <v>670</v>
      </c>
      <c r="I4718" s="1">
        <v>20</v>
      </c>
      <c r="J4718" s="4">
        <v>4824</v>
      </c>
      <c r="K4718" s="4">
        <v>3807.79</v>
      </c>
      <c r="L4718" s="4">
        <v>1016.21</v>
      </c>
      <c r="M4718" s="1" t="str">
        <f>TEXT(Table1[[#This Row],[Order_Date]], "MMM")</f>
        <v>May</v>
      </c>
      <c r="N4718" s="1">
        <f>YEAR(Table1[[#This Row],[Order_Date]])</f>
        <v>2024</v>
      </c>
      <c r="O4718" s="7">
        <f>Table1[[#This Row],[Profit]]/Table1[[#This Row],[Total_Sales]]</f>
        <v>0.21065713101160863</v>
      </c>
    </row>
    <row r="4719" spans="1:15" x14ac:dyDescent="0.25">
      <c r="A4719" s="1">
        <v>4718</v>
      </c>
      <c r="B4719" s="2">
        <v>45162</v>
      </c>
      <c r="C4719" s="1" t="s">
        <v>19</v>
      </c>
      <c r="D4719" s="1" t="s">
        <v>20</v>
      </c>
      <c r="E4719" s="1" t="s">
        <v>21</v>
      </c>
      <c r="F4719" s="1" t="s">
        <v>24</v>
      </c>
      <c r="G4719" s="1">
        <v>9</v>
      </c>
      <c r="H4719" s="1">
        <v>72</v>
      </c>
      <c r="I4719" s="1">
        <v>0</v>
      </c>
      <c r="J4719" s="4">
        <v>648</v>
      </c>
      <c r="K4719" s="4">
        <v>352.38</v>
      </c>
      <c r="L4719" s="4">
        <v>295.62</v>
      </c>
      <c r="M4719" s="1" t="str">
        <f>TEXT(Table1[[#This Row],[Order_Date]], "MMM")</f>
        <v>Aug</v>
      </c>
      <c r="N4719" s="1">
        <f>YEAR(Table1[[#This Row],[Order_Date]])</f>
        <v>2023</v>
      </c>
      <c r="O4719" s="7">
        <f>Table1[[#This Row],[Profit]]/Table1[[#This Row],[Total_Sales]]</f>
        <v>0.45620370370370372</v>
      </c>
    </row>
    <row r="4720" spans="1:15" x14ac:dyDescent="0.25">
      <c r="A4720" s="1">
        <v>4719</v>
      </c>
      <c r="B4720" s="2">
        <v>45534</v>
      </c>
      <c r="C4720" s="1" t="s">
        <v>25</v>
      </c>
      <c r="D4720" s="1" t="s">
        <v>26</v>
      </c>
      <c r="E4720" s="1" t="s">
        <v>46</v>
      </c>
      <c r="F4720" s="1" t="s">
        <v>24</v>
      </c>
      <c r="G4720" s="1">
        <v>1</v>
      </c>
      <c r="H4720" s="1">
        <v>494</v>
      </c>
      <c r="I4720" s="1">
        <v>15</v>
      </c>
      <c r="J4720" s="4">
        <v>419.9</v>
      </c>
      <c r="K4720" s="4">
        <v>231.99</v>
      </c>
      <c r="L4720" s="4">
        <v>187.91</v>
      </c>
      <c r="M4720" s="1" t="str">
        <f>TEXT(Table1[[#This Row],[Order_Date]], "MMM")</f>
        <v>Aug</v>
      </c>
      <c r="N4720" s="1">
        <f>YEAR(Table1[[#This Row],[Order_Date]])</f>
        <v>2024</v>
      </c>
      <c r="O4720" s="7">
        <f>Table1[[#This Row],[Profit]]/Table1[[#This Row],[Total_Sales]]</f>
        <v>0.44751131221719459</v>
      </c>
    </row>
    <row r="4721" spans="1:15" x14ac:dyDescent="0.25">
      <c r="A4721" s="1">
        <v>4720</v>
      </c>
      <c r="B4721" s="2">
        <v>45177</v>
      </c>
      <c r="C4721" s="1" t="s">
        <v>12</v>
      </c>
      <c r="D4721" s="1" t="s">
        <v>26</v>
      </c>
      <c r="E4721" s="1" t="s">
        <v>37</v>
      </c>
      <c r="F4721" s="1" t="s">
        <v>18</v>
      </c>
      <c r="G4721" s="1">
        <v>6</v>
      </c>
      <c r="H4721" s="1">
        <v>385</v>
      </c>
      <c r="I4721" s="1">
        <v>15</v>
      </c>
      <c r="J4721" s="4">
        <v>1963.5</v>
      </c>
      <c r="K4721" s="4">
        <v>1144.49</v>
      </c>
      <c r="L4721" s="4">
        <v>819.01</v>
      </c>
      <c r="M4721" s="1" t="str">
        <f>TEXT(Table1[[#This Row],[Order_Date]], "MMM")</f>
        <v>Sep</v>
      </c>
      <c r="N4721" s="1">
        <f>YEAR(Table1[[#This Row],[Order_Date]])</f>
        <v>2023</v>
      </c>
      <c r="O4721" s="7">
        <f>Table1[[#This Row],[Profit]]/Table1[[#This Row],[Total_Sales]]</f>
        <v>0.41711739241151008</v>
      </c>
    </row>
    <row r="4722" spans="1:15" x14ac:dyDescent="0.25">
      <c r="A4722" s="1">
        <v>4721</v>
      </c>
      <c r="B4722" s="2">
        <v>45259</v>
      </c>
      <c r="C4722" s="1" t="s">
        <v>25</v>
      </c>
      <c r="D4722" s="1" t="s">
        <v>20</v>
      </c>
      <c r="E4722" s="1" t="s">
        <v>21</v>
      </c>
      <c r="F4722" s="1" t="s">
        <v>31</v>
      </c>
      <c r="G4722" s="1">
        <v>10</v>
      </c>
      <c r="H4722" s="1">
        <v>800</v>
      </c>
      <c r="I4722" s="1">
        <v>15</v>
      </c>
      <c r="J4722" s="4">
        <v>6800</v>
      </c>
      <c r="K4722" s="4">
        <v>4373.7299999999996</v>
      </c>
      <c r="L4722" s="4">
        <v>2426.27</v>
      </c>
      <c r="M4722" s="1" t="str">
        <f>TEXT(Table1[[#This Row],[Order_Date]], "MMM")</f>
        <v>Nov</v>
      </c>
      <c r="N4722" s="1">
        <f>YEAR(Table1[[#This Row],[Order_Date]])</f>
        <v>2023</v>
      </c>
      <c r="O4722" s="7">
        <f>Table1[[#This Row],[Profit]]/Table1[[#This Row],[Total_Sales]]</f>
        <v>0.3568044117647059</v>
      </c>
    </row>
    <row r="4723" spans="1:15" x14ac:dyDescent="0.25">
      <c r="A4723" s="1">
        <v>4722</v>
      </c>
      <c r="B4723" s="2">
        <v>45386</v>
      </c>
      <c r="C4723" s="1" t="s">
        <v>12</v>
      </c>
      <c r="D4723" s="1" t="s">
        <v>13</v>
      </c>
      <c r="E4723" s="1" t="s">
        <v>14</v>
      </c>
      <c r="F4723" s="1" t="s">
        <v>15</v>
      </c>
      <c r="G4723" s="1">
        <v>5</v>
      </c>
      <c r="H4723" s="1">
        <v>165</v>
      </c>
      <c r="I4723" s="1">
        <v>20</v>
      </c>
      <c r="J4723" s="4">
        <v>660</v>
      </c>
      <c r="K4723" s="4">
        <v>481.58</v>
      </c>
      <c r="L4723" s="4">
        <v>178.42</v>
      </c>
      <c r="M4723" s="1" t="str">
        <f>TEXT(Table1[[#This Row],[Order_Date]], "MMM")</f>
        <v>Apr</v>
      </c>
      <c r="N4723" s="1">
        <f>YEAR(Table1[[#This Row],[Order_Date]])</f>
        <v>2024</v>
      </c>
      <c r="O4723" s="7">
        <f>Table1[[#This Row],[Profit]]/Table1[[#This Row],[Total_Sales]]</f>
        <v>0.27033333333333331</v>
      </c>
    </row>
    <row r="4724" spans="1:15" x14ac:dyDescent="0.25">
      <c r="A4724" s="1">
        <v>4723</v>
      </c>
      <c r="B4724" s="2">
        <v>45089</v>
      </c>
      <c r="C4724" s="1" t="s">
        <v>25</v>
      </c>
      <c r="D4724" s="1" t="s">
        <v>26</v>
      </c>
      <c r="E4724" s="1" t="s">
        <v>42</v>
      </c>
      <c r="F4724" s="1" t="s">
        <v>40</v>
      </c>
      <c r="G4724" s="1">
        <v>8</v>
      </c>
      <c r="H4724" s="1">
        <v>208</v>
      </c>
      <c r="I4724" s="1">
        <v>20</v>
      </c>
      <c r="J4724" s="4">
        <v>1331.2</v>
      </c>
      <c r="K4724" s="4">
        <v>784.11</v>
      </c>
      <c r="L4724" s="4">
        <v>547.09</v>
      </c>
      <c r="M4724" s="1" t="str">
        <f>TEXT(Table1[[#This Row],[Order_Date]], "MMM")</f>
        <v>Jun</v>
      </c>
      <c r="N4724" s="1">
        <f>YEAR(Table1[[#This Row],[Order_Date]])</f>
        <v>2023</v>
      </c>
      <c r="O4724" s="7">
        <f>Table1[[#This Row],[Profit]]/Table1[[#This Row],[Total_Sales]]</f>
        <v>0.41097506009615387</v>
      </c>
    </row>
    <row r="4725" spans="1:15" x14ac:dyDescent="0.25">
      <c r="A4725" s="1">
        <v>4724</v>
      </c>
      <c r="B4725" s="2">
        <v>45166</v>
      </c>
      <c r="C4725" s="1" t="s">
        <v>16</v>
      </c>
      <c r="D4725" s="1" t="s">
        <v>13</v>
      </c>
      <c r="E4725" s="1" t="s">
        <v>17</v>
      </c>
      <c r="F4725" s="1" t="s">
        <v>24</v>
      </c>
      <c r="G4725" s="1">
        <v>1</v>
      </c>
      <c r="H4725" s="1">
        <v>739</v>
      </c>
      <c r="I4725" s="1">
        <v>15</v>
      </c>
      <c r="J4725" s="4">
        <v>628.15</v>
      </c>
      <c r="K4725" s="4">
        <v>428.07</v>
      </c>
      <c r="L4725" s="4">
        <v>200.08</v>
      </c>
      <c r="M4725" s="1" t="str">
        <f>TEXT(Table1[[#This Row],[Order_Date]], "MMM")</f>
        <v>Aug</v>
      </c>
      <c r="N4725" s="1">
        <f>YEAR(Table1[[#This Row],[Order_Date]])</f>
        <v>2023</v>
      </c>
      <c r="O4725" s="7">
        <f>Table1[[#This Row],[Profit]]/Table1[[#This Row],[Total_Sales]]</f>
        <v>0.31852264586484125</v>
      </c>
    </row>
    <row r="4726" spans="1:15" x14ac:dyDescent="0.25">
      <c r="A4726" s="1">
        <v>4725</v>
      </c>
      <c r="B4726" s="2">
        <v>45312</v>
      </c>
      <c r="C4726" s="1" t="s">
        <v>25</v>
      </c>
      <c r="D4726" s="1" t="s">
        <v>22</v>
      </c>
      <c r="E4726" s="1" t="s">
        <v>23</v>
      </c>
      <c r="F4726" s="1" t="s">
        <v>35</v>
      </c>
      <c r="G4726" s="1">
        <v>8</v>
      </c>
      <c r="H4726" s="1">
        <v>364</v>
      </c>
      <c r="I4726" s="1">
        <v>10</v>
      </c>
      <c r="J4726" s="4">
        <v>2620.8000000000002</v>
      </c>
      <c r="K4726" s="4">
        <v>1517.79</v>
      </c>
      <c r="L4726" s="4">
        <v>1103.01</v>
      </c>
      <c r="M4726" s="1" t="str">
        <f>TEXT(Table1[[#This Row],[Order_Date]], "MMM")</f>
        <v>Jan</v>
      </c>
      <c r="N4726" s="1">
        <f>YEAR(Table1[[#This Row],[Order_Date]])</f>
        <v>2024</v>
      </c>
      <c r="O4726" s="7">
        <f>Table1[[#This Row],[Profit]]/Table1[[#This Row],[Total_Sales]]</f>
        <v>0.42086767399267394</v>
      </c>
    </row>
    <row r="4727" spans="1:15" x14ac:dyDescent="0.25">
      <c r="A4727" s="1">
        <v>4726</v>
      </c>
      <c r="B4727" s="2">
        <v>45617</v>
      </c>
      <c r="C4727" s="1" t="s">
        <v>12</v>
      </c>
      <c r="D4727" s="1" t="s">
        <v>20</v>
      </c>
      <c r="E4727" s="1" t="s">
        <v>28</v>
      </c>
      <c r="F4727" s="1" t="s">
        <v>40</v>
      </c>
      <c r="G4727" s="1">
        <v>2</v>
      </c>
      <c r="H4727" s="1">
        <v>844</v>
      </c>
      <c r="I4727" s="1">
        <v>0</v>
      </c>
      <c r="J4727" s="4">
        <v>1688</v>
      </c>
      <c r="K4727" s="4">
        <v>1193.76</v>
      </c>
      <c r="L4727" s="4">
        <v>494.24</v>
      </c>
      <c r="M4727" s="1" t="str">
        <f>TEXT(Table1[[#This Row],[Order_Date]], "MMM")</f>
        <v>Nov</v>
      </c>
      <c r="N4727" s="1">
        <f>YEAR(Table1[[#This Row],[Order_Date]])</f>
        <v>2024</v>
      </c>
      <c r="O4727" s="7">
        <f>Table1[[#This Row],[Profit]]/Table1[[#This Row],[Total_Sales]]</f>
        <v>0.29279620853080568</v>
      </c>
    </row>
    <row r="4728" spans="1:15" x14ac:dyDescent="0.25">
      <c r="A4728" s="1">
        <v>4727</v>
      </c>
      <c r="B4728" s="2">
        <v>45138</v>
      </c>
      <c r="C4728" s="1" t="s">
        <v>16</v>
      </c>
      <c r="D4728" s="1" t="s">
        <v>26</v>
      </c>
      <c r="E4728" s="1" t="s">
        <v>42</v>
      </c>
      <c r="F4728" s="1" t="s">
        <v>15</v>
      </c>
      <c r="G4728" s="1">
        <v>8</v>
      </c>
      <c r="H4728" s="1">
        <v>193</v>
      </c>
      <c r="I4728" s="1">
        <v>10</v>
      </c>
      <c r="J4728" s="4">
        <v>1389.6</v>
      </c>
      <c r="K4728" s="4">
        <v>1091.97</v>
      </c>
      <c r="L4728" s="4">
        <v>297.63</v>
      </c>
      <c r="M4728" s="1" t="str">
        <f>TEXT(Table1[[#This Row],[Order_Date]], "MMM")</f>
        <v>Jul</v>
      </c>
      <c r="N4728" s="1">
        <f>YEAR(Table1[[#This Row],[Order_Date]])</f>
        <v>2023</v>
      </c>
      <c r="O4728" s="7">
        <f>Table1[[#This Row],[Profit]]/Table1[[#This Row],[Total_Sales]]</f>
        <v>0.21418393782383421</v>
      </c>
    </row>
    <row r="4729" spans="1:15" x14ac:dyDescent="0.25">
      <c r="A4729" s="1">
        <v>4728</v>
      </c>
      <c r="B4729" s="2">
        <v>44979</v>
      </c>
      <c r="C4729" s="1" t="s">
        <v>16</v>
      </c>
      <c r="D4729" s="1" t="s">
        <v>32</v>
      </c>
      <c r="E4729" s="1" t="s">
        <v>33</v>
      </c>
      <c r="F4729" s="1" t="s">
        <v>15</v>
      </c>
      <c r="G4729" s="1">
        <v>5</v>
      </c>
      <c r="H4729" s="1">
        <v>873</v>
      </c>
      <c r="I4729" s="1">
        <v>15</v>
      </c>
      <c r="J4729" s="4">
        <v>3710.25</v>
      </c>
      <c r="K4729" s="4">
        <v>2085.0300000000002</v>
      </c>
      <c r="L4729" s="4">
        <v>1625.22</v>
      </c>
      <c r="M4729" s="1" t="str">
        <f>TEXT(Table1[[#This Row],[Order_Date]], "MMM")</f>
        <v>Feb</v>
      </c>
      <c r="N4729" s="1">
        <f>YEAR(Table1[[#This Row],[Order_Date]])</f>
        <v>2023</v>
      </c>
      <c r="O4729" s="7">
        <f>Table1[[#This Row],[Profit]]/Table1[[#This Row],[Total_Sales]]</f>
        <v>0.43803517283201943</v>
      </c>
    </row>
    <row r="4730" spans="1:15" x14ac:dyDescent="0.25">
      <c r="A4730" s="1">
        <v>4729</v>
      </c>
      <c r="B4730" s="2">
        <v>45259</v>
      </c>
      <c r="C4730" s="1" t="s">
        <v>12</v>
      </c>
      <c r="D4730" s="1" t="s">
        <v>13</v>
      </c>
      <c r="E4730" s="1" t="s">
        <v>38</v>
      </c>
      <c r="F4730" s="1" t="s">
        <v>15</v>
      </c>
      <c r="G4730" s="1">
        <v>4</v>
      </c>
      <c r="H4730" s="1">
        <v>375</v>
      </c>
      <c r="I4730" s="1">
        <v>20</v>
      </c>
      <c r="J4730" s="4">
        <v>1200</v>
      </c>
      <c r="K4730" s="4">
        <v>758.38</v>
      </c>
      <c r="L4730" s="4">
        <v>441.62</v>
      </c>
      <c r="M4730" s="1" t="str">
        <f>TEXT(Table1[[#This Row],[Order_Date]], "MMM")</f>
        <v>Nov</v>
      </c>
      <c r="N4730" s="1">
        <f>YEAR(Table1[[#This Row],[Order_Date]])</f>
        <v>2023</v>
      </c>
      <c r="O4730" s="7">
        <f>Table1[[#This Row],[Profit]]/Table1[[#This Row],[Total_Sales]]</f>
        <v>0.36801666666666666</v>
      </c>
    </row>
    <row r="4731" spans="1:15" x14ac:dyDescent="0.25">
      <c r="A4731" s="1">
        <v>4730</v>
      </c>
      <c r="B4731" s="2">
        <v>45624</v>
      </c>
      <c r="C4731" s="1" t="s">
        <v>16</v>
      </c>
      <c r="D4731" s="1" t="s">
        <v>26</v>
      </c>
      <c r="E4731" s="1" t="s">
        <v>27</v>
      </c>
      <c r="F4731" s="1" t="s">
        <v>15</v>
      </c>
      <c r="G4731" s="1">
        <v>10</v>
      </c>
      <c r="H4731" s="1">
        <v>995</v>
      </c>
      <c r="I4731" s="1">
        <v>5</v>
      </c>
      <c r="J4731" s="4">
        <v>9452.5</v>
      </c>
      <c r="K4731" s="4">
        <v>6596.13</v>
      </c>
      <c r="L4731" s="4">
        <v>2856.37</v>
      </c>
      <c r="M4731" s="1" t="str">
        <f>TEXT(Table1[[#This Row],[Order_Date]], "MMM")</f>
        <v>Nov</v>
      </c>
      <c r="N4731" s="1">
        <f>YEAR(Table1[[#This Row],[Order_Date]])</f>
        <v>2024</v>
      </c>
      <c r="O4731" s="7">
        <f>Table1[[#This Row],[Profit]]/Table1[[#This Row],[Total_Sales]]</f>
        <v>0.30218143348320547</v>
      </c>
    </row>
    <row r="4732" spans="1:15" x14ac:dyDescent="0.25">
      <c r="A4732" s="1">
        <v>4731</v>
      </c>
      <c r="B4732" s="2">
        <v>45492</v>
      </c>
      <c r="C4732" s="1" t="s">
        <v>25</v>
      </c>
      <c r="D4732" s="1" t="s">
        <v>26</v>
      </c>
      <c r="E4732" s="1" t="s">
        <v>27</v>
      </c>
      <c r="F4732" s="1" t="s">
        <v>31</v>
      </c>
      <c r="G4732" s="1">
        <v>7</v>
      </c>
      <c r="H4732" s="1">
        <v>954</v>
      </c>
      <c r="I4732" s="1">
        <v>5</v>
      </c>
      <c r="J4732" s="4">
        <v>6344.1</v>
      </c>
      <c r="K4732" s="4">
        <v>4264.3599999999997</v>
      </c>
      <c r="L4732" s="4">
        <v>2079.7399999999998</v>
      </c>
      <c r="M4732" s="1" t="str">
        <f>TEXT(Table1[[#This Row],[Order_Date]], "MMM")</f>
        <v>Jul</v>
      </c>
      <c r="N4732" s="1">
        <f>YEAR(Table1[[#This Row],[Order_Date]])</f>
        <v>2024</v>
      </c>
      <c r="O4732" s="7">
        <f>Table1[[#This Row],[Profit]]/Table1[[#This Row],[Total_Sales]]</f>
        <v>0.327822701407607</v>
      </c>
    </row>
    <row r="4733" spans="1:15" x14ac:dyDescent="0.25">
      <c r="A4733" s="1">
        <v>4732</v>
      </c>
      <c r="B4733" s="2">
        <v>45028</v>
      </c>
      <c r="C4733" s="1" t="s">
        <v>12</v>
      </c>
      <c r="D4733" s="1" t="s">
        <v>26</v>
      </c>
      <c r="E4733" s="1" t="s">
        <v>42</v>
      </c>
      <c r="F4733" s="1" t="s">
        <v>35</v>
      </c>
      <c r="G4733" s="1">
        <v>1</v>
      </c>
      <c r="H4733" s="1">
        <v>51</v>
      </c>
      <c r="I4733" s="1">
        <v>10</v>
      </c>
      <c r="J4733" s="4">
        <v>45.9</v>
      </c>
      <c r="K4733" s="4">
        <v>25.11</v>
      </c>
      <c r="L4733" s="4">
        <v>20.79</v>
      </c>
      <c r="M4733" s="1" t="str">
        <f>TEXT(Table1[[#This Row],[Order_Date]], "MMM")</f>
        <v>Apr</v>
      </c>
      <c r="N4733" s="1">
        <f>YEAR(Table1[[#This Row],[Order_Date]])</f>
        <v>2023</v>
      </c>
      <c r="O4733" s="7">
        <f>Table1[[#This Row],[Profit]]/Table1[[#This Row],[Total_Sales]]</f>
        <v>0.45294117647058824</v>
      </c>
    </row>
    <row r="4734" spans="1:15" x14ac:dyDescent="0.25">
      <c r="A4734" s="1">
        <v>4733</v>
      </c>
      <c r="B4734" s="2">
        <v>44967</v>
      </c>
      <c r="C4734" s="1" t="s">
        <v>12</v>
      </c>
      <c r="D4734" s="1" t="s">
        <v>32</v>
      </c>
      <c r="E4734" s="1" t="s">
        <v>34</v>
      </c>
      <c r="F4734" s="1" t="s">
        <v>15</v>
      </c>
      <c r="G4734" s="1">
        <v>6</v>
      </c>
      <c r="H4734" s="1">
        <v>999</v>
      </c>
      <c r="I4734" s="1">
        <v>15</v>
      </c>
      <c r="J4734" s="4">
        <v>5094.8999999999996</v>
      </c>
      <c r="K4734" s="4">
        <v>3903.92</v>
      </c>
      <c r="L4734" s="4">
        <v>1190.98</v>
      </c>
      <c r="M4734" s="1" t="str">
        <f>TEXT(Table1[[#This Row],[Order_Date]], "MMM")</f>
        <v>Feb</v>
      </c>
      <c r="N4734" s="1">
        <f>YEAR(Table1[[#This Row],[Order_Date]])</f>
        <v>2023</v>
      </c>
      <c r="O4734" s="7">
        <f>Table1[[#This Row],[Profit]]/Table1[[#This Row],[Total_Sales]]</f>
        <v>0.23375924944552398</v>
      </c>
    </row>
    <row r="4735" spans="1:15" x14ac:dyDescent="0.25">
      <c r="A4735" s="1">
        <v>4734</v>
      </c>
      <c r="B4735" s="2">
        <v>45380</v>
      </c>
      <c r="C4735" s="1" t="s">
        <v>16</v>
      </c>
      <c r="D4735" s="1" t="s">
        <v>32</v>
      </c>
      <c r="E4735" s="1" t="s">
        <v>45</v>
      </c>
      <c r="F4735" s="1" t="s">
        <v>24</v>
      </c>
      <c r="G4735" s="1">
        <v>2</v>
      </c>
      <c r="H4735" s="1">
        <v>535</v>
      </c>
      <c r="I4735" s="1">
        <v>15</v>
      </c>
      <c r="J4735" s="4">
        <v>909.5</v>
      </c>
      <c r="K4735" s="4">
        <v>555.65</v>
      </c>
      <c r="L4735" s="4">
        <v>353.85</v>
      </c>
      <c r="M4735" s="1" t="str">
        <f>TEXT(Table1[[#This Row],[Order_Date]], "MMM")</f>
        <v>Mar</v>
      </c>
      <c r="N4735" s="1">
        <f>YEAR(Table1[[#This Row],[Order_Date]])</f>
        <v>2024</v>
      </c>
      <c r="O4735" s="7">
        <f>Table1[[#This Row],[Profit]]/Table1[[#This Row],[Total_Sales]]</f>
        <v>0.38905992303463444</v>
      </c>
    </row>
    <row r="4736" spans="1:15" x14ac:dyDescent="0.25">
      <c r="A4736" s="1">
        <v>4735</v>
      </c>
      <c r="B4736" s="2">
        <v>45008</v>
      </c>
      <c r="C4736" s="1" t="s">
        <v>16</v>
      </c>
      <c r="D4736" s="1" t="s">
        <v>32</v>
      </c>
      <c r="E4736" s="1" t="s">
        <v>33</v>
      </c>
      <c r="F4736" s="1" t="s">
        <v>24</v>
      </c>
      <c r="G4736" s="1">
        <v>8</v>
      </c>
      <c r="H4736" s="1">
        <v>108</v>
      </c>
      <c r="I4736" s="1">
        <v>20</v>
      </c>
      <c r="J4736" s="4">
        <v>691.2</v>
      </c>
      <c r="K4736" s="4">
        <v>432.58</v>
      </c>
      <c r="L4736" s="4">
        <v>258.62</v>
      </c>
      <c r="M4736" s="1" t="str">
        <f>TEXT(Table1[[#This Row],[Order_Date]], "MMM")</f>
        <v>Mar</v>
      </c>
      <c r="N4736" s="1">
        <f>YEAR(Table1[[#This Row],[Order_Date]])</f>
        <v>2023</v>
      </c>
      <c r="O4736" s="7">
        <f>Table1[[#This Row],[Profit]]/Table1[[#This Row],[Total_Sales]]</f>
        <v>0.37416087962962963</v>
      </c>
    </row>
    <row r="4737" spans="1:15" x14ac:dyDescent="0.25">
      <c r="A4737" s="1">
        <v>4736</v>
      </c>
      <c r="B4737" s="2">
        <v>45223</v>
      </c>
      <c r="C4737" s="1" t="s">
        <v>16</v>
      </c>
      <c r="D4737" s="1" t="s">
        <v>13</v>
      </c>
      <c r="E4737" s="1" t="s">
        <v>38</v>
      </c>
      <c r="F4737" s="1" t="s">
        <v>24</v>
      </c>
      <c r="G4737" s="1">
        <v>5</v>
      </c>
      <c r="H4737" s="1">
        <v>915</v>
      </c>
      <c r="I4737" s="1">
        <v>15</v>
      </c>
      <c r="J4737" s="4">
        <v>3888.75</v>
      </c>
      <c r="K4737" s="4">
        <v>2424.87</v>
      </c>
      <c r="L4737" s="4">
        <v>1463.88</v>
      </c>
      <c r="M4737" s="1" t="str">
        <f>TEXT(Table1[[#This Row],[Order_Date]], "MMM")</f>
        <v>Oct</v>
      </c>
      <c r="N4737" s="1">
        <f>YEAR(Table1[[#This Row],[Order_Date]])</f>
        <v>2023</v>
      </c>
      <c r="O4737" s="7">
        <f>Table1[[#This Row],[Profit]]/Table1[[#This Row],[Total_Sales]]</f>
        <v>0.37643972999035685</v>
      </c>
    </row>
    <row r="4738" spans="1:15" x14ac:dyDescent="0.25">
      <c r="A4738" s="1">
        <v>4737</v>
      </c>
      <c r="B4738" s="2">
        <v>45512</v>
      </c>
      <c r="C4738" s="1" t="s">
        <v>16</v>
      </c>
      <c r="D4738" s="1" t="s">
        <v>13</v>
      </c>
      <c r="E4738" s="1" t="s">
        <v>17</v>
      </c>
      <c r="F4738" s="1" t="s">
        <v>24</v>
      </c>
      <c r="G4738" s="1">
        <v>8</v>
      </c>
      <c r="H4738" s="1">
        <v>600</v>
      </c>
      <c r="I4738" s="1">
        <v>10</v>
      </c>
      <c r="J4738" s="4">
        <v>4320</v>
      </c>
      <c r="K4738" s="4">
        <v>2788.01</v>
      </c>
      <c r="L4738" s="4">
        <v>1531.99</v>
      </c>
      <c r="M4738" s="1" t="str">
        <f>TEXT(Table1[[#This Row],[Order_Date]], "MMM")</f>
        <v>Aug</v>
      </c>
      <c r="N4738" s="1">
        <f>YEAR(Table1[[#This Row],[Order_Date]])</f>
        <v>2024</v>
      </c>
      <c r="O4738" s="7">
        <f>Table1[[#This Row],[Profit]]/Table1[[#This Row],[Total_Sales]]</f>
        <v>0.3546273148148148</v>
      </c>
    </row>
    <row r="4739" spans="1:15" x14ac:dyDescent="0.25">
      <c r="A4739" s="1">
        <v>4738</v>
      </c>
      <c r="B4739" s="2">
        <v>45598</v>
      </c>
      <c r="C4739" s="1" t="s">
        <v>16</v>
      </c>
      <c r="D4739" s="1" t="s">
        <v>32</v>
      </c>
      <c r="E4739" s="1" t="s">
        <v>34</v>
      </c>
      <c r="F4739" s="1" t="s">
        <v>18</v>
      </c>
      <c r="G4739" s="1">
        <v>1</v>
      </c>
      <c r="H4739" s="1">
        <v>928</v>
      </c>
      <c r="I4739" s="1">
        <v>0</v>
      </c>
      <c r="J4739" s="4">
        <v>928</v>
      </c>
      <c r="K4739" s="4">
        <v>677.07</v>
      </c>
      <c r="L4739" s="4">
        <v>250.93</v>
      </c>
      <c r="M4739" s="1" t="str">
        <f>TEXT(Table1[[#This Row],[Order_Date]], "MMM")</f>
        <v>Nov</v>
      </c>
      <c r="N4739" s="1">
        <f>YEAR(Table1[[#This Row],[Order_Date]])</f>
        <v>2024</v>
      </c>
      <c r="O4739" s="7">
        <f>Table1[[#This Row],[Profit]]/Table1[[#This Row],[Total_Sales]]</f>
        <v>0.27039870689655171</v>
      </c>
    </row>
    <row r="4740" spans="1:15" x14ac:dyDescent="0.25">
      <c r="A4740" s="1">
        <v>4739</v>
      </c>
      <c r="B4740" s="2">
        <v>45535</v>
      </c>
      <c r="C4740" s="1" t="s">
        <v>16</v>
      </c>
      <c r="D4740" s="1" t="s">
        <v>22</v>
      </c>
      <c r="E4740" s="1" t="s">
        <v>23</v>
      </c>
      <c r="F4740" s="1" t="s">
        <v>35</v>
      </c>
      <c r="G4740" s="1">
        <v>1</v>
      </c>
      <c r="H4740" s="1">
        <v>109</v>
      </c>
      <c r="I4740" s="1">
        <v>5</v>
      </c>
      <c r="J4740" s="4">
        <v>103.55</v>
      </c>
      <c r="K4740" s="4">
        <v>76.19</v>
      </c>
      <c r="L4740" s="4">
        <v>27.36</v>
      </c>
      <c r="M4740" s="1" t="str">
        <f>TEXT(Table1[[#This Row],[Order_Date]], "MMM")</f>
        <v>Aug</v>
      </c>
      <c r="N4740" s="1">
        <f>YEAR(Table1[[#This Row],[Order_Date]])</f>
        <v>2024</v>
      </c>
      <c r="O4740" s="7">
        <f>Table1[[#This Row],[Profit]]/Table1[[#This Row],[Total_Sales]]</f>
        <v>0.26422018348623855</v>
      </c>
    </row>
    <row r="4741" spans="1:15" x14ac:dyDescent="0.25">
      <c r="A4741" s="1">
        <v>4740</v>
      </c>
      <c r="B4741" s="2">
        <v>45161</v>
      </c>
      <c r="C4741" s="1" t="s">
        <v>25</v>
      </c>
      <c r="D4741" s="1" t="s">
        <v>32</v>
      </c>
      <c r="E4741" s="1" t="s">
        <v>33</v>
      </c>
      <c r="F4741" s="1" t="s">
        <v>35</v>
      </c>
      <c r="G4741" s="1">
        <v>1</v>
      </c>
      <c r="H4741" s="1">
        <v>312</v>
      </c>
      <c r="I4741" s="1">
        <v>0</v>
      </c>
      <c r="J4741" s="4">
        <v>312</v>
      </c>
      <c r="K4741" s="4">
        <v>197.84</v>
      </c>
      <c r="L4741" s="4">
        <v>114.16</v>
      </c>
      <c r="M4741" s="1" t="str">
        <f>TEXT(Table1[[#This Row],[Order_Date]], "MMM")</f>
        <v>Aug</v>
      </c>
      <c r="N4741" s="1">
        <f>YEAR(Table1[[#This Row],[Order_Date]])</f>
        <v>2023</v>
      </c>
      <c r="O4741" s="7">
        <f>Table1[[#This Row],[Profit]]/Table1[[#This Row],[Total_Sales]]</f>
        <v>0.3658974358974359</v>
      </c>
    </row>
    <row r="4742" spans="1:15" x14ac:dyDescent="0.25">
      <c r="A4742" s="1">
        <v>4741</v>
      </c>
      <c r="B4742" s="2">
        <v>45478</v>
      </c>
      <c r="C4742" s="1" t="s">
        <v>16</v>
      </c>
      <c r="D4742" s="1" t="s">
        <v>26</v>
      </c>
      <c r="E4742" s="1" t="s">
        <v>46</v>
      </c>
      <c r="F4742" s="1" t="s">
        <v>15</v>
      </c>
      <c r="G4742" s="1">
        <v>1</v>
      </c>
      <c r="H4742" s="1">
        <v>883</v>
      </c>
      <c r="I4742" s="1">
        <v>5</v>
      </c>
      <c r="J4742" s="4">
        <v>838.85</v>
      </c>
      <c r="K4742" s="4">
        <v>628.07000000000005</v>
      </c>
      <c r="L4742" s="4">
        <v>210.78</v>
      </c>
      <c r="M4742" s="1" t="str">
        <f>TEXT(Table1[[#This Row],[Order_Date]], "MMM")</f>
        <v>Jul</v>
      </c>
      <c r="N4742" s="1">
        <f>YEAR(Table1[[#This Row],[Order_Date]])</f>
        <v>2024</v>
      </c>
      <c r="O4742" s="7">
        <f>Table1[[#This Row],[Profit]]/Table1[[#This Row],[Total_Sales]]</f>
        <v>0.25127257554985993</v>
      </c>
    </row>
    <row r="4743" spans="1:15" x14ac:dyDescent="0.25">
      <c r="A4743" s="1">
        <v>4742</v>
      </c>
      <c r="B4743" s="2">
        <v>45103</v>
      </c>
      <c r="C4743" s="1" t="s">
        <v>12</v>
      </c>
      <c r="D4743" s="1" t="s">
        <v>26</v>
      </c>
      <c r="E4743" s="1" t="s">
        <v>27</v>
      </c>
      <c r="F4743" s="1" t="s">
        <v>35</v>
      </c>
      <c r="G4743" s="1">
        <v>5</v>
      </c>
      <c r="H4743" s="1">
        <v>351</v>
      </c>
      <c r="I4743" s="1">
        <v>0</v>
      </c>
      <c r="J4743" s="4">
        <v>1755</v>
      </c>
      <c r="K4743" s="4">
        <v>886.32</v>
      </c>
      <c r="L4743" s="4">
        <v>868.68</v>
      </c>
      <c r="M4743" s="1" t="str">
        <f>TEXT(Table1[[#This Row],[Order_Date]], "MMM")</f>
        <v>Jun</v>
      </c>
      <c r="N4743" s="1">
        <f>YEAR(Table1[[#This Row],[Order_Date]])</f>
        <v>2023</v>
      </c>
      <c r="O4743" s="7">
        <f>Table1[[#This Row],[Profit]]/Table1[[#This Row],[Total_Sales]]</f>
        <v>0.49497435897435893</v>
      </c>
    </row>
    <row r="4744" spans="1:15" x14ac:dyDescent="0.25">
      <c r="A4744" s="1">
        <v>4743</v>
      </c>
      <c r="B4744" s="2">
        <v>45398</v>
      </c>
      <c r="C4744" s="1" t="s">
        <v>16</v>
      </c>
      <c r="D4744" s="1" t="s">
        <v>32</v>
      </c>
      <c r="E4744" s="1" t="s">
        <v>34</v>
      </c>
      <c r="F4744" s="1" t="s">
        <v>40</v>
      </c>
      <c r="G4744" s="1">
        <v>3</v>
      </c>
      <c r="H4744" s="1">
        <v>651</v>
      </c>
      <c r="I4744" s="1">
        <v>10</v>
      </c>
      <c r="J4744" s="4">
        <v>1757.7</v>
      </c>
      <c r="K4744" s="4">
        <v>986.02</v>
      </c>
      <c r="L4744" s="4">
        <v>771.68</v>
      </c>
      <c r="M4744" s="1" t="str">
        <f>TEXT(Table1[[#This Row],[Order_Date]], "MMM")</f>
        <v>Apr</v>
      </c>
      <c r="N4744" s="1">
        <f>YEAR(Table1[[#This Row],[Order_Date]])</f>
        <v>2024</v>
      </c>
      <c r="O4744" s="7">
        <f>Table1[[#This Row],[Profit]]/Table1[[#This Row],[Total_Sales]]</f>
        <v>0.43902827558741531</v>
      </c>
    </row>
    <row r="4745" spans="1:15" x14ac:dyDescent="0.25">
      <c r="A4745" s="1">
        <v>4744</v>
      </c>
      <c r="B4745" s="2">
        <v>45362</v>
      </c>
      <c r="C4745" s="1" t="s">
        <v>16</v>
      </c>
      <c r="D4745" s="1" t="s">
        <v>32</v>
      </c>
      <c r="E4745" s="1" t="s">
        <v>34</v>
      </c>
      <c r="F4745" s="1" t="s">
        <v>40</v>
      </c>
      <c r="G4745" s="1">
        <v>6</v>
      </c>
      <c r="H4745" s="1">
        <v>330</v>
      </c>
      <c r="I4745" s="1">
        <v>20</v>
      </c>
      <c r="J4745" s="4">
        <v>1584</v>
      </c>
      <c r="K4745" s="4">
        <v>1112.52</v>
      </c>
      <c r="L4745" s="4">
        <v>471.48</v>
      </c>
      <c r="M4745" s="1" t="str">
        <f>TEXT(Table1[[#This Row],[Order_Date]], "MMM")</f>
        <v>Mar</v>
      </c>
      <c r="N4745" s="1">
        <f>YEAR(Table1[[#This Row],[Order_Date]])</f>
        <v>2024</v>
      </c>
      <c r="O4745" s="7">
        <f>Table1[[#This Row],[Profit]]/Table1[[#This Row],[Total_Sales]]</f>
        <v>0.29765151515151517</v>
      </c>
    </row>
    <row r="4746" spans="1:15" x14ac:dyDescent="0.25">
      <c r="A4746" s="1">
        <v>4745</v>
      </c>
      <c r="B4746" s="2">
        <v>45209</v>
      </c>
      <c r="C4746" s="1" t="s">
        <v>12</v>
      </c>
      <c r="D4746" s="1" t="s">
        <v>20</v>
      </c>
      <c r="E4746" s="1" t="s">
        <v>43</v>
      </c>
      <c r="F4746" s="1" t="s">
        <v>24</v>
      </c>
      <c r="G4746" s="1">
        <v>7</v>
      </c>
      <c r="H4746" s="1">
        <v>67</v>
      </c>
      <c r="I4746" s="1">
        <v>15</v>
      </c>
      <c r="J4746" s="4">
        <v>398.65</v>
      </c>
      <c r="K4746" s="4">
        <v>248.19</v>
      </c>
      <c r="L4746" s="4">
        <v>150.46</v>
      </c>
      <c r="M4746" s="1" t="str">
        <f>TEXT(Table1[[#This Row],[Order_Date]], "MMM")</f>
        <v>Oct</v>
      </c>
      <c r="N4746" s="1">
        <f>YEAR(Table1[[#This Row],[Order_Date]])</f>
        <v>2023</v>
      </c>
      <c r="O4746" s="7">
        <f>Table1[[#This Row],[Profit]]/Table1[[#This Row],[Total_Sales]]</f>
        <v>0.37742380534303277</v>
      </c>
    </row>
    <row r="4747" spans="1:15" x14ac:dyDescent="0.25">
      <c r="A4747" s="1">
        <v>4746</v>
      </c>
      <c r="B4747" s="2">
        <v>45352</v>
      </c>
      <c r="C4747" s="1" t="s">
        <v>19</v>
      </c>
      <c r="D4747" s="1" t="s">
        <v>20</v>
      </c>
      <c r="E4747" s="1" t="s">
        <v>28</v>
      </c>
      <c r="F4747" s="1" t="s">
        <v>40</v>
      </c>
      <c r="G4747" s="1">
        <v>1</v>
      </c>
      <c r="H4747" s="1">
        <v>726</v>
      </c>
      <c r="I4747" s="1">
        <v>15</v>
      </c>
      <c r="J4747" s="4">
        <v>617.1</v>
      </c>
      <c r="K4747" s="4">
        <v>308.64</v>
      </c>
      <c r="L4747" s="4">
        <v>308.45999999999998</v>
      </c>
      <c r="M4747" s="1" t="str">
        <f>TEXT(Table1[[#This Row],[Order_Date]], "MMM")</f>
        <v>Mar</v>
      </c>
      <c r="N4747" s="1">
        <f>YEAR(Table1[[#This Row],[Order_Date]])</f>
        <v>2024</v>
      </c>
      <c r="O4747" s="7">
        <f>Table1[[#This Row],[Profit]]/Table1[[#This Row],[Total_Sales]]</f>
        <v>0.49985415653864845</v>
      </c>
    </row>
    <row r="4748" spans="1:15" x14ac:dyDescent="0.25">
      <c r="A4748" s="1">
        <v>4747</v>
      </c>
      <c r="B4748" s="2">
        <v>45351</v>
      </c>
      <c r="C4748" s="1" t="s">
        <v>16</v>
      </c>
      <c r="D4748" s="1" t="s">
        <v>26</v>
      </c>
      <c r="E4748" s="1" t="s">
        <v>37</v>
      </c>
      <c r="F4748" s="1" t="s">
        <v>24</v>
      </c>
      <c r="G4748" s="1">
        <v>10</v>
      </c>
      <c r="H4748" s="1">
        <v>866</v>
      </c>
      <c r="I4748" s="1">
        <v>5</v>
      </c>
      <c r="J4748" s="4">
        <v>8227</v>
      </c>
      <c r="K4748" s="4">
        <v>4397.83</v>
      </c>
      <c r="L4748" s="4">
        <v>3829.17</v>
      </c>
      <c r="M4748" s="1" t="str">
        <f>TEXT(Table1[[#This Row],[Order_Date]], "MMM")</f>
        <v>Feb</v>
      </c>
      <c r="N4748" s="1">
        <f>YEAR(Table1[[#This Row],[Order_Date]])</f>
        <v>2024</v>
      </c>
      <c r="O4748" s="7">
        <f>Table1[[#This Row],[Profit]]/Table1[[#This Row],[Total_Sales]]</f>
        <v>0.46543940683116569</v>
      </c>
    </row>
    <row r="4749" spans="1:15" x14ac:dyDescent="0.25">
      <c r="A4749" s="1">
        <v>4748</v>
      </c>
      <c r="B4749" s="2">
        <v>45535</v>
      </c>
      <c r="C4749" s="1" t="s">
        <v>25</v>
      </c>
      <c r="D4749" s="1" t="s">
        <v>22</v>
      </c>
      <c r="E4749" s="1" t="s">
        <v>36</v>
      </c>
      <c r="F4749" s="1" t="s">
        <v>15</v>
      </c>
      <c r="G4749" s="1">
        <v>8</v>
      </c>
      <c r="H4749" s="1">
        <v>42</v>
      </c>
      <c r="I4749" s="1">
        <v>20</v>
      </c>
      <c r="J4749" s="4">
        <v>268.8</v>
      </c>
      <c r="K4749" s="4">
        <v>210.33</v>
      </c>
      <c r="L4749" s="4">
        <v>58.47</v>
      </c>
      <c r="M4749" s="1" t="str">
        <f>TEXT(Table1[[#This Row],[Order_Date]], "MMM")</f>
        <v>Aug</v>
      </c>
      <c r="N4749" s="1">
        <f>YEAR(Table1[[#This Row],[Order_Date]])</f>
        <v>2024</v>
      </c>
      <c r="O4749" s="7">
        <f>Table1[[#This Row],[Profit]]/Table1[[#This Row],[Total_Sales]]</f>
        <v>0.21752232142857142</v>
      </c>
    </row>
    <row r="4750" spans="1:15" x14ac:dyDescent="0.25">
      <c r="A4750" s="1">
        <v>4749</v>
      </c>
      <c r="B4750" s="2">
        <v>45411</v>
      </c>
      <c r="C4750" s="1" t="s">
        <v>16</v>
      </c>
      <c r="D4750" s="1" t="s">
        <v>22</v>
      </c>
      <c r="E4750" s="1" t="s">
        <v>23</v>
      </c>
      <c r="F4750" s="1" t="s">
        <v>40</v>
      </c>
      <c r="G4750" s="1">
        <v>1</v>
      </c>
      <c r="H4750" s="1">
        <v>108</v>
      </c>
      <c r="I4750" s="1">
        <v>15</v>
      </c>
      <c r="J4750" s="4">
        <v>91.8</v>
      </c>
      <c r="K4750" s="4">
        <v>56.98</v>
      </c>
      <c r="L4750" s="4">
        <v>34.82</v>
      </c>
      <c r="M4750" s="1" t="str">
        <f>TEXT(Table1[[#This Row],[Order_Date]], "MMM")</f>
        <v>Apr</v>
      </c>
      <c r="N4750" s="1">
        <f>YEAR(Table1[[#This Row],[Order_Date]])</f>
        <v>2024</v>
      </c>
      <c r="O4750" s="7">
        <f>Table1[[#This Row],[Profit]]/Table1[[#This Row],[Total_Sales]]</f>
        <v>0.37930283224400874</v>
      </c>
    </row>
    <row r="4751" spans="1:15" x14ac:dyDescent="0.25">
      <c r="A4751" s="1">
        <v>4750</v>
      </c>
      <c r="B4751" s="2">
        <v>45656</v>
      </c>
      <c r="C4751" s="1" t="s">
        <v>19</v>
      </c>
      <c r="D4751" s="1" t="s">
        <v>20</v>
      </c>
      <c r="E4751" s="1" t="s">
        <v>30</v>
      </c>
      <c r="F4751" s="1" t="s">
        <v>15</v>
      </c>
      <c r="G4751" s="1">
        <v>6</v>
      </c>
      <c r="H4751" s="1">
        <v>375</v>
      </c>
      <c r="I4751" s="1">
        <v>5</v>
      </c>
      <c r="J4751" s="4">
        <v>2137.5</v>
      </c>
      <c r="K4751" s="4">
        <v>1406.74</v>
      </c>
      <c r="L4751" s="4">
        <v>730.76</v>
      </c>
      <c r="M4751" s="1" t="str">
        <f>TEXT(Table1[[#This Row],[Order_Date]], "MMM")</f>
        <v>Dec</v>
      </c>
      <c r="N4751" s="1">
        <f>YEAR(Table1[[#This Row],[Order_Date]])</f>
        <v>2024</v>
      </c>
      <c r="O4751" s="7">
        <f>Table1[[#This Row],[Profit]]/Table1[[#This Row],[Total_Sales]]</f>
        <v>0.34187602339181289</v>
      </c>
    </row>
    <row r="4752" spans="1:15" x14ac:dyDescent="0.25">
      <c r="A4752" s="1">
        <v>4751</v>
      </c>
      <c r="B4752" s="2">
        <v>45317</v>
      </c>
      <c r="C4752" s="1" t="s">
        <v>16</v>
      </c>
      <c r="D4752" s="1" t="s">
        <v>13</v>
      </c>
      <c r="E4752" s="1" t="s">
        <v>39</v>
      </c>
      <c r="F4752" s="1" t="s">
        <v>24</v>
      </c>
      <c r="G4752" s="1">
        <v>6</v>
      </c>
      <c r="H4752" s="1">
        <v>558</v>
      </c>
      <c r="I4752" s="1">
        <v>0</v>
      </c>
      <c r="J4752" s="4">
        <v>3348</v>
      </c>
      <c r="K4752" s="4">
        <v>2481.17</v>
      </c>
      <c r="L4752" s="4">
        <v>866.83</v>
      </c>
      <c r="M4752" s="1" t="str">
        <f>TEXT(Table1[[#This Row],[Order_Date]], "MMM")</f>
        <v>Jan</v>
      </c>
      <c r="N4752" s="1">
        <f>YEAR(Table1[[#This Row],[Order_Date]])</f>
        <v>2024</v>
      </c>
      <c r="O4752" s="7">
        <f>Table1[[#This Row],[Profit]]/Table1[[#This Row],[Total_Sales]]</f>
        <v>0.25890979689366789</v>
      </c>
    </row>
    <row r="4753" spans="1:15" x14ac:dyDescent="0.25">
      <c r="A4753" s="1">
        <v>4752</v>
      </c>
      <c r="B4753" s="2">
        <v>45444</v>
      </c>
      <c r="C4753" s="1" t="s">
        <v>12</v>
      </c>
      <c r="D4753" s="1" t="s">
        <v>26</v>
      </c>
      <c r="E4753" s="1" t="s">
        <v>46</v>
      </c>
      <c r="F4753" s="1" t="s">
        <v>15</v>
      </c>
      <c r="G4753" s="1">
        <v>4</v>
      </c>
      <c r="H4753" s="1">
        <v>897</v>
      </c>
      <c r="I4753" s="1">
        <v>0</v>
      </c>
      <c r="J4753" s="4">
        <v>3588</v>
      </c>
      <c r="K4753" s="4">
        <v>1851.11</v>
      </c>
      <c r="L4753" s="4">
        <v>1736.89</v>
      </c>
      <c r="M4753" s="1" t="str">
        <f>TEXT(Table1[[#This Row],[Order_Date]], "MMM")</f>
        <v>Jun</v>
      </c>
      <c r="N4753" s="1">
        <f>YEAR(Table1[[#This Row],[Order_Date]])</f>
        <v>2024</v>
      </c>
      <c r="O4753" s="7">
        <f>Table1[[#This Row],[Profit]]/Table1[[#This Row],[Total_Sales]]</f>
        <v>0.48408305462653289</v>
      </c>
    </row>
    <row r="4754" spans="1:15" x14ac:dyDescent="0.25">
      <c r="A4754" s="1">
        <v>4753</v>
      </c>
      <c r="B4754" s="2">
        <v>45028</v>
      </c>
      <c r="C4754" s="1" t="s">
        <v>19</v>
      </c>
      <c r="D4754" s="1" t="s">
        <v>22</v>
      </c>
      <c r="E4754" s="1" t="s">
        <v>23</v>
      </c>
      <c r="F4754" s="1" t="s">
        <v>40</v>
      </c>
      <c r="G4754" s="1">
        <v>6</v>
      </c>
      <c r="H4754" s="1">
        <v>76</v>
      </c>
      <c r="I4754" s="1">
        <v>20</v>
      </c>
      <c r="J4754" s="4">
        <v>364.8</v>
      </c>
      <c r="K4754" s="4">
        <v>206.95</v>
      </c>
      <c r="L4754" s="4">
        <v>157.85</v>
      </c>
      <c r="M4754" s="1" t="str">
        <f>TEXT(Table1[[#This Row],[Order_Date]], "MMM")</f>
        <v>Apr</v>
      </c>
      <c r="N4754" s="1">
        <f>YEAR(Table1[[#This Row],[Order_Date]])</f>
        <v>2023</v>
      </c>
      <c r="O4754" s="7">
        <f>Table1[[#This Row],[Profit]]/Table1[[#This Row],[Total_Sales]]</f>
        <v>0.43270285087719296</v>
      </c>
    </row>
    <row r="4755" spans="1:15" x14ac:dyDescent="0.25">
      <c r="A4755" s="1">
        <v>4754</v>
      </c>
      <c r="B4755" s="2">
        <v>45578</v>
      </c>
      <c r="C4755" s="1" t="s">
        <v>25</v>
      </c>
      <c r="D4755" s="1" t="s">
        <v>26</v>
      </c>
      <c r="E4755" s="1" t="s">
        <v>42</v>
      </c>
      <c r="F4755" s="1" t="s">
        <v>24</v>
      </c>
      <c r="G4755" s="1">
        <v>1</v>
      </c>
      <c r="H4755" s="1">
        <v>840</v>
      </c>
      <c r="I4755" s="1">
        <v>15</v>
      </c>
      <c r="J4755" s="4">
        <v>714</v>
      </c>
      <c r="K4755" s="4">
        <v>423.88</v>
      </c>
      <c r="L4755" s="4">
        <v>290.12</v>
      </c>
      <c r="M4755" s="1" t="str">
        <f>TEXT(Table1[[#This Row],[Order_Date]], "MMM")</f>
        <v>Oct</v>
      </c>
      <c r="N4755" s="1">
        <f>YEAR(Table1[[#This Row],[Order_Date]])</f>
        <v>2024</v>
      </c>
      <c r="O4755" s="7">
        <f>Table1[[#This Row],[Profit]]/Table1[[#This Row],[Total_Sales]]</f>
        <v>0.40633053221288518</v>
      </c>
    </row>
    <row r="4756" spans="1:15" x14ac:dyDescent="0.25">
      <c r="A4756" s="1">
        <v>4755</v>
      </c>
      <c r="B4756" s="2">
        <v>45039</v>
      </c>
      <c r="C4756" s="1" t="s">
        <v>25</v>
      </c>
      <c r="D4756" s="1" t="s">
        <v>32</v>
      </c>
      <c r="E4756" s="1" t="s">
        <v>41</v>
      </c>
      <c r="F4756" s="1" t="s">
        <v>15</v>
      </c>
      <c r="G4756" s="1">
        <v>9</v>
      </c>
      <c r="H4756" s="1">
        <v>345</v>
      </c>
      <c r="I4756" s="1">
        <v>10</v>
      </c>
      <c r="J4756" s="4">
        <v>2794.5</v>
      </c>
      <c r="K4756" s="4">
        <v>2160.09</v>
      </c>
      <c r="L4756" s="4">
        <v>634.41</v>
      </c>
      <c r="M4756" s="1" t="str">
        <f>TEXT(Table1[[#This Row],[Order_Date]], "MMM")</f>
        <v>Apr</v>
      </c>
      <c r="N4756" s="1">
        <f>YEAR(Table1[[#This Row],[Order_Date]])</f>
        <v>2023</v>
      </c>
      <c r="O4756" s="7">
        <f>Table1[[#This Row],[Profit]]/Table1[[#This Row],[Total_Sales]]</f>
        <v>0.22702093397745571</v>
      </c>
    </row>
    <row r="4757" spans="1:15" x14ac:dyDescent="0.25">
      <c r="A4757" s="1">
        <v>4756</v>
      </c>
      <c r="B4757" s="2">
        <v>45271</v>
      </c>
      <c r="C4757" s="1" t="s">
        <v>19</v>
      </c>
      <c r="D4757" s="1" t="s">
        <v>20</v>
      </c>
      <c r="E4757" s="1" t="s">
        <v>21</v>
      </c>
      <c r="F4757" s="1" t="s">
        <v>18</v>
      </c>
      <c r="G4757" s="1">
        <v>6</v>
      </c>
      <c r="H4757" s="1">
        <v>835</v>
      </c>
      <c r="I4757" s="1">
        <v>10</v>
      </c>
      <c r="J4757" s="4">
        <v>4509</v>
      </c>
      <c r="K4757" s="4">
        <v>2884.06</v>
      </c>
      <c r="L4757" s="4">
        <v>1624.94</v>
      </c>
      <c r="M4757" s="1" t="str">
        <f>TEXT(Table1[[#This Row],[Order_Date]], "MMM")</f>
        <v>Dec</v>
      </c>
      <c r="N4757" s="1">
        <f>YEAR(Table1[[#This Row],[Order_Date]])</f>
        <v>2023</v>
      </c>
      <c r="O4757" s="7">
        <f>Table1[[#This Row],[Profit]]/Table1[[#This Row],[Total_Sales]]</f>
        <v>0.36037702373031716</v>
      </c>
    </row>
    <row r="4758" spans="1:15" x14ac:dyDescent="0.25">
      <c r="A4758" s="1">
        <v>4757</v>
      </c>
      <c r="B4758" s="2">
        <v>45646</v>
      </c>
      <c r="C4758" s="1" t="s">
        <v>16</v>
      </c>
      <c r="D4758" s="1" t="s">
        <v>22</v>
      </c>
      <c r="E4758" s="1" t="s">
        <v>23</v>
      </c>
      <c r="F4758" s="1" t="s">
        <v>31</v>
      </c>
      <c r="G4758" s="1">
        <v>1</v>
      </c>
      <c r="H4758" s="1">
        <v>679</v>
      </c>
      <c r="I4758" s="1">
        <v>5</v>
      </c>
      <c r="J4758" s="4">
        <v>645.04999999999995</v>
      </c>
      <c r="K4758" s="4">
        <v>331.09</v>
      </c>
      <c r="L4758" s="4">
        <v>313.95999999999998</v>
      </c>
      <c r="M4758" s="1" t="str">
        <f>TEXT(Table1[[#This Row],[Order_Date]], "MMM")</f>
        <v>Dec</v>
      </c>
      <c r="N4758" s="1">
        <f>YEAR(Table1[[#This Row],[Order_Date]])</f>
        <v>2024</v>
      </c>
      <c r="O4758" s="7">
        <f>Table1[[#This Row],[Profit]]/Table1[[#This Row],[Total_Sales]]</f>
        <v>0.48672195953802033</v>
      </c>
    </row>
    <row r="4759" spans="1:15" x14ac:dyDescent="0.25">
      <c r="A4759" s="1">
        <v>4758</v>
      </c>
      <c r="B4759" s="2">
        <v>45084</v>
      </c>
      <c r="C4759" s="1" t="s">
        <v>16</v>
      </c>
      <c r="D4759" s="1" t="s">
        <v>13</v>
      </c>
      <c r="E4759" s="1" t="s">
        <v>38</v>
      </c>
      <c r="F4759" s="1" t="s">
        <v>24</v>
      </c>
      <c r="G4759" s="1">
        <v>6</v>
      </c>
      <c r="H4759" s="1">
        <v>24</v>
      </c>
      <c r="I4759" s="1">
        <v>15</v>
      </c>
      <c r="J4759" s="4">
        <v>122.4</v>
      </c>
      <c r="K4759" s="4">
        <v>70.849999999999994</v>
      </c>
      <c r="L4759" s="4">
        <v>51.55</v>
      </c>
      <c r="M4759" s="1" t="str">
        <f>TEXT(Table1[[#This Row],[Order_Date]], "MMM")</f>
        <v>Jun</v>
      </c>
      <c r="N4759" s="1">
        <f>YEAR(Table1[[#This Row],[Order_Date]])</f>
        <v>2023</v>
      </c>
      <c r="O4759" s="7">
        <f>Table1[[#This Row],[Profit]]/Table1[[#This Row],[Total_Sales]]</f>
        <v>0.4211601307189542</v>
      </c>
    </row>
    <row r="4760" spans="1:15" x14ac:dyDescent="0.25">
      <c r="A4760" s="1">
        <v>4759</v>
      </c>
      <c r="B4760" s="2">
        <v>45620</v>
      </c>
      <c r="C4760" s="1" t="s">
        <v>12</v>
      </c>
      <c r="D4760" s="1" t="s">
        <v>20</v>
      </c>
      <c r="E4760" s="1" t="s">
        <v>30</v>
      </c>
      <c r="F4760" s="1" t="s">
        <v>18</v>
      </c>
      <c r="G4760" s="1">
        <v>2</v>
      </c>
      <c r="H4760" s="1">
        <v>707</v>
      </c>
      <c r="I4760" s="1">
        <v>20</v>
      </c>
      <c r="J4760" s="4">
        <v>1131.2</v>
      </c>
      <c r="K4760" s="4">
        <v>849.69</v>
      </c>
      <c r="L4760" s="4">
        <v>281.51</v>
      </c>
      <c r="M4760" s="1" t="str">
        <f>TEXT(Table1[[#This Row],[Order_Date]], "MMM")</f>
        <v>Nov</v>
      </c>
      <c r="N4760" s="1">
        <f>YEAR(Table1[[#This Row],[Order_Date]])</f>
        <v>2024</v>
      </c>
      <c r="O4760" s="7">
        <f>Table1[[#This Row],[Profit]]/Table1[[#This Row],[Total_Sales]]</f>
        <v>0.24885961810466758</v>
      </c>
    </row>
    <row r="4761" spans="1:15" x14ac:dyDescent="0.25">
      <c r="A4761" s="1">
        <v>4760</v>
      </c>
      <c r="B4761" s="2">
        <v>45000</v>
      </c>
      <c r="C4761" s="1" t="s">
        <v>16</v>
      </c>
      <c r="D4761" s="1" t="s">
        <v>26</v>
      </c>
      <c r="E4761" s="1" t="s">
        <v>27</v>
      </c>
      <c r="F4761" s="1" t="s">
        <v>40</v>
      </c>
      <c r="G4761" s="1">
        <v>7</v>
      </c>
      <c r="H4761" s="1">
        <v>361</v>
      </c>
      <c r="I4761" s="1">
        <v>5</v>
      </c>
      <c r="J4761" s="4">
        <v>2400.65</v>
      </c>
      <c r="K4761" s="4">
        <v>1607.23</v>
      </c>
      <c r="L4761" s="4">
        <v>793.42</v>
      </c>
      <c r="M4761" s="1" t="str">
        <f>TEXT(Table1[[#This Row],[Order_Date]], "MMM")</f>
        <v>Mar</v>
      </c>
      <c r="N4761" s="1">
        <f>YEAR(Table1[[#This Row],[Order_Date]])</f>
        <v>2023</v>
      </c>
      <c r="O4761" s="7">
        <f>Table1[[#This Row],[Profit]]/Table1[[#This Row],[Total_Sales]]</f>
        <v>0.33050215566617369</v>
      </c>
    </row>
    <row r="4762" spans="1:15" x14ac:dyDescent="0.25">
      <c r="A4762" s="1">
        <v>4761</v>
      </c>
      <c r="B4762" s="2">
        <v>45407</v>
      </c>
      <c r="C4762" s="1" t="s">
        <v>19</v>
      </c>
      <c r="D4762" s="1" t="s">
        <v>22</v>
      </c>
      <c r="E4762" s="1" t="s">
        <v>44</v>
      </c>
      <c r="F4762" s="1" t="s">
        <v>35</v>
      </c>
      <c r="G4762" s="1">
        <v>6</v>
      </c>
      <c r="H4762" s="1">
        <v>827</v>
      </c>
      <c r="I4762" s="1">
        <v>15</v>
      </c>
      <c r="J4762" s="4">
        <v>4217.7</v>
      </c>
      <c r="K4762" s="4">
        <v>2998.38</v>
      </c>
      <c r="L4762" s="4">
        <v>1219.32</v>
      </c>
      <c r="M4762" s="1" t="str">
        <f>TEXT(Table1[[#This Row],[Order_Date]], "MMM")</f>
        <v>Apr</v>
      </c>
      <c r="N4762" s="1">
        <f>YEAR(Table1[[#This Row],[Order_Date]])</f>
        <v>2024</v>
      </c>
      <c r="O4762" s="7">
        <f>Table1[[#This Row],[Profit]]/Table1[[#This Row],[Total_Sales]]</f>
        <v>0.28909595277046729</v>
      </c>
    </row>
    <row r="4763" spans="1:15" x14ac:dyDescent="0.25">
      <c r="A4763" s="1">
        <v>4762</v>
      </c>
      <c r="B4763" s="2">
        <v>45360</v>
      </c>
      <c r="C4763" s="1" t="s">
        <v>19</v>
      </c>
      <c r="D4763" s="1" t="s">
        <v>22</v>
      </c>
      <c r="E4763" s="1" t="s">
        <v>44</v>
      </c>
      <c r="F4763" s="1" t="s">
        <v>24</v>
      </c>
      <c r="G4763" s="1">
        <v>8</v>
      </c>
      <c r="H4763" s="1">
        <v>653</v>
      </c>
      <c r="I4763" s="1">
        <v>15</v>
      </c>
      <c r="J4763" s="4">
        <v>4440.3999999999996</v>
      </c>
      <c r="K4763" s="4">
        <v>3408.6</v>
      </c>
      <c r="L4763" s="4">
        <v>1031.8</v>
      </c>
      <c r="M4763" s="1" t="str">
        <f>TEXT(Table1[[#This Row],[Order_Date]], "MMM")</f>
        <v>Mar</v>
      </c>
      <c r="N4763" s="1">
        <f>YEAR(Table1[[#This Row],[Order_Date]])</f>
        <v>2024</v>
      </c>
      <c r="O4763" s="7">
        <f>Table1[[#This Row],[Profit]]/Table1[[#This Row],[Total_Sales]]</f>
        <v>0.23236645347266013</v>
      </c>
    </row>
    <row r="4764" spans="1:15" x14ac:dyDescent="0.25">
      <c r="A4764" s="1">
        <v>4763</v>
      </c>
      <c r="B4764" s="2">
        <v>45527</v>
      </c>
      <c r="C4764" s="1" t="s">
        <v>16</v>
      </c>
      <c r="D4764" s="1" t="s">
        <v>26</v>
      </c>
      <c r="E4764" s="1" t="s">
        <v>46</v>
      </c>
      <c r="F4764" s="1" t="s">
        <v>15</v>
      </c>
      <c r="G4764" s="1">
        <v>4</v>
      </c>
      <c r="H4764" s="1">
        <v>780</v>
      </c>
      <c r="I4764" s="1">
        <v>5</v>
      </c>
      <c r="J4764" s="4">
        <v>2964</v>
      </c>
      <c r="K4764" s="4">
        <v>1714.34</v>
      </c>
      <c r="L4764" s="4">
        <v>1249.6600000000001</v>
      </c>
      <c r="M4764" s="1" t="str">
        <f>TEXT(Table1[[#This Row],[Order_Date]], "MMM")</f>
        <v>Aug</v>
      </c>
      <c r="N4764" s="1">
        <f>YEAR(Table1[[#This Row],[Order_Date]])</f>
        <v>2024</v>
      </c>
      <c r="O4764" s="7">
        <f>Table1[[#This Row],[Profit]]/Table1[[#This Row],[Total_Sales]]</f>
        <v>0.42161268556005399</v>
      </c>
    </row>
    <row r="4765" spans="1:15" x14ac:dyDescent="0.25">
      <c r="A4765" s="1">
        <v>4764</v>
      </c>
      <c r="B4765" s="2">
        <v>45254</v>
      </c>
      <c r="C4765" s="1" t="s">
        <v>12</v>
      </c>
      <c r="D4765" s="1" t="s">
        <v>20</v>
      </c>
      <c r="E4765" s="1" t="s">
        <v>30</v>
      </c>
      <c r="F4765" s="1" t="s">
        <v>18</v>
      </c>
      <c r="G4765" s="1">
        <v>7</v>
      </c>
      <c r="H4765" s="1">
        <v>285</v>
      </c>
      <c r="I4765" s="1">
        <v>10</v>
      </c>
      <c r="J4765" s="4">
        <v>1795.5</v>
      </c>
      <c r="K4765" s="4">
        <v>1095.29</v>
      </c>
      <c r="L4765" s="4">
        <v>700.21</v>
      </c>
      <c r="M4765" s="1" t="str">
        <f>TEXT(Table1[[#This Row],[Order_Date]], "MMM")</f>
        <v>Nov</v>
      </c>
      <c r="N4765" s="1">
        <f>YEAR(Table1[[#This Row],[Order_Date]])</f>
        <v>2023</v>
      </c>
      <c r="O4765" s="7">
        <f>Table1[[#This Row],[Profit]]/Table1[[#This Row],[Total_Sales]]</f>
        <v>0.38998050682261209</v>
      </c>
    </row>
    <row r="4766" spans="1:15" x14ac:dyDescent="0.25">
      <c r="A4766" s="1">
        <v>4765</v>
      </c>
      <c r="B4766" s="2">
        <v>45619</v>
      </c>
      <c r="C4766" s="1" t="s">
        <v>19</v>
      </c>
      <c r="D4766" s="1" t="s">
        <v>13</v>
      </c>
      <c r="E4766" s="1" t="s">
        <v>39</v>
      </c>
      <c r="F4766" s="1" t="s">
        <v>18</v>
      </c>
      <c r="G4766" s="1">
        <v>2</v>
      </c>
      <c r="H4766" s="1">
        <v>51</v>
      </c>
      <c r="I4766" s="1">
        <v>10</v>
      </c>
      <c r="J4766" s="4">
        <v>91.8</v>
      </c>
      <c r="K4766" s="4">
        <v>73.36</v>
      </c>
      <c r="L4766" s="4">
        <v>18.440000000000001</v>
      </c>
      <c r="M4766" s="1" t="str">
        <f>TEXT(Table1[[#This Row],[Order_Date]], "MMM")</f>
        <v>Nov</v>
      </c>
      <c r="N4766" s="1">
        <f>YEAR(Table1[[#This Row],[Order_Date]])</f>
        <v>2024</v>
      </c>
      <c r="O4766" s="7">
        <f>Table1[[#This Row],[Profit]]/Table1[[#This Row],[Total_Sales]]</f>
        <v>0.20087145969498912</v>
      </c>
    </row>
    <row r="4767" spans="1:15" x14ac:dyDescent="0.25">
      <c r="A4767" s="1">
        <v>4766</v>
      </c>
      <c r="B4767" s="2">
        <v>45239</v>
      </c>
      <c r="C4767" s="1" t="s">
        <v>16</v>
      </c>
      <c r="D4767" s="1" t="s">
        <v>26</v>
      </c>
      <c r="E4767" s="1" t="s">
        <v>37</v>
      </c>
      <c r="F4767" s="1" t="s">
        <v>18</v>
      </c>
      <c r="G4767" s="1">
        <v>4</v>
      </c>
      <c r="H4767" s="1">
        <v>921</v>
      </c>
      <c r="I4767" s="1">
        <v>15</v>
      </c>
      <c r="J4767" s="4">
        <v>3131.4</v>
      </c>
      <c r="K4767" s="4">
        <v>2226.59</v>
      </c>
      <c r="L4767" s="4">
        <v>904.81</v>
      </c>
      <c r="M4767" s="1" t="str">
        <f>TEXT(Table1[[#This Row],[Order_Date]], "MMM")</f>
        <v>Nov</v>
      </c>
      <c r="N4767" s="1">
        <f>YEAR(Table1[[#This Row],[Order_Date]])</f>
        <v>2023</v>
      </c>
      <c r="O4767" s="7">
        <f>Table1[[#This Row],[Profit]]/Table1[[#This Row],[Total_Sales]]</f>
        <v>0.2889474356517851</v>
      </c>
    </row>
    <row r="4768" spans="1:15" x14ac:dyDescent="0.25">
      <c r="A4768" s="1">
        <v>4767</v>
      </c>
      <c r="B4768" s="2">
        <v>45029</v>
      </c>
      <c r="C4768" s="1" t="s">
        <v>12</v>
      </c>
      <c r="D4768" s="1" t="s">
        <v>26</v>
      </c>
      <c r="E4768" s="1" t="s">
        <v>42</v>
      </c>
      <c r="F4768" s="1" t="s">
        <v>15</v>
      </c>
      <c r="G4768" s="1">
        <v>3</v>
      </c>
      <c r="H4768" s="1">
        <v>224</v>
      </c>
      <c r="I4768" s="1">
        <v>20</v>
      </c>
      <c r="J4768" s="4">
        <v>537.6</v>
      </c>
      <c r="K4768" s="4">
        <v>354.55</v>
      </c>
      <c r="L4768" s="4">
        <v>183.05</v>
      </c>
      <c r="M4768" s="1" t="str">
        <f>TEXT(Table1[[#This Row],[Order_Date]], "MMM")</f>
        <v>Apr</v>
      </c>
      <c r="N4768" s="1">
        <f>YEAR(Table1[[#This Row],[Order_Date]])</f>
        <v>2023</v>
      </c>
      <c r="O4768" s="7">
        <f>Table1[[#This Row],[Profit]]/Table1[[#This Row],[Total_Sales]]</f>
        <v>0.34049479166666669</v>
      </c>
    </row>
    <row r="4769" spans="1:15" x14ac:dyDescent="0.25">
      <c r="A4769" s="1">
        <v>4768</v>
      </c>
      <c r="B4769" s="2">
        <v>45428</v>
      </c>
      <c r="C4769" s="1" t="s">
        <v>25</v>
      </c>
      <c r="D4769" s="1" t="s">
        <v>26</v>
      </c>
      <c r="E4769" s="1" t="s">
        <v>27</v>
      </c>
      <c r="F4769" s="1" t="s">
        <v>18</v>
      </c>
      <c r="G4769" s="1">
        <v>10</v>
      </c>
      <c r="H4769" s="1">
        <v>566</v>
      </c>
      <c r="I4769" s="1">
        <v>0</v>
      </c>
      <c r="J4769" s="4">
        <v>5660</v>
      </c>
      <c r="K4769" s="4">
        <v>2866.04</v>
      </c>
      <c r="L4769" s="4">
        <v>2793.96</v>
      </c>
      <c r="M4769" s="1" t="str">
        <f>TEXT(Table1[[#This Row],[Order_Date]], "MMM")</f>
        <v>May</v>
      </c>
      <c r="N4769" s="1">
        <f>YEAR(Table1[[#This Row],[Order_Date]])</f>
        <v>2024</v>
      </c>
      <c r="O4769" s="7">
        <f>Table1[[#This Row],[Profit]]/Table1[[#This Row],[Total_Sales]]</f>
        <v>0.49363250883392229</v>
      </c>
    </row>
    <row r="4770" spans="1:15" x14ac:dyDescent="0.25">
      <c r="A4770" s="1">
        <v>4769</v>
      </c>
      <c r="B4770" s="2">
        <v>45227</v>
      </c>
      <c r="C4770" s="1" t="s">
        <v>16</v>
      </c>
      <c r="D4770" s="1" t="s">
        <v>32</v>
      </c>
      <c r="E4770" s="1" t="s">
        <v>33</v>
      </c>
      <c r="F4770" s="1" t="s">
        <v>18</v>
      </c>
      <c r="G4770" s="1">
        <v>9</v>
      </c>
      <c r="H4770" s="1">
        <v>546</v>
      </c>
      <c r="I4770" s="1">
        <v>15</v>
      </c>
      <c r="J4770" s="4">
        <v>4176.8999999999996</v>
      </c>
      <c r="K4770" s="4">
        <v>3111.75</v>
      </c>
      <c r="L4770" s="4">
        <v>1065.1500000000001</v>
      </c>
      <c r="M4770" s="1" t="str">
        <f>TEXT(Table1[[#This Row],[Order_Date]], "MMM")</f>
        <v>Oct</v>
      </c>
      <c r="N4770" s="1">
        <f>YEAR(Table1[[#This Row],[Order_Date]])</f>
        <v>2023</v>
      </c>
      <c r="O4770" s="7">
        <f>Table1[[#This Row],[Profit]]/Table1[[#This Row],[Total_Sales]]</f>
        <v>0.25500969618616681</v>
      </c>
    </row>
    <row r="4771" spans="1:15" x14ac:dyDescent="0.25">
      <c r="A4771" s="1">
        <v>4770</v>
      </c>
      <c r="B4771" s="2">
        <v>45471</v>
      </c>
      <c r="C4771" s="1" t="s">
        <v>19</v>
      </c>
      <c r="D4771" s="1" t="s">
        <v>22</v>
      </c>
      <c r="E4771" s="1" t="s">
        <v>36</v>
      </c>
      <c r="F4771" s="1" t="s">
        <v>31</v>
      </c>
      <c r="G4771" s="1">
        <v>2</v>
      </c>
      <c r="H4771" s="1">
        <v>781</v>
      </c>
      <c r="I4771" s="1">
        <v>20</v>
      </c>
      <c r="J4771" s="4">
        <v>1249.5999999999999</v>
      </c>
      <c r="K4771" s="4">
        <v>717.04</v>
      </c>
      <c r="L4771" s="4">
        <v>532.55999999999995</v>
      </c>
      <c r="M4771" s="1" t="str">
        <f>TEXT(Table1[[#This Row],[Order_Date]], "MMM")</f>
        <v>Jun</v>
      </c>
      <c r="N4771" s="1">
        <f>YEAR(Table1[[#This Row],[Order_Date]])</f>
        <v>2024</v>
      </c>
      <c r="O4771" s="7">
        <f>Table1[[#This Row],[Profit]]/Table1[[#This Row],[Total_Sales]]</f>
        <v>0.42618437900128042</v>
      </c>
    </row>
    <row r="4772" spans="1:15" x14ac:dyDescent="0.25">
      <c r="A4772" s="1">
        <v>4771</v>
      </c>
      <c r="B4772" s="2">
        <v>45611</v>
      </c>
      <c r="C4772" s="1" t="s">
        <v>16</v>
      </c>
      <c r="D4772" s="1" t="s">
        <v>20</v>
      </c>
      <c r="E4772" s="1" t="s">
        <v>30</v>
      </c>
      <c r="F4772" s="1" t="s">
        <v>31</v>
      </c>
      <c r="G4772" s="1">
        <v>2</v>
      </c>
      <c r="H4772" s="1">
        <v>522</v>
      </c>
      <c r="I4772" s="1">
        <v>0</v>
      </c>
      <c r="J4772" s="4">
        <v>1044</v>
      </c>
      <c r="K4772" s="4">
        <v>650.34</v>
      </c>
      <c r="L4772" s="4">
        <v>393.66</v>
      </c>
      <c r="M4772" s="1" t="str">
        <f>TEXT(Table1[[#This Row],[Order_Date]], "MMM")</f>
        <v>Nov</v>
      </c>
      <c r="N4772" s="1">
        <f>YEAR(Table1[[#This Row],[Order_Date]])</f>
        <v>2024</v>
      </c>
      <c r="O4772" s="7">
        <f>Table1[[#This Row],[Profit]]/Table1[[#This Row],[Total_Sales]]</f>
        <v>0.37706896551724139</v>
      </c>
    </row>
    <row r="4773" spans="1:15" x14ac:dyDescent="0.25">
      <c r="A4773" s="1">
        <v>4772</v>
      </c>
      <c r="B4773" s="2">
        <v>44954</v>
      </c>
      <c r="C4773" s="1" t="s">
        <v>19</v>
      </c>
      <c r="D4773" s="1" t="s">
        <v>32</v>
      </c>
      <c r="E4773" s="1" t="s">
        <v>34</v>
      </c>
      <c r="F4773" s="1" t="s">
        <v>18</v>
      </c>
      <c r="G4773" s="1">
        <v>1</v>
      </c>
      <c r="H4773" s="1">
        <v>644</v>
      </c>
      <c r="I4773" s="1">
        <v>20</v>
      </c>
      <c r="J4773" s="4">
        <v>515.20000000000005</v>
      </c>
      <c r="K4773" s="4">
        <v>314.91000000000003</v>
      </c>
      <c r="L4773" s="4">
        <v>200.29</v>
      </c>
      <c r="M4773" s="1" t="str">
        <f>TEXT(Table1[[#This Row],[Order_Date]], "MMM")</f>
        <v>Jan</v>
      </c>
      <c r="N4773" s="1">
        <f>YEAR(Table1[[#This Row],[Order_Date]])</f>
        <v>2023</v>
      </c>
      <c r="O4773" s="7">
        <f>Table1[[#This Row],[Profit]]/Table1[[#This Row],[Total_Sales]]</f>
        <v>0.38876164596273288</v>
      </c>
    </row>
    <row r="4774" spans="1:15" x14ac:dyDescent="0.25">
      <c r="A4774" s="1">
        <v>4773</v>
      </c>
      <c r="B4774" s="2">
        <v>44991</v>
      </c>
      <c r="C4774" s="1" t="s">
        <v>12</v>
      </c>
      <c r="D4774" s="1" t="s">
        <v>20</v>
      </c>
      <c r="E4774" s="1" t="s">
        <v>43</v>
      </c>
      <c r="F4774" s="1" t="s">
        <v>18</v>
      </c>
      <c r="G4774" s="1">
        <v>10</v>
      </c>
      <c r="H4774" s="1">
        <v>236</v>
      </c>
      <c r="I4774" s="1">
        <v>15</v>
      </c>
      <c r="J4774" s="4">
        <v>2006</v>
      </c>
      <c r="K4774" s="4">
        <v>1249.05</v>
      </c>
      <c r="L4774" s="4">
        <v>756.95</v>
      </c>
      <c r="M4774" s="1" t="str">
        <f>TEXT(Table1[[#This Row],[Order_Date]], "MMM")</f>
        <v>Mar</v>
      </c>
      <c r="N4774" s="1">
        <f>YEAR(Table1[[#This Row],[Order_Date]])</f>
        <v>2023</v>
      </c>
      <c r="O4774" s="7">
        <f>Table1[[#This Row],[Profit]]/Table1[[#This Row],[Total_Sales]]</f>
        <v>0.37734297108673981</v>
      </c>
    </row>
    <row r="4775" spans="1:15" x14ac:dyDescent="0.25">
      <c r="A4775" s="1">
        <v>4774</v>
      </c>
      <c r="B4775" s="2">
        <v>45311</v>
      </c>
      <c r="C4775" s="1" t="s">
        <v>25</v>
      </c>
      <c r="D4775" s="1" t="s">
        <v>20</v>
      </c>
      <c r="E4775" s="1" t="s">
        <v>43</v>
      </c>
      <c r="F4775" s="1" t="s">
        <v>31</v>
      </c>
      <c r="G4775" s="1">
        <v>9</v>
      </c>
      <c r="H4775" s="1">
        <v>720</v>
      </c>
      <c r="I4775" s="1">
        <v>5</v>
      </c>
      <c r="J4775" s="4">
        <v>6156</v>
      </c>
      <c r="K4775" s="4">
        <v>3299.83</v>
      </c>
      <c r="L4775" s="4">
        <v>2856.17</v>
      </c>
      <c r="M4775" s="1" t="str">
        <f>TEXT(Table1[[#This Row],[Order_Date]], "MMM")</f>
        <v>Jan</v>
      </c>
      <c r="N4775" s="1">
        <f>YEAR(Table1[[#This Row],[Order_Date]])</f>
        <v>2024</v>
      </c>
      <c r="O4775" s="7">
        <f>Table1[[#This Row],[Profit]]/Table1[[#This Row],[Total_Sales]]</f>
        <v>0.46396523716699156</v>
      </c>
    </row>
    <row r="4776" spans="1:15" x14ac:dyDescent="0.25">
      <c r="A4776" s="1">
        <v>4775</v>
      </c>
      <c r="B4776" s="2">
        <v>45623</v>
      </c>
      <c r="C4776" s="1" t="s">
        <v>19</v>
      </c>
      <c r="D4776" s="1" t="s">
        <v>13</v>
      </c>
      <c r="E4776" s="1" t="s">
        <v>38</v>
      </c>
      <c r="F4776" s="1" t="s">
        <v>31</v>
      </c>
      <c r="G4776" s="1">
        <v>7</v>
      </c>
      <c r="H4776" s="1">
        <v>82</v>
      </c>
      <c r="I4776" s="1">
        <v>5</v>
      </c>
      <c r="J4776" s="4">
        <v>545.29999999999995</v>
      </c>
      <c r="K4776" s="4">
        <v>318.45999999999998</v>
      </c>
      <c r="L4776" s="4">
        <v>226.84</v>
      </c>
      <c r="M4776" s="1" t="str">
        <f>TEXT(Table1[[#This Row],[Order_Date]], "MMM")</f>
        <v>Nov</v>
      </c>
      <c r="N4776" s="1">
        <f>YEAR(Table1[[#This Row],[Order_Date]])</f>
        <v>2024</v>
      </c>
      <c r="O4776" s="7">
        <f>Table1[[#This Row],[Profit]]/Table1[[#This Row],[Total_Sales]]</f>
        <v>0.41599119750596009</v>
      </c>
    </row>
    <row r="4777" spans="1:15" x14ac:dyDescent="0.25">
      <c r="A4777" s="1">
        <v>4776</v>
      </c>
      <c r="B4777" s="2">
        <v>45000</v>
      </c>
      <c r="C4777" s="1" t="s">
        <v>16</v>
      </c>
      <c r="D4777" s="1" t="s">
        <v>13</v>
      </c>
      <c r="E4777" s="1" t="s">
        <v>38</v>
      </c>
      <c r="F4777" s="1" t="s">
        <v>31</v>
      </c>
      <c r="G4777" s="1">
        <v>6</v>
      </c>
      <c r="H4777" s="1">
        <v>228</v>
      </c>
      <c r="I4777" s="1">
        <v>10</v>
      </c>
      <c r="J4777" s="4">
        <v>1231.2</v>
      </c>
      <c r="K4777" s="4">
        <v>745.91</v>
      </c>
      <c r="L4777" s="4">
        <v>485.29</v>
      </c>
      <c r="M4777" s="1" t="str">
        <f>TEXT(Table1[[#This Row],[Order_Date]], "MMM")</f>
        <v>Mar</v>
      </c>
      <c r="N4777" s="1">
        <f>YEAR(Table1[[#This Row],[Order_Date]])</f>
        <v>2023</v>
      </c>
      <c r="O4777" s="7">
        <f>Table1[[#This Row],[Profit]]/Table1[[#This Row],[Total_Sales]]</f>
        <v>0.39416016894087069</v>
      </c>
    </row>
    <row r="4778" spans="1:15" x14ac:dyDescent="0.25">
      <c r="A4778" s="1">
        <v>4777</v>
      </c>
      <c r="B4778" s="2">
        <v>45536</v>
      </c>
      <c r="C4778" s="1" t="s">
        <v>25</v>
      </c>
      <c r="D4778" s="1" t="s">
        <v>13</v>
      </c>
      <c r="E4778" s="1" t="s">
        <v>39</v>
      </c>
      <c r="F4778" s="1" t="s">
        <v>40</v>
      </c>
      <c r="G4778" s="1">
        <v>8</v>
      </c>
      <c r="H4778" s="1">
        <v>442</v>
      </c>
      <c r="I4778" s="1">
        <v>15</v>
      </c>
      <c r="J4778" s="4">
        <v>3005.6</v>
      </c>
      <c r="K4778" s="4">
        <v>1831.43</v>
      </c>
      <c r="L4778" s="4">
        <v>1174.17</v>
      </c>
      <c r="M4778" s="1" t="str">
        <f>TEXT(Table1[[#This Row],[Order_Date]], "MMM")</f>
        <v>Sep</v>
      </c>
      <c r="N4778" s="1">
        <f>YEAR(Table1[[#This Row],[Order_Date]])</f>
        <v>2024</v>
      </c>
      <c r="O4778" s="7">
        <f>Table1[[#This Row],[Profit]]/Table1[[#This Row],[Total_Sales]]</f>
        <v>0.39066076656907112</v>
      </c>
    </row>
    <row r="4779" spans="1:15" x14ac:dyDescent="0.25">
      <c r="A4779" s="1">
        <v>4778</v>
      </c>
      <c r="B4779" s="2">
        <v>45416</v>
      </c>
      <c r="C4779" s="1" t="s">
        <v>12</v>
      </c>
      <c r="D4779" s="1" t="s">
        <v>13</v>
      </c>
      <c r="E4779" s="1" t="s">
        <v>14</v>
      </c>
      <c r="F4779" s="1" t="s">
        <v>15</v>
      </c>
      <c r="G4779" s="1">
        <v>3</v>
      </c>
      <c r="H4779" s="1">
        <v>311</v>
      </c>
      <c r="I4779" s="1">
        <v>5</v>
      </c>
      <c r="J4779" s="4">
        <v>886.35</v>
      </c>
      <c r="K4779" s="4">
        <v>586.09</v>
      </c>
      <c r="L4779" s="4">
        <v>300.26</v>
      </c>
      <c r="M4779" s="1" t="str">
        <f>TEXT(Table1[[#This Row],[Order_Date]], "MMM")</f>
        <v>May</v>
      </c>
      <c r="N4779" s="1">
        <f>YEAR(Table1[[#This Row],[Order_Date]])</f>
        <v>2024</v>
      </c>
      <c r="O4779" s="7">
        <f>Table1[[#This Row],[Profit]]/Table1[[#This Row],[Total_Sales]]</f>
        <v>0.33876008348846393</v>
      </c>
    </row>
    <row r="4780" spans="1:15" x14ac:dyDescent="0.25">
      <c r="A4780" s="1">
        <v>4779</v>
      </c>
      <c r="B4780" s="2">
        <v>45307</v>
      </c>
      <c r="C4780" s="1" t="s">
        <v>12</v>
      </c>
      <c r="D4780" s="1" t="s">
        <v>22</v>
      </c>
      <c r="E4780" s="1" t="s">
        <v>23</v>
      </c>
      <c r="F4780" s="1" t="s">
        <v>31</v>
      </c>
      <c r="G4780" s="1">
        <v>3</v>
      </c>
      <c r="H4780" s="1">
        <v>477</v>
      </c>
      <c r="I4780" s="1">
        <v>15</v>
      </c>
      <c r="J4780" s="4">
        <v>1216.3499999999999</v>
      </c>
      <c r="K4780" s="4">
        <v>885.07</v>
      </c>
      <c r="L4780" s="4">
        <v>331.28</v>
      </c>
      <c r="M4780" s="1" t="str">
        <f>TEXT(Table1[[#This Row],[Order_Date]], "MMM")</f>
        <v>Jan</v>
      </c>
      <c r="N4780" s="1">
        <f>YEAR(Table1[[#This Row],[Order_Date]])</f>
        <v>2024</v>
      </c>
      <c r="O4780" s="7">
        <f>Table1[[#This Row],[Profit]]/Table1[[#This Row],[Total_Sales]]</f>
        <v>0.27235581863772762</v>
      </c>
    </row>
    <row r="4781" spans="1:15" x14ac:dyDescent="0.25">
      <c r="A4781" s="1">
        <v>4780</v>
      </c>
      <c r="B4781" s="2">
        <v>44985</v>
      </c>
      <c r="C4781" s="1" t="s">
        <v>19</v>
      </c>
      <c r="D4781" s="1" t="s">
        <v>26</v>
      </c>
      <c r="E4781" s="1" t="s">
        <v>42</v>
      </c>
      <c r="F4781" s="1" t="s">
        <v>35</v>
      </c>
      <c r="G4781" s="1">
        <v>9</v>
      </c>
      <c r="H4781" s="1">
        <v>190</v>
      </c>
      <c r="I4781" s="1">
        <v>10</v>
      </c>
      <c r="J4781" s="4">
        <v>1539</v>
      </c>
      <c r="K4781" s="4">
        <v>1042.78</v>
      </c>
      <c r="L4781" s="4">
        <v>496.22</v>
      </c>
      <c r="M4781" s="1" t="str">
        <f>TEXT(Table1[[#This Row],[Order_Date]], "MMM")</f>
        <v>Feb</v>
      </c>
      <c r="N4781" s="1">
        <f>YEAR(Table1[[#This Row],[Order_Date]])</f>
        <v>2023</v>
      </c>
      <c r="O4781" s="7">
        <f>Table1[[#This Row],[Profit]]/Table1[[#This Row],[Total_Sales]]</f>
        <v>0.32243014944769333</v>
      </c>
    </row>
    <row r="4782" spans="1:15" x14ac:dyDescent="0.25">
      <c r="A4782" s="1">
        <v>4781</v>
      </c>
      <c r="B4782" s="2">
        <v>45223</v>
      </c>
      <c r="C4782" s="1" t="s">
        <v>12</v>
      </c>
      <c r="D4782" s="1" t="s">
        <v>26</v>
      </c>
      <c r="E4782" s="1" t="s">
        <v>42</v>
      </c>
      <c r="F4782" s="1" t="s">
        <v>40</v>
      </c>
      <c r="G4782" s="1">
        <v>9</v>
      </c>
      <c r="H4782" s="1">
        <v>196</v>
      </c>
      <c r="I4782" s="1">
        <v>5</v>
      </c>
      <c r="J4782" s="4">
        <v>1675.8</v>
      </c>
      <c r="K4782" s="4">
        <v>908.48</v>
      </c>
      <c r="L4782" s="4">
        <v>767.32</v>
      </c>
      <c r="M4782" s="1" t="str">
        <f>TEXT(Table1[[#This Row],[Order_Date]], "MMM")</f>
        <v>Oct</v>
      </c>
      <c r="N4782" s="1">
        <f>YEAR(Table1[[#This Row],[Order_Date]])</f>
        <v>2023</v>
      </c>
      <c r="O4782" s="7">
        <f>Table1[[#This Row],[Profit]]/Table1[[#This Row],[Total_Sales]]</f>
        <v>0.45788280224370453</v>
      </c>
    </row>
    <row r="4783" spans="1:15" x14ac:dyDescent="0.25">
      <c r="A4783" s="1">
        <v>4782</v>
      </c>
      <c r="B4783" s="2">
        <v>45232</v>
      </c>
      <c r="C4783" s="1" t="s">
        <v>25</v>
      </c>
      <c r="D4783" s="1" t="s">
        <v>22</v>
      </c>
      <c r="E4783" s="1" t="s">
        <v>44</v>
      </c>
      <c r="F4783" s="1" t="s">
        <v>24</v>
      </c>
      <c r="G4783" s="1">
        <v>3</v>
      </c>
      <c r="H4783" s="1">
        <v>877</v>
      </c>
      <c r="I4783" s="1">
        <v>5</v>
      </c>
      <c r="J4783" s="4">
        <v>2499.4499999999998</v>
      </c>
      <c r="K4783" s="4">
        <v>1609.8</v>
      </c>
      <c r="L4783" s="4">
        <v>889.65</v>
      </c>
      <c r="M4783" s="1" t="str">
        <f>TEXT(Table1[[#This Row],[Order_Date]], "MMM")</f>
        <v>Nov</v>
      </c>
      <c r="N4783" s="1">
        <f>YEAR(Table1[[#This Row],[Order_Date]])</f>
        <v>2023</v>
      </c>
      <c r="O4783" s="7">
        <f>Table1[[#This Row],[Profit]]/Table1[[#This Row],[Total_Sales]]</f>
        <v>0.35593830642741403</v>
      </c>
    </row>
    <row r="4784" spans="1:15" x14ac:dyDescent="0.25">
      <c r="A4784" s="1">
        <v>4783</v>
      </c>
      <c r="B4784" s="2">
        <v>45111</v>
      </c>
      <c r="C4784" s="1" t="s">
        <v>25</v>
      </c>
      <c r="D4784" s="1" t="s">
        <v>22</v>
      </c>
      <c r="E4784" s="1" t="s">
        <v>44</v>
      </c>
      <c r="F4784" s="1" t="s">
        <v>15</v>
      </c>
      <c r="G4784" s="1">
        <v>5</v>
      </c>
      <c r="H4784" s="1">
        <v>212</v>
      </c>
      <c r="I4784" s="1">
        <v>0</v>
      </c>
      <c r="J4784" s="4">
        <v>1060</v>
      </c>
      <c r="K4784" s="4">
        <v>663.13</v>
      </c>
      <c r="L4784" s="4">
        <v>396.87</v>
      </c>
      <c r="M4784" s="1" t="str">
        <f>TEXT(Table1[[#This Row],[Order_Date]], "MMM")</f>
        <v>Jul</v>
      </c>
      <c r="N4784" s="1">
        <f>YEAR(Table1[[#This Row],[Order_Date]])</f>
        <v>2023</v>
      </c>
      <c r="O4784" s="7">
        <f>Table1[[#This Row],[Profit]]/Table1[[#This Row],[Total_Sales]]</f>
        <v>0.37440566037735851</v>
      </c>
    </row>
    <row r="4785" spans="1:15" x14ac:dyDescent="0.25">
      <c r="A4785" s="1">
        <v>4784</v>
      </c>
      <c r="B4785" s="2">
        <v>44930</v>
      </c>
      <c r="C4785" s="1" t="s">
        <v>25</v>
      </c>
      <c r="D4785" s="1" t="s">
        <v>13</v>
      </c>
      <c r="E4785" s="1" t="s">
        <v>38</v>
      </c>
      <c r="F4785" s="1" t="s">
        <v>24</v>
      </c>
      <c r="G4785" s="1">
        <v>1</v>
      </c>
      <c r="H4785" s="1">
        <v>147</v>
      </c>
      <c r="I4785" s="1">
        <v>20</v>
      </c>
      <c r="J4785" s="4">
        <v>117.6</v>
      </c>
      <c r="K4785" s="4">
        <v>79.42</v>
      </c>
      <c r="L4785" s="4">
        <v>38.18</v>
      </c>
      <c r="M4785" s="1" t="str">
        <f>TEXT(Table1[[#This Row],[Order_Date]], "MMM")</f>
        <v>Jan</v>
      </c>
      <c r="N4785" s="1">
        <f>YEAR(Table1[[#This Row],[Order_Date]])</f>
        <v>2023</v>
      </c>
      <c r="O4785" s="7">
        <f>Table1[[#This Row],[Profit]]/Table1[[#This Row],[Total_Sales]]</f>
        <v>0.32465986394557822</v>
      </c>
    </row>
    <row r="4786" spans="1:15" x14ac:dyDescent="0.25">
      <c r="A4786" s="1">
        <v>4785</v>
      </c>
      <c r="B4786" s="2">
        <v>45002</v>
      </c>
      <c r="C4786" s="1" t="s">
        <v>16</v>
      </c>
      <c r="D4786" s="1" t="s">
        <v>26</v>
      </c>
      <c r="E4786" s="1" t="s">
        <v>37</v>
      </c>
      <c r="F4786" s="1" t="s">
        <v>35</v>
      </c>
      <c r="G4786" s="1">
        <v>3</v>
      </c>
      <c r="H4786" s="1">
        <v>692</v>
      </c>
      <c r="I4786" s="1">
        <v>0</v>
      </c>
      <c r="J4786" s="4">
        <v>2076</v>
      </c>
      <c r="K4786" s="4">
        <v>1135.57</v>
      </c>
      <c r="L4786" s="4">
        <v>940.43</v>
      </c>
      <c r="M4786" s="1" t="str">
        <f>TEXT(Table1[[#This Row],[Order_Date]], "MMM")</f>
        <v>Mar</v>
      </c>
      <c r="N4786" s="1">
        <f>YEAR(Table1[[#This Row],[Order_Date]])</f>
        <v>2023</v>
      </c>
      <c r="O4786" s="7">
        <f>Table1[[#This Row],[Profit]]/Table1[[#This Row],[Total_Sales]]</f>
        <v>0.45300096339113677</v>
      </c>
    </row>
    <row r="4787" spans="1:15" x14ac:dyDescent="0.25">
      <c r="A4787" s="1">
        <v>4786</v>
      </c>
      <c r="B4787" s="2">
        <v>45308</v>
      </c>
      <c r="C4787" s="1" t="s">
        <v>16</v>
      </c>
      <c r="D4787" s="1" t="s">
        <v>13</v>
      </c>
      <c r="E4787" s="1" t="s">
        <v>39</v>
      </c>
      <c r="F4787" s="1" t="s">
        <v>35</v>
      </c>
      <c r="G4787" s="1">
        <v>9</v>
      </c>
      <c r="H4787" s="1">
        <v>944</v>
      </c>
      <c r="I4787" s="1">
        <v>0</v>
      </c>
      <c r="J4787" s="4">
        <v>8496</v>
      </c>
      <c r="K4787" s="4">
        <v>4995.9399999999996</v>
      </c>
      <c r="L4787" s="4">
        <v>3500.06</v>
      </c>
      <c r="M4787" s="1" t="str">
        <f>TEXT(Table1[[#This Row],[Order_Date]], "MMM")</f>
        <v>Jan</v>
      </c>
      <c r="N4787" s="1">
        <f>YEAR(Table1[[#This Row],[Order_Date]])</f>
        <v>2024</v>
      </c>
      <c r="O4787" s="7">
        <f>Table1[[#This Row],[Profit]]/Table1[[#This Row],[Total_Sales]]</f>
        <v>0.41196563088512239</v>
      </c>
    </row>
    <row r="4788" spans="1:15" x14ac:dyDescent="0.25">
      <c r="A4788" s="1">
        <v>4787</v>
      </c>
      <c r="B4788" s="2">
        <v>45530</v>
      </c>
      <c r="C4788" s="1" t="s">
        <v>25</v>
      </c>
      <c r="D4788" s="1" t="s">
        <v>13</v>
      </c>
      <c r="E4788" s="1" t="s">
        <v>38</v>
      </c>
      <c r="F4788" s="1" t="s">
        <v>35</v>
      </c>
      <c r="G4788" s="1">
        <v>9</v>
      </c>
      <c r="H4788" s="1">
        <v>12</v>
      </c>
      <c r="I4788" s="1">
        <v>15</v>
      </c>
      <c r="J4788" s="4">
        <v>91.8</v>
      </c>
      <c r="K4788" s="4">
        <v>48.09</v>
      </c>
      <c r="L4788" s="4">
        <v>43.71</v>
      </c>
      <c r="M4788" s="1" t="str">
        <f>TEXT(Table1[[#This Row],[Order_Date]], "MMM")</f>
        <v>Aug</v>
      </c>
      <c r="N4788" s="1">
        <f>YEAR(Table1[[#This Row],[Order_Date]])</f>
        <v>2024</v>
      </c>
      <c r="O4788" s="7">
        <f>Table1[[#This Row],[Profit]]/Table1[[#This Row],[Total_Sales]]</f>
        <v>0.47614379084967323</v>
      </c>
    </row>
    <row r="4789" spans="1:15" x14ac:dyDescent="0.25">
      <c r="A4789" s="1">
        <v>4788</v>
      </c>
      <c r="B4789" s="2">
        <v>45193</v>
      </c>
      <c r="C4789" s="1" t="s">
        <v>12</v>
      </c>
      <c r="D4789" s="1" t="s">
        <v>20</v>
      </c>
      <c r="E4789" s="1" t="s">
        <v>43</v>
      </c>
      <c r="F4789" s="1" t="s">
        <v>31</v>
      </c>
      <c r="G4789" s="1">
        <v>1</v>
      </c>
      <c r="H4789" s="1">
        <v>283</v>
      </c>
      <c r="I4789" s="1">
        <v>10</v>
      </c>
      <c r="J4789" s="4">
        <v>254.7</v>
      </c>
      <c r="K4789" s="4">
        <v>179.94</v>
      </c>
      <c r="L4789" s="4">
        <v>74.760000000000005</v>
      </c>
      <c r="M4789" s="1" t="str">
        <f>TEXT(Table1[[#This Row],[Order_Date]], "MMM")</f>
        <v>Sep</v>
      </c>
      <c r="N4789" s="1">
        <f>YEAR(Table1[[#This Row],[Order_Date]])</f>
        <v>2023</v>
      </c>
      <c r="O4789" s="7">
        <f>Table1[[#This Row],[Profit]]/Table1[[#This Row],[Total_Sales]]</f>
        <v>0.29352179034157838</v>
      </c>
    </row>
    <row r="4790" spans="1:15" x14ac:dyDescent="0.25">
      <c r="A4790" s="1">
        <v>4789</v>
      </c>
      <c r="B4790" s="2">
        <v>45495</v>
      </c>
      <c r="C4790" s="1" t="s">
        <v>19</v>
      </c>
      <c r="D4790" s="1" t="s">
        <v>32</v>
      </c>
      <c r="E4790" s="1" t="s">
        <v>41</v>
      </c>
      <c r="F4790" s="1" t="s">
        <v>24</v>
      </c>
      <c r="G4790" s="1">
        <v>7</v>
      </c>
      <c r="H4790" s="1">
        <v>902</v>
      </c>
      <c r="I4790" s="1">
        <v>0</v>
      </c>
      <c r="J4790" s="4">
        <v>6314</v>
      </c>
      <c r="K4790" s="4">
        <v>3336.82</v>
      </c>
      <c r="L4790" s="4">
        <v>2977.18</v>
      </c>
      <c r="M4790" s="1" t="str">
        <f>TEXT(Table1[[#This Row],[Order_Date]], "MMM")</f>
        <v>Jul</v>
      </c>
      <c r="N4790" s="1">
        <f>YEAR(Table1[[#This Row],[Order_Date]])</f>
        <v>2024</v>
      </c>
      <c r="O4790" s="7">
        <f>Table1[[#This Row],[Profit]]/Table1[[#This Row],[Total_Sales]]</f>
        <v>0.47152043078872347</v>
      </c>
    </row>
    <row r="4791" spans="1:15" x14ac:dyDescent="0.25">
      <c r="A4791" s="1">
        <v>4790</v>
      </c>
      <c r="B4791" s="2">
        <v>45457</v>
      </c>
      <c r="C4791" s="1" t="s">
        <v>25</v>
      </c>
      <c r="D4791" s="1" t="s">
        <v>13</v>
      </c>
      <c r="E4791" s="1" t="s">
        <v>14</v>
      </c>
      <c r="F4791" s="1" t="s">
        <v>18</v>
      </c>
      <c r="G4791" s="1">
        <v>1</v>
      </c>
      <c r="H4791" s="1">
        <v>91</v>
      </c>
      <c r="I4791" s="1">
        <v>5</v>
      </c>
      <c r="J4791" s="4">
        <v>86.45</v>
      </c>
      <c r="K4791" s="4">
        <v>63.85</v>
      </c>
      <c r="L4791" s="4">
        <v>22.6</v>
      </c>
      <c r="M4791" s="1" t="str">
        <f>TEXT(Table1[[#This Row],[Order_Date]], "MMM")</f>
        <v>Jun</v>
      </c>
      <c r="N4791" s="1">
        <f>YEAR(Table1[[#This Row],[Order_Date]])</f>
        <v>2024</v>
      </c>
      <c r="O4791" s="7">
        <f>Table1[[#This Row],[Profit]]/Table1[[#This Row],[Total_Sales]]</f>
        <v>0.26142278773857724</v>
      </c>
    </row>
    <row r="4792" spans="1:15" x14ac:dyDescent="0.25">
      <c r="A4792" s="1">
        <v>4791</v>
      </c>
      <c r="B4792" s="2">
        <v>45466</v>
      </c>
      <c r="C4792" s="1" t="s">
        <v>16</v>
      </c>
      <c r="D4792" s="1" t="s">
        <v>26</v>
      </c>
      <c r="E4792" s="1" t="s">
        <v>37</v>
      </c>
      <c r="F4792" s="1" t="s">
        <v>15</v>
      </c>
      <c r="G4792" s="1">
        <v>5</v>
      </c>
      <c r="H4792" s="1">
        <v>540</v>
      </c>
      <c r="I4792" s="1">
        <v>20</v>
      </c>
      <c r="J4792" s="4">
        <v>2160</v>
      </c>
      <c r="K4792" s="4">
        <v>1099.1199999999999</v>
      </c>
      <c r="L4792" s="4">
        <v>1060.8800000000001</v>
      </c>
      <c r="M4792" s="1" t="str">
        <f>TEXT(Table1[[#This Row],[Order_Date]], "MMM")</f>
        <v>Jun</v>
      </c>
      <c r="N4792" s="1">
        <f>YEAR(Table1[[#This Row],[Order_Date]])</f>
        <v>2024</v>
      </c>
      <c r="O4792" s="7">
        <f>Table1[[#This Row],[Profit]]/Table1[[#This Row],[Total_Sales]]</f>
        <v>0.49114814814814822</v>
      </c>
    </row>
    <row r="4793" spans="1:15" x14ac:dyDescent="0.25">
      <c r="A4793" s="1">
        <v>4792</v>
      </c>
      <c r="B4793" s="2">
        <v>45343</v>
      </c>
      <c r="C4793" s="1" t="s">
        <v>19</v>
      </c>
      <c r="D4793" s="1" t="s">
        <v>32</v>
      </c>
      <c r="E4793" s="1" t="s">
        <v>45</v>
      </c>
      <c r="F4793" s="1" t="s">
        <v>18</v>
      </c>
      <c r="G4793" s="1">
        <v>6</v>
      </c>
      <c r="H4793" s="1">
        <v>863</v>
      </c>
      <c r="I4793" s="1">
        <v>15</v>
      </c>
      <c r="J4793" s="4">
        <v>4401.3</v>
      </c>
      <c r="K4793" s="4">
        <v>2265.2800000000002</v>
      </c>
      <c r="L4793" s="4">
        <v>2136.02</v>
      </c>
      <c r="M4793" s="1" t="str">
        <f>TEXT(Table1[[#This Row],[Order_Date]], "MMM")</f>
        <v>Feb</v>
      </c>
      <c r="N4793" s="1">
        <f>YEAR(Table1[[#This Row],[Order_Date]])</f>
        <v>2024</v>
      </c>
      <c r="O4793" s="7">
        <f>Table1[[#This Row],[Profit]]/Table1[[#This Row],[Total_Sales]]</f>
        <v>0.48531570217890169</v>
      </c>
    </row>
    <row r="4794" spans="1:15" x14ac:dyDescent="0.25">
      <c r="A4794" s="1">
        <v>4793</v>
      </c>
      <c r="B4794" s="2">
        <v>45239</v>
      </c>
      <c r="C4794" s="1" t="s">
        <v>25</v>
      </c>
      <c r="D4794" s="1" t="s">
        <v>13</v>
      </c>
      <c r="E4794" s="1" t="s">
        <v>17</v>
      </c>
      <c r="F4794" s="1" t="s">
        <v>40</v>
      </c>
      <c r="G4794" s="1">
        <v>1</v>
      </c>
      <c r="H4794" s="1">
        <v>652</v>
      </c>
      <c r="I4794" s="1">
        <v>10</v>
      </c>
      <c r="J4794" s="4">
        <v>586.79999999999995</v>
      </c>
      <c r="K4794" s="4">
        <v>332.77</v>
      </c>
      <c r="L4794" s="4">
        <v>254.03</v>
      </c>
      <c r="M4794" s="1" t="str">
        <f>TEXT(Table1[[#This Row],[Order_Date]], "MMM")</f>
        <v>Nov</v>
      </c>
      <c r="N4794" s="1">
        <f>YEAR(Table1[[#This Row],[Order_Date]])</f>
        <v>2023</v>
      </c>
      <c r="O4794" s="7">
        <f>Table1[[#This Row],[Profit]]/Table1[[#This Row],[Total_Sales]]</f>
        <v>0.43290729379686438</v>
      </c>
    </row>
    <row r="4795" spans="1:15" x14ac:dyDescent="0.25">
      <c r="A4795" s="1">
        <v>4794</v>
      </c>
      <c r="B4795" s="2">
        <v>45183</v>
      </c>
      <c r="C4795" s="1" t="s">
        <v>25</v>
      </c>
      <c r="D4795" s="1" t="s">
        <v>26</v>
      </c>
      <c r="E4795" s="1" t="s">
        <v>46</v>
      </c>
      <c r="F4795" s="1" t="s">
        <v>24</v>
      </c>
      <c r="G4795" s="1">
        <v>3</v>
      </c>
      <c r="H4795" s="1">
        <v>501</v>
      </c>
      <c r="I4795" s="1">
        <v>5</v>
      </c>
      <c r="J4795" s="4">
        <v>1427.85</v>
      </c>
      <c r="K4795" s="4">
        <v>893.47</v>
      </c>
      <c r="L4795" s="4">
        <v>534.38</v>
      </c>
      <c r="M4795" s="1" t="str">
        <f>TEXT(Table1[[#This Row],[Order_Date]], "MMM")</f>
        <v>Sep</v>
      </c>
      <c r="N4795" s="1">
        <f>YEAR(Table1[[#This Row],[Order_Date]])</f>
        <v>2023</v>
      </c>
      <c r="O4795" s="7">
        <f>Table1[[#This Row],[Profit]]/Table1[[#This Row],[Total_Sales]]</f>
        <v>0.37425499877438106</v>
      </c>
    </row>
    <row r="4796" spans="1:15" x14ac:dyDescent="0.25">
      <c r="A4796" s="1">
        <v>4795</v>
      </c>
      <c r="B4796" s="2">
        <v>44955</v>
      </c>
      <c r="C4796" s="1" t="s">
        <v>25</v>
      </c>
      <c r="D4796" s="1" t="s">
        <v>13</v>
      </c>
      <c r="E4796" s="1" t="s">
        <v>39</v>
      </c>
      <c r="F4796" s="1" t="s">
        <v>24</v>
      </c>
      <c r="G4796" s="1">
        <v>8</v>
      </c>
      <c r="H4796" s="1">
        <v>583</v>
      </c>
      <c r="I4796" s="1">
        <v>0</v>
      </c>
      <c r="J4796" s="4">
        <v>4664</v>
      </c>
      <c r="K4796" s="4">
        <v>3531.31</v>
      </c>
      <c r="L4796" s="4">
        <v>1132.69</v>
      </c>
      <c r="M4796" s="1" t="str">
        <f>TEXT(Table1[[#This Row],[Order_Date]], "MMM")</f>
        <v>Jan</v>
      </c>
      <c r="N4796" s="1">
        <f>YEAR(Table1[[#This Row],[Order_Date]])</f>
        <v>2023</v>
      </c>
      <c r="O4796" s="7">
        <f>Table1[[#This Row],[Profit]]/Table1[[#This Row],[Total_Sales]]</f>
        <v>0.2428580617495712</v>
      </c>
    </row>
    <row r="4797" spans="1:15" x14ac:dyDescent="0.25">
      <c r="A4797" s="1">
        <v>4796</v>
      </c>
      <c r="B4797" s="2">
        <v>45306</v>
      </c>
      <c r="C4797" s="1" t="s">
        <v>16</v>
      </c>
      <c r="D4797" s="1" t="s">
        <v>22</v>
      </c>
      <c r="E4797" s="1" t="s">
        <v>23</v>
      </c>
      <c r="F4797" s="1" t="s">
        <v>31</v>
      </c>
      <c r="G4797" s="1">
        <v>4</v>
      </c>
      <c r="H4797" s="1">
        <v>608</v>
      </c>
      <c r="I4797" s="1">
        <v>15</v>
      </c>
      <c r="J4797" s="4">
        <v>2067.1999999999998</v>
      </c>
      <c r="K4797" s="4">
        <v>1044.5</v>
      </c>
      <c r="L4797" s="4">
        <v>1022.7</v>
      </c>
      <c r="M4797" s="1" t="str">
        <f>TEXT(Table1[[#This Row],[Order_Date]], "MMM")</f>
        <v>Jan</v>
      </c>
      <c r="N4797" s="1">
        <f>YEAR(Table1[[#This Row],[Order_Date]])</f>
        <v>2024</v>
      </c>
      <c r="O4797" s="7">
        <f>Table1[[#This Row],[Profit]]/Table1[[#This Row],[Total_Sales]]</f>
        <v>0.49472716718266263</v>
      </c>
    </row>
    <row r="4798" spans="1:15" x14ac:dyDescent="0.25">
      <c r="A4798" s="1">
        <v>4797</v>
      </c>
      <c r="B4798" s="2">
        <v>45141</v>
      </c>
      <c r="C4798" s="1" t="s">
        <v>25</v>
      </c>
      <c r="D4798" s="1" t="s">
        <v>32</v>
      </c>
      <c r="E4798" s="1" t="s">
        <v>45</v>
      </c>
      <c r="F4798" s="1" t="s">
        <v>15</v>
      </c>
      <c r="G4798" s="1">
        <v>4</v>
      </c>
      <c r="H4798" s="1">
        <v>546</v>
      </c>
      <c r="I4798" s="1">
        <v>20</v>
      </c>
      <c r="J4798" s="4">
        <v>1747.2</v>
      </c>
      <c r="K4798" s="4">
        <v>1145.9100000000001</v>
      </c>
      <c r="L4798" s="4">
        <v>601.29</v>
      </c>
      <c r="M4798" s="1" t="str">
        <f>TEXT(Table1[[#This Row],[Order_Date]], "MMM")</f>
        <v>Aug</v>
      </c>
      <c r="N4798" s="1">
        <f>YEAR(Table1[[#This Row],[Order_Date]])</f>
        <v>2023</v>
      </c>
      <c r="O4798" s="7">
        <f>Table1[[#This Row],[Profit]]/Table1[[#This Row],[Total_Sales]]</f>
        <v>0.34414491758241755</v>
      </c>
    </row>
    <row r="4799" spans="1:15" x14ac:dyDescent="0.25">
      <c r="A4799" s="1">
        <v>4798</v>
      </c>
      <c r="B4799" s="2">
        <v>45585</v>
      </c>
      <c r="C4799" s="1" t="s">
        <v>16</v>
      </c>
      <c r="D4799" s="1" t="s">
        <v>32</v>
      </c>
      <c r="E4799" s="1" t="s">
        <v>45</v>
      </c>
      <c r="F4799" s="1" t="s">
        <v>40</v>
      </c>
      <c r="G4799" s="1">
        <v>10</v>
      </c>
      <c r="H4799" s="1">
        <v>670</v>
      </c>
      <c r="I4799" s="1">
        <v>15</v>
      </c>
      <c r="J4799" s="4">
        <v>5695</v>
      </c>
      <c r="K4799" s="4">
        <v>3488.8</v>
      </c>
      <c r="L4799" s="4">
        <v>2206.1999999999998</v>
      </c>
      <c r="M4799" s="1" t="str">
        <f>TEXT(Table1[[#This Row],[Order_Date]], "MMM")</f>
        <v>Oct</v>
      </c>
      <c r="N4799" s="1">
        <f>YEAR(Table1[[#This Row],[Order_Date]])</f>
        <v>2024</v>
      </c>
      <c r="O4799" s="7">
        <f>Table1[[#This Row],[Profit]]/Table1[[#This Row],[Total_Sales]]</f>
        <v>0.38739244951712026</v>
      </c>
    </row>
    <row r="4800" spans="1:15" x14ac:dyDescent="0.25">
      <c r="A4800" s="1">
        <v>4799</v>
      </c>
      <c r="B4800" s="2">
        <v>45050</v>
      </c>
      <c r="C4800" s="1" t="s">
        <v>16</v>
      </c>
      <c r="D4800" s="1" t="s">
        <v>22</v>
      </c>
      <c r="E4800" s="1" t="s">
        <v>44</v>
      </c>
      <c r="F4800" s="1" t="s">
        <v>35</v>
      </c>
      <c r="G4800" s="1">
        <v>10</v>
      </c>
      <c r="H4800" s="1">
        <v>384</v>
      </c>
      <c r="I4800" s="1">
        <v>10</v>
      </c>
      <c r="J4800" s="4">
        <v>3456</v>
      </c>
      <c r="K4800" s="4">
        <v>2217.19</v>
      </c>
      <c r="L4800" s="4">
        <v>1238.81</v>
      </c>
      <c r="M4800" s="1" t="str">
        <f>TEXT(Table1[[#This Row],[Order_Date]], "MMM")</f>
        <v>May</v>
      </c>
      <c r="N4800" s="1">
        <f>YEAR(Table1[[#This Row],[Order_Date]])</f>
        <v>2023</v>
      </c>
      <c r="O4800" s="7">
        <f>Table1[[#This Row],[Profit]]/Table1[[#This Row],[Total_Sales]]</f>
        <v>0.35845196759259257</v>
      </c>
    </row>
    <row r="4801" spans="1:15" x14ac:dyDescent="0.25">
      <c r="A4801" s="1">
        <v>4800</v>
      </c>
      <c r="B4801" s="2">
        <v>44933</v>
      </c>
      <c r="C4801" s="1" t="s">
        <v>12</v>
      </c>
      <c r="D4801" s="1" t="s">
        <v>20</v>
      </c>
      <c r="E4801" s="1" t="s">
        <v>43</v>
      </c>
      <c r="F4801" s="1" t="s">
        <v>18</v>
      </c>
      <c r="G4801" s="1">
        <v>4</v>
      </c>
      <c r="H4801" s="1">
        <v>56</v>
      </c>
      <c r="I4801" s="1">
        <v>10</v>
      </c>
      <c r="J4801" s="4">
        <v>201.6</v>
      </c>
      <c r="K4801" s="4">
        <v>142.85</v>
      </c>
      <c r="L4801" s="4">
        <v>58.75</v>
      </c>
      <c r="M4801" s="1" t="str">
        <f>TEXT(Table1[[#This Row],[Order_Date]], "MMM")</f>
        <v>Jan</v>
      </c>
      <c r="N4801" s="1">
        <f>YEAR(Table1[[#This Row],[Order_Date]])</f>
        <v>2023</v>
      </c>
      <c r="O4801" s="7">
        <f>Table1[[#This Row],[Profit]]/Table1[[#This Row],[Total_Sales]]</f>
        <v>0.29141865079365081</v>
      </c>
    </row>
    <row r="4802" spans="1:15" x14ac:dyDescent="0.25">
      <c r="A4802" s="1">
        <v>4801</v>
      </c>
      <c r="B4802" s="2">
        <v>45316</v>
      </c>
      <c r="C4802" s="1" t="s">
        <v>25</v>
      </c>
      <c r="D4802" s="1" t="s">
        <v>20</v>
      </c>
      <c r="E4802" s="1" t="s">
        <v>28</v>
      </c>
      <c r="F4802" s="1" t="s">
        <v>31</v>
      </c>
      <c r="G4802" s="1">
        <v>3</v>
      </c>
      <c r="H4802" s="1">
        <v>919</v>
      </c>
      <c r="I4802" s="1">
        <v>0</v>
      </c>
      <c r="J4802" s="4">
        <v>2757</v>
      </c>
      <c r="K4802" s="4">
        <v>1394.38</v>
      </c>
      <c r="L4802" s="4">
        <v>1362.62</v>
      </c>
      <c r="M4802" s="1" t="str">
        <f>TEXT(Table1[[#This Row],[Order_Date]], "MMM")</f>
        <v>Jan</v>
      </c>
      <c r="N4802" s="1">
        <f>YEAR(Table1[[#This Row],[Order_Date]])</f>
        <v>2024</v>
      </c>
      <c r="O4802" s="7">
        <f>Table1[[#This Row],[Profit]]/Table1[[#This Row],[Total_Sales]]</f>
        <v>0.49424011606819002</v>
      </c>
    </row>
    <row r="4803" spans="1:15" x14ac:dyDescent="0.25">
      <c r="A4803" s="1">
        <v>4802</v>
      </c>
      <c r="B4803" s="2">
        <v>45328</v>
      </c>
      <c r="C4803" s="1" t="s">
        <v>19</v>
      </c>
      <c r="D4803" s="1" t="s">
        <v>20</v>
      </c>
      <c r="E4803" s="1" t="s">
        <v>43</v>
      </c>
      <c r="F4803" s="1" t="s">
        <v>40</v>
      </c>
      <c r="G4803" s="1">
        <v>1</v>
      </c>
      <c r="H4803" s="1">
        <v>878</v>
      </c>
      <c r="I4803" s="1">
        <v>10</v>
      </c>
      <c r="J4803" s="4">
        <v>790.2</v>
      </c>
      <c r="K4803" s="4">
        <v>469.06</v>
      </c>
      <c r="L4803" s="4">
        <v>321.14</v>
      </c>
      <c r="M4803" s="1" t="str">
        <f>TEXT(Table1[[#This Row],[Order_Date]], "MMM")</f>
        <v>Feb</v>
      </c>
      <c r="N4803" s="1">
        <f>YEAR(Table1[[#This Row],[Order_Date]])</f>
        <v>2024</v>
      </c>
      <c r="O4803" s="7">
        <f>Table1[[#This Row],[Profit]]/Table1[[#This Row],[Total_Sales]]</f>
        <v>0.40640344216654006</v>
      </c>
    </row>
    <row r="4804" spans="1:15" x14ac:dyDescent="0.25">
      <c r="A4804" s="1">
        <v>4803</v>
      </c>
      <c r="B4804" s="2">
        <v>45034</v>
      </c>
      <c r="C4804" s="1" t="s">
        <v>19</v>
      </c>
      <c r="D4804" s="1" t="s">
        <v>26</v>
      </c>
      <c r="E4804" s="1" t="s">
        <v>46</v>
      </c>
      <c r="F4804" s="1" t="s">
        <v>24</v>
      </c>
      <c r="G4804" s="1">
        <v>4</v>
      </c>
      <c r="H4804" s="1">
        <v>533</v>
      </c>
      <c r="I4804" s="1">
        <v>5</v>
      </c>
      <c r="J4804" s="4">
        <v>2025.4</v>
      </c>
      <c r="K4804" s="4">
        <v>1573.47</v>
      </c>
      <c r="L4804" s="4">
        <v>451.93</v>
      </c>
      <c r="M4804" s="1" t="str">
        <f>TEXT(Table1[[#This Row],[Order_Date]], "MMM")</f>
        <v>Apr</v>
      </c>
      <c r="N4804" s="1">
        <f>YEAR(Table1[[#This Row],[Order_Date]])</f>
        <v>2023</v>
      </c>
      <c r="O4804" s="7">
        <f>Table1[[#This Row],[Profit]]/Table1[[#This Row],[Total_Sales]]</f>
        <v>0.22313123333662485</v>
      </c>
    </row>
    <row r="4805" spans="1:15" x14ac:dyDescent="0.25">
      <c r="A4805" s="1">
        <v>4804</v>
      </c>
      <c r="B4805" s="2">
        <v>45460</v>
      </c>
      <c r="C4805" s="1" t="s">
        <v>25</v>
      </c>
      <c r="D4805" s="1" t="s">
        <v>26</v>
      </c>
      <c r="E4805" s="1" t="s">
        <v>46</v>
      </c>
      <c r="F4805" s="1" t="s">
        <v>15</v>
      </c>
      <c r="G4805" s="1">
        <v>8</v>
      </c>
      <c r="H4805" s="1">
        <v>547</v>
      </c>
      <c r="I4805" s="1">
        <v>15</v>
      </c>
      <c r="J4805" s="4">
        <v>3719.6</v>
      </c>
      <c r="K4805" s="4">
        <v>2082.5700000000002</v>
      </c>
      <c r="L4805" s="4">
        <v>1637.03</v>
      </c>
      <c r="M4805" s="1" t="str">
        <f>TEXT(Table1[[#This Row],[Order_Date]], "MMM")</f>
        <v>Jun</v>
      </c>
      <c r="N4805" s="1">
        <f>YEAR(Table1[[#This Row],[Order_Date]])</f>
        <v>2024</v>
      </c>
      <c r="O4805" s="7">
        <f>Table1[[#This Row],[Profit]]/Table1[[#This Row],[Total_Sales]]</f>
        <v>0.44010915152166902</v>
      </c>
    </row>
    <row r="4806" spans="1:15" x14ac:dyDescent="0.25">
      <c r="A4806" s="1">
        <v>4805</v>
      </c>
      <c r="B4806" s="2">
        <v>44933</v>
      </c>
      <c r="C4806" s="1" t="s">
        <v>19</v>
      </c>
      <c r="D4806" s="1" t="s">
        <v>26</v>
      </c>
      <c r="E4806" s="1" t="s">
        <v>46</v>
      </c>
      <c r="F4806" s="1" t="s">
        <v>35</v>
      </c>
      <c r="G4806" s="1">
        <v>4</v>
      </c>
      <c r="H4806" s="1">
        <v>690</v>
      </c>
      <c r="I4806" s="1">
        <v>5</v>
      </c>
      <c r="J4806" s="4">
        <v>2622</v>
      </c>
      <c r="K4806" s="4">
        <v>2027.24</v>
      </c>
      <c r="L4806" s="4">
        <v>594.76</v>
      </c>
      <c r="M4806" s="1" t="str">
        <f>TEXT(Table1[[#This Row],[Order_Date]], "MMM")</f>
        <v>Jan</v>
      </c>
      <c r="N4806" s="1">
        <f>YEAR(Table1[[#This Row],[Order_Date]])</f>
        <v>2023</v>
      </c>
      <c r="O4806" s="7">
        <f>Table1[[#This Row],[Profit]]/Table1[[#This Row],[Total_Sales]]</f>
        <v>0.22683447749809305</v>
      </c>
    </row>
    <row r="4807" spans="1:15" x14ac:dyDescent="0.25">
      <c r="A4807" s="1">
        <v>4806</v>
      </c>
      <c r="B4807" s="2">
        <v>45374</v>
      </c>
      <c r="C4807" s="1" t="s">
        <v>25</v>
      </c>
      <c r="D4807" s="1" t="s">
        <v>13</v>
      </c>
      <c r="E4807" s="1" t="s">
        <v>38</v>
      </c>
      <c r="F4807" s="1" t="s">
        <v>15</v>
      </c>
      <c r="G4807" s="1">
        <v>9</v>
      </c>
      <c r="H4807" s="1">
        <v>79</v>
      </c>
      <c r="I4807" s="1">
        <v>10</v>
      </c>
      <c r="J4807" s="4">
        <v>639.9</v>
      </c>
      <c r="K4807" s="4">
        <v>431.68</v>
      </c>
      <c r="L4807" s="4">
        <v>208.22</v>
      </c>
      <c r="M4807" s="1" t="str">
        <f>TEXT(Table1[[#This Row],[Order_Date]], "MMM")</f>
        <v>Mar</v>
      </c>
      <c r="N4807" s="1">
        <f>YEAR(Table1[[#This Row],[Order_Date]])</f>
        <v>2024</v>
      </c>
      <c r="O4807" s="7">
        <f>Table1[[#This Row],[Profit]]/Table1[[#This Row],[Total_Sales]]</f>
        <v>0.32539459290514144</v>
      </c>
    </row>
    <row r="4808" spans="1:15" x14ac:dyDescent="0.25">
      <c r="A4808" s="1">
        <v>4807</v>
      </c>
      <c r="B4808" s="2">
        <v>45621</v>
      </c>
      <c r="C4808" s="1" t="s">
        <v>25</v>
      </c>
      <c r="D4808" s="1" t="s">
        <v>22</v>
      </c>
      <c r="E4808" s="1" t="s">
        <v>29</v>
      </c>
      <c r="F4808" s="1" t="s">
        <v>15</v>
      </c>
      <c r="G4808" s="1">
        <v>6</v>
      </c>
      <c r="H4808" s="1">
        <v>162</v>
      </c>
      <c r="I4808" s="1">
        <v>20</v>
      </c>
      <c r="J4808" s="4">
        <v>777.6</v>
      </c>
      <c r="K4808" s="4">
        <v>571.66999999999996</v>
      </c>
      <c r="L4808" s="4">
        <v>205.93</v>
      </c>
      <c r="M4808" s="1" t="str">
        <f>TEXT(Table1[[#This Row],[Order_Date]], "MMM")</f>
        <v>Nov</v>
      </c>
      <c r="N4808" s="1">
        <f>YEAR(Table1[[#This Row],[Order_Date]])</f>
        <v>2024</v>
      </c>
      <c r="O4808" s="7">
        <f>Table1[[#This Row],[Profit]]/Table1[[#This Row],[Total_Sales]]</f>
        <v>0.26482767489711934</v>
      </c>
    </row>
    <row r="4809" spans="1:15" x14ac:dyDescent="0.25">
      <c r="A4809" s="1">
        <v>4808</v>
      </c>
      <c r="B4809" s="2">
        <v>45129</v>
      </c>
      <c r="C4809" s="1" t="s">
        <v>16</v>
      </c>
      <c r="D4809" s="1" t="s">
        <v>20</v>
      </c>
      <c r="E4809" s="1" t="s">
        <v>28</v>
      </c>
      <c r="F4809" s="1" t="s">
        <v>40</v>
      </c>
      <c r="G4809" s="1">
        <v>9</v>
      </c>
      <c r="H4809" s="1">
        <v>676</v>
      </c>
      <c r="I4809" s="1">
        <v>10</v>
      </c>
      <c r="J4809" s="4">
        <v>5475.6</v>
      </c>
      <c r="K4809" s="4">
        <v>3879.87</v>
      </c>
      <c r="L4809" s="4">
        <v>1595.73</v>
      </c>
      <c r="M4809" s="1" t="str">
        <f>TEXT(Table1[[#This Row],[Order_Date]], "MMM")</f>
        <v>Jul</v>
      </c>
      <c r="N4809" s="1">
        <f>YEAR(Table1[[#This Row],[Order_Date]])</f>
        <v>2023</v>
      </c>
      <c r="O4809" s="7">
        <f>Table1[[#This Row],[Profit]]/Table1[[#This Row],[Total_Sales]]</f>
        <v>0.29142559719482797</v>
      </c>
    </row>
    <row r="4810" spans="1:15" x14ac:dyDescent="0.25">
      <c r="A4810" s="1">
        <v>4809</v>
      </c>
      <c r="B4810" s="2">
        <v>45243</v>
      </c>
      <c r="C4810" s="1" t="s">
        <v>12</v>
      </c>
      <c r="D4810" s="1" t="s">
        <v>32</v>
      </c>
      <c r="E4810" s="1" t="s">
        <v>45</v>
      </c>
      <c r="F4810" s="1" t="s">
        <v>15</v>
      </c>
      <c r="G4810" s="1">
        <v>5</v>
      </c>
      <c r="H4810" s="1">
        <v>658</v>
      </c>
      <c r="I4810" s="1">
        <v>10</v>
      </c>
      <c r="J4810" s="4">
        <v>2961</v>
      </c>
      <c r="K4810" s="4">
        <v>1974.16</v>
      </c>
      <c r="L4810" s="4">
        <v>986.84</v>
      </c>
      <c r="M4810" s="1" t="str">
        <f>TEXT(Table1[[#This Row],[Order_Date]], "MMM")</f>
        <v>Nov</v>
      </c>
      <c r="N4810" s="1">
        <f>YEAR(Table1[[#This Row],[Order_Date]])</f>
        <v>2023</v>
      </c>
      <c r="O4810" s="7">
        <f>Table1[[#This Row],[Profit]]/Table1[[#This Row],[Total_Sales]]</f>
        <v>0.33327929753461671</v>
      </c>
    </row>
    <row r="4811" spans="1:15" x14ac:dyDescent="0.25">
      <c r="A4811" s="1">
        <v>4810</v>
      </c>
      <c r="B4811" s="2">
        <v>45517</v>
      </c>
      <c r="C4811" s="1" t="s">
        <v>12</v>
      </c>
      <c r="D4811" s="1" t="s">
        <v>13</v>
      </c>
      <c r="E4811" s="1" t="s">
        <v>17</v>
      </c>
      <c r="F4811" s="1" t="s">
        <v>18</v>
      </c>
      <c r="G4811" s="1">
        <v>3</v>
      </c>
      <c r="H4811" s="1">
        <v>614</v>
      </c>
      <c r="I4811" s="1">
        <v>20</v>
      </c>
      <c r="J4811" s="4">
        <v>1473.6</v>
      </c>
      <c r="K4811" s="4">
        <v>1144.73</v>
      </c>
      <c r="L4811" s="4">
        <v>328.87</v>
      </c>
      <c r="M4811" s="1" t="str">
        <f>TEXT(Table1[[#This Row],[Order_Date]], "MMM")</f>
        <v>Aug</v>
      </c>
      <c r="N4811" s="1">
        <f>YEAR(Table1[[#This Row],[Order_Date]])</f>
        <v>2024</v>
      </c>
      <c r="O4811" s="7">
        <f>Table1[[#This Row],[Profit]]/Table1[[#This Row],[Total_Sales]]</f>
        <v>0.22317453854505973</v>
      </c>
    </row>
    <row r="4812" spans="1:15" x14ac:dyDescent="0.25">
      <c r="A4812" s="1">
        <v>4811</v>
      </c>
      <c r="B4812" s="2">
        <v>45239</v>
      </c>
      <c r="C4812" s="1" t="s">
        <v>19</v>
      </c>
      <c r="D4812" s="1" t="s">
        <v>26</v>
      </c>
      <c r="E4812" s="1" t="s">
        <v>42</v>
      </c>
      <c r="F4812" s="1" t="s">
        <v>31</v>
      </c>
      <c r="G4812" s="1">
        <v>3</v>
      </c>
      <c r="H4812" s="1">
        <v>135</v>
      </c>
      <c r="I4812" s="1">
        <v>0</v>
      </c>
      <c r="J4812" s="4">
        <v>405</v>
      </c>
      <c r="K4812" s="4">
        <v>297.49</v>
      </c>
      <c r="L4812" s="4">
        <v>107.51</v>
      </c>
      <c r="M4812" s="1" t="str">
        <f>TEXT(Table1[[#This Row],[Order_Date]], "MMM")</f>
        <v>Nov</v>
      </c>
      <c r="N4812" s="1">
        <f>YEAR(Table1[[#This Row],[Order_Date]])</f>
        <v>2023</v>
      </c>
      <c r="O4812" s="7">
        <f>Table1[[#This Row],[Profit]]/Table1[[#This Row],[Total_Sales]]</f>
        <v>0.2654567901234568</v>
      </c>
    </row>
    <row r="4813" spans="1:15" x14ac:dyDescent="0.25">
      <c r="A4813" s="1">
        <v>4812</v>
      </c>
      <c r="B4813" s="2">
        <v>45422</v>
      </c>
      <c r="C4813" s="1" t="s">
        <v>25</v>
      </c>
      <c r="D4813" s="1" t="s">
        <v>22</v>
      </c>
      <c r="E4813" s="1" t="s">
        <v>36</v>
      </c>
      <c r="F4813" s="1" t="s">
        <v>18</v>
      </c>
      <c r="G4813" s="1">
        <v>2</v>
      </c>
      <c r="H4813" s="1">
        <v>575</v>
      </c>
      <c r="I4813" s="1">
        <v>15</v>
      </c>
      <c r="J4813" s="4">
        <v>977.5</v>
      </c>
      <c r="K4813" s="4">
        <v>532.26</v>
      </c>
      <c r="L4813" s="4">
        <v>445.24</v>
      </c>
      <c r="M4813" s="1" t="str">
        <f>TEXT(Table1[[#This Row],[Order_Date]], "MMM")</f>
        <v>May</v>
      </c>
      <c r="N4813" s="1">
        <f>YEAR(Table1[[#This Row],[Order_Date]])</f>
        <v>2024</v>
      </c>
      <c r="O4813" s="7">
        <f>Table1[[#This Row],[Profit]]/Table1[[#This Row],[Total_Sales]]</f>
        <v>0.45548849104859335</v>
      </c>
    </row>
    <row r="4814" spans="1:15" x14ac:dyDescent="0.25">
      <c r="A4814" s="1">
        <v>4813</v>
      </c>
      <c r="B4814" s="2">
        <v>45607</v>
      </c>
      <c r="C4814" s="1" t="s">
        <v>19</v>
      </c>
      <c r="D4814" s="1" t="s">
        <v>22</v>
      </c>
      <c r="E4814" s="1" t="s">
        <v>44</v>
      </c>
      <c r="F4814" s="1" t="s">
        <v>15</v>
      </c>
      <c r="G4814" s="1">
        <v>1</v>
      </c>
      <c r="H4814" s="1">
        <v>634</v>
      </c>
      <c r="I4814" s="1">
        <v>0</v>
      </c>
      <c r="J4814" s="4">
        <v>634</v>
      </c>
      <c r="K4814" s="4">
        <v>322.74</v>
      </c>
      <c r="L4814" s="4">
        <v>311.26</v>
      </c>
      <c r="M4814" s="1" t="str">
        <f>TEXT(Table1[[#This Row],[Order_Date]], "MMM")</f>
        <v>Nov</v>
      </c>
      <c r="N4814" s="1">
        <f>YEAR(Table1[[#This Row],[Order_Date]])</f>
        <v>2024</v>
      </c>
      <c r="O4814" s="7">
        <f>Table1[[#This Row],[Profit]]/Table1[[#This Row],[Total_Sales]]</f>
        <v>0.49094637223974763</v>
      </c>
    </row>
    <row r="4815" spans="1:15" x14ac:dyDescent="0.25">
      <c r="A4815" s="1">
        <v>4814</v>
      </c>
      <c r="B4815" s="2">
        <v>45404</v>
      </c>
      <c r="C4815" s="1" t="s">
        <v>25</v>
      </c>
      <c r="D4815" s="1" t="s">
        <v>20</v>
      </c>
      <c r="E4815" s="1" t="s">
        <v>30</v>
      </c>
      <c r="F4815" s="1" t="s">
        <v>40</v>
      </c>
      <c r="G4815" s="1">
        <v>7</v>
      </c>
      <c r="H4815" s="1">
        <v>679</v>
      </c>
      <c r="I4815" s="1">
        <v>15</v>
      </c>
      <c r="J4815" s="4">
        <v>4040.05</v>
      </c>
      <c r="K4815" s="4">
        <v>2034.08</v>
      </c>
      <c r="L4815" s="4">
        <v>2005.97</v>
      </c>
      <c r="M4815" s="1" t="str">
        <f>TEXT(Table1[[#This Row],[Order_Date]], "MMM")</f>
        <v>Apr</v>
      </c>
      <c r="N4815" s="1">
        <f>YEAR(Table1[[#This Row],[Order_Date]])</f>
        <v>2024</v>
      </c>
      <c r="O4815" s="7">
        <f>Table1[[#This Row],[Profit]]/Table1[[#This Row],[Total_Sales]]</f>
        <v>0.49652108265986805</v>
      </c>
    </row>
    <row r="4816" spans="1:15" x14ac:dyDescent="0.25">
      <c r="A4816" s="1">
        <v>4815</v>
      </c>
      <c r="B4816" s="2">
        <v>45514</v>
      </c>
      <c r="C4816" s="1" t="s">
        <v>12</v>
      </c>
      <c r="D4816" s="1" t="s">
        <v>13</v>
      </c>
      <c r="E4816" s="1" t="s">
        <v>14</v>
      </c>
      <c r="F4816" s="1" t="s">
        <v>15</v>
      </c>
      <c r="G4816" s="1">
        <v>2</v>
      </c>
      <c r="H4816" s="1">
        <v>827</v>
      </c>
      <c r="I4816" s="1">
        <v>0</v>
      </c>
      <c r="J4816" s="4">
        <v>1654</v>
      </c>
      <c r="K4816" s="4">
        <v>1173.5999999999999</v>
      </c>
      <c r="L4816" s="4">
        <v>480.4</v>
      </c>
      <c r="M4816" s="1" t="str">
        <f>TEXT(Table1[[#This Row],[Order_Date]], "MMM")</f>
        <v>Aug</v>
      </c>
      <c r="N4816" s="1">
        <f>YEAR(Table1[[#This Row],[Order_Date]])</f>
        <v>2024</v>
      </c>
      <c r="O4816" s="7">
        <f>Table1[[#This Row],[Profit]]/Table1[[#This Row],[Total_Sales]]</f>
        <v>0.29044740024183796</v>
      </c>
    </row>
    <row r="4817" spans="1:15" x14ac:dyDescent="0.25">
      <c r="A4817" s="1">
        <v>4816</v>
      </c>
      <c r="B4817" s="2">
        <v>45396</v>
      </c>
      <c r="C4817" s="1" t="s">
        <v>16</v>
      </c>
      <c r="D4817" s="1" t="s">
        <v>32</v>
      </c>
      <c r="E4817" s="1" t="s">
        <v>41</v>
      </c>
      <c r="F4817" s="1" t="s">
        <v>18</v>
      </c>
      <c r="G4817" s="1">
        <v>10</v>
      </c>
      <c r="H4817" s="1">
        <v>665</v>
      </c>
      <c r="I4817" s="1">
        <v>5</v>
      </c>
      <c r="J4817" s="4">
        <v>6317.5</v>
      </c>
      <c r="K4817" s="4">
        <v>3739.8</v>
      </c>
      <c r="L4817" s="4">
        <v>2577.6999999999998</v>
      </c>
      <c r="M4817" s="1" t="str">
        <f>TEXT(Table1[[#This Row],[Order_Date]], "MMM")</f>
        <v>Apr</v>
      </c>
      <c r="N4817" s="1">
        <f>YEAR(Table1[[#This Row],[Order_Date]])</f>
        <v>2024</v>
      </c>
      <c r="O4817" s="7">
        <f>Table1[[#This Row],[Profit]]/Table1[[#This Row],[Total_Sales]]</f>
        <v>0.40802532647407991</v>
      </c>
    </row>
    <row r="4818" spans="1:15" x14ac:dyDescent="0.25">
      <c r="A4818" s="1">
        <v>4817</v>
      </c>
      <c r="B4818" s="2">
        <v>45228</v>
      </c>
      <c r="C4818" s="1" t="s">
        <v>12</v>
      </c>
      <c r="D4818" s="1" t="s">
        <v>32</v>
      </c>
      <c r="E4818" s="1" t="s">
        <v>34</v>
      </c>
      <c r="F4818" s="1" t="s">
        <v>35</v>
      </c>
      <c r="G4818" s="1">
        <v>1</v>
      </c>
      <c r="H4818" s="1">
        <v>409</v>
      </c>
      <c r="I4818" s="1">
        <v>10</v>
      </c>
      <c r="J4818" s="4">
        <v>368.1</v>
      </c>
      <c r="K4818" s="4">
        <v>195.93</v>
      </c>
      <c r="L4818" s="4">
        <v>172.17</v>
      </c>
      <c r="M4818" s="1" t="str">
        <f>TEXT(Table1[[#This Row],[Order_Date]], "MMM")</f>
        <v>Oct</v>
      </c>
      <c r="N4818" s="1">
        <f>YEAR(Table1[[#This Row],[Order_Date]])</f>
        <v>2023</v>
      </c>
      <c r="O4818" s="7">
        <f>Table1[[#This Row],[Profit]]/Table1[[#This Row],[Total_Sales]]</f>
        <v>0.46772616136919309</v>
      </c>
    </row>
    <row r="4819" spans="1:15" x14ac:dyDescent="0.25">
      <c r="A4819" s="1">
        <v>4818</v>
      </c>
      <c r="B4819" s="2">
        <v>45121</v>
      </c>
      <c r="C4819" s="1" t="s">
        <v>19</v>
      </c>
      <c r="D4819" s="1" t="s">
        <v>32</v>
      </c>
      <c r="E4819" s="1" t="s">
        <v>34</v>
      </c>
      <c r="F4819" s="1" t="s">
        <v>40</v>
      </c>
      <c r="G4819" s="1">
        <v>10</v>
      </c>
      <c r="H4819" s="1">
        <v>425</v>
      </c>
      <c r="I4819" s="1">
        <v>20</v>
      </c>
      <c r="J4819" s="4">
        <v>3400</v>
      </c>
      <c r="K4819" s="4">
        <v>1966.86</v>
      </c>
      <c r="L4819" s="4">
        <v>1433.14</v>
      </c>
      <c r="M4819" s="1" t="str">
        <f>TEXT(Table1[[#This Row],[Order_Date]], "MMM")</f>
        <v>Jul</v>
      </c>
      <c r="N4819" s="1">
        <f>YEAR(Table1[[#This Row],[Order_Date]])</f>
        <v>2023</v>
      </c>
      <c r="O4819" s="7">
        <f>Table1[[#This Row],[Profit]]/Table1[[#This Row],[Total_Sales]]</f>
        <v>0.42151176470588236</v>
      </c>
    </row>
    <row r="4820" spans="1:15" x14ac:dyDescent="0.25">
      <c r="A4820" s="1">
        <v>4819</v>
      </c>
      <c r="B4820" s="2">
        <v>45257</v>
      </c>
      <c r="C4820" s="1" t="s">
        <v>16</v>
      </c>
      <c r="D4820" s="1" t="s">
        <v>32</v>
      </c>
      <c r="E4820" s="1" t="s">
        <v>41</v>
      </c>
      <c r="F4820" s="1" t="s">
        <v>24</v>
      </c>
      <c r="G4820" s="1">
        <v>9</v>
      </c>
      <c r="H4820" s="1">
        <v>835</v>
      </c>
      <c r="I4820" s="1">
        <v>5</v>
      </c>
      <c r="J4820" s="4">
        <v>7139.25</v>
      </c>
      <c r="K4820" s="4">
        <v>4791.74</v>
      </c>
      <c r="L4820" s="4">
        <v>2347.5100000000002</v>
      </c>
      <c r="M4820" s="1" t="str">
        <f>TEXT(Table1[[#This Row],[Order_Date]], "MMM")</f>
        <v>Nov</v>
      </c>
      <c r="N4820" s="1">
        <f>YEAR(Table1[[#This Row],[Order_Date]])</f>
        <v>2023</v>
      </c>
      <c r="O4820" s="7">
        <f>Table1[[#This Row],[Profit]]/Table1[[#This Row],[Total_Sales]]</f>
        <v>0.32881745281367092</v>
      </c>
    </row>
    <row r="4821" spans="1:15" x14ac:dyDescent="0.25">
      <c r="A4821" s="1">
        <v>4820</v>
      </c>
      <c r="B4821" s="2">
        <v>45548</v>
      </c>
      <c r="C4821" s="1" t="s">
        <v>16</v>
      </c>
      <c r="D4821" s="1" t="s">
        <v>13</v>
      </c>
      <c r="E4821" s="1" t="s">
        <v>17</v>
      </c>
      <c r="F4821" s="1" t="s">
        <v>31</v>
      </c>
      <c r="G4821" s="1">
        <v>7</v>
      </c>
      <c r="H4821" s="1">
        <v>600</v>
      </c>
      <c r="I4821" s="1">
        <v>5</v>
      </c>
      <c r="J4821" s="4">
        <v>3990</v>
      </c>
      <c r="K4821" s="4">
        <v>2406.25</v>
      </c>
      <c r="L4821" s="4">
        <v>1583.75</v>
      </c>
      <c r="M4821" s="1" t="str">
        <f>TEXT(Table1[[#This Row],[Order_Date]], "MMM")</f>
        <v>Sep</v>
      </c>
      <c r="N4821" s="1">
        <f>YEAR(Table1[[#This Row],[Order_Date]])</f>
        <v>2024</v>
      </c>
      <c r="O4821" s="7">
        <f>Table1[[#This Row],[Profit]]/Table1[[#This Row],[Total_Sales]]</f>
        <v>0.39692982456140352</v>
      </c>
    </row>
    <row r="4822" spans="1:15" x14ac:dyDescent="0.25">
      <c r="A4822" s="1">
        <v>4821</v>
      </c>
      <c r="B4822" s="2">
        <v>45021</v>
      </c>
      <c r="C4822" s="1" t="s">
        <v>19</v>
      </c>
      <c r="D4822" s="1" t="s">
        <v>13</v>
      </c>
      <c r="E4822" s="1" t="s">
        <v>14</v>
      </c>
      <c r="F4822" s="1" t="s">
        <v>15</v>
      </c>
      <c r="G4822" s="1">
        <v>3</v>
      </c>
      <c r="H4822" s="1">
        <v>575</v>
      </c>
      <c r="I4822" s="1">
        <v>15</v>
      </c>
      <c r="J4822" s="4">
        <v>1466.25</v>
      </c>
      <c r="K4822" s="4">
        <v>852.13</v>
      </c>
      <c r="L4822" s="4">
        <v>614.12</v>
      </c>
      <c r="M4822" s="1" t="str">
        <f>TEXT(Table1[[#This Row],[Order_Date]], "MMM")</f>
        <v>Apr</v>
      </c>
      <c r="N4822" s="1">
        <f>YEAR(Table1[[#This Row],[Order_Date]])</f>
        <v>2023</v>
      </c>
      <c r="O4822" s="7">
        <f>Table1[[#This Row],[Profit]]/Table1[[#This Row],[Total_Sales]]</f>
        <v>0.41883716965046891</v>
      </c>
    </row>
    <row r="4823" spans="1:15" x14ac:dyDescent="0.25">
      <c r="A4823" s="1">
        <v>4822</v>
      </c>
      <c r="B4823" s="2">
        <v>45386</v>
      </c>
      <c r="C4823" s="1" t="s">
        <v>25</v>
      </c>
      <c r="D4823" s="1" t="s">
        <v>26</v>
      </c>
      <c r="E4823" s="1" t="s">
        <v>27</v>
      </c>
      <c r="F4823" s="1" t="s">
        <v>40</v>
      </c>
      <c r="G4823" s="1">
        <v>8</v>
      </c>
      <c r="H4823" s="1">
        <v>662</v>
      </c>
      <c r="I4823" s="1">
        <v>20</v>
      </c>
      <c r="J4823" s="4">
        <v>4236.8</v>
      </c>
      <c r="K4823" s="4">
        <v>3389.28</v>
      </c>
      <c r="L4823" s="4">
        <v>847.52</v>
      </c>
      <c r="M4823" s="1" t="str">
        <f>TEXT(Table1[[#This Row],[Order_Date]], "MMM")</f>
        <v>Apr</v>
      </c>
      <c r="N4823" s="1">
        <f>YEAR(Table1[[#This Row],[Order_Date]])</f>
        <v>2024</v>
      </c>
      <c r="O4823" s="7">
        <f>Table1[[#This Row],[Profit]]/Table1[[#This Row],[Total_Sales]]</f>
        <v>0.20003776435045315</v>
      </c>
    </row>
    <row r="4824" spans="1:15" x14ac:dyDescent="0.25">
      <c r="A4824" s="1">
        <v>4823</v>
      </c>
      <c r="B4824" s="2">
        <v>45144</v>
      </c>
      <c r="C4824" s="1" t="s">
        <v>16</v>
      </c>
      <c r="D4824" s="1" t="s">
        <v>32</v>
      </c>
      <c r="E4824" s="1" t="s">
        <v>41</v>
      </c>
      <c r="F4824" s="1" t="s">
        <v>18</v>
      </c>
      <c r="G4824" s="1">
        <v>10</v>
      </c>
      <c r="H4824" s="1">
        <v>630</v>
      </c>
      <c r="I4824" s="1">
        <v>5</v>
      </c>
      <c r="J4824" s="4">
        <v>5985</v>
      </c>
      <c r="K4824" s="4">
        <v>3117.79</v>
      </c>
      <c r="L4824" s="4">
        <v>2867.21</v>
      </c>
      <c r="M4824" s="1" t="str">
        <f>TEXT(Table1[[#This Row],[Order_Date]], "MMM")</f>
        <v>Aug</v>
      </c>
      <c r="N4824" s="1">
        <f>YEAR(Table1[[#This Row],[Order_Date]])</f>
        <v>2023</v>
      </c>
      <c r="O4824" s="7">
        <f>Table1[[#This Row],[Profit]]/Table1[[#This Row],[Total_Sales]]</f>
        <v>0.47906599832915625</v>
      </c>
    </row>
    <row r="4825" spans="1:15" x14ac:dyDescent="0.25">
      <c r="A4825" s="1">
        <v>4824</v>
      </c>
      <c r="B4825" s="2">
        <v>45207</v>
      </c>
      <c r="C4825" s="1" t="s">
        <v>19</v>
      </c>
      <c r="D4825" s="1" t="s">
        <v>13</v>
      </c>
      <c r="E4825" s="1" t="s">
        <v>14</v>
      </c>
      <c r="F4825" s="1" t="s">
        <v>31</v>
      </c>
      <c r="G4825" s="1">
        <v>10</v>
      </c>
      <c r="H4825" s="1">
        <v>793</v>
      </c>
      <c r="I4825" s="1">
        <v>20</v>
      </c>
      <c r="J4825" s="4">
        <v>6344</v>
      </c>
      <c r="K4825" s="4">
        <v>3744.1</v>
      </c>
      <c r="L4825" s="4">
        <v>2599.9</v>
      </c>
      <c r="M4825" s="1" t="str">
        <f>TEXT(Table1[[#This Row],[Order_Date]], "MMM")</f>
        <v>Oct</v>
      </c>
      <c r="N4825" s="1">
        <f>YEAR(Table1[[#This Row],[Order_Date]])</f>
        <v>2023</v>
      </c>
      <c r="O4825" s="7">
        <f>Table1[[#This Row],[Profit]]/Table1[[#This Row],[Total_Sales]]</f>
        <v>0.40982030264817154</v>
      </c>
    </row>
    <row r="4826" spans="1:15" x14ac:dyDescent="0.25">
      <c r="A4826" s="1">
        <v>4825</v>
      </c>
      <c r="B4826" s="2">
        <v>45017</v>
      </c>
      <c r="C4826" s="1" t="s">
        <v>12</v>
      </c>
      <c r="D4826" s="1" t="s">
        <v>13</v>
      </c>
      <c r="E4826" s="1" t="s">
        <v>38</v>
      </c>
      <c r="F4826" s="1" t="s">
        <v>31</v>
      </c>
      <c r="G4826" s="1">
        <v>6</v>
      </c>
      <c r="H4826" s="1">
        <v>809</v>
      </c>
      <c r="I4826" s="1">
        <v>0</v>
      </c>
      <c r="J4826" s="4">
        <v>4854</v>
      </c>
      <c r="K4826" s="4">
        <v>3657.4</v>
      </c>
      <c r="L4826" s="4">
        <v>1196.5999999999999</v>
      </c>
      <c r="M4826" s="1" t="str">
        <f>TEXT(Table1[[#This Row],[Order_Date]], "MMM")</f>
        <v>Apr</v>
      </c>
      <c r="N4826" s="1">
        <f>YEAR(Table1[[#This Row],[Order_Date]])</f>
        <v>2023</v>
      </c>
      <c r="O4826" s="7">
        <f>Table1[[#This Row],[Profit]]/Table1[[#This Row],[Total_Sales]]</f>
        <v>0.24651833539348988</v>
      </c>
    </row>
    <row r="4827" spans="1:15" x14ac:dyDescent="0.25">
      <c r="A4827" s="1">
        <v>4826</v>
      </c>
      <c r="B4827" s="2">
        <v>45290</v>
      </c>
      <c r="C4827" s="1" t="s">
        <v>25</v>
      </c>
      <c r="D4827" s="1" t="s">
        <v>26</v>
      </c>
      <c r="E4827" s="1" t="s">
        <v>37</v>
      </c>
      <c r="F4827" s="1" t="s">
        <v>31</v>
      </c>
      <c r="G4827" s="1">
        <v>8</v>
      </c>
      <c r="H4827" s="1">
        <v>865</v>
      </c>
      <c r="I4827" s="1">
        <v>5</v>
      </c>
      <c r="J4827" s="4">
        <v>6574</v>
      </c>
      <c r="K4827" s="4">
        <v>4185.92</v>
      </c>
      <c r="L4827" s="4">
        <v>2388.08</v>
      </c>
      <c r="M4827" s="1" t="str">
        <f>TEXT(Table1[[#This Row],[Order_Date]], "MMM")</f>
        <v>Dec</v>
      </c>
      <c r="N4827" s="1">
        <f>YEAR(Table1[[#This Row],[Order_Date]])</f>
        <v>2023</v>
      </c>
      <c r="O4827" s="7">
        <f>Table1[[#This Row],[Profit]]/Table1[[#This Row],[Total_Sales]]</f>
        <v>0.36326133252205656</v>
      </c>
    </row>
    <row r="4828" spans="1:15" x14ac:dyDescent="0.25">
      <c r="A4828" s="1">
        <v>4827</v>
      </c>
      <c r="B4828" s="2">
        <v>45066</v>
      </c>
      <c r="C4828" s="1" t="s">
        <v>16</v>
      </c>
      <c r="D4828" s="1" t="s">
        <v>26</v>
      </c>
      <c r="E4828" s="1" t="s">
        <v>27</v>
      </c>
      <c r="F4828" s="1" t="s">
        <v>40</v>
      </c>
      <c r="G4828" s="1">
        <v>8</v>
      </c>
      <c r="H4828" s="1">
        <v>201</v>
      </c>
      <c r="I4828" s="1">
        <v>5</v>
      </c>
      <c r="J4828" s="4">
        <v>1527.6</v>
      </c>
      <c r="K4828" s="4">
        <v>1003.36</v>
      </c>
      <c r="L4828" s="4">
        <v>524.24</v>
      </c>
      <c r="M4828" s="1" t="str">
        <f>TEXT(Table1[[#This Row],[Order_Date]], "MMM")</f>
        <v>May</v>
      </c>
      <c r="N4828" s="1">
        <f>YEAR(Table1[[#This Row],[Order_Date]])</f>
        <v>2023</v>
      </c>
      <c r="O4828" s="7">
        <f>Table1[[#This Row],[Profit]]/Table1[[#This Row],[Total_Sales]]</f>
        <v>0.34317884262896048</v>
      </c>
    </row>
    <row r="4829" spans="1:15" x14ac:dyDescent="0.25">
      <c r="A4829" s="1">
        <v>4828</v>
      </c>
      <c r="B4829" s="2">
        <v>45457</v>
      </c>
      <c r="C4829" s="1" t="s">
        <v>25</v>
      </c>
      <c r="D4829" s="1" t="s">
        <v>32</v>
      </c>
      <c r="E4829" s="1" t="s">
        <v>33</v>
      </c>
      <c r="F4829" s="1" t="s">
        <v>31</v>
      </c>
      <c r="G4829" s="1">
        <v>3</v>
      </c>
      <c r="H4829" s="1">
        <v>20</v>
      </c>
      <c r="I4829" s="1">
        <v>10</v>
      </c>
      <c r="J4829" s="4">
        <v>54</v>
      </c>
      <c r="K4829" s="4">
        <v>28.98</v>
      </c>
      <c r="L4829" s="4">
        <v>25.02</v>
      </c>
      <c r="M4829" s="1" t="str">
        <f>TEXT(Table1[[#This Row],[Order_Date]], "MMM")</f>
        <v>Jun</v>
      </c>
      <c r="N4829" s="1">
        <f>YEAR(Table1[[#This Row],[Order_Date]])</f>
        <v>2024</v>
      </c>
      <c r="O4829" s="7">
        <f>Table1[[#This Row],[Profit]]/Table1[[#This Row],[Total_Sales]]</f>
        <v>0.46333333333333332</v>
      </c>
    </row>
    <row r="4830" spans="1:15" x14ac:dyDescent="0.25">
      <c r="A4830" s="1">
        <v>4829</v>
      </c>
      <c r="B4830" s="2">
        <v>45197</v>
      </c>
      <c r="C4830" s="1" t="s">
        <v>19</v>
      </c>
      <c r="D4830" s="1" t="s">
        <v>13</v>
      </c>
      <c r="E4830" s="1" t="s">
        <v>39</v>
      </c>
      <c r="F4830" s="1" t="s">
        <v>24</v>
      </c>
      <c r="G4830" s="1">
        <v>2</v>
      </c>
      <c r="H4830" s="1">
        <v>639</v>
      </c>
      <c r="I4830" s="1">
        <v>10</v>
      </c>
      <c r="J4830" s="4">
        <v>1150.2</v>
      </c>
      <c r="K4830" s="4">
        <v>785.47</v>
      </c>
      <c r="L4830" s="4">
        <v>364.73</v>
      </c>
      <c r="M4830" s="1" t="str">
        <f>TEXT(Table1[[#This Row],[Order_Date]], "MMM")</f>
        <v>Sep</v>
      </c>
      <c r="N4830" s="1">
        <f>YEAR(Table1[[#This Row],[Order_Date]])</f>
        <v>2023</v>
      </c>
      <c r="O4830" s="7">
        <f>Table1[[#This Row],[Profit]]/Table1[[#This Row],[Total_Sales]]</f>
        <v>0.31710137367414365</v>
      </c>
    </row>
    <row r="4831" spans="1:15" x14ac:dyDescent="0.25">
      <c r="A4831" s="1">
        <v>4830</v>
      </c>
      <c r="B4831" s="2">
        <v>45521</v>
      </c>
      <c r="C4831" s="1" t="s">
        <v>16</v>
      </c>
      <c r="D4831" s="1" t="s">
        <v>32</v>
      </c>
      <c r="E4831" s="1" t="s">
        <v>33</v>
      </c>
      <c r="F4831" s="1" t="s">
        <v>15</v>
      </c>
      <c r="G4831" s="1">
        <v>8</v>
      </c>
      <c r="H4831" s="1">
        <v>971</v>
      </c>
      <c r="I4831" s="1">
        <v>5</v>
      </c>
      <c r="J4831" s="4">
        <v>7379.6</v>
      </c>
      <c r="K4831" s="4">
        <v>5662.42</v>
      </c>
      <c r="L4831" s="4">
        <v>1717.18</v>
      </c>
      <c r="M4831" s="1" t="str">
        <f>TEXT(Table1[[#This Row],[Order_Date]], "MMM")</f>
        <v>Aug</v>
      </c>
      <c r="N4831" s="1">
        <f>YEAR(Table1[[#This Row],[Order_Date]])</f>
        <v>2024</v>
      </c>
      <c r="O4831" s="7">
        <f>Table1[[#This Row],[Profit]]/Table1[[#This Row],[Total_Sales]]</f>
        <v>0.23269282887961407</v>
      </c>
    </row>
    <row r="4832" spans="1:15" x14ac:dyDescent="0.25">
      <c r="A4832" s="1">
        <v>4831</v>
      </c>
      <c r="B4832" s="2">
        <v>45521</v>
      </c>
      <c r="C4832" s="1" t="s">
        <v>25</v>
      </c>
      <c r="D4832" s="1" t="s">
        <v>22</v>
      </c>
      <c r="E4832" s="1" t="s">
        <v>44</v>
      </c>
      <c r="F4832" s="1" t="s">
        <v>40</v>
      </c>
      <c r="G4832" s="1">
        <v>9</v>
      </c>
      <c r="H4832" s="1">
        <v>756</v>
      </c>
      <c r="I4832" s="1">
        <v>0</v>
      </c>
      <c r="J4832" s="4">
        <v>6804</v>
      </c>
      <c r="K4832" s="4">
        <v>3422.25</v>
      </c>
      <c r="L4832" s="4">
        <v>3381.75</v>
      </c>
      <c r="M4832" s="1" t="str">
        <f>TEXT(Table1[[#This Row],[Order_Date]], "MMM")</f>
        <v>Aug</v>
      </c>
      <c r="N4832" s="1">
        <f>YEAR(Table1[[#This Row],[Order_Date]])</f>
        <v>2024</v>
      </c>
      <c r="O4832" s="7">
        <f>Table1[[#This Row],[Profit]]/Table1[[#This Row],[Total_Sales]]</f>
        <v>0.49702380952380953</v>
      </c>
    </row>
    <row r="4833" spans="1:15" x14ac:dyDescent="0.25">
      <c r="A4833" s="1">
        <v>4832</v>
      </c>
      <c r="B4833" s="2">
        <v>45178</v>
      </c>
      <c r="C4833" s="1" t="s">
        <v>16</v>
      </c>
      <c r="D4833" s="1" t="s">
        <v>13</v>
      </c>
      <c r="E4833" s="1" t="s">
        <v>14</v>
      </c>
      <c r="F4833" s="1" t="s">
        <v>15</v>
      </c>
      <c r="G4833" s="1">
        <v>6</v>
      </c>
      <c r="H4833" s="1">
        <v>708</v>
      </c>
      <c r="I4833" s="1">
        <v>10</v>
      </c>
      <c r="J4833" s="4">
        <v>3823.2</v>
      </c>
      <c r="K4833" s="4">
        <v>2260.0300000000002</v>
      </c>
      <c r="L4833" s="4">
        <v>1563.17</v>
      </c>
      <c r="M4833" s="1" t="str">
        <f>TEXT(Table1[[#This Row],[Order_Date]], "MMM")</f>
        <v>Sep</v>
      </c>
      <c r="N4833" s="1">
        <f>YEAR(Table1[[#This Row],[Order_Date]])</f>
        <v>2023</v>
      </c>
      <c r="O4833" s="7">
        <f>Table1[[#This Row],[Profit]]/Table1[[#This Row],[Total_Sales]]</f>
        <v>0.40886430215526265</v>
      </c>
    </row>
    <row r="4834" spans="1:15" x14ac:dyDescent="0.25">
      <c r="A4834" s="1">
        <v>4833</v>
      </c>
      <c r="B4834" s="2">
        <v>45511</v>
      </c>
      <c r="C4834" s="1" t="s">
        <v>19</v>
      </c>
      <c r="D4834" s="1" t="s">
        <v>22</v>
      </c>
      <c r="E4834" s="1" t="s">
        <v>23</v>
      </c>
      <c r="F4834" s="1" t="s">
        <v>15</v>
      </c>
      <c r="G4834" s="1">
        <v>8</v>
      </c>
      <c r="H4834" s="1">
        <v>788</v>
      </c>
      <c r="I4834" s="1">
        <v>20</v>
      </c>
      <c r="J4834" s="4">
        <v>5043.2</v>
      </c>
      <c r="K4834" s="4">
        <v>3303.59</v>
      </c>
      <c r="L4834" s="4">
        <v>1739.61</v>
      </c>
      <c r="M4834" s="1" t="str">
        <f>TEXT(Table1[[#This Row],[Order_Date]], "MMM")</f>
        <v>Aug</v>
      </c>
      <c r="N4834" s="1">
        <f>YEAR(Table1[[#This Row],[Order_Date]])</f>
        <v>2024</v>
      </c>
      <c r="O4834" s="7">
        <f>Table1[[#This Row],[Profit]]/Table1[[#This Row],[Total_Sales]]</f>
        <v>0.34494170368020305</v>
      </c>
    </row>
    <row r="4835" spans="1:15" x14ac:dyDescent="0.25">
      <c r="A4835" s="1">
        <v>4834</v>
      </c>
      <c r="B4835" s="2">
        <v>45263</v>
      </c>
      <c r="C4835" s="1" t="s">
        <v>16</v>
      </c>
      <c r="D4835" s="1" t="s">
        <v>32</v>
      </c>
      <c r="E4835" s="1" t="s">
        <v>34</v>
      </c>
      <c r="F4835" s="1" t="s">
        <v>35</v>
      </c>
      <c r="G4835" s="1">
        <v>9</v>
      </c>
      <c r="H4835" s="1">
        <v>694</v>
      </c>
      <c r="I4835" s="1">
        <v>5</v>
      </c>
      <c r="J4835" s="4">
        <v>5933.7</v>
      </c>
      <c r="K4835" s="4">
        <v>3902.18</v>
      </c>
      <c r="L4835" s="4">
        <v>2031.52</v>
      </c>
      <c r="M4835" s="1" t="str">
        <f>TEXT(Table1[[#This Row],[Order_Date]], "MMM")</f>
        <v>Dec</v>
      </c>
      <c r="N4835" s="1">
        <f>YEAR(Table1[[#This Row],[Order_Date]])</f>
        <v>2023</v>
      </c>
      <c r="O4835" s="7">
        <f>Table1[[#This Row],[Profit]]/Table1[[#This Row],[Total_Sales]]</f>
        <v>0.34236985354837624</v>
      </c>
    </row>
    <row r="4836" spans="1:15" x14ac:dyDescent="0.25">
      <c r="A4836" s="1">
        <v>4835</v>
      </c>
      <c r="B4836" s="2">
        <v>45070</v>
      </c>
      <c r="C4836" s="1" t="s">
        <v>19</v>
      </c>
      <c r="D4836" s="1" t="s">
        <v>13</v>
      </c>
      <c r="E4836" s="1" t="s">
        <v>38</v>
      </c>
      <c r="F4836" s="1" t="s">
        <v>35</v>
      </c>
      <c r="G4836" s="1">
        <v>8</v>
      </c>
      <c r="H4836" s="1">
        <v>706</v>
      </c>
      <c r="I4836" s="1">
        <v>20</v>
      </c>
      <c r="J4836" s="4">
        <v>4518.3999999999996</v>
      </c>
      <c r="K4836" s="4">
        <v>3358.08</v>
      </c>
      <c r="L4836" s="4">
        <v>1160.32</v>
      </c>
      <c r="M4836" s="1" t="str">
        <f>TEXT(Table1[[#This Row],[Order_Date]], "MMM")</f>
        <v>May</v>
      </c>
      <c r="N4836" s="1">
        <f>YEAR(Table1[[#This Row],[Order_Date]])</f>
        <v>2023</v>
      </c>
      <c r="O4836" s="7">
        <f>Table1[[#This Row],[Profit]]/Table1[[#This Row],[Total_Sales]]</f>
        <v>0.25679886685552411</v>
      </c>
    </row>
    <row r="4837" spans="1:15" x14ac:dyDescent="0.25">
      <c r="A4837" s="1">
        <v>4836</v>
      </c>
      <c r="B4837" s="2">
        <v>45414</v>
      </c>
      <c r="C4837" s="1" t="s">
        <v>12</v>
      </c>
      <c r="D4837" s="1" t="s">
        <v>22</v>
      </c>
      <c r="E4837" s="1" t="s">
        <v>29</v>
      </c>
      <c r="F4837" s="1" t="s">
        <v>35</v>
      </c>
      <c r="G4837" s="1">
        <v>9</v>
      </c>
      <c r="H4837" s="1">
        <v>711</v>
      </c>
      <c r="I4837" s="1">
        <v>0</v>
      </c>
      <c r="J4837" s="4">
        <v>6399</v>
      </c>
      <c r="K4837" s="4">
        <v>4060.55</v>
      </c>
      <c r="L4837" s="4">
        <v>2338.4499999999998</v>
      </c>
      <c r="M4837" s="1" t="str">
        <f>TEXT(Table1[[#This Row],[Order_Date]], "MMM")</f>
        <v>May</v>
      </c>
      <c r="N4837" s="1">
        <f>YEAR(Table1[[#This Row],[Order_Date]])</f>
        <v>2024</v>
      </c>
      <c r="O4837" s="7">
        <f>Table1[[#This Row],[Profit]]/Table1[[#This Row],[Total_Sales]]</f>
        <v>0.36543991248632596</v>
      </c>
    </row>
    <row r="4838" spans="1:15" x14ac:dyDescent="0.25">
      <c r="A4838" s="1">
        <v>4837</v>
      </c>
      <c r="B4838" s="2">
        <v>45396</v>
      </c>
      <c r="C4838" s="1" t="s">
        <v>12</v>
      </c>
      <c r="D4838" s="1" t="s">
        <v>32</v>
      </c>
      <c r="E4838" s="1" t="s">
        <v>34</v>
      </c>
      <c r="F4838" s="1" t="s">
        <v>24</v>
      </c>
      <c r="G4838" s="1">
        <v>5</v>
      </c>
      <c r="H4838" s="1">
        <v>284</v>
      </c>
      <c r="I4838" s="1">
        <v>5</v>
      </c>
      <c r="J4838" s="4">
        <v>1349</v>
      </c>
      <c r="K4838" s="4">
        <v>784.88</v>
      </c>
      <c r="L4838" s="4">
        <v>564.12</v>
      </c>
      <c r="M4838" s="1" t="str">
        <f>TEXT(Table1[[#This Row],[Order_Date]], "MMM")</f>
        <v>Apr</v>
      </c>
      <c r="N4838" s="1">
        <f>YEAR(Table1[[#This Row],[Order_Date]])</f>
        <v>2024</v>
      </c>
      <c r="O4838" s="7">
        <f>Table1[[#This Row],[Profit]]/Table1[[#This Row],[Total_Sales]]</f>
        <v>0.41817642698295032</v>
      </c>
    </row>
    <row r="4839" spans="1:15" x14ac:dyDescent="0.25">
      <c r="A4839" s="1">
        <v>4838</v>
      </c>
      <c r="B4839" s="2">
        <v>45464</v>
      </c>
      <c r="C4839" s="1" t="s">
        <v>19</v>
      </c>
      <c r="D4839" s="1" t="s">
        <v>26</v>
      </c>
      <c r="E4839" s="1" t="s">
        <v>27</v>
      </c>
      <c r="F4839" s="1" t="s">
        <v>31</v>
      </c>
      <c r="G4839" s="1">
        <v>10</v>
      </c>
      <c r="H4839" s="1">
        <v>747</v>
      </c>
      <c r="I4839" s="1">
        <v>0</v>
      </c>
      <c r="J4839" s="4">
        <v>7470</v>
      </c>
      <c r="K4839" s="4">
        <v>5958.02</v>
      </c>
      <c r="L4839" s="4">
        <v>1511.98</v>
      </c>
      <c r="M4839" s="1" t="str">
        <f>TEXT(Table1[[#This Row],[Order_Date]], "MMM")</f>
        <v>Jun</v>
      </c>
      <c r="N4839" s="1">
        <f>YEAR(Table1[[#This Row],[Order_Date]])</f>
        <v>2024</v>
      </c>
      <c r="O4839" s="7">
        <f>Table1[[#This Row],[Profit]]/Table1[[#This Row],[Total_Sales]]</f>
        <v>0.20240696117804552</v>
      </c>
    </row>
    <row r="4840" spans="1:15" x14ac:dyDescent="0.25">
      <c r="A4840" s="1">
        <v>4839</v>
      </c>
      <c r="B4840" s="2">
        <v>44943</v>
      </c>
      <c r="C4840" s="1" t="s">
        <v>19</v>
      </c>
      <c r="D4840" s="1" t="s">
        <v>20</v>
      </c>
      <c r="E4840" s="1" t="s">
        <v>30</v>
      </c>
      <c r="F4840" s="1" t="s">
        <v>18</v>
      </c>
      <c r="G4840" s="1">
        <v>7</v>
      </c>
      <c r="H4840" s="1">
        <v>159</v>
      </c>
      <c r="I4840" s="1">
        <v>10</v>
      </c>
      <c r="J4840" s="4">
        <v>1001.7</v>
      </c>
      <c r="K4840" s="4">
        <v>547.88</v>
      </c>
      <c r="L4840" s="4">
        <v>453.82</v>
      </c>
      <c r="M4840" s="1" t="str">
        <f>TEXT(Table1[[#This Row],[Order_Date]], "MMM")</f>
        <v>Jan</v>
      </c>
      <c r="N4840" s="1">
        <f>YEAR(Table1[[#This Row],[Order_Date]])</f>
        <v>2023</v>
      </c>
      <c r="O4840" s="7">
        <f>Table1[[#This Row],[Profit]]/Table1[[#This Row],[Total_Sales]]</f>
        <v>0.45304981531396621</v>
      </c>
    </row>
    <row r="4841" spans="1:15" x14ac:dyDescent="0.25">
      <c r="A4841" s="1">
        <v>4840</v>
      </c>
      <c r="B4841" s="2">
        <v>45570</v>
      </c>
      <c r="C4841" s="1" t="s">
        <v>19</v>
      </c>
      <c r="D4841" s="1" t="s">
        <v>26</v>
      </c>
      <c r="E4841" s="1" t="s">
        <v>46</v>
      </c>
      <c r="F4841" s="1" t="s">
        <v>31</v>
      </c>
      <c r="G4841" s="1">
        <v>8</v>
      </c>
      <c r="H4841" s="1">
        <v>533</v>
      </c>
      <c r="I4841" s="1">
        <v>0</v>
      </c>
      <c r="J4841" s="4">
        <v>4264</v>
      </c>
      <c r="K4841" s="4">
        <v>2990</v>
      </c>
      <c r="L4841" s="4">
        <v>1274</v>
      </c>
      <c r="M4841" s="1" t="str">
        <f>TEXT(Table1[[#This Row],[Order_Date]], "MMM")</f>
        <v>Oct</v>
      </c>
      <c r="N4841" s="1">
        <f>YEAR(Table1[[#This Row],[Order_Date]])</f>
        <v>2024</v>
      </c>
      <c r="O4841" s="7">
        <f>Table1[[#This Row],[Profit]]/Table1[[#This Row],[Total_Sales]]</f>
        <v>0.29878048780487804</v>
      </c>
    </row>
    <row r="4842" spans="1:15" x14ac:dyDescent="0.25">
      <c r="A4842" s="1">
        <v>4841</v>
      </c>
      <c r="B4842" s="2">
        <v>45334</v>
      </c>
      <c r="C4842" s="1" t="s">
        <v>19</v>
      </c>
      <c r="D4842" s="1" t="s">
        <v>13</v>
      </c>
      <c r="E4842" s="1" t="s">
        <v>38</v>
      </c>
      <c r="F4842" s="1" t="s">
        <v>18</v>
      </c>
      <c r="G4842" s="1">
        <v>6</v>
      </c>
      <c r="H4842" s="1">
        <v>491</v>
      </c>
      <c r="I4842" s="1">
        <v>15</v>
      </c>
      <c r="J4842" s="4">
        <v>2504.1</v>
      </c>
      <c r="K4842" s="4">
        <v>1328.35</v>
      </c>
      <c r="L4842" s="4">
        <v>1175.75</v>
      </c>
      <c r="M4842" s="1" t="str">
        <f>TEXT(Table1[[#This Row],[Order_Date]], "MMM")</f>
        <v>Feb</v>
      </c>
      <c r="N4842" s="1">
        <f>YEAR(Table1[[#This Row],[Order_Date]])</f>
        <v>2024</v>
      </c>
      <c r="O4842" s="7">
        <f>Table1[[#This Row],[Profit]]/Table1[[#This Row],[Total_Sales]]</f>
        <v>0.46952997084780962</v>
      </c>
    </row>
    <row r="4843" spans="1:15" x14ac:dyDescent="0.25">
      <c r="A4843" s="1">
        <v>4842</v>
      </c>
      <c r="B4843" s="2">
        <v>45384</v>
      </c>
      <c r="C4843" s="1" t="s">
        <v>19</v>
      </c>
      <c r="D4843" s="1" t="s">
        <v>13</v>
      </c>
      <c r="E4843" s="1" t="s">
        <v>38</v>
      </c>
      <c r="F4843" s="1" t="s">
        <v>15</v>
      </c>
      <c r="G4843" s="1">
        <v>7</v>
      </c>
      <c r="H4843" s="1">
        <v>219</v>
      </c>
      <c r="I4843" s="1">
        <v>5</v>
      </c>
      <c r="J4843" s="4">
        <v>1456.35</v>
      </c>
      <c r="K4843" s="4">
        <v>845.89</v>
      </c>
      <c r="L4843" s="4">
        <v>610.46</v>
      </c>
      <c r="M4843" s="1" t="str">
        <f>TEXT(Table1[[#This Row],[Order_Date]], "MMM")</f>
        <v>Apr</v>
      </c>
      <c r="N4843" s="1">
        <f>YEAR(Table1[[#This Row],[Order_Date]])</f>
        <v>2024</v>
      </c>
      <c r="O4843" s="7">
        <f>Table1[[#This Row],[Profit]]/Table1[[#This Row],[Total_Sales]]</f>
        <v>0.41917121571050919</v>
      </c>
    </row>
    <row r="4844" spans="1:15" x14ac:dyDescent="0.25">
      <c r="A4844" s="1">
        <v>4843</v>
      </c>
      <c r="B4844" s="2">
        <v>45446</v>
      </c>
      <c r="C4844" s="1" t="s">
        <v>25</v>
      </c>
      <c r="D4844" s="1" t="s">
        <v>26</v>
      </c>
      <c r="E4844" s="1" t="s">
        <v>42</v>
      </c>
      <c r="F4844" s="1" t="s">
        <v>15</v>
      </c>
      <c r="G4844" s="1">
        <v>5</v>
      </c>
      <c r="H4844" s="1">
        <v>995</v>
      </c>
      <c r="I4844" s="1">
        <v>5</v>
      </c>
      <c r="J4844" s="4">
        <v>4726.25</v>
      </c>
      <c r="K4844" s="4">
        <v>3652.66</v>
      </c>
      <c r="L4844" s="4">
        <v>1073.5899999999999</v>
      </c>
      <c r="M4844" s="1" t="str">
        <f>TEXT(Table1[[#This Row],[Order_Date]], "MMM")</f>
        <v>Jun</v>
      </c>
      <c r="N4844" s="1">
        <f>YEAR(Table1[[#This Row],[Order_Date]])</f>
        <v>2024</v>
      </c>
      <c r="O4844" s="7">
        <f>Table1[[#This Row],[Profit]]/Table1[[#This Row],[Total_Sales]]</f>
        <v>0.22715472097328748</v>
      </c>
    </row>
    <row r="4845" spans="1:15" x14ac:dyDescent="0.25">
      <c r="A4845" s="1">
        <v>4844</v>
      </c>
      <c r="B4845" s="2">
        <v>45211</v>
      </c>
      <c r="C4845" s="1" t="s">
        <v>19</v>
      </c>
      <c r="D4845" s="1" t="s">
        <v>26</v>
      </c>
      <c r="E4845" s="1" t="s">
        <v>27</v>
      </c>
      <c r="F4845" s="1" t="s">
        <v>18</v>
      </c>
      <c r="G4845" s="1">
        <v>3</v>
      </c>
      <c r="H4845" s="1">
        <v>850</v>
      </c>
      <c r="I4845" s="1">
        <v>20</v>
      </c>
      <c r="J4845" s="4">
        <v>2040</v>
      </c>
      <c r="K4845" s="4">
        <v>1402.58</v>
      </c>
      <c r="L4845" s="4">
        <v>637.41999999999996</v>
      </c>
      <c r="M4845" s="1" t="str">
        <f>TEXT(Table1[[#This Row],[Order_Date]], "MMM")</f>
        <v>Oct</v>
      </c>
      <c r="N4845" s="1">
        <f>YEAR(Table1[[#This Row],[Order_Date]])</f>
        <v>2023</v>
      </c>
      <c r="O4845" s="7">
        <f>Table1[[#This Row],[Profit]]/Table1[[#This Row],[Total_Sales]]</f>
        <v>0.31246078431372548</v>
      </c>
    </row>
    <row r="4846" spans="1:15" x14ac:dyDescent="0.25">
      <c r="A4846" s="1">
        <v>4845</v>
      </c>
      <c r="B4846" s="2">
        <v>45440</v>
      </c>
      <c r="C4846" s="1" t="s">
        <v>19</v>
      </c>
      <c r="D4846" s="1" t="s">
        <v>13</v>
      </c>
      <c r="E4846" s="1" t="s">
        <v>17</v>
      </c>
      <c r="F4846" s="1" t="s">
        <v>18</v>
      </c>
      <c r="G4846" s="1">
        <v>3</v>
      </c>
      <c r="H4846" s="1">
        <v>616</v>
      </c>
      <c r="I4846" s="1">
        <v>20</v>
      </c>
      <c r="J4846" s="4">
        <v>1478.4</v>
      </c>
      <c r="K4846" s="4">
        <v>1121.07</v>
      </c>
      <c r="L4846" s="4">
        <v>357.33</v>
      </c>
      <c r="M4846" s="1" t="str">
        <f>TEXT(Table1[[#This Row],[Order_Date]], "MMM")</f>
        <v>May</v>
      </c>
      <c r="N4846" s="1">
        <f>YEAR(Table1[[#This Row],[Order_Date]])</f>
        <v>2024</v>
      </c>
      <c r="O4846" s="7">
        <f>Table1[[#This Row],[Profit]]/Table1[[#This Row],[Total_Sales]]</f>
        <v>0.24170048701298699</v>
      </c>
    </row>
    <row r="4847" spans="1:15" x14ac:dyDescent="0.25">
      <c r="A4847" s="1">
        <v>4846</v>
      </c>
      <c r="B4847" s="2">
        <v>45525</v>
      </c>
      <c r="C4847" s="1" t="s">
        <v>25</v>
      </c>
      <c r="D4847" s="1" t="s">
        <v>22</v>
      </c>
      <c r="E4847" s="1" t="s">
        <v>23</v>
      </c>
      <c r="F4847" s="1" t="s">
        <v>31</v>
      </c>
      <c r="G4847" s="1">
        <v>7</v>
      </c>
      <c r="H4847" s="1">
        <v>128</v>
      </c>
      <c r="I4847" s="1">
        <v>5</v>
      </c>
      <c r="J4847" s="4">
        <v>851.2</v>
      </c>
      <c r="K4847" s="4">
        <v>665.59</v>
      </c>
      <c r="L4847" s="4">
        <v>185.61</v>
      </c>
      <c r="M4847" s="1" t="str">
        <f>TEXT(Table1[[#This Row],[Order_Date]], "MMM")</f>
        <v>Aug</v>
      </c>
      <c r="N4847" s="1">
        <f>YEAR(Table1[[#This Row],[Order_Date]])</f>
        <v>2024</v>
      </c>
      <c r="O4847" s="7">
        <f>Table1[[#This Row],[Profit]]/Table1[[#This Row],[Total_Sales]]</f>
        <v>0.21805686090225565</v>
      </c>
    </row>
    <row r="4848" spans="1:15" x14ac:dyDescent="0.25">
      <c r="A4848" s="1">
        <v>4847</v>
      </c>
      <c r="B4848" s="2">
        <v>45085</v>
      </c>
      <c r="C4848" s="1" t="s">
        <v>16</v>
      </c>
      <c r="D4848" s="1" t="s">
        <v>20</v>
      </c>
      <c r="E4848" s="1" t="s">
        <v>28</v>
      </c>
      <c r="F4848" s="1" t="s">
        <v>35</v>
      </c>
      <c r="G4848" s="1">
        <v>4</v>
      </c>
      <c r="H4848" s="1">
        <v>87</v>
      </c>
      <c r="I4848" s="1">
        <v>15</v>
      </c>
      <c r="J4848" s="4">
        <v>295.8</v>
      </c>
      <c r="K4848" s="4">
        <v>191.75</v>
      </c>
      <c r="L4848" s="4">
        <v>104.05</v>
      </c>
      <c r="M4848" s="1" t="str">
        <f>TEXT(Table1[[#This Row],[Order_Date]], "MMM")</f>
        <v>Jun</v>
      </c>
      <c r="N4848" s="1">
        <f>YEAR(Table1[[#This Row],[Order_Date]])</f>
        <v>2023</v>
      </c>
      <c r="O4848" s="7">
        <f>Table1[[#This Row],[Profit]]/Table1[[#This Row],[Total_Sales]]</f>
        <v>0.35175794455713316</v>
      </c>
    </row>
    <row r="4849" spans="1:15" x14ac:dyDescent="0.25">
      <c r="A4849" s="1">
        <v>4848</v>
      </c>
      <c r="B4849" s="2">
        <v>45458</v>
      </c>
      <c r="C4849" s="1" t="s">
        <v>12</v>
      </c>
      <c r="D4849" s="1" t="s">
        <v>20</v>
      </c>
      <c r="E4849" s="1" t="s">
        <v>43</v>
      </c>
      <c r="F4849" s="1" t="s">
        <v>31</v>
      </c>
      <c r="G4849" s="1">
        <v>7</v>
      </c>
      <c r="H4849" s="1">
        <v>577</v>
      </c>
      <c r="I4849" s="1">
        <v>15</v>
      </c>
      <c r="J4849" s="4">
        <v>3433.15</v>
      </c>
      <c r="K4849" s="4">
        <v>2448.9899999999998</v>
      </c>
      <c r="L4849" s="4">
        <v>984.16</v>
      </c>
      <c r="M4849" s="1" t="str">
        <f>TEXT(Table1[[#This Row],[Order_Date]], "MMM")</f>
        <v>Jun</v>
      </c>
      <c r="N4849" s="1">
        <f>YEAR(Table1[[#This Row],[Order_Date]])</f>
        <v>2024</v>
      </c>
      <c r="O4849" s="7">
        <f>Table1[[#This Row],[Profit]]/Table1[[#This Row],[Total_Sales]]</f>
        <v>0.28666385098233399</v>
      </c>
    </row>
    <row r="4850" spans="1:15" x14ac:dyDescent="0.25">
      <c r="A4850" s="1">
        <v>4849</v>
      </c>
      <c r="B4850" s="2">
        <v>45363</v>
      </c>
      <c r="C4850" s="1" t="s">
        <v>16</v>
      </c>
      <c r="D4850" s="1" t="s">
        <v>13</v>
      </c>
      <c r="E4850" s="1" t="s">
        <v>38</v>
      </c>
      <c r="F4850" s="1" t="s">
        <v>40</v>
      </c>
      <c r="G4850" s="1">
        <v>4</v>
      </c>
      <c r="H4850" s="1">
        <v>509</v>
      </c>
      <c r="I4850" s="1">
        <v>0</v>
      </c>
      <c r="J4850" s="4">
        <v>2036</v>
      </c>
      <c r="K4850" s="4">
        <v>1088.6400000000001</v>
      </c>
      <c r="L4850" s="4">
        <v>947.36</v>
      </c>
      <c r="M4850" s="1" t="str">
        <f>TEXT(Table1[[#This Row],[Order_Date]], "MMM")</f>
        <v>Mar</v>
      </c>
      <c r="N4850" s="1">
        <f>YEAR(Table1[[#This Row],[Order_Date]])</f>
        <v>2024</v>
      </c>
      <c r="O4850" s="7">
        <f>Table1[[#This Row],[Profit]]/Table1[[#This Row],[Total_Sales]]</f>
        <v>0.46530451866404715</v>
      </c>
    </row>
    <row r="4851" spans="1:15" x14ac:dyDescent="0.25">
      <c r="A4851" s="1">
        <v>4850</v>
      </c>
      <c r="B4851" s="2">
        <v>45469</v>
      </c>
      <c r="C4851" s="1" t="s">
        <v>12</v>
      </c>
      <c r="D4851" s="1" t="s">
        <v>22</v>
      </c>
      <c r="E4851" s="1" t="s">
        <v>29</v>
      </c>
      <c r="F4851" s="1" t="s">
        <v>35</v>
      </c>
      <c r="G4851" s="1">
        <v>5</v>
      </c>
      <c r="H4851" s="1">
        <v>300</v>
      </c>
      <c r="I4851" s="1">
        <v>0</v>
      </c>
      <c r="J4851" s="4">
        <v>1500</v>
      </c>
      <c r="K4851" s="4">
        <v>750.07</v>
      </c>
      <c r="L4851" s="4">
        <v>749.93</v>
      </c>
      <c r="M4851" s="1" t="str">
        <f>TEXT(Table1[[#This Row],[Order_Date]], "MMM")</f>
        <v>Jun</v>
      </c>
      <c r="N4851" s="1">
        <f>YEAR(Table1[[#This Row],[Order_Date]])</f>
        <v>2024</v>
      </c>
      <c r="O4851" s="7">
        <f>Table1[[#This Row],[Profit]]/Table1[[#This Row],[Total_Sales]]</f>
        <v>0.49995333333333331</v>
      </c>
    </row>
    <row r="4852" spans="1:15" x14ac:dyDescent="0.25">
      <c r="A4852" s="1">
        <v>4851</v>
      </c>
      <c r="B4852" s="2">
        <v>45614</v>
      </c>
      <c r="C4852" s="1" t="s">
        <v>25</v>
      </c>
      <c r="D4852" s="1" t="s">
        <v>32</v>
      </c>
      <c r="E4852" s="1" t="s">
        <v>34</v>
      </c>
      <c r="F4852" s="1" t="s">
        <v>18</v>
      </c>
      <c r="G4852" s="1">
        <v>2</v>
      </c>
      <c r="H4852" s="1">
        <v>438</v>
      </c>
      <c r="I4852" s="1">
        <v>15</v>
      </c>
      <c r="J4852" s="4">
        <v>744.6</v>
      </c>
      <c r="K4852" s="4">
        <v>379.15</v>
      </c>
      <c r="L4852" s="4">
        <v>365.45</v>
      </c>
      <c r="M4852" s="1" t="str">
        <f>TEXT(Table1[[#This Row],[Order_Date]], "MMM")</f>
        <v>Nov</v>
      </c>
      <c r="N4852" s="1">
        <f>YEAR(Table1[[#This Row],[Order_Date]])</f>
        <v>2024</v>
      </c>
      <c r="O4852" s="7">
        <f>Table1[[#This Row],[Profit]]/Table1[[#This Row],[Total_Sales]]</f>
        <v>0.49080042976094546</v>
      </c>
    </row>
    <row r="4853" spans="1:15" x14ac:dyDescent="0.25">
      <c r="A4853" s="1">
        <v>4852</v>
      </c>
      <c r="B4853" s="2">
        <v>45536</v>
      </c>
      <c r="C4853" s="1" t="s">
        <v>25</v>
      </c>
      <c r="D4853" s="1" t="s">
        <v>22</v>
      </c>
      <c r="E4853" s="1" t="s">
        <v>23</v>
      </c>
      <c r="F4853" s="1" t="s">
        <v>35</v>
      </c>
      <c r="G4853" s="1">
        <v>4</v>
      </c>
      <c r="H4853" s="1">
        <v>210</v>
      </c>
      <c r="I4853" s="1">
        <v>5</v>
      </c>
      <c r="J4853" s="4">
        <v>798</v>
      </c>
      <c r="K4853" s="4">
        <v>546.14</v>
      </c>
      <c r="L4853" s="4">
        <v>251.86</v>
      </c>
      <c r="M4853" s="1" t="str">
        <f>TEXT(Table1[[#This Row],[Order_Date]], "MMM")</f>
        <v>Sep</v>
      </c>
      <c r="N4853" s="1">
        <f>YEAR(Table1[[#This Row],[Order_Date]])</f>
        <v>2024</v>
      </c>
      <c r="O4853" s="7">
        <f>Table1[[#This Row],[Profit]]/Table1[[#This Row],[Total_Sales]]</f>
        <v>0.31561403508771929</v>
      </c>
    </row>
    <row r="4854" spans="1:15" x14ac:dyDescent="0.25">
      <c r="A4854" s="1">
        <v>4853</v>
      </c>
      <c r="B4854" s="2">
        <v>45633</v>
      </c>
      <c r="C4854" s="1" t="s">
        <v>12</v>
      </c>
      <c r="D4854" s="1" t="s">
        <v>26</v>
      </c>
      <c r="E4854" s="1" t="s">
        <v>37</v>
      </c>
      <c r="F4854" s="1" t="s">
        <v>24</v>
      </c>
      <c r="G4854" s="1">
        <v>6</v>
      </c>
      <c r="H4854" s="1">
        <v>875</v>
      </c>
      <c r="I4854" s="1">
        <v>15</v>
      </c>
      <c r="J4854" s="4">
        <v>4462.5</v>
      </c>
      <c r="K4854" s="4">
        <v>2375.85</v>
      </c>
      <c r="L4854" s="4">
        <v>2086.65</v>
      </c>
      <c r="M4854" s="1" t="str">
        <f>TEXT(Table1[[#This Row],[Order_Date]], "MMM")</f>
        <v>Dec</v>
      </c>
      <c r="N4854" s="1">
        <f>YEAR(Table1[[#This Row],[Order_Date]])</f>
        <v>2024</v>
      </c>
      <c r="O4854" s="7">
        <f>Table1[[#This Row],[Profit]]/Table1[[#This Row],[Total_Sales]]</f>
        <v>0.46759663865546219</v>
      </c>
    </row>
    <row r="4855" spans="1:15" x14ac:dyDescent="0.25">
      <c r="A4855" s="1">
        <v>4854</v>
      </c>
      <c r="B4855" s="2">
        <v>45615</v>
      </c>
      <c r="C4855" s="1" t="s">
        <v>19</v>
      </c>
      <c r="D4855" s="1" t="s">
        <v>22</v>
      </c>
      <c r="E4855" s="1" t="s">
        <v>29</v>
      </c>
      <c r="F4855" s="1" t="s">
        <v>24</v>
      </c>
      <c r="G4855" s="1">
        <v>8</v>
      </c>
      <c r="H4855" s="1">
        <v>741</v>
      </c>
      <c r="I4855" s="1">
        <v>0</v>
      </c>
      <c r="J4855" s="4">
        <v>5928</v>
      </c>
      <c r="K4855" s="4">
        <v>4051.98</v>
      </c>
      <c r="L4855" s="4">
        <v>1876.02</v>
      </c>
      <c r="M4855" s="1" t="str">
        <f>TEXT(Table1[[#This Row],[Order_Date]], "MMM")</f>
        <v>Nov</v>
      </c>
      <c r="N4855" s="1">
        <f>YEAR(Table1[[#This Row],[Order_Date]])</f>
        <v>2024</v>
      </c>
      <c r="O4855" s="7">
        <f>Table1[[#This Row],[Profit]]/Table1[[#This Row],[Total_Sales]]</f>
        <v>0.31646761133603241</v>
      </c>
    </row>
    <row r="4856" spans="1:15" x14ac:dyDescent="0.25">
      <c r="A4856" s="1">
        <v>4855</v>
      </c>
      <c r="B4856" s="2">
        <v>45204</v>
      </c>
      <c r="C4856" s="1" t="s">
        <v>19</v>
      </c>
      <c r="D4856" s="1" t="s">
        <v>26</v>
      </c>
      <c r="E4856" s="1" t="s">
        <v>46</v>
      </c>
      <c r="F4856" s="1" t="s">
        <v>35</v>
      </c>
      <c r="G4856" s="1">
        <v>5</v>
      </c>
      <c r="H4856" s="1">
        <v>734</v>
      </c>
      <c r="I4856" s="1">
        <v>20</v>
      </c>
      <c r="J4856" s="4">
        <v>2936</v>
      </c>
      <c r="K4856" s="4">
        <v>1597.58</v>
      </c>
      <c r="L4856" s="4">
        <v>1338.42</v>
      </c>
      <c r="M4856" s="1" t="str">
        <f>TEXT(Table1[[#This Row],[Order_Date]], "MMM")</f>
        <v>Oct</v>
      </c>
      <c r="N4856" s="1">
        <f>YEAR(Table1[[#This Row],[Order_Date]])</f>
        <v>2023</v>
      </c>
      <c r="O4856" s="7">
        <f>Table1[[#This Row],[Profit]]/Table1[[#This Row],[Total_Sales]]</f>
        <v>0.45586512261580386</v>
      </c>
    </row>
    <row r="4857" spans="1:15" x14ac:dyDescent="0.25">
      <c r="A4857" s="1">
        <v>4856</v>
      </c>
      <c r="B4857" s="2">
        <v>45494</v>
      </c>
      <c r="C4857" s="1" t="s">
        <v>12</v>
      </c>
      <c r="D4857" s="1" t="s">
        <v>26</v>
      </c>
      <c r="E4857" s="1" t="s">
        <v>27</v>
      </c>
      <c r="F4857" s="1" t="s">
        <v>40</v>
      </c>
      <c r="G4857" s="1">
        <v>10</v>
      </c>
      <c r="H4857" s="1">
        <v>225</v>
      </c>
      <c r="I4857" s="1">
        <v>0</v>
      </c>
      <c r="J4857" s="4">
        <v>2250</v>
      </c>
      <c r="K4857" s="4">
        <v>1368.18</v>
      </c>
      <c r="L4857" s="4">
        <v>881.82</v>
      </c>
      <c r="M4857" s="1" t="str">
        <f>TEXT(Table1[[#This Row],[Order_Date]], "MMM")</f>
        <v>Jul</v>
      </c>
      <c r="N4857" s="1">
        <f>YEAR(Table1[[#This Row],[Order_Date]])</f>
        <v>2024</v>
      </c>
      <c r="O4857" s="7">
        <f>Table1[[#This Row],[Profit]]/Table1[[#This Row],[Total_Sales]]</f>
        <v>0.39192000000000005</v>
      </c>
    </row>
    <row r="4858" spans="1:15" x14ac:dyDescent="0.25">
      <c r="A4858" s="1">
        <v>4857</v>
      </c>
      <c r="B4858" s="2">
        <v>45140</v>
      </c>
      <c r="C4858" s="1" t="s">
        <v>12</v>
      </c>
      <c r="D4858" s="1" t="s">
        <v>20</v>
      </c>
      <c r="E4858" s="1" t="s">
        <v>28</v>
      </c>
      <c r="F4858" s="1" t="s">
        <v>24</v>
      </c>
      <c r="G4858" s="1">
        <v>6</v>
      </c>
      <c r="H4858" s="1">
        <v>277</v>
      </c>
      <c r="I4858" s="1">
        <v>5</v>
      </c>
      <c r="J4858" s="4">
        <v>1578.9</v>
      </c>
      <c r="K4858" s="4">
        <v>1139.52</v>
      </c>
      <c r="L4858" s="4">
        <v>439.38</v>
      </c>
      <c r="M4858" s="1" t="str">
        <f>TEXT(Table1[[#This Row],[Order_Date]], "MMM")</f>
        <v>Aug</v>
      </c>
      <c r="N4858" s="1">
        <f>YEAR(Table1[[#This Row],[Order_Date]])</f>
        <v>2023</v>
      </c>
      <c r="O4858" s="7">
        <f>Table1[[#This Row],[Profit]]/Table1[[#This Row],[Total_Sales]]</f>
        <v>0.27828234847045408</v>
      </c>
    </row>
    <row r="4859" spans="1:15" x14ac:dyDescent="0.25">
      <c r="A4859" s="1">
        <v>4858</v>
      </c>
      <c r="B4859" s="2">
        <v>45414</v>
      </c>
      <c r="C4859" s="1" t="s">
        <v>19</v>
      </c>
      <c r="D4859" s="1" t="s">
        <v>26</v>
      </c>
      <c r="E4859" s="1" t="s">
        <v>42</v>
      </c>
      <c r="F4859" s="1" t="s">
        <v>24</v>
      </c>
      <c r="G4859" s="1">
        <v>7</v>
      </c>
      <c r="H4859" s="1">
        <v>372</v>
      </c>
      <c r="I4859" s="1">
        <v>0</v>
      </c>
      <c r="J4859" s="4">
        <v>2604</v>
      </c>
      <c r="K4859" s="4">
        <v>1679.16</v>
      </c>
      <c r="L4859" s="4">
        <v>924.84</v>
      </c>
      <c r="M4859" s="1" t="str">
        <f>TEXT(Table1[[#This Row],[Order_Date]], "MMM")</f>
        <v>May</v>
      </c>
      <c r="N4859" s="1">
        <f>YEAR(Table1[[#This Row],[Order_Date]])</f>
        <v>2024</v>
      </c>
      <c r="O4859" s="7">
        <f>Table1[[#This Row],[Profit]]/Table1[[#This Row],[Total_Sales]]</f>
        <v>0.35516129032258065</v>
      </c>
    </row>
    <row r="4860" spans="1:15" x14ac:dyDescent="0.25">
      <c r="A4860" s="1">
        <v>4859</v>
      </c>
      <c r="B4860" s="2">
        <v>45040</v>
      </c>
      <c r="C4860" s="1" t="s">
        <v>25</v>
      </c>
      <c r="D4860" s="1" t="s">
        <v>22</v>
      </c>
      <c r="E4860" s="1" t="s">
        <v>44</v>
      </c>
      <c r="F4860" s="1" t="s">
        <v>35</v>
      </c>
      <c r="G4860" s="1">
        <v>8</v>
      </c>
      <c r="H4860" s="1">
        <v>285</v>
      </c>
      <c r="I4860" s="1">
        <v>15</v>
      </c>
      <c r="J4860" s="4">
        <v>1938</v>
      </c>
      <c r="K4860" s="4">
        <v>974.97</v>
      </c>
      <c r="L4860" s="4">
        <v>963.03</v>
      </c>
      <c r="M4860" s="1" t="str">
        <f>TEXT(Table1[[#This Row],[Order_Date]], "MMM")</f>
        <v>Apr</v>
      </c>
      <c r="N4860" s="1">
        <f>YEAR(Table1[[#This Row],[Order_Date]])</f>
        <v>2023</v>
      </c>
      <c r="O4860" s="7">
        <f>Table1[[#This Row],[Profit]]/Table1[[#This Row],[Total_Sales]]</f>
        <v>0.49691950464396284</v>
      </c>
    </row>
    <row r="4861" spans="1:15" x14ac:dyDescent="0.25">
      <c r="A4861" s="1">
        <v>4860</v>
      </c>
      <c r="B4861" s="2">
        <v>45389</v>
      </c>
      <c r="C4861" s="1" t="s">
        <v>19</v>
      </c>
      <c r="D4861" s="1" t="s">
        <v>20</v>
      </c>
      <c r="E4861" s="1" t="s">
        <v>21</v>
      </c>
      <c r="F4861" s="1" t="s">
        <v>24</v>
      </c>
      <c r="G4861" s="1">
        <v>9</v>
      </c>
      <c r="H4861" s="1">
        <v>394</v>
      </c>
      <c r="I4861" s="1">
        <v>0</v>
      </c>
      <c r="J4861" s="4">
        <v>3546</v>
      </c>
      <c r="K4861" s="4">
        <v>1790.19</v>
      </c>
      <c r="L4861" s="4">
        <v>1755.81</v>
      </c>
      <c r="M4861" s="1" t="str">
        <f>TEXT(Table1[[#This Row],[Order_Date]], "MMM")</f>
        <v>Apr</v>
      </c>
      <c r="N4861" s="1">
        <f>YEAR(Table1[[#This Row],[Order_Date]])</f>
        <v>2024</v>
      </c>
      <c r="O4861" s="7">
        <f>Table1[[#This Row],[Profit]]/Table1[[#This Row],[Total_Sales]]</f>
        <v>0.49515228426395935</v>
      </c>
    </row>
    <row r="4862" spans="1:15" x14ac:dyDescent="0.25">
      <c r="A4862" s="1">
        <v>4861</v>
      </c>
      <c r="B4862" s="2">
        <v>45548</v>
      </c>
      <c r="C4862" s="1" t="s">
        <v>19</v>
      </c>
      <c r="D4862" s="1" t="s">
        <v>26</v>
      </c>
      <c r="E4862" s="1" t="s">
        <v>37</v>
      </c>
      <c r="F4862" s="1" t="s">
        <v>18</v>
      </c>
      <c r="G4862" s="1">
        <v>1</v>
      </c>
      <c r="H4862" s="1">
        <v>887</v>
      </c>
      <c r="I4862" s="1">
        <v>10</v>
      </c>
      <c r="J4862" s="4">
        <v>798.3</v>
      </c>
      <c r="K4862" s="4">
        <v>553.4</v>
      </c>
      <c r="L4862" s="4">
        <v>244.9</v>
      </c>
      <c r="M4862" s="1" t="str">
        <f>TEXT(Table1[[#This Row],[Order_Date]], "MMM")</f>
        <v>Sep</v>
      </c>
      <c r="N4862" s="1">
        <f>YEAR(Table1[[#This Row],[Order_Date]])</f>
        <v>2024</v>
      </c>
      <c r="O4862" s="7">
        <f>Table1[[#This Row],[Profit]]/Table1[[#This Row],[Total_Sales]]</f>
        <v>0.30677690091444321</v>
      </c>
    </row>
    <row r="4863" spans="1:15" x14ac:dyDescent="0.25">
      <c r="A4863" s="1">
        <v>4862</v>
      </c>
      <c r="B4863" s="2">
        <v>45108</v>
      </c>
      <c r="C4863" s="1" t="s">
        <v>25</v>
      </c>
      <c r="D4863" s="1" t="s">
        <v>22</v>
      </c>
      <c r="E4863" s="1" t="s">
        <v>36</v>
      </c>
      <c r="F4863" s="1" t="s">
        <v>15</v>
      </c>
      <c r="G4863" s="1">
        <v>2</v>
      </c>
      <c r="H4863" s="1">
        <v>843</v>
      </c>
      <c r="I4863" s="1">
        <v>15</v>
      </c>
      <c r="J4863" s="4">
        <v>1433.1</v>
      </c>
      <c r="K4863" s="4">
        <v>856.65</v>
      </c>
      <c r="L4863" s="4">
        <v>576.45000000000005</v>
      </c>
      <c r="M4863" s="1" t="str">
        <f>TEXT(Table1[[#This Row],[Order_Date]], "MMM")</f>
        <v>Jul</v>
      </c>
      <c r="N4863" s="1">
        <f>YEAR(Table1[[#This Row],[Order_Date]])</f>
        <v>2023</v>
      </c>
      <c r="O4863" s="7">
        <f>Table1[[#This Row],[Profit]]/Table1[[#This Row],[Total_Sales]]</f>
        <v>0.40223989951852634</v>
      </c>
    </row>
    <row r="4864" spans="1:15" x14ac:dyDescent="0.25">
      <c r="A4864" s="1">
        <v>4863</v>
      </c>
      <c r="B4864" s="2">
        <v>45560</v>
      </c>
      <c r="C4864" s="1" t="s">
        <v>12</v>
      </c>
      <c r="D4864" s="1" t="s">
        <v>26</v>
      </c>
      <c r="E4864" s="1" t="s">
        <v>42</v>
      </c>
      <c r="F4864" s="1" t="s">
        <v>31</v>
      </c>
      <c r="G4864" s="1">
        <v>8</v>
      </c>
      <c r="H4864" s="1">
        <v>538</v>
      </c>
      <c r="I4864" s="1">
        <v>5</v>
      </c>
      <c r="J4864" s="4">
        <v>4088.8</v>
      </c>
      <c r="K4864" s="4">
        <v>3078.25</v>
      </c>
      <c r="L4864" s="4">
        <v>1010.55</v>
      </c>
      <c r="M4864" s="1" t="str">
        <f>TEXT(Table1[[#This Row],[Order_Date]], "MMM")</f>
        <v>Sep</v>
      </c>
      <c r="N4864" s="1">
        <f>YEAR(Table1[[#This Row],[Order_Date]])</f>
        <v>2024</v>
      </c>
      <c r="O4864" s="7">
        <f>Table1[[#This Row],[Profit]]/Table1[[#This Row],[Total_Sales]]</f>
        <v>0.24715075327724514</v>
      </c>
    </row>
    <row r="4865" spans="1:15" x14ac:dyDescent="0.25">
      <c r="A4865" s="1">
        <v>4864</v>
      </c>
      <c r="B4865" s="2">
        <v>45637</v>
      </c>
      <c r="C4865" s="1" t="s">
        <v>12</v>
      </c>
      <c r="D4865" s="1" t="s">
        <v>22</v>
      </c>
      <c r="E4865" s="1" t="s">
        <v>23</v>
      </c>
      <c r="F4865" s="1" t="s">
        <v>31</v>
      </c>
      <c r="G4865" s="1">
        <v>6</v>
      </c>
      <c r="H4865" s="1">
        <v>363</v>
      </c>
      <c r="I4865" s="1">
        <v>5</v>
      </c>
      <c r="J4865" s="4">
        <v>2069.1</v>
      </c>
      <c r="K4865" s="4">
        <v>1167.31</v>
      </c>
      <c r="L4865" s="4">
        <v>901.79</v>
      </c>
      <c r="M4865" s="1" t="str">
        <f>TEXT(Table1[[#This Row],[Order_Date]], "MMM")</f>
        <v>Dec</v>
      </c>
      <c r="N4865" s="1">
        <f>YEAR(Table1[[#This Row],[Order_Date]])</f>
        <v>2024</v>
      </c>
      <c r="O4865" s="7">
        <f>Table1[[#This Row],[Profit]]/Table1[[#This Row],[Total_Sales]]</f>
        <v>0.43583683727224398</v>
      </c>
    </row>
    <row r="4866" spans="1:15" x14ac:dyDescent="0.25">
      <c r="A4866" s="1">
        <v>4865</v>
      </c>
      <c r="B4866" s="2">
        <v>45193</v>
      </c>
      <c r="C4866" s="1" t="s">
        <v>19</v>
      </c>
      <c r="D4866" s="1" t="s">
        <v>22</v>
      </c>
      <c r="E4866" s="1" t="s">
        <v>29</v>
      </c>
      <c r="F4866" s="1" t="s">
        <v>35</v>
      </c>
      <c r="G4866" s="1">
        <v>1</v>
      </c>
      <c r="H4866" s="1">
        <v>370</v>
      </c>
      <c r="I4866" s="1">
        <v>20</v>
      </c>
      <c r="J4866" s="4">
        <v>296</v>
      </c>
      <c r="K4866" s="4">
        <v>173.39</v>
      </c>
      <c r="L4866" s="4">
        <v>122.61</v>
      </c>
      <c r="M4866" s="1" t="str">
        <f>TEXT(Table1[[#This Row],[Order_Date]], "MMM")</f>
        <v>Sep</v>
      </c>
      <c r="N4866" s="1">
        <f>YEAR(Table1[[#This Row],[Order_Date]])</f>
        <v>2023</v>
      </c>
      <c r="O4866" s="7">
        <f>Table1[[#This Row],[Profit]]/Table1[[#This Row],[Total_Sales]]</f>
        <v>0.41422297297297295</v>
      </c>
    </row>
    <row r="4867" spans="1:15" x14ac:dyDescent="0.25">
      <c r="A4867" s="1">
        <v>4866</v>
      </c>
      <c r="B4867" s="2">
        <v>45479</v>
      </c>
      <c r="C4867" s="1" t="s">
        <v>16</v>
      </c>
      <c r="D4867" s="1" t="s">
        <v>22</v>
      </c>
      <c r="E4867" s="1" t="s">
        <v>36</v>
      </c>
      <c r="F4867" s="1" t="s">
        <v>15</v>
      </c>
      <c r="G4867" s="1">
        <v>1</v>
      </c>
      <c r="H4867" s="1">
        <v>84</v>
      </c>
      <c r="I4867" s="1">
        <v>20</v>
      </c>
      <c r="J4867" s="4">
        <v>67.2</v>
      </c>
      <c r="K4867" s="4">
        <v>50.51</v>
      </c>
      <c r="L4867" s="4">
        <v>16.690000000000001</v>
      </c>
      <c r="M4867" s="1" t="str">
        <f>TEXT(Table1[[#This Row],[Order_Date]], "MMM")</f>
        <v>Jul</v>
      </c>
      <c r="N4867" s="1">
        <f>YEAR(Table1[[#This Row],[Order_Date]])</f>
        <v>2024</v>
      </c>
      <c r="O4867" s="7">
        <f>Table1[[#This Row],[Profit]]/Table1[[#This Row],[Total_Sales]]</f>
        <v>0.24836309523809524</v>
      </c>
    </row>
    <row r="4868" spans="1:15" x14ac:dyDescent="0.25">
      <c r="A4868" s="1">
        <v>4867</v>
      </c>
      <c r="B4868" s="2">
        <v>45092</v>
      </c>
      <c r="C4868" s="1" t="s">
        <v>25</v>
      </c>
      <c r="D4868" s="1" t="s">
        <v>32</v>
      </c>
      <c r="E4868" s="1" t="s">
        <v>45</v>
      </c>
      <c r="F4868" s="1" t="s">
        <v>18</v>
      </c>
      <c r="G4868" s="1">
        <v>5</v>
      </c>
      <c r="H4868" s="1">
        <v>958</v>
      </c>
      <c r="I4868" s="1">
        <v>20</v>
      </c>
      <c r="J4868" s="4">
        <v>3832</v>
      </c>
      <c r="K4868" s="4">
        <v>2594.52</v>
      </c>
      <c r="L4868" s="4">
        <v>1237.48</v>
      </c>
      <c r="M4868" s="1" t="str">
        <f>TEXT(Table1[[#This Row],[Order_Date]], "MMM")</f>
        <v>Jun</v>
      </c>
      <c r="N4868" s="1">
        <f>YEAR(Table1[[#This Row],[Order_Date]])</f>
        <v>2023</v>
      </c>
      <c r="O4868" s="7">
        <f>Table1[[#This Row],[Profit]]/Table1[[#This Row],[Total_Sales]]</f>
        <v>0.32293319415448851</v>
      </c>
    </row>
    <row r="4869" spans="1:15" x14ac:dyDescent="0.25">
      <c r="A4869" s="1">
        <v>4868</v>
      </c>
      <c r="B4869" s="2">
        <v>45331</v>
      </c>
      <c r="C4869" s="1" t="s">
        <v>25</v>
      </c>
      <c r="D4869" s="1" t="s">
        <v>32</v>
      </c>
      <c r="E4869" s="1" t="s">
        <v>41</v>
      </c>
      <c r="F4869" s="1" t="s">
        <v>31</v>
      </c>
      <c r="G4869" s="1">
        <v>9</v>
      </c>
      <c r="H4869" s="1">
        <v>91</v>
      </c>
      <c r="I4869" s="1">
        <v>0</v>
      </c>
      <c r="J4869" s="4">
        <v>819</v>
      </c>
      <c r="K4869" s="4">
        <v>643.25</v>
      </c>
      <c r="L4869" s="4">
        <v>175.75</v>
      </c>
      <c r="M4869" s="1" t="str">
        <f>TEXT(Table1[[#This Row],[Order_Date]], "MMM")</f>
        <v>Feb</v>
      </c>
      <c r="N4869" s="1">
        <f>YEAR(Table1[[#This Row],[Order_Date]])</f>
        <v>2024</v>
      </c>
      <c r="O4869" s="7">
        <f>Table1[[#This Row],[Profit]]/Table1[[#This Row],[Total_Sales]]</f>
        <v>0.21459096459096458</v>
      </c>
    </row>
    <row r="4870" spans="1:15" x14ac:dyDescent="0.25">
      <c r="A4870" s="1">
        <v>4869</v>
      </c>
      <c r="B4870" s="2">
        <v>45627</v>
      </c>
      <c r="C4870" s="1" t="s">
        <v>16</v>
      </c>
      <c r="D4870" s="1" t="s">
        <v>13</v>
      </c>
      <c r="E4870" s="1" t="s">
        <v>39</v>
      </c>
      <c r="F4870" s="1" t="s">
        <v>18</v>
      </c>
      <c r="G4870" s="1">
        <v>1</v>
      </c>
      <c r="H4870" s="1">
        <v>405</v>
      </c>
      <c r="I4870" s="1">
        <v>5</v>
      </c>
      <c r="J4870" s="4">
        <v>384.75</v>
      </c>
      <c r="K4870" s="4">
        <v>288.58999999999997</v>
      </c>
      <c r="L4870" s="4">
        <v>96.16</v>
      </c>
      <c r="M4870" s="1" t="str">
        <f>TEXT(Table1[[#This Row],[Order_Date]], "MMM")</f>
        <v>Dec</v>
      </c>
      <c r="N4870" s="1">
        <f>YEAR(Table1[[#This Row],[Order_Date]])</f>
        <v>2024</v>
      </c>
      <c r="O4870" s="7">
        <f>Table1[[#This Row],[Profit]]/Table1[[#This Row],[Total_Sales]]</f>
        <v>0.2499285250162443</v>
      </c>
    </row>
    <row r="4871" spans="1:15" x14ac:dyDescent="0.25">
      <c r="A4871" s="1">
        <v>4870</v>
      </c>
      <c r="B4871" s="2">
        <v>45292</v>
      </c>
      <c r="C4871" s="1" t="s">
        <v>25</v>
      </c>
      <c r="D4871" s="1" t="s">
        <v>26</v>
      </c>
      <c r="E4871" s="1" t="s">
        <v>27</v>
      </c>
      <c r="F4871" s="1" t="s">
        <v>35</v>
      </c>
      <c r="G4871" s="1">
        <v>1</v>
      </c>
      <c r="H4871" s="1">
        <v>27</v>
      </c>
      <c r="I4871" s="1">
        <v>0</v>
      </c>
      <c r="J4871" s="4">
        <v>27</v>
      </c>
      <c r="K4871" s="4">
        <v>16.010000000000002</v>
      </c>
      <c r="L4871" s="4">
        <v>10.99</v>
      </c>
      <c r="M4871" s="1" t="str">
        <f>TEXT(Table1[[#This Row],[Order_Date]], "MMM")</f>
        <v>Jan</v>
      </c>
      <c r="N4871" s="1">
        <f>YEAR(Table1[[#This Row],[Order_Date]])</f>
        <v>2024</v>
      </c>
      <c r="O4871" s="7">
        <f>Table1[[#This Row],[Profit]]/Table1[[#This Row],[Total_Sales]]</f>
        <v>0.40703703703703703</v>
      </c>
    </row>
    <row r="4872" spans="1:15" x14ac:dyDescent="0.25">
      <c r="A4872" s="1">
        <v>4871</v>
      </c>
      <c r="B4872" s="2">
        <v>45177</v>
      </c>
      <c r="C4872" s="1" t="s">
        <v>19</v>
      </c>
      <c r="D4872" s="1" t="s">
        <v>13</v>
      </c>
      <c r="E4872" s="1" t="s">
        <v>14</v>
      </c>
      <c r="F4872" s="1" t="s">
        <v>31</v>
      </c>
      <c r="G4872" s="1">
        <v>6</v>
      </c>
      <c r="H4872" s="1">
        <v>983</v>
      </c>
      <c r="I4872" s="1">
        <v>0</v>
      </c>
      <c r="J4872" s="4">
        <v>5898</v>
      </c>
      <c r="K4872" s="4">
        <v>4497.24</v>
      </c>
      <c r="L4872" s="4">
        <v>1400.76</v>
      </c>
      <c r="M4872" s="1" t="str">
        <f>TEXT(Table1[[#This Row],[Order_Date]], "MMM")</f>
        <v>Sep</v>
      </c>
      <c r="N4872" s="1">
        <f>YEAR(Table1[[#This Row],[Order_Date]])</f>
        <v>2023</v>
      </c>
      <c r="O4872" s="7">
        <f>Table1[[#This Row],[Profit]]/Table1[[#This Row],[Total_Sales]]</f>
        <v>0.23749745676500508</v>
      </c>
    </row>
    <row r="4873" spans="1:15" x14ac:dyDescent="0.25">
      <c r="A4873" s="1">
        <v>4872</v>
      </c>
      <c r="B4873" s="2">
        <v>45127</v>
      </c>
      <c r="C4873" s="1" t="s">
        <v>25</v>
      </c>
      <c r="D4873" s="1" t="s">
        <v>20</v>
      </c>
      <c r="E4873" s="1" t="s">
        <v>30</v>
      </c>
      <c r="F4873" s="1" t="s">
        <v>40</v>
      </c>
      <c r="G4873" s="1">
        <v>3</v>
      </c>
      <c r="H4873" s="1">
        <v>702</v>
      </c>
      <c r="I4873" s="1">
        <v>0</v>
      </c>
      <c r="J4873" s="4">
        <v>2106</v>
      </c>
      <c r="K4873" s="4">
        <v>1309.22</v>
      </c>
      <c r="L4873" s="4">
        <v>796.78</v>
      </c>
      <c r="M4873" s="1" t="str">
        <f>TEXT(Table1[[#This Row],[Order_Date]], "MMM")</f>
        <v>Jul</v>
      </c>
      <c r="N4873" s="1">
        <f>YEAR(Table1[[#This Row],[Order_Date]])</f>
        <v>2023</v>
      </c>
      <c r="O4873" s="7">
        <f>Table1[[#This Row],[Profit]]/Table1[[#This Row],[Total_Sales]]</f>
        <v>0.37833808167141497</v>
      </c>
    </row>
    <row r="4874" spans="1:15" x14ac:dyDescent="0.25">
      <c r="A4874" s="1">
        <v>4873</v>
      </c>
      <c r="B4874" s="2">
        <v>45196</v>
      </c>
      <c r="C4874" s="1" t="s">
        <v>25</v>
      </c>
      <c r="D4874" s="1" t="s">
        <v>26</v>
      </c>
      <c r="E4874" s="1" t="s">
        <v>42</v>
      </c>
      <c r="F4874" s="1" t="s">
        <v>31</v>
      </c>
      <c r="G4874" s="1">
        <v>10</v>
      </c>
      <c r="H4874" s="1">
        <v>827</v>
      </c>
      <c r="I4874" s="1">
        <v>20</v>
      </c>
      <c r="J4874" s="4">
        <v>6616</v>
      </c>
      <c r="K4874" s="4">
        <v>4343.4399999999996</v>
      </c>
      <c r="L4874" s="4">
        <v>2272.56</v>
      </c>
      <c r="M4874" s="1" t="str">
        <f>TEXT(Table1[[#This Row],[Order_Date]], "MMM")</f>
        <v>Sep</v>
      </c>
      <c r="N4874" s="1">
        <f>YEAR(Table1[[#This Row],[Order_Date]])</f>
        <v>2023</v>
      </c>
      <c r="O4874" s="7">
        <f>Table1[[#This Row],[Profit]]/Table1[[#This Row],[Total_Sales]]</f>
        <v>0.34349455864570738</v>
      </c>
    </row>
    <row r="4875" spans="1:15" x14ac:dyDescent="0.25">
      <c r="A4875" s="1">
        <v>4874</v>
      </c>
      <c r="B4875" s="2">
        <v>45513</v>
      </c>
      <c r="C4875" s="1" t="s">
        <v>16</v>
      </c>
      <c r="D4875" s="1" t="s">
        <v>26</v>
      </c>
      <c r="E4875" s="1" t="s">
        <v>46</v>
      </c>
      <c r="F4875" s="1" t="s">
        <v>15</v>
      </c>
      <c r="G4875" s="1">
        <v>6</v>
      </c>
      <c r="H4875" s="1">
        <v>740</v>
      </c>
      <c r="I4875" s="1">
        <v>15</v>
      </c>
      <c r="J4875" s="4">
        <v>3774</v>
      </c>
      <c r="K4875" s="4">
        <v>2404.35</v>
      </c>
      <c r="L4875" s="4">
        <v>1369.65</v>
      </c>
      <c r="M4875" s="1" t="str">
        <f>TEXT(Table1[[#This Row],[Order_Date]], "MMM")</f>
        <v>Aug</v>
      </c>
      <c r="N4875" s="1">
        <f>YEAR(Table1[[#This Row],[Order_Date]])</f>
        <v>2024</v>
      </c>
      <c r="O4875" s="7">
        <f>Table1[[#This Row],[Profit]]/Table1[[#This Row],[Total_Sales]]</f>
        <v>0.3629173290937997</v>
      </c>
    </row>
    <row r="4876" spans="1:15" x14ac:dyDescent="0.25">
      <c r="A4876" s="1">
        <v>4875</v>
      </c>
      <c r="B4876" s="2">
        <v>44996</v>
      </c>
      <c r="C4876" s="1" t="s">
        <v>25</v>
      </c>
      <c r="D4876" s="1" t="s">
        <v>22</v>
      </c>
      <c r="E4876" s="1" t="s">
        <v>29</v>
      </c>
      <c r="F4876" s="1" t="s">
        <v>15</v>
      </c>
      <c r="G4876" s="1">
        <v>2</v>
      </c>
      <c r="H4876" s="1">
        <v>777</v>
      </c>
      <c r="I4876" s="1">
        <v>5</v>
      </c>
      <c r="J4876" s="4">
        <v>1476.3</v>
      </c>
      <c r="K4876" s="4">
        <v>783.33</v>
      </c>
      <c r="L4876" s="4">
        <v>692.97</v>
      </c>
      <c r="M4876" s="1" t="str">
        <f>TEXT(Table1[[#This Row],[Order_Date]], "MMM")</f>
        <v>Mar</v>
      </c>
      <c r="N4876" s="1">
        <f>YEAR(Table1[[#This Row],[Order_Date]])</f>
        <v>2023</v>
      </c>
      <c r="O4876" s="7">
        <f>Table1[[#This Row],[Profit]]/Table1[[#This Row],[Total_Sales]]</f>
        <v>0.46939646413330627</v>
      </c>
    </row>
    <row r="4877" spans="1:15" x14ac:dyDescent="0.25">
      <c r="A4877" s="1">
        <v>4876</v>
      </c>
      <c r="B4877" s="2">
        <v>45056</v>
      </c>
      <c r="C4877" s="1" t="s">
        <v>16</v>
      </c>
      <c r="D4877" s="1" t="s">
        <v>26</v>
      </c>
      <c r="E4877" s="1" t="s">
        <v>42</v>
      </c>
      <c r="F4877" s="1" t="s">
        <v>18</v>
      </c>
      <c r="G4877" s="1">
        <v>2</v>
      </c>
      <c r="H4877" s="1">
        <v>600</v>
      </c>
      <c r="I4877" s="1">
        <v>15</v>
      </c>
      <c r="J4877" s="4">
        <v>1020</v>
      </c>
      <c r="K4877" s="4">
        <v>714.41</v>
      </c>
      <c r="L4877" s="4">
        <v>305.58999999999997</v>
      </c>
      <c r="M4877" s="1" t="str">
        <f>TEXT(Table1[[#This Row],[Order_Date]], "MMM")</f>
        <v>May</v>
      </c>
      <c r="N4877" s="1">
        <f>YEAR(Table1[[#This Row],[Order_Date]])</f>
        <v>2023</v>
      </c>
      <c r="O4877" s="7">
        <f>Table1[[#This Row],[Profit]]/Table1[[#This Row],[Total_Sales]]</f>
        <v>0.29959803921568623</v>
      </c>
    </row>
    <row r="4878" spans="1:15" x14ac:dyDescent="0.25">
      <c r="A4878" s="1">
        <v>4877</v>
      </c>
      <c r="B4878" s="2">
        <v>45317</v>
      </c>
      <c r="C4878" s="1" t="s">
        <v>19</v>
      </c>
      <c r="D4878" s="1" t="s">
        <v>20</v>
      </c>
      <c r="E4878" s="1" t="s">
        <v>43</v>
      </c>
      <c r="F4878" s="1" t="s">
        <v>31</v>
      </c>
      <c r="G4878" s="1">
        <v>6</v>
      </c>
      <c r="H4878" s="1">
        <v>691</v>
      </c>
      <c r="I4878" s="1">
        <v>15</v>
      </c>
      <c r="J4878" s="4">
        <v>3524.1</v>
      </c>
      <c r="K4878" s="4">
        <v>2165.6799999999998</v>
      </c>
      <c r="L4878" s="4">
        <v>1358.42</v>
      </c>
      <c r="M4878" s="1" t="str">
        <f>TEXT(Table1[[#This Row],[Order_Date]], "MMM")</f>
        <v>Jan</v>
      </c>
      <c r="N4878" s="1">
        <f>YEAR(Table1[[#This Row],[Order_Date]])</f>
        <v>2024</v>
      </c>
      <c r="O4878" s="7">
        <f>Table1[[#This Row],[Profit]]/Table1[[#This Row],[Total_Sales]]</f>
        <v>0.38546579268465708</v>
      </c>
    </row>
    <row r="4879" spans="1:15" x14ac:dyDescent="0.25">
      <c r="A4879" s="1">
        <v>4878</v>
      </c>
      <c r="B4879" s="2">
        <v>45074</v>
      </c>
      <c r="C4879" s="1" t="s">
        <v>16</v>
      </c>
      <c r="D4879" s="1" t="s">
        <v>20</v>
      </c>
      <c r="E4879" s="1" t="s">
        <v>28</v>
      </c>
      <c r="F4879" s="1" t="s">
        <v>18</v>
      </c>
      <c r="G4879" s="1">
        <v>5</v>
      </c>
      <c r="H4879" s="1">
        <v>606</v>
      </c>
      <c r="I4879" s="1">
        <v>5</v>
      </c>
      <c r="J4879" s="4">
        <v>2878.5</v>
      </c>
      <c r="K4879" s="4">
        <v>1801.4</v>
      </c>
      <c r="L4879" s="4">
        <v>1077.0999999999999</v>
      </c>
      <c r="M4879" s="1" t="str">
        <f>TEXT(Table1[[#This Row],[Order_Date]], "MMM")</f>
        <v>May</v>
      </c>
      <c r="N4879" s="1">
        <f>YEAR(Table1[[#This Row],[Order_Date]])</f>
        <v>2023</v>
      </c>
      <c r="O4879" s="7">
        <f>Table1[[#This Row],[Profit]]/Table1[[#This Row],[Total_Sales]]</f>
        <v>0.37418794511030046</v>
      </c>
    </row>
    <row r="4880" spans="1:15" x14ac:dyDescent="0.25">
      <c r="A4880" s="1">
        <v>4879</v>
      </c>
      <c r="B4880" s="2">
        <v>45026</v>
      </c>
      <c r="C4880" s="1" t="s">
        <v>19</v>
      </c>
      <c r="D4880" s="1" t="s">
        <v>13</v>
      </c>
      <c r="E4880" s="1" t="s">
        <v>14</v>
      </c>
      <c r="F4880" s="1" t="s">
        <v>18</v>
      </c>
      <c r="G4880" s="1">
        <v>8</v>
      </c>
      <c r="H4880" s="1">
        <v>648</v>
      </c>
      <c r="I4880" s="1">
        <v>20</v>
      </c>
      <c r="J4880" s="4">
        <v>4147.2</v>
      </c>
      <c r="K4880" s="4">
        <v>2088.62</v>
      </c>
      <c r="L4880" s="4">
        <v>2058.58</v>
      </c>
      <c r="M4880" s="1" t="str">
        <f>TEXT(Table1[[#This Row],[Order_Date]], "MMM")</f>
        <v>Apr</v>
      </c>
      <c r="N4880" s="1">
        <f>YEAR(Table1[[#This Row],[Order_Date]])</f>
        <v>2023</v>
      </c>
      <c r="O4880" s="7">
        <f>Table1[[#This Row],[Profit]]/Table1[[#This Row],[Total_Sales]]</f>
        <v>0.49637827932098766</v>
      </c>
    </row>
    <row r="4881" spans="1:15" x14ac:dyDescent="0.25">
      <c r="A4881" s="1">
        <v>4880</v>
      </c>
      <c r="B4881" s="2">
        <v>45071</v>
      </c>
      <c r="C4881" s="1" t="s">
        <v>25</v>
      </c>
      <c r="D4881" s="1" t="s">
        <v>32</v>
      </c>
      <c r="E4881" s="1" t="s">
        <v>45</v>
      </c>
      <c r="F4881" s="1" t="s">
        <v>15</v>
      </c>
      <c r="G4881" s="1">
        <v>5</v>
      </c>
      <c r="H4881" s="1">
        <v>606</v>
      </c>
      <c r="I4881" s="1">
        <v>10</v>
      </c>
      <c r="J4881" s="4">
        <v>2727</v>
      </c>
      <c r="K4881" s="4">
        <v>1400.28</v>
      </c>
      <c r="L4881" s="4">
        <v>1326.72</v>
      </c>
      <c r="M4881" s="1" t="str">
        <f>TEXT(Table1[[#This Row],[Order_Date]], "MMM")</f>
        <v>May</v>
      </c>
      <c r="N4881" s="1">
        <f>YEAR(Table1[[#This Row],[Order_Date]])</f>
        <v>2023</v>
      </c>
      <c r="O4881" s="7">
        <f>Table1[[#This Row],[Profit]]/Table1[[#This Row],[Total_Sales]]</f>
        <v>0.48651265126512655</v>
      </c>
    </row>
    <row r="4882" spans="1:15" x14ac:dyDescent="0.25">
      <c r="A4882" s="1">
        <v>4881</v>
      </c>
      <c r="B4882" s="2">
        <v>45000</v>
      </c>
      <c r="C4882" s="1" t="s">
        <v>19</v>
      </c>
      <c r="D4882" s="1" t="s">
        <v>20</v>
      </c>
      <c r="E4882" s="1" t="s">
        <v>28</v>
      </c>
      <c r="F4882" s="1" t="s">
        <v>35</v>
      </c>
      <c r="G4882" s="1">
        <v>6</v>
      </c>
      <c r="H4882" s="1">
        <v>997</v>
      </c>
      <c r="I4882" s="1">
        <v>0</v>
      </c>
      <c r="J4882" s="4">
        <v>5982</v>
      </c>
      <c r="K4882" s="4">
        <v>4317.8500000000004</v>
      </c>
      <c r="L4882" s="4">
        <v>1664.15</v>
      </c>
      <c r="M4882" s="1" t="str">
        <f>TEXT(Table1[[#This Row],[Order_Date]], "MMM")</f>
        <v>Mar</v>
      </c>
      <c r="N4882" s="1">
        <f>YEAR(Table1[[#This Row],[Order_Date]])</f>
        <v>2023</v>
      </c>
      <c r="O4882" s="7">
        <f>Table1[[#This Row],[Profit]]/Table1[[#This Row],[Total_Sales]]</f>
        <v>0.278192912069542</v>
      </c>
    </row>
    <row r="4883" spans="1:15" x14ac:dyDescent="0.25">
      <c r="A4883" s="1">
        <v>4882</v>
      </c>
      <c r="B4883" s="2">
        <v>45091</v>
      </c>
      <c r="C4883" s="1" t="s">
        <v>12</v>
      </c>
      <c r="D4883" s="1" t="s">
        <v>26</v>
      </c>
      <c r="E4883" s="1" t="s">
        <v>27</v>
      </c>
      <c r="F4883" s="1" t="s">
        <v>40</v>
      </c>
      <c r="G4883" s="1">
        <v>6</v>
      </c>
      <c r="H4883" s="1">
        <v>442</v>
      </c>
      <c r="I4883" s="1">
        <v>0</v>
      </c>
      <c r="J4883" s="4">
        <v>2652</v>
      </c>
      <c r="K4883" s="4">
        <v>1472.1</v>
      </c>
      <c r="L4883" s="4">
        <v>1179.9000000000001</v>
      </c>
      <c r="M4883" s="1" t="str">
        <f>TEXT(Table1[[#This Row],[Order_Date]], "MMM")</f>
        <v>Jun</v>
      </c>
      <c r="N4883" s="1">
        <f>YEAR(Table1[[#This Row],[Order_Date]])</f>
        <v>2023</v>
      </c>
      <c r="O4883" s="7">
        <f>Table1[[#This Row],[Profit]]/Table1[[#This Row],[Total_Sales]]</f>
        <v>0.44490950226244347</v>
      </c>
    </row>
    <row r="4884" spans="1:15" x14ac:dyDescent="0.25">
      <c r="A4884" s="1">
        <v>4883</v>
      </c>
      <c r="B4884" s="2">
        <v>45069</v>
      </c>
      <c r="C4884" s="1" t="s">
        <v>19</v>
      </c>
      <c r="D4884" s="1" t="s">
        <v>20</v>
      </c>
      <c r="E4884" s="1" t="s">
        <v>28</v>
      </c>
      <c r="F4884" s="1" t="s">
        <v>40</v>
      </c>
      <c r="G4884" s="1">
        <v>6</v>
      </c>
      <c r="H4884" s="1">
        <v>600</v>
      </c>
      <c r="I4884" s="1">
        <v>10</v>
      </c>
      <c r="J4884" s="4">
        <v>3240</v>
      </c>
      <c r="K4884" s="4">
        <v>2345.9</v>
      </c>
      <c r="L4884" s="4">
        <v>894.1</v>
      </c>
      <c r="M4884" s="1" t="str">
        <f>TEXT(Table1[[#This Row],[Order_Date]], "MMM")</f>
        <v>May</v>
      </c>
      <c r="N4884" s="1">
        <f>YEAR(Table1[[#This Row],[Order_Date]])</f>
        <v>2023</v>
      </c>
      <c r="O4884" s="7">
        <f>Table1[[#This Row],[Profit]]/Table1[[#This Row],[Total_Sales]]</f>
        <v>0.27595679012345681</v>
      </c>
    </row>
    <row r="4885" spans="1:15" x14ac:dyDescent="0.25">
      <c r="A4885" s="1">
        <v>4884</v>
      </c>
      <c r="B4885" s="2">
        <v>45246</v>
      </c>
      <c r="C4885" s="1" t="s">
        <v>25</v>
      </c>
      <c r="D4885" s="1" t="s">
        <v>26</v>
      </c>
      <c r="E4885" s="1" t="s">
        <v>46</v>
      </c>
      <c r="F4885" s="1" t="s">
        <v>40</v>
      </c>
      <c r="G4885" s="1">
        <v>9</v>
      </c>
      <c r="H4885" s="1">
        <v>839</v>
      </c>
      <c r="I4885" s="1">
        <v>5</v>
      </c>
      <c r="J4885" s="4">
        <v>7173.45</v>
      </c>
      <c r="K4885" s="4">
        <v>4319.7299999999996</v>
      </c>
      <c r="L4885" s="4">
        <v>2853.72</v>
      </c>
      <c r="M4885" s="1" t="str">
        <f>TEXT(Table1[[#This Row],[Order_Date]], "MMM")</f>
        <v>Nov</v>
      </c>
      <c r="N4885" s="1">
        <f>YEAR(Table1[[#This Row],[Order_Date]])</f>
        <v>2023</v>
      </c>
      <c r="O4885" s="7">
        <f>Table1[[#This Row],[Profit]]/Table1[[#This Row],[Total_Sales]]</f>
        <v>0.39781695000313655</v>
      </c>
    </row>
    <row r="4886" spans="1:15" x14ac:dyDescent="0.25">
      <c r="A4886" s="1">
        <v>4885</v>
      </c>
      <c r="B4886" s="2">
        <v>45229</v>
      </c>
      <c r="C4886" s="1" t="s">
        <v>16</v>
      </c>
      <c r="D4886" s="1" t="s">
        <v>32</v>
      </c>
      <c r="E4886" s="1" t="s">
        <v>45</v>
      </c>
      <c r="F4886" s="1" t="s">
        <v>15</v>
      </c>
      <c r="G4886" s="1">
        <v>5</v>
      </c>
      <c r="H4886" s="1">
        <v>67</v>
      </c>
      <c r="I4886" s="1">
        <v>0</v>
      </c>
      <c r="J4886" s="4">
        <v>335</v>
      </c>
      <c r="K4886" s="4">
        <v>204.35</v>
      </c>
      <c r="L4886" s="4">
        <v>130.65</v>
      </c>
      <c r="M4886" s="1" t="str">
        <f>TEXT(Table1[[#This Row],[Order_Date]], "MMM")</f>
        <v>Oct</v>
      </c>
      <c r="N4886" s="1">
        <f>YEAR(Table1[[#This Row],[Order_Date]])</f>
        <v>2023</v>
      </c>
      <c r="O4886" s="7">
        <f>Table1[[#This Row],[Profit]]/Table1[[#This Row],[Total_Sales]]</f>
        <v>0.39</v>
      </c>
    </row>
    <row r="4887" spans="1:15" x14ac:dyDescent="0.25">
      <c r="A4887" s="1">
        <v>4886</v>
      </c>
      <c r="B4887" s="2">
        <v>45651</v>
      </c>
      <c r="C4887" s="1" t="s">
        <v>25</v>
      </c>
      <c r="D4887" s="1" t="s">
        <v>13</v>
      </c>
      <c r="E4887" s="1" t="s">
        <v>14</v>
      </c>
      <c r="F4887" s="1" t="s">
        <v>31</v>
      </c>
      <c r="G4887" s="1">
        <v>2</v>
      </c>
      <c r="H4887" s="1">
        <v>374</v>
      </c>
      <c r="I4887" s="1">
        <v>0</v>
      </c>
      <c r="J4887" s="4">
        <v>748</v>
      </c>
      <c r="K4887" s="4">
        <v>397.15</v>
      </c>
      <c r="L4887" s="4">
        <v>350.85</v>
      </c>
      <c r="M4887" s="1" t="str">
        <f>TEXT(Table1[[#This Row],[Order_Date]], "MMM")</f>
        <v>Dec</v>
      </c>
      <c r="N4887" s="1">
        <f>YEAR(Table1[[#This Row],[Order_Date]])</f>
        <v>2024</v>
      </c>
      <c r="O4887" s="7">
        <f>Table1[[#This Row],[Profit]]/Table1[[#This Row],[Total_Sales]]</f>
        <v>0.46905080213903744</v>
      </c>
    </row>
    <row r="4888" spans="1:15" x14ac:dyDescent="0.25">
      <c r="A4888" s="1">
        <v>4887</v>
      </c>
      <c r="B4888" s="2">
        <v>45266</v>
      </c>
      <c r="C4888" s="1" t="s">
        <v>12</v>
      </c>
      <c r="D4888" s="1" t="s">
        <v>13</v>
      </c>
      <c r="E4888" s="1" t="s">
        <v>17</v>
      </c>
      <c r="F4888" s="1" t="s">
        <v>24</v>
      </c>
      <c r="G4888" s="1">
        <v>3</v>
      </c>
      <c r="H4888" s="1">
        <v>985</v>
      </c>
      <c r="I4888" s="1">
        <v>15</v>
      </c>
      <c r="J4888" s="4">
        <v>2511.75</v>
      </c>
      <c r="K4888" s="4">
        <v>1864.49</v>
      </c>
      <c r="L4888" s="4">
        <v>647.26</v>
      </c>
      <c r="M4888" s="1" t="str">
        <f>TEXT(Table1[[#This Row],[Order_Date]], "MMM")</f>
        <v>Dec</v>
      </c>
      <c r="N4888" s="1">
        <f>YEAR(Table1[[#This Row],[Order_Date]])</f>
        <v>2023</v>
      </c>
      <c r="O4888" s="7">
        <f>Table1[[#This Row],[Profit]]/Table1[[#This Row],[Total_Sales]]</f>
        <v>0.2576928436349159</v>
      </c>
    </row>
    <row r="4889" spans="1:15" x14ac:dyDescent="0.25">
      <c r="A4889" s="1">
        <v>4888</v>
      </c>
      <c r="B4889" s="2">
        <v>45152</v>
      </c>
      <c r="C4889" s="1" t="s">
        <v>12</v>
      </c>
      <c r="D4889" s="1" t="s">
        <v>26</v>
      </c>
      <c r="E4889" s="1" t="s">
        <v>27</v>
      </c>
      <c r="F4889" s="1" t="s">
        <v>15</v>
      </c>
      <c r="G4889" s="1">
        <v>5</v>
      </c>
      <c r="H4889" s="1">
        <v>480</v>
      </c>
      <c r="I4889" s="1">
        <v>10</v>
      </c>
      <c r="J4889" s="4">
        <v>2160</v>
      </c>
      <c r="K4889" s="4">
        <v>1642.29</v>
      </c>
      <c r="L4889" s="4">
        <v>517.71</v>
      </c>
      <c r="M4889" s="1" t="str">
        <f>TEXT(Table1[[#This Row],[Order_Date]], "MMM")</f>
        <v>Aug</v>
      </c>
      <c r="N4889" s="1">
        <f>YEAR(Table1[[#This Row],[Order_Date]])</f>
        <v>2023</v>
      </c>
      <c r="O4889" s="7">
        <f>Table1[[#This Row],[Profit]]/Table1[[#This Row],[Total_Sales]]</f>
        <v>0.23968055555555556</v>
      </c>
    </row>
    <row r="4890" spans="1:15" x14ac:dyDescent="0.25">
      <c r="A4890" s="1">
        <v>4889</v>
      </c>
      <c r="B4890" s="2">
        <v>45521</v>
      </c>
      <c r="C4890" s="1" t="s">
        <v>12</v>
      </c>
      <c r="D4890" s="1" t="s">
        <v>20</v>
      </c>
      <c r="E4890" s="1" t="s">
        <v>21</v>
      </c>
      <c r="F4890" s="1" t="s">
        <v>18</v>
      </c>
      <c r="G4890" s="1">
        <v>9</v>
      </c>
      <c r="H4890" s="1">
        <v>865</v>
      </c>
      <c r="I4890" s="1">
        <v>0</v>
      </c>
      <c r="J4890" s="4">
        <v>7785</v>
      </c>
      <c r="K4890" s="4">
        <v>6079.78</v>
      </c>
      <c r="L4890" s="4">
        <v>1705.22</v>
      </c>
      <c r="M4890" s="1" t="str">
        <f>TEXT(Table1[[#This Row],[Order_Date]], "MMM")</f>
        <v>Aug</v>
      </c>
      <c r="N4890" s="1">
        <f>YEAR(Table1[[#This Row],[Order_Date]])</f>
        <v>2024</v>
      </c>
      <c r="O4890" s="7">
        <f>Table1[[#This Row],[Profit]]/Table1[[#This Row],[Total_Sales]]</f>
        <v>0.21903917790622993</v>
      </c>
    </row>
    <row r="4891" spans="1:15" x14ac:dyDescent="0.25">
      <c r="A4891" s="1">
        <v>4890</v>
      </c>
      <c r="B4891" s="2">
        <v>45296</v>
      </c>
      <c r="C4891" s="1" t="s">
        <v>25</v>
      </c>
      <c r="D4891" s="1" t="s">
        <v>22</v>
      </c>
      <c r="E4891" s="1" t="s">
        <v>36</v>
      </c>
      <c r="F4891" s="1" t="s">
        <v>18</v>
      </c>
      <c r="G4891" s="1">
        <v>2</v>
      </c>
      <c r="H4891" s="1">
        <v>536</v>
      </c>
      <c r="I4891" s="1">
        <v>0</v>
      </c>
      <c r="J4891" s="4">
        <v>1072</v>
      </c>
      <c r="K4891" s="4">
        <v>786.23</v>
      </c>
      <c r="L4891" s="4">
        <v>285.77</v>
      </c>
      <c r="M4891" s="1" t="str">
        <f>TEXT(Table1[[#This Row],[Order_Date]], "MMM")</f>
        <v>Jan</v>
      </c>
      <c r="N4891" s="1">
        <f>YEAR(Table1[[#This Row],[Order_Date]])</f>
        <v>2024</v>
      </c>
      <c r="O4891" s="7">
        <f>Table1[[#This Row],[Profit]]/Table1[[#This Row],[Total_Sales]]</f>
        <v>0.26657649253731341</v>
      </c>
    </row>
    <row r="4892" spans="1:15" x14ac:dyDescent="0.25">
      <c r="A4892" s="1">
        <v>4891</v>
      </c>
      <c r="B4892" s="2">
        <v>45602</v>
      </c>
      <c r="C4892" s="1" t="s">
        <v>19</v>
      </c>
      <c r="D4892" s="1" t="s">
        <v>22</v>
      </c>
      <c r="E4892" s="1" t="s">
        <v>36</v>
      </c>
      <c r="F4892" s="1" t="s">
        <v>40</v>
      </c>
      <c r="G4892" s="1">
        <v>5</v>
      </c>
      <c r="H4892" s="1">
        <v>915</v>
      </c>
      <c r="I4892" s="1">
        <v>5</v>
      </c>
      <c r="J4892" s="4">
        <v>4346.25</v>
      </c>
      <c r="K4892" s="4">
        <v>2194.12</v>
      </c>
      <c r="L4892" s="4">
        <v>2152.13</v>
      </c>
      <c r="M4892" s="1" t="str">
        <f>TEXT(Table1[[#This Row],[Order_Date]], "MMM")</f>
        <v>Nov</v>
      </c>
      <c r="N4892" s="1">
        <f>YEAR(Table1[[#This Row],[Order_Date]])</f>
        <v>2024</v>
      </c>
      <c r="O4892" s="7">
        <f>Table1[[#This Row],[Profit]]/Table1[[#This Row],[Total_Sales]]</f>
        <v>0.49516939890710387</v>
      </c>
    </row>
    <row r="4893" spans="1:15" x14ac:dyDescent="0.25">
      <c r="A4893" s="1">
        <v>4892</v>
      </c>
      <c r="B4893" s="2">
        <v>45591</v>
      </c>
      <c r="C4893" s="1" t="s">
        <v>25</v>
      </c>
      <c r="D4893" s="1" t="s">
        <v>32</v>
      </c>
      <c r="E4893" s="1" t="s">
        <v>45</v>
      </c>
      <c r="F4893" s="1" t="s">
        <v>31</v>
      </c>
      <c r="G4893" s="1">
        <v>2</v>
      </c>
      <c r="H4893" s="1">
        <v>979</v>
      </c>
      <c r="I4893" s="1">
        <v>0</v>
      </c>
      <c r="J4893" s="4">
        <v>1958</v>
      </c>
      <c r="K4893" s="4">
        <v>1061.79</v>
      </c>
      <c r="L4893" s="4">
        <v>896.21</v>
      </c>
      <c r="M4893" s="1" t="str">
        <f>TEXT(Table1[[#This Row],[Order_Date]], "MMM")</f>
        <v>Oct</v>
      </c>
      <c r="N4893" s="1">
        <f>YEAR(Table1[[#This Row],[Order_Date]])</f>
        <v>2024</v>
      </c>
      <c r="O4893" s="7">
        <f>Table1[[#This Row],[Profit]]/Table1[[#This Row],[Total_Sales]]</f>
        <v>0.45771705822267622</v>
      </c>
    </row>
    <row r="4894" spans="1:15" x14ac:dyDescent="0.25">
      <c r="A4894" s="1">
        <v>4893</v>
      </c>
      <c r="B4894" s="2">
        <v>45455</v>
      </c>
      <c r="C4894" s="1" t="s">
        <v>12</v>
      </c>
      <c r="D4894" s="1" t="s">
        <v>22</v>
      </c>
      <c r="E4894" s="1" t="s">
        <v>29</v>
      </c>
      <c r="F4894" s="1" t="s">
        <v>35</v>
      </c>
      <c r="G4894" s="1">
        <v>7</v>
      </c>
      <c r="H4894" s="1">
        <v>117</v>
      </c>
      <c r="I4894" s="1">
        <v>20</v>
      </c>
      <c r="J4894" s="4">
        <v>655.20000000000005</v>
      </c>
      <c r="K4894" s="4">
        <v>414.13</v>
      </c>
      <c r="L4894" s="4">
        <v>241.07</v>
      </c>
      <c r="M4894" s="1" t="str">
        <f>TEXT(Table1[[#This Row],[Order_Date]], "MMM")</f>
        <v>Jun</v>
      </c>
      <c r="N4894" s="1">
        <f>YEAR(Table1[[#This Row],[Order_Date]])</f>
        <v>2024</v>
      </c>
      <c r="O4894" s="7">
        <f>Table1[[#This Row],[Profit]]/Table1[[#This Row],[Total_Sales]]</f>
        <v>0.3679334554334554</v>
      </c>
    </row>
    <row r="4895" spans="1:15" x14ac:dyDescent="0.25">
      <c r="A4895" s="1">
        <v>4894</v>
      </c>
      <c r="B4895" s="2">
        <v>45319</v>
      </c>
      <c r="C4895" s="1" t="s">
        <v>25</v>
      </c>
      <c r="D4895" s="1" t="s">
        <v>32</v>
      </c>
      <c r="E4895" s="1" t="s">
        <v>45</v>
      </c>
      <c r="F4895" s="1" t="s">
        <v>24</v>
      </c>
      <c r="G4895" s="1">
        <v>4</v>
      </c>
      <c r="H4895" s="1">
        <v>960</v>
      </c>
      <c r="I4895" s="1">
        <v>5</v>
      </c>
      <c r="J4895" s="4">
        <v>3648</v>
      </c>
      <c r="K4895" s="4">
        <v>2524.1</v>
      </c>
      <c r="L4895" s="4">
        <v>1123.9000000000001</v>
      </c>
      <c r="M4895" s="1" t="str">
        <f>TEXT(Table1[[#This Row],[Order_Date]], "MMM")</f>
        <v>Jan</v>
      </c>
      <c r="N4895" s="1">
        <f>YEAR(Table1[[#This Row],[Order_Date]])</f>
        <v>2024</v>
      </c>
      <c r="O4895" s="7">
        <f>Table1[[#This Row],[Profit]]/Table1[[#This Row],[Total_Sales]]</f>
        <v>0.3080866228070176</v>
      </c>
    </row>
    <row r="4896" spans="1:15" x14ac:dyDescent="0.25">
      <c r="A4896" s="1">
        <v>4895</v>
      </c>
      <c r="B4896" s="2">
        <v>45524</v>
      </c>
      <c r="C4896" s="1" t="s">
        <v>12</v>
      </c>
      <c r="D4896" s="1" t="s">
        <v>22</v>
      </c>
      <c r="E4896" s="1" t="s">
        <v>29</v>
      </c>
      <c r="F4896" s="1" t="s">
        <v>31</v>
      </c>
      <c r="G4896" s="1">
        <v>4</v>
      </c>
      <c r="H4896" s="1">
        <v>770</v>
      </c>
      <c r="I4896" s="1">
        <v>10</v>
      </c>
      <c r="J4896" s="4">
        <v>2772</v>
      </c>
      <c r="K4896" s="4">
        <v>1936.04</v>
      </c>
      <c r="L4896" s="4">
        <v>835.96</v>
      </c>
      <c r="M4896" s="1" t="str">
        <f>TEXT(Table1[[#This Row],[Order_Date]], "MMM")</f>
        <v>Aug</v>
      </c>
      <c r="N4896" s="1">
        <f>YEAR(Table1[[#This Row],[Order_Date]])</f>
        <v>2024</v>
      </c>
      <c r="O4896" s="7">
        <f>Table1[[#This Row],[Profit]]/Table1[[#This Row],[Total_Sales]]</f>
        <v>0.3015728715728716</v>
      </c>
    </row>
    <row r="4897" spans="1:15" x14ac:dyDescent="0.25">
      <c r="A4897" s="1">
        <v>4896</v>
      </c>
      <c r="B4897" s="2">
        <v>45062</v>
      </c>
      <c r="C4897" s="1" t="s">
        <v>19</v>
      </c>
      <c r="D4897" s="1" t="s">
        <v>22</v>
      </c>
      <c r="E4897" s="1" t="s">
        <v>23</v>
      </c>
      <c r="F4897" s="1" t="s">
        <v>24</v>
      </c>
      <c r="G4897" s="1">
        <v>4</v>
      </c>
      <c r="H4897" s="1">
        <v>731</v>
      </c>
      <c r="I4897" s="1">
        <v>15</v>
      </c>
      <c r="J4897" s="4">
        <v>2485.4</v>
      </c>
      <c r="K4897" s="4">
        <v>1452.44</v>
      </c>
      <c r="L4897" s="4">
        <v>1032.96</v>
      </c>
      <c r="M4897" s="1" t="str">
        <f>TEXT(Table1[[#This Row],[Order_Date]], "MMM")</f>
        <v>May</v>
      </c>
      <c r="N4897" s="1">
        <f>YEAR(Table1[[#This Row],[Order_Date]])</f>
        <v>2023</v>
      </c>
      <c r="O4897" s="7">
        <f>Table1[[#This Row],[Profit]]/Table1[[#This Row],[Total_Sales]]</f>
        <v>0.41561116922829322</v>
      </c>
    </row>
    <row r="4898" spans="1:15" x14ac:dyDescent="0.25">
      <c r="A4898" s="1">
        <v>4897</v>
      </c>
      <c r="B4898" s="2">
        <v>45237</v>
      </c>
      <c r="C4898" s="1" t="s">
        <v>12</v>
      </c>
      <c r="D4898" s="1" t="s">
        <v>20</v>
      </c>
      <c r="E4898" s="1" t="s">
        <v>21</v>
      </c>
      <c r="F4898" s="1" t="s">
        <v>18</v>
      </c>
      <c r="G4898" s="1">
        <v>4</v>
      </c>
      <c r="H4898" s="1">
        <v>838</v>
      </c>
      <c r="I4898" s="1">
        <v>5</v>
      </c>
      <c r="J4898" s="4">
        <v>3184.4</v>
      </c>
      <c r="K4898" s="4">
        <v>2039.83</v>
      </c>
      <c r="L4898" s="4">
        <v>1144.57</v>
      </c>
      <c r="M4898" s="1" t="str">
        <f>TEXT(Table1[[#This Row],[Order_Date]], "MMM")</f>
        <v>Nov</v>
      </c>
      <c r="N4898" s="1">
        <f>YEAR(Table1[[#This Row],[Order_Date]])</f>
        <v>2023</v>
      </c>
      <c r="O4898" s="7">
        <f>Table1[[#This Row],[Profit]]/Table1[[#This Row],[Total_Sales]]</f>
        <v>0.3594303479462379</v>
      </c>
    </row>
    <row r="4899" spans="1:15" x14ac:dyDescent="0.25">
      <c r="A4899" s="1">
        <v>4898</v>
      </c>
      <c r="B4899" s="2">
        <v>45489</v>
      </c>
      <c r="C4899" s="1" t="s">
        <v>19</v>
      </c>
      <c r="D4899" s="1" t="s">
        <v>32</v>
      </c>
      <c r="E4899" s="1" t="s">
        <v>45</v>
      </c>
      <c r="F4899" s="1" t="s">
        <v>35</v>
      </c>
      <c r="G4899" s="1">
        <v>4</v>
      </c>
      <c r="H4899" s="1">
        <v>514</v>
      </c>
      <c r="I4899" s="1">
        <v>20</v>
      </c>
      <c r="J4899" s="4">
        <v>1644.8</v>
      </c>
      <c r="K4899" s="4">
        <v>1236.8499999999999</v>
      </c>
      <c r="L4899" s="4">
        <v>407.95</v>
      </c>
      <c r="M4899" s="1" t="str">
        <f>TEXT(Table1[[#This Row],[Order_Date]], "MMM")</f>
        <v>Jul</v>
      </c>
      <c r="N4899" s="1">
        <f>YEAR(Table1[[#This Row],[Order_Date]])</f>
        <v>2024</v>
      </c>
      <c r="O4899" s="7">
        <f>Table1[[#This Row],[Profit]]/Table1[[#This Row],[Total_Sales]]</f>
        <v>0.24802407587548639</v>
      </c>
    </row>
    <row r="4900" spans="1:15" x14ac:dyDescent="0.25">
      <c r="A4900" s="1">
        <v>4899</v>
      </c>
      <c r="B4900" s="2">
        <v>45107</v>
      </c>
      <c r="C4900" s="1" t="s">
        <v>19</v>
      </c>
      <c r="D4900" s="1" t="s">
        <v>22</v>
      </c>
      <c r="E4900" s="1" t="s">
        <v>29</v>
      </c>
      <c r="F4900" s="1" t="s">
        <v>24</v>
      </c>
      <c r="G4900" s="1">
        <v>5</v>
      </c>
      <c r="H4900" s="1">
        <v>180</v>
      </c>
      <c r="I4900" s="1">
        <v>20</v>
      </c>
      <c r="J4900" s="4">
        <v>720</v>
      </c>
      <c r="K4900" s="4">
        <v>525.74</v>
      </c>
      <c r="L4900" s="4">
        <v>194.26</v>
      </c>
      <c r="M4900" s="1" t="str">
        <f>TEXT(Table1[[#This Row],[Order_Date]], "MMM")</f>
        <v>Jun</v>
      </c>
      <c r="N4900" s="1">
        <f>YEAR(Table1[[#This Row],[Order_Date]])</f>
        <v>2023</v>
      </c>
      <c r="O4900" s="7">
        <f>Table1[[#This Row],[Profit]]/Table1[[#This Row],[Total_Sales]]</f>
        <v>0.26980555555555552</v>
      </c>
    </row>
    <row r="4901" spans="1:15" x14ac:dyDescent="0.25">
      <c r="A4901" s="1">
        <v>4900</v>
      </c>
      <c r="B4901" s="2">
        <v>45616</v>
      </c>
      <c r="C4901" s="1" t="s">
        <v>25</v>
      </c>
      <c r="D4901" s="1" t="s">
        <v>20</v>
      </c>
      <c r="E4901" s="1" t="s">
        <v>30</v>
      </c>
      <c r="F4901" s="1" t="s">
        <v>35</v>
      </c>
      <c r="G4901" s="1">
        <v>10</v>
      </c>
      <c r="H4901" s="1">
        <v>998</v>
      </c>
      <c r="I4901" s="1">
        <v>15</v>
      </c>
      <c r="J4901" s="4">
        <v>8483</v>
      </c>
      <c r="K4901" s="4">
        <v>4810.6400000000003</v>
      </c>
      <c r="L4901" s="4">
        <v>3672.36</v>
      </c>
      <c r="M4901" s="1" t="str">
        <f>TEXT(Table1[[#This Row],[Order_Date]], "MMM")</f>
        <v>Nov</v>
      </c>
      <c r="N4901" s="1">
        <f>YEAR(Table1[[#This Row],[Order_Date]])</f>
        <v>2024</v>
      </c>
      <c r="O4901" s="7">
        <f>Table1[[#This Row],[Profit]]/Table1[[#This Row],[Total_Sales]]</f>
        <v>0.43290816927973597</v>
      </c>
    </row>
    <row r="4902" spans="1:15" x14ac:dyDescent="0.25">
      <c r="A4902" s="1">
        <v>4901</v>
      </c>
      <c r="B4902" s="2">
        <v>45433</v>
      </c>
      <c r="C4902" s="1" t="s">
        <v>19</v>
      </c>
      <c r="D4902" s="1" t="s">
        <v>20</v>
      </c>
      <c r="E4902" s="1" t="s">
        <v>21</v>
      </c>
      <c r="F4902" s="1" t="s">
        <v>40</v>
      </c>
      <c r="G4902" s="1">
        <v>2</v>
      </c>
      <c r="H4902" s="1">
        <v>807</v>
      </c>
      <c r="I4902" s="1">
        <v>20</v>
      </c>
      <c r="J4902" s="4">
        <v>1291.2</v>
      </c>
      <c r="K4902" s="4">
        <v>804.19</v>
      </c>
      <c r="L4902" s="4">
        <v>487.01</v>
      </c>
      <c r="M4902" s="1" t="str">
        <f>TEXT(Table1[[#This Row],[Order_Date]], "MMM")</f>
        <v>May</v>
      </c>
      <c r="N4902" s="1">
        <f>YEAR(Table1[[#This Row],[Order_Date]])</f>
        <v>2024</v>
      </c>
      <c r="O4902" s="7">
        <f>Table1[[#This Row],[Profit]]/Table1[[#This Row],[Total_Sales]]</f>
        <v>0.37717627013630728</v>
      </c>
    </row>
    <row r="4903" spans="1:15" x14ac:dyDescent="0.25">
      <c r="A4903" s="1">
        <v>4902</v>
      </c>
      <c r="B4903" s="2">
        <v>45362</v>
      </c>
      <c r="C4903" s="1" t="s">
        <v>25</v>
      </c>
      <c r="D4903" s="1" t="s">
        <v>22</v>
      </c>
      <c r="E4903" s="1" t="s">
        <v>23</v>
      </c>
      <c r="F4903" s="1" t="s">
        <v>31</v>
      </c>
      <c r="G4903" s="1">
        <v>4</v>
      </c>
      <c r="H4903" s="1">
        <v>46</v>
      </c>
      <c r="I4903" s="1">
        <v>0</v>
      </c>
      <c r="J4903" s="4">
        <v>184</v>
      </c>
      <c r="K4903" s="4">
        <v>116.43</v>
      </c>
      <c r="L4903" s="4">
        <v>67.569999999999993</v>
      </c>
      <c r="M4903" s="1" t="str">
        <f>TEXT(Table1[[#This Row],[Order_Date]], "MMM")</f>
        <v>Mar</v>
      </c>
      <c r="N4903" s="1">
        <f>YEAR(Table1[[#This Row],[Order_Date]])</f>
        <v>2024</v>
      </c>
      <c r="O4903" s="7">
        <f>Table1[[#This Row],[Profit]]/Table1[[#This Row],[Total_Sales]]</f>
        <v>0.36722826086956517</v>
      </c>
    </row>
    <row r="4904" spans="1:15" x14ac:dyDescent="0.25">
      <c r="A4904" s="1">
        <v>4903</v>
      </c>
      <c r="B4904" s="2">
        <v>45256</v>
      </c>
      <c r="C4904" s="1" t="s">
        <v>16</v>
      </c>
      <c r="D4904" s="1" t="s">
        <v>13</v>
      </c>
      <c r="E4904" s="1" t="s">
        <v>14</v>
      </c>
      <c r="F4904" s="1" t="s">
        <v>15</v>
      </c>
      <c r="G4904" s="1">
        <v>2</v>
      </c>
      <c r="H4904" s="1">
        <v>143</v>
      </c>
      <c r="I4904" s="1">
        <v>5</v>
      </c>
      <c r="J4904" s="4">
        <v>271.7</v>
      </c>
      <c r="K4904" s="4">
        <v>144.36000000000001</v>
      </c>
      <c r="L4904" s="4">
        <v>127.34</v>
      </c>
      <c r="M4904" s="1" t="str">
        <f>TEXT(Table1[[#This Row],[Order_Date]], "MMM")</f>
        <v>Nov</v>
      </c>
      <c r="N4904" s="1">
        <f>YEAR(Table1[[#This Row],[Order_Date]])</f>
        <v>2023</v>
      </c>
      <c r="O4904" s="7">
        <f>Table1[[#This Row],[Profit]]/Table1[[#This Row],[Total_Sales]]</f>
        <v>0.46867868973132132</v>
      </c>
    </row>
    <row r="4905" spans="1:15" x14ac:dyDescent="0.25">
      <c r="A4905" s="1">
        <v>4904</v>
      </c>
      <c r="B4905" s="2">
        <v>45599</v>
      </c>
      <c r="C4905" s="1" t="s">
        <v>12</v>
      </c>
      <c r="D4905" s="1" t="s">
        <v>32</v>
      </c>
      <c r="E4905" s="1" t="s">
        <v>34</v>
      </c>
      <c r="F4905" s="1" t="s">
        <v>40</v>
      </c>
      <c r="G4905" s="1">
        <v>10</v>
      </c>
      <c r="H4905" s="1">
        <v>821</v>
      </c>
      <c r="I4905" s="1">
        <v>5</v>
      </c>
      <c r="J4905" s="4">
        <v>7799.5</v>
      </c>
      <c r="K4905" s="4">
        <v>4080.23</v>
      </c>
      <c r="L4905" s="4">
        <v>3719.27</v>
      </c>
      <c r="M4905" s="1" t="str">
        <f>TEXT(Table1[[#This Row],[Order_Date]], "MMM")</f>
        <v>Nov</v>
      </c>
      <c r="N4905" s="1">
        <f>YEAR(Table1[[#This Row],[Order_Date]])</f>
        <v>2024</v>
      </c>
      <c r="O4905" s="7">
        <f>Table1[[#This Row],[Profit]]/Table1[[#This Row],[Total_Sales]]</f>
        <v>0.47686005513173924</v>
      </c>
    </row>
    <row r="4906" spans="1:15" x14ac:dyDescent="0.25">
      <c r="A4906" s="1">
        <v>4905</v>
      </c>
      <c r="B4906" s="2">
        <v>45545</v>
      </c>
      <c r="C4906" s="1" t="s">
        <v>16</v>
      </c>
      <c r="D4906" s="1" t="s">
        <v>26</v>
      </c>
      <c r="E4906" s="1" t="s">
        <v>46</v>
      </c>
      <c r="F4906" s="1" t="s">
        <v>24</v>
      </c>
      <c r="G4906" s="1">
        <v>6</v>
      </c>
      <c r="H4906" s="1">
        <v>829</v>
      </c>
      <c r="I4906" s="1">
        <v>10</v>
      </c>
      <c r="J4906" s="4">
        <v>4476.6000000000004</v>
      </c>
      <c r="K4906" s="4">
        <v>2738.08</v>
      </c>
      <c r="L4906" s="4">
        <v>1738.52</v>
      </c>
      <c r="M4906" s="1" t="str">
        <f>TEXT(Table1[[#This Row],[Order_Date]], "MMM")</f>
        <v>Sep</v>
      </c>
      <c r="N4906" s="1">
        <f>YEAR(Table1[[#This Row],[Order_Date]])</f>
        <v>2024</v>
      </c>
      <c r="O4906" s="7">
        <f>Table1[[#This Row],[Profit]]/Table1[[#This Row],[Total_Sales]]</f>
        <v>0.38835723540186745</v>
      </c>
    </row>
    <row r="4907" spans="1:15" x14ac:dyDescent="0.25">
      <c r="A4907" s="1">
        <v>4906</v>
      </c>
      <c r="B4907" s="2">
        <v>45172</v>
      </c>
      <c r="C4907" s="1" t="s">
        <v>16</v>
      </c>
      <c r="D4907" s="1" t="s">
        <v>22</v>
      </c>
      <c r="E4907" s="1" t="s">
        <v>44</v>
      </c>
      <c r="F4907" s="1" t="s">
        <v>40</v>
      </c>
      <c r="G4907" s="1">
        <v>2</v>
      </c>
      <c r="H4907" s="1">
        <v>670</v>
      </c>
      <c r="I4907" s="1">
        <v>0</v>
      </c>
      <c r="J4907" s="4">
        <v>1340</v>
      </c>
      <c r="K4907" s="4">
        <v>938.58</v>
      </c>
      <c r="L4907" s="4">
        <v>401.42</v>
      </c>
      <c r="M4907" s="1" t="str">
        <f>TEXT(Table1[[#This Row],[Order_Date]], "MMM")</f>
        <v>Sep</v>
      </c>
      <c r="N4907" s="1">
        <f>YEAR(Table1[[#This Row],[Order_Date]])</f>
        <v>2023</v>
      </c>
      <c r="O4907" s="7">
        <f>Table1[[#This Row],[Profit]]/Table1[[#This Row],[Total_Sales]]</f>
        <v>0.29956716417910451</v>
      </c>
    </row>
    <row r="4908" spans="1:15" x14ac:dyDescent="0.25">
      <c r="A4908" s="1">
        <v>4907</v>
      </c>
      <c r="B4908" s="2">
        <v>45031</v>
      </c>
      <c r="C4908" s="1" t="s">
        <v>12</v>
      </c>
      <c r="D4908" s="1" t="s">
        <v>13</v>
      </c>
      <c r="E4908" s="1" t="s">
        <v>14</v>
      </c>
      <c r="F4908" s="1" t="s">
        <v>35</v>
      </c>
      <c r="G4908" s="1">
        <v>3</v>
      </c>
      <c r="H4908" s="1">
        <v>683</v>
      </c>
      <c r="I4908" s="1">
        <v>0</v>
      </c>
      <c r="J4908" s="4">
        <v>2049</v>
      </c>
      <c r="K4908" s="4">
        <v>1631.93</v>
      </c>
      <c r="L4908" s="4">
        <v>417.07</v>
      </c>
      <c r="M4908" s="1" t="str">
        <f>TEXT(Table1[[#This Row],[Order_Date]], "MMM")</f>
        <v>Apr</v>
      </c>
      <c r="N4908" s="1">
        <f>YEAR(Table1[[#This Row],[Order_Date]])</f>
        <v>2023</v>
      </c>
      <c r="O4908" s="7">
        <f>Table1[[#This Row],[Profit]]/Table1[[#This Row],[Total_Sales]]</f>
        <v>0.20354807223035626</v>
      </c>
    </row>
    <row r="4909" spans="1:15" x14ac:dyDescent="0.25">
      <c r="A4909" s="1">
        <v>4908</v>
      </c>
      <c r="B4909" s="2">
        <v>45143</v>
      </c>
      <c r="C4909" s="1" t="s">
        <v>19</v>
      </c>
      <c r="D4909" s="1" t="s">
        <v>26</v>
      </c>
      <c r="E4909" s="1" t="s">
        <v>37</v>
      </c>
      <c r="F4909" s="1" t="s">
        <v>24</v>
      </c>
      <c r="G4909" s="1">
        <v>2</v>
      </c>
      <c r="H4909" s="1">
        <v>530</v>
      </c>
      <c r="I4909" s="1">
        <v>15</v>
      </c>
      <c r="J4909" s="4">
        <v>901</v>
      </c>
      <c r="K4909" s="4">
        <v>608.88</v>
      </c>
      <c r="L4909" s="4">
        <v>292.12</v>
      </c>
      <c r="M4909" s="1" t="str">
        <f>TEXT(Table1[[#This Row],[Order_Date]], "MMM")</f>
        <v>Aug</v>
      </c>
      <c r="N4909" s="1">
        <f>YEAR(Table1[[#This Row],[Order_Date]])</f>
        <v>2023</v>
      </c>
      <c r="O4909" s="7">
        <f>Table1[[#This Row],[Profit]]/Table1[[#This Row],[Total_Sales]]</f>
        <v>0.32421753607103221</v>
      </c>
    </row>
    <row r="4910" spans="1:15" x14ac:dyDescent="0.25">
      <c r="A4910" s="1">
        <v>4909</v>
      </c>
      <c r="B4910" s="2">
        <v>45313</v>
      </c>
      <c r="C4910" s="1" t="s">
        <v>16</v>
      </c>
      <c r="D4910" s="1" t="s">
        <v>22</v>
      </c>
      <c r="E4910" s="1" t="s">
        <v>44</v>
      </c>
      <c r="F4910" s="1" t="s">
        <v>24</v>
      </c>
      <c r="G4910" s="1">
        <v>2</v>
      </c>
      <c r="H4910" s="1">
        <v>86</v>
      </c>
      <c r="I4910" s="1">
        <v>0</v>
      </c>
      <c r="J4910" s="4">
        <v>172</v>
      </c>
      <c r="K4910" s="4">
        <v>86.48</v>
      </c>
      <c r="L4910" s="4">
        <v>85.52</v>
      </c>
      <c r="M4910" s="1" t="str">
        <f>TEXT(Table1[[#This Row],[Order_Date]], "MMM")</f>
        <v>Jan</v>
      </c>
      <c r="N4910" s="1">
        <f>YEAR(Table1[[#This Row],[Order_Date]])</f>
        <v>2024</v>
      </c>
      <c r="O4910" s="7">
        <f>Table1[[#This Row],[Profit]]/Table1[[#This Row],[Total_Sales]]</f>
        <v>0.49720930232558136</v>
      </c>
    </row>
    <row r="4911" spans="1:15" x14ac:dyDescent="0.25">
      <c r="A4911" s="1">
        <v>4910</v>
      </c>
      <c r="B4911" s="2">
        <v>45398</v>
      </c>
      <c r="C4911" s="1" t="s">
        <v>25</v>
      </c>
      <c r="D4911" s="1" t="s">
        <v>26</v>
      </c>
      <c r="E4911" s="1" t="s">
        <v>27</v>
      </c>
      <c r="F4911" s="1" t="s">
        <v>35</v>
      </c>
      <c r="G4911" s="1">
        <v>8</v>
      </c>
      <c r="H4911" s="1">
        <v>338</v>
      </c>
      <c r="I4911" s="1">
        <v>20</v>
      </c>
      <c r="J4911" s="4">
        <v>2163.1999999999998</v>
      </c>
      <c r="K4911" s="4">
        <v>1549.53</v>
      </c>
      <c r="L4911" s="4">
        <v>613.66999999999996</v>
      </c>
      <c r="M4911" s="1" t="str">
        <f>TEXT(Table1[[#This Row],[Order_Date]], "MMM")</f>
        <v>Apr</v>
      </c>
      <c r="N4911" s="1">
        <f>YEAR(Table1[[#This Row],[Order_Date]])</f>
        <v>2024</v>
      </c>
      <c r="O4911" s="7">
        <f>Table1[[#This Row],[Profit]]/Table1[[#This Row],[Total_Sales]]</f>
        <v>0.28368620562130176</v>
      </c>
    </row>
    <row r="4912" spans="1:15" x14ac:dyDescent="0.25">
      <c r="A4912" s="1">
        <v>4911</v>
      </c>
      <c r="B4912" s="2">
        <v>45093</v>
      </c>
      <c r="C4912" s="1" t="s">
        <v>19</v>
      </c>
      <c r="D4912" s="1" t="s">
        <v>20</v>
      </c>
      <c r="E4912" s="1" t="s">
        <v>28</v>
      </c>
      <c r="F4912" s="1" t="s">
        <v>15</v>
      </c>
      <c r="G4912" s="1">
        <v>10</v>
      </c>
      <c r="H4912" s="1">
        <v>789</v>
      </c>
      <c r="I4912" s="1">
        <v>10</v>
      </c>
      <c r="J4912" s="4">
        <v>7101</v>
      </c>
      <c r="K4912" s="4">
        <v>4937.5200000000004</v>
      </c>
      <c r="L4912" s="4">
        <v>2163.48</v>
      </c>
      <c r="M4912" s="1" t="str">
        <f>TEXT(Table1[[#This Row],[Order_Date]], "MMM")</f>
        <v>Jun</v>
      </c>
      <c r="N4912" s="1">
        <f>YEAR(Table1[[#This Row],[Order_Date]])</f>
        <v>2023</v>
      </c>
      <c r="O4912" s="7">
        <f>Table1[[#This Row],[Profit]]/Table1[[#This Row],[Total_Sales]]</f>
        <v>0.30467258132657371</v>
      </c>
    </row>
    <row r="4913" spans="1:15" x14ac:dyDescent="0.25">
      <c r="A4913" s="1">
        <v>4912</v>
      </c>
      <c r="B4913" s="2">
        <v>45486</v>
      </c>
      <c r="C4913" s="1" t="s">
        <v>16</v>
      </c>
      <c r="D4913" s="1" t="s">
        <v>26</v>
      </c>
      <c r="E4913" s="1" t="s">
        <v>27</v>
      </c>
      <c r="F4913" s="1" t="s">
        <v>31</v>
      </c>
      <c r="G4913" s="1">
        <v>3</v>
      </c>
      <c r="H4913" s="1">
        <v>230</v>
      </c>
      <c r="I4913" s="1">
        <v>10</v>
      </c>
      <c r="J4913" s="4">
        <v>621</v>
      </c>
      <c r="K4913" s="4">
        <v>456.32</v>
      </c>
      <c r="L4913" s="4">
        <v>164.68</v>
      </c>
      <c r="M4913" s="1" t="str">
        <f>TEXT(Table1[[#This Row],[Order_Date]], "MMM")</f>
        <v>Jul</v>
      </c>
      <c r="N4913" s="1">
        <f>YEAR(Table1[[#This Row],[Order_Date]])</f>
        <v>2024</v>
      </c>
      <c r="O4913" s="7">
        <f>Table1[[#This Row],[Profit]]/Table1[[#This Row],[Total_Sales]]</f>
        <v>0.26518518518518519</v>
      </c>
    </row>
    <row r="4914" spans="1:15" x14ac:dyDescent="0.25">
      <c r="A4914" s="1">
        <v>4913</v>
      </c>
      <c r="B4914" s="2">
        <v>45322</v>
      </c>
      <c r="C4914" s="1" t="s">
        <v>19</v>
      </c>
      <c r="D4914" s="1" t="s">
        <v>26</v>
      </c>
      <c r="E4914" s="1" t="s">
        <v>42</v>
      </c>
      <c r="F4914" s="1" t="s">
        <v>18</v>
      </c>
      <c r="G4914" s="1">
        <v>3</v>
      </c>
      <c r="H4914" s="1">
        <v>232</v>
      </c>
      <c r="I4914" s="1">
        <v>15</v>
      </c>
      <c r="J4914" s="4">
        <v>591.6</v>
      </c>
      <c r="K4914" s="4">
        <v>381.04</v>
      </c>
      <c r="L4914" s="4">
        <v>210.56</v>
      </c>
      <c r="M4914" s="1" t="str">
        <f>TEXT(Table1[[#This Row],[Order_Date]], "MMM")</f>
        <v>Jan</v>
      </c>
      <c r="N4914" s="1">
        <f>YEAR(Table1[[#This Row],[Order_Date]])</f>
        <v>2024</v>
      </c>
      <c r="O4914" s="7">
        <f>Table1[[#This Row],[Profit]]/Table1[[#This Row],[Total_Sales]]</f>
        <v>0.35591615956727518</v>
      </c>
    </row>
    <row r="4915" spans="1:15" x14ac:dyDescent="0.25">
      <c r="A4915" s="1">
        <v>4914</v>
      </c>
      <c r="B4915" s="2">
        <v>44956</v>
      </c>
      <c r="C4915" s="1" t="s">
        <v>12</v>
      </c>
      <c r="D4915" s="1" t="s">
        <v>26</v>
      </c>
      <c r="E4915" s="1" t="s">
        <v>27</v>
      </c>
      <c r="F4915" s="1" t="s">
        <v>35</v>
      </c>
      <c r="G4915" s="1">
        <v>5</v>
      </c>
      <c r="H4915" s="1">
        <v>270</v>
      </c>
      <c r="I4915" s="1">
        <v>15</v>
      </c>
      <c r="J4915" s="4">
        <v>1147.5</v>
      </c>
      <c r="K4915" s="4">
        <v>911.26</v>
      </c>
      <c r="L4915" s="4">
        <v>236.24</v>
      </c>
      <c r="M4915" s="1" t="str">
        <f>TEXT(Table1[[#This Row],[Order_Date]], "MMM")</f>
        <v>Jan</v>
      </c>
      <c r="N4915" s="1">
        <f>YEAR(Table1[[#This Row],[Order_Date]])</f>
        <v>2023</v>
      </c>
      <c r="O4915" s="7">
        <f>Table1[[#This Row],[Profit]]/Table1[[#This Row],[Total_Sales]]</f>
        <v>0.20587363834422659</v>
      </c>
    </row>
    <row r="4916" spans="1:15" x14ac:dyDescent="0.25">
      <c r="A4916" s="1">
        <v>4915</v>
      </c>
      <c r="B4916" s="2">
        <v>45257</v>
      </c>
      <c r="C4916" s="1" t="s">
        <v>25</v>
      </c>
      <c r="D4916" s="1" t="s">
        <v>20</v>
      </c>
      <c r="E4916" s="1" t="s">
        <v>28</v>
      </c>
      <c r="F4916" s="1" t="s">
        <v>40</v>
      </c>
      <c r="G4916" s="1">
        <v>8</v>
      </c>
      <c r="H4916" s="1">
        <v>477</v>
      </c>
      <c r="I4916" s="1">
        <v>5</v>
      </c>
      <c r="J4916" s="4">
        <v>3625.2</v>
      </c>
      <c r="K4916" s="4">
        <v>2809.35</v>
      </c>
      <c r="L4916" s="4">
        <v>815.85</v>
      </c>
      <c r="M4916" s="1" t="str">
        <f>TEXT(Table1[[#This Row],[Order_Date]], "MMM")</f>
        <v>Nov</v>
      </c>
      <c r="N4916" s="1">
        <f>YEAR(Table1[[#This Row],[Order_Date]])</f>
        <v>2023</v>
      </c>
      <c r="O4916" s="7">
        <f>Table1[[#This Row],[Profit]]/Table1[[#This Row],[Total_Sales]]</f>
        <v>0.22504965243296923</v>
      </c>
    </row>
    <row r="4917" spans="1:15" x14ac:dyDescent="0.25">
      <c r="A4917" s="1">
        <v>4916</v>
      </c>
      <c r="B4917" s="2">
        <v>44958</v>
      </c>
      <c r="C4917" s="1" t="s">
        <v>16</v>
      </c>
      <c r="D4917" s="1" t="s">
        <v>26</v>
      </c>
      <c r="E4917" s="1" t="s">
        <v>27</v>
      </c>
      <c r="F4917" s="1" t="s">
        <v>24</v>
      </c>
      <c r="G4917" s="1">
        <v>4</v>
      </c>
      <c r="H4917" s="1">
        <v>304</v>
      </c>
      <c r="I4917" s="1">
        <v>20</v>
      </c>
      <c r="J4917" s="4">
        <v>972.8</v>
      </c>
      <c r="K4917" s="4">
        <v>693.3</v>
      </c>
      <c r="L4917" s="4">
        <v>279.5</v>
      </c>
      <c r="M4917" s="1" t="str">
        <f>TEXT(Table1[[#This Row],[Order_Date]], "MMM")</f>
        <v>Feb</v>
      </c>
      <c r="N4917" s="1">
        <f>YEAR(Table1[[#This Row],[Order_Date]])</f>
        <v>2023</v>
      </c>
      <c r="O4917" s="7">
        <f>Table1[[#This Row],[Profit]]/Table1[[#This Row],[Total_Sales]]</f>
        <v>0.28731496710526316</v>
      </c>
    </row>
    <row r="4918" spans="1:15" x14ac:dyDescent="0.25">
      <c r="A4918" s="1">
        <v>4917</v>
      </c>
      <c r="B4918" s="2">
        <v>45536</v>
      </c>
      <c r="C4918" s="1" t="s">
        <v>16</v>
      </c>
      <c r="D4918" s="1" t="s">
        <v>20</v>
      </c>
      <c r="E4918" s="1" t="s">
        <v>43</v>
      </c>
      <c r="F4918" s="1" t="s">
        <v>40</v>
      </c>
      <c r="G4918" s="1">
        <v>8</v>
      </c>
      <c r="H4918" s="1">
        <v>307</v>
      </c>
      <c r="I4918" s="1">
        <v>15</v>
      </c>
      <c r="J4918" s="4">
        <v>2087.6</v>
      </c>
      <c r="K4918" s="4">
        <v>1442.23</v>
      </c>
      <c r="L4918" s="4">
        <v>645.37</v>
      </c>
      <c r="M4918" s="1" t="str">
        <f>TEXT(Table1[[#This Row],[Order_Date]], "MMM")</f>
        <v>Sep</v>
      </c>
      <c r="N4918" s="1">
        <f>YEAR(Table1[[#This Row],[Order_Date]])</f>
        <v>2024</v>
      </c>
      <c r="O4918" s="7">
        <f>Table1[[#This Row],[Profit]]/Table1[[#This Row],[Total_Sales]]</f>
        <v>0.30914447212109603</v>
      </c>
    </row>
    <row r="4919" spans="1:15" x14ac:dyDescent="0.25">
      <c r="A4919" s="1">
        <v>4918</v>
      </c>
      <c r="B4919" s="2">
        <v>45480</v>
      </c>
      <c r="C4919" s="1" t="s">
        <v>16</v>
      </c>
      <c r="D4919" s="1" t="s">
        <v>32</v>
      </c>
      <c r="E4919" s="1" t="s">
        <v>41</v>
      </c>
      <c r="F4919" s="1" t="s">
        <v>31</v>
      </c>
      <c r="G4919" s="1">
        <v>9</v>
      </c>
      <c r="H4919" s="1">
        <v>303</v>
      </c>
      <c r="I4919" s="1">
        <v>15</v>
      </c>
      <c r="J4919" s="4">
        <v>2317.9499999999998</v>
      </c>
      <c r="K4919" s="4">
        <v>1374.09</v>
      </c>
      <c r="L4919" s="4">
        <v>943.86</v>
      </c>
      <c r="M4919" s="1" t="str">
        <f>TEXT(Table1[[#This Row],[Order_Date]], "MMM")</f>
        <v>Jul</v>
      </c>
      <c r="N4919" s="1">
        <f>YEAR(Table1[[#This Row],[Order_Date]])</f>
        <v>2024</v>
      </c>
      <c r="O4919" s="7">
        <f>Table1[[#This Row],[Profit]]/Table1[[#This Row],[Total_Sales]]</f>
        <v>0.40719601371901898</v>
      </c>
    </row>
    <row r="4920" spans="1:15" x14ac:dyDescent="0.25">
      <c r="A4920" s="1">
        <v>4919</v>
      </c>
      <c r="B4920" s="2">
        <v>45301</v>
      </c>
      <c r="C4920" s="1" t="s">
        <v>19</v>
      </c>
      <c r="D4920" s="1" t="s">
        <v>22</v>
      </c>
      <c r="E4920" s="1" t="s">
        <v>29</v>
      </c>
      <c r="F4920" s="1" t="s">
        <v>40</v>
      </c>
      <c r="G4920" s="1">
        <v>6</v>
      </c>
      <c r="H4920" s="1">
        <v>611</v>
      </c>
      <c r="I4920" s="1">
        <v>5</v>
      </c>
      <c r="J4920" s="4">
        <v>3482.7</v>
      </c>
      <c r="K4920" s="4">
        <v>2417.86</v>
      </c>
      <c r="L4920" s="4">
        <v>1064.8399999999999</v>
      </c>
      <c r="M4920" s="1" t="str">
        <f>TEXT(Table1[[#This Row],[Order_Date]], "MMM")</f>
        <v>Jan</v>
      </c>
      <c r="N4920" s="1">
        <f>YEAR(Table1[[#This Row],[Order_Date]])</f>
        <v>2024</v>
      </c>
      <c r="O4920" s="7">
        <f>Table1[[#This Row],[Profit]]/Table1[[#This Row],[Total_Sales]]</f>
        <v>0.30575128492261749</v>
      </c>
    </row>
    <row r="4921" spans="1:15" x14ac:dyDescent="0.25">
      <c r="A4921" s="1">
        <v>4920</v>
      </c>
      <c r="B4921" s="2">
        <v>45519</v>
      </c>
      <c r="C4921" s="1" t="s">
        <v>25</v>
      </c>
      <c r="D4921" s="1" t="s">
        <v>32</v>
      </c>
      <c r="E4921" s="1" t="s">
        <v>34</v>
      </c>
      <c r="F4921" s="1" t="s">
        <v>15</v>
      </c>
      <c r="G4921" s="1">
        <v>2</v>
      </c>
      <c r="H4921" s="1">
        <v>59</v>
      </c>
      <c r="I4921" s="1">
        <v>5</v>
      </c>
      <c r="J4921" s="4">
        <v>112.1</v>
      </c>
      <c r="K4921" s="4">
        <v>65.150000000000006</v>
      </c>
      <c r="L4921" s="4">
        <v>46.95</v>
      </c>
      <c r="M4921" s="1" t="str">
        <f>TEXT(Table1[[#This Row],[Order_Date]], "MMM")</f>
        <v>Aug</v>
      </c>
      <c r="N4921" s="1">
        <f>YEAR(Table1[[#This Row],[Order_Date]])</f>
        <v>2024</v>
      </c>
      <c r="O4921" s="7">
        <f>Table1[[#This Row],[Profit]]/Table1[[#This Row],[Total_Sales]]</f>
        <v>0.41882247992863519</v>
      </c>
    </row>
    <row r="4922" spans="1:15" x14ac:dyDescent="0.25">
      <c r="A4922" s="1">
        <v>4921</v>
      </c>
      <c r="B4922" s="2">
        <v>45229</v>
      </c>
      <c r="C4922" s="1" t="s">
        <v>19</v>
      </c>
      <c r="D4922" s="1" t="s">
        <v>32</v>
      </c>
      <c r="E4922" s="1" t="s">
        <v>34</v>
      </c>
      <c r="F4922" s="1" t="s">
        <v>18</v>
      </c>
      <c r="G4922" s="1">
        <v>2</v>
      </c>
      <c r="H4922" s="1">
        <v>11</v>
      </c>
      <c r="I4922" s="1">
        <v>0</v>
      </c>
      <c r="J4922" s="4">
        <v>22</v>
      </c>
      <c r="K4922" s="4">
        <v>11.99</v>
      </c>
      <c r="L4922" s="4">
        <v>10.01</v>
      </c>
      <c r="M4922" s="1" t="str">
        <f>TEXT(Table1[[#This Row],[Order_Date]], "MMM")</f>
        <v>Oct</v>
      </c>
      <c r="N4922" s="1">
        <f>YEAR(Table1[[#This Row],[Order_Date]])</f>
        <v>2023</v>
      </c>
      <c r="O4922" s="7">
        <f>Table1[[#This Row],[Profit]]/Table1[[#This Row],[Total_Sales]]</f>
        <v>0.45500000000000002</v>
      </c>
    </row>
    <row r="4923" spans="1:15" x14ac:dyDescent="0.25">
      <c r="A4923" s="1">
        <v>4922</v>
      </c>
      <c r="B4923" s="2">
        <v>45376</v>
      </c>
      <c r="C4923" s="1" t="s">
        <v>25</v>
      </c>
      <c r="D4923" s="1" t="s">
        <v>13</v>
      </c>
      <c r="E4923" s="1" t="s">
        <v>38</v>
      </c>
      <c r="F4923" s="1" t="s">
        <v>15</v>
      </c>
      <c r="G4923" s="1">
        <v>3</v>
      </c>
      <c r="H4923" s="1">
        <v>864</v>
      </c>
      <c r="I4923" s="1">
        <v>15</v>
      </c>
      <c r="J4923" s="4">
        <v>2203.1999999999998</v>
      </c>
      <c r="K4923" s="4">
        <v>1391.82</v>
      </c>
      <c r="L4923" s="4">
        <v>811.38</v>
      </c>
      <c r="M4923" s="1" t="str">
        <f>TEXT(Table1[[#This Row],[Order_Date]], "MMM")</f>
        <v>Mar</v>
      </c>
      <c r="N4923" s="1">
        <f>YEAR(Table1[[#This Row],[Order_Date]])</f>
        <v>2024</v>
      </c>
      <c r="O4923" s="7">
        <f>Table1[[#This Row],[Profit]]/Table1[[#This Row],[Total_Sales]]</f>
        <v>0.36827342047930284</v>
      </c>
    </row>
    <row r="4924" spans="1:15" x14ac:dyDescent="0.25">
      <c r="A4924" s="1">
        <v>4923</v>
      </c>
      <c r="B4924" s="2">
        <v>45169</v>
      </c>
      <c r="C4924" s="1" t="s">
        <v>19</v>
      </c>
      <c r="D4924" s="1" t="s">
        <v>22</v>
      </c>
      <c r="E4924" s="1" t="s">
        <v>23</v>
      </c>
      <c r="F4924" s="1" t="s">
        <v>35</v>
      </c>
      <c r="G4924" s="1">
        <v>4</v>
      </c>
      <c r="H4924" s="1">
        <v>460</v>
      </c>
      <c r="I4924" s="1">
        <v>20</v>
      </c>
      <c r="J4924" s="4">
        <v>1472</v>
      </c>
      <c r="K4924" s="4">
        <v>1132.25</v>
      </c>
      <c r="L4924" s="4">
        <v>339.75</v>
      </c>
      <c r="M4924" s="1" t="str">
        <f>TEXT(Table1[[#This Row],[Order_Date]], "MMM")</f>
        <v>Aug</v>
      </c>
      <c r="N4924" s="1">
        <f>YEAR(Table1[[#This Row],[Order_Date]])</f>
        <v>2023</v>
      </c>
      <c r="O4924" s="7">
        <f>Table1[[#This Row],[Profit]]/Table1[[#This Row],[Total_Sales]]</f>
        <v>0.23080842391304349</v>
      </c>
    </row>
    <row r="4925" spans="1:15" x14ac:dyDescent="0.25">
      <c r="A4925" s="1">
        <v>4924</v>
      </c>
      <c r="B4925" s="2">
        <v>45430</v>
      </c>
      <c r="C4925" s="1" t="s">
        <v>12</v>
      </c>
      <c r="D4925" s="1" t="s">
        <v>32</v>
      </c>
      <c r="E4925" s="1" t="s">
        <v>45</v>
      </c>
      <c r="F4925" s="1" t="s">
        <v>24</v>
      </c>
      <c r="G4925" s="1">
        <v>10</v>
      </c>
      <c r="H4925" s="1">
        <v>553</v>
      </c>
      <c r="I4925" s="1">
        <v>0</v>
      </c>
      <c r="J4925" s="4">
        <v>5530</v>
      </c>
      <c r="K4925" s="4">
        <v>4063.14</v>
      </c>
      <c r="L4925" s="4">
        <v>1466.86</v>
      </c>
      <c r="M4925" s="1" t="str">
        <f>TEXT(Table1[[#This Row],[Order_Date]], "MMM")</f>
        <v>May</v>
      </c>
      <c r="N4925" s="1">
        <f>YEAR(Table1[[#This Row],[Order_Date]])</f>
        <v>2024</v>
      </c>
      <c r="O4925" s="7">
        <f>Table1[[#This Row],[Profit]]/Table1[[#This Row],[Total_Sales]]</f>
        <v>0.26525497287522604</v>
      </c>
    </row>
    <row r="4926" spans="1:15" x14ac:dyDescent="0.25">
      <c r="A4926" s="1">
        <v>4925</v>
      </c>
      <c r="B4926" s="2">
        <v>45096</v>
      </c>
      <c r="C4926" s="1" t="s">
        <v>16</v>
      </c>
      <c r="D4926" s="1" t="s">
        <v>32</v>
      </c>
      <c r="E4926" s="1" t="s">
        <v>45</v>
      </c>
      <c r="F4926" s="1" t="s">
        <v>35</v>
      </c>
      <c r="G4926" s="1">
        <v>5</v>
      </c>
      <c r="H4926" s="1">
        <v>891</v>
      </c>
      <c r="I4926" s="1">
        <v>15</v>
      </c>
      <c r="J4926" s="4">
        <v>3786.75</v>
      </c>
      <c r="K4926" s="4">
        <v>1902.36</v>
      </c>
      <c r="L4926" s="4">
        <v>1884.39</v>
      </c>
      <c r="M4926" s="1" t="str">
        <f>TEXT(Table1[[#This Row],[Order_Date]], "MMM")</f>
        <v>Jun</v>
      </c>
      <c r="N4926" s="1">
        <f>YEAR(Table1[[#This Row],[Order_Date]])</f>
        <v>2023</v>
      </c>
      <c r="O4926" s="7">
        <f>Table1[[#This Row],[Profit]]/Table1[[#This Row],[Total_Sales]]</f>
        <v>0.49762725292137061</v>
      </c>
    </row>
    <row r="4927" spans="1:15" x14ac:dyDescent="0.25">
      <c r="A4927" s="1">
        <v>4926</v>
      </c>
      <c r="B4927" s="2">
        <v>44978</v>
      </c>
      <c r="C4927" s="1" t="s">
        <v>16</v>
      </c>
      <c r="D4927" s="1" t="s">
        <v>13</v>
      </c>
      <c r="E4927" s="1" t="s">
        <v>38</v>
      </c>
      <c r="F4927" s="1" t="s">
        <v>18</v>
      </c>
      <c r="G4927" s="1">
        <v>1</v>
      </c>
      <c r="H4927" s="1">
        <v>586</v>
      </c>
      <c r="I4927" s="1">
        <v>20</v>
      </c>
      <c r="J4927" s="4">
        <v>468.8</v>
      </c>
      <c r="K4927" s="4">
        <v>324.5</v>
      </c>
      <c r="L4927" s="4">
        <v>144.30000000000001</v>
      </c>
      <c r="M4927" s="1" t="str">
        <f>TEXT(Table1[[#This Row],[Order_Date]], "MMM")</f>
        <v>Feb</v>
      </c>
      <c r="N4927" s="1">
        <f>YEAR(Table1[[#This Row],[Order_Date]])</f>
        <v>2023</v>
      </c>
      <c r="O4927" s="7">
        <f>Table1[[#This Row],[Profit]]/Table1[[#This Row],[Total_Sales]]</f>
        <v>0.30780716723549489</v>
      </c>
    </row>
    <row r="4928" spans="1:15" x14ac:dyDescent="0.25">
      <c r="A4928" s="1">
        <v>4927</v>
      </c>
      <c r="B4928" s="2">
        <v>45337</v>
      </c>
      <c r="C4928" s="1" t="s">
        <v>16</v>
      </c>
      <c r="D4928" s="1" t="s">
        <v>22</v>
      </c>
      <c r="E4928" s="1" t="s">
        <v>36</v>
      </c>
      <c r="F4928" s="1" t="s">
        <v>24</v>
      </c>
      <c r="G4928" s="1">
        <v>9</v>
      </c>
      <c r="H4928" s="1">
        <v>685</v>
      </c>
      <c r="I4928" s="1">
        <v>20</v>
      </c>
      <c r="J4928" s="4">
        <v>4932</v>
      </c>
      <c r="K4928" s="4">
        <v>2607.27</v>
      </c>
      <c r="L4928" s="4">
        <v>2324.73</v>
      </c>
      <c r="M4928" s="1" t="str">
        <f>TEXT(Table1[[#This Row],[Order_Date]], "MMM")</f>
        <v>Feb</v>
      </c>
      <c r="N4928" s="1">
        <f>YEAR(Table1[[#This Row],[Order_Date]])</f>
        <v>2024</v>
      </c>
      <c r="O4928" s="7">
        <f>Table1[[#This Row],[Profit]]/Table1[[#This Row],[Total_Sales]]</f>
        <v>0.47135644768856449</v>
      </c>
    </row>
    <row r="4929" spans="1:15" x14ac:dyDescent="0.25">
      <c r="A4929" s="1">
        <v>4928</v>
      </c>
      <c r="B4929" s="2">
        <v>45433</v>
      </c>
      <c r="C4929" s="1" t="s">
        <v>19</v>
      </c>
      <c r="D4929" s="1" t="s">
        <v>32</v>
      </c>
      <c r="E4929" s="1" t="s">
        <v>34</v>
      </c>
      <c r="F4929" s="1" t="s">
        <v>35</v>
      </c>
      <c r="G4929" s="1">
        <v>10</v>
      </c>
      <c r="H4929" s="1">
        <v>509</v>
      </c>
      <c r="I4929" s="1">
        <v>5</v>
      </c>
      <c r="J4929" s="4">
        <v>4835.5</v>
      </c>
      <c r="K4929" s="4">
        <v>3824.5</v>
      </c>
      <c r="L4929" s="4">
        <v>1011</v>
      </c>
      <c r="M4929" s="1" t="str">
        <f>TEXT(Table1[[#This Row],[Order_Date]], "MMM")</f>
        <v>May</v>
      </c>
      <c r="N4929" s="1">
        <f>YEAR(Table1[[#This Row],[Order_Date]])</f>
        <v>2024</v>
      </c>
      <c r="O4929" s="7">
        <f>Table1[[#This Row],[Profit]]/Table1[[#This Row],[Total_Sales]]</f>
        <v>0.20907868886361286</v>
      </c>
    </row>
    <row r="4930" spans="1:15" x14ac:dyDescent="0.25">
      <c r="A4930" s="1">
        <v>4929</v>
      </c>
      <c r="B4930" s="2">
        <v>45647</v>
      </c>
      <c r="C4930" s="1" t="s">
        <v>19</v>
      </c>
      <c r="D4930" s="1" t="s">
        <v>13</v>
      </c>
      <c r="E4930" s="1" t="s">
        <v>39</v>
      </c>
      <c r="F4930" s="1" t="s">
        <v>31</v>
      </c>
      <c r="G4930" s="1">
        <v>5</v>
      </c>
      <c r="H4930" s="1">
        <v>943</v>
      </c>
      <c r="I4930" s="1">
        <v>15</v>
      </c>
      <c r="J4930" s="4">
        <v>4007.75</v>
      </c>
      <c r="K4930" s="4">
        <v>2240.81</v>
      </c>
      <c r="L4930" s="4">
        <v>1766.94</v>
      </c>
      <c r="M4930" s="1" t="str">
        <f>TEXT(Table1[[#This Row],[Order_Date]], "MMM")</f>
        <v>Dec</v>
      </c>
      <c r="N4930" s="1">
        <f>YEAR(Table1[[#This Row],[Order_Date]])</f>
        <v>2024</v>
      </c>
      <c r="O4930" s="7">
        <f>Table1[[#This Row],[Profit]]/Table1[[#This Row],[Total_Sales]]</f>
        <v>0.44088079346266612</v>
      </c>
    </row>
    <row r="4931" spans="1:15" x14ac:dyDescent="0.25">
      <c r="A4931" s="1">
        <v>4930</v>
      </c>
      <c r="B4931" s="2">
        <v>45055</v>
      </c>
      <c r="C4931" s="1" t="s">
        <v>19</v>
      </c>
      <c r="D4931" s="1" t="s">
        <v>22</v>
      </c>
      <c r="E4931" s="1" t="s">
        <v>23</v>
      </c>
      <c r="F4931" s="1" t="s">
        <v>40</v>
      </c>
      <c r="G4931" s="1">
        <v>4</v>
      </c>
      <c r="H4931" s="1">
        <v>310</v>
      </c>
      <c r="I4931" s="1">
        <v>20</v>
      </c>
      <c r="J4931" s="4">
        <v>992</v>
      </c>
      <c r="K4931" s="4">
        <v>733.96</v>
      </c>
      <c r="L4931" s="4">
        <v>258.04000000000002</v>
      </c>
      <c r="M4931" s="1" t="str">
        <f>TEXT(Table1[[#This Row],[Order_Date]], "MMM")</f>
        <v>May</v>
      </c>
      <c r="N4931" s="1">
        <f>YEAR(Table1[[#This Row],[Order_Date]])</f>
        <v>2023</v>
      </c>
      <c r="O4931" s="7">
        <f>Table1[[#This Row],[Profit]]/Table1[[#This Row],[Total_Sales]]</f>
        <v>0.26012096774193549</v>
      </c>
    </row>
    <row r="4932" spans="1:15" x14ac:dyDescent="0.25">
      <c r="A4932" s="1">
        <v>4931</v>
      </c>
      <c r="B4932" s="2">
        <v>45354</v>
      </c>
      <c r="C4932" s="1" t="s">
        <v>25</v>
      </c>
      <c r="D4932" s="1" t="s">
        <v>20</v>
      </c>
      <c r="E4932" s="1" t="s">
        <v>30</v>
      </c>
      <c r="F4932" s="1" t="s">
        <v>18</v>
      </c>
      <c r="G4932" s="1">
        <v>6</v>
      </c>
      <c r="H4932" s="1">
        <v>952</v>
      </c>
      <c r="I4932" s="1">
        <v>15</v>
      </c>
      <c r="J4932" s="4">
        <v>4855.2</v>
      </c>
      <c r="K4932" s="4">
        <v>2885.86</v>
      </c>
      <c r="L4932" s="4">
        <v>1969.34</v>
      </c>
      <c r="M4932" s="1" t="str">
        <f>TEXT(Table1[[#This Row],[Order_Date]], "MMM")</f>
        <v>Mar</v>
      </c>
      <c r="N4932" s="1">
        <f>YEAR(Table1[[#This Row],[Order_Date]])</f>
        <v>2024</v>
      </c>
      <c r="O4932" s="7">
        <f>Table1[[#This Row],[Profit]]/Table1[[#This Row],[Total_Sales]]</f>
        <v>0.40561459878068873</v>
      </c>
    </row>
    <row r="4933" spans="1:15" x14ac:dyDescent="0.25">
      <c r="A4933" s="1">
        <v>4932</v>
      </c>
      <c r="B4933" s="2">
        <v>45599</v>
      </c>
      <c r="C4933" s="1" t="s">
        <v>25</v>
      </c>
      <c r="D4933" s="1" t="s">
        <v>22</v>
      </c>
      <c r="E4933" s="1" t="s">
        <v>23</v>
      </c>
      <c r="F4933" s="1" t="s">
        <v>40</v>
      </c>
      <c r="G4933" s="1">
        <v>10</v>
      </c>
      <c r="H4933" s="1">
        <v>399</v>
      </c>
      <c r="I4933" s="1">
        <v>20</v>
      </c>
      <c r="J4933" s="4">
        <v>3192</v>
      </c>
      <c r="K4933" s="4">
        <v>1806.12</v>
      </c>
      <c r="L4933" s="4">
        <v>1385.88</v>
      </c>
      <c r="M4933" s="1" t="str">
        <f>TEXT(Table1[[#This Row],[Order_Date]], "MMM")</f>
        <v>Nov</v>
      </c>
      <c r="N4933" s="1">
        <f>YEAR(Table1[[#This Row],[Order_Date]])</f>
        <v>2024</v>
      </c>
      <c r="O4933" s="7">
        <f>Table1[[#This Row],[Profit]]/Table1[[#This Row],[Total_Sales]]</f>
        <v>0.4341729323308271</v>
      </c>
    </row>
    <row r="4934" spans="1:15" x14ac:dyDescent="0.25">
      <c r="A4934" s="1">
        <v>4933</v>
      </c>
      <c r="B4934" s="2">
        <v>45452</v>
      </c>
      <c r="C4934" s="1" t="s">
        <v>19</v>
      </c>
      <c r="D4934" s="1" t="s">
        <v>22</v>
      </c>
      <c r="E4934" s="1" t="s">
        <v>23</v>
      </c>
      <c r="F4934" s="1" t="s">
        <v>31</v>
      </c>
      <c r="G4934" s="1">
        <v>5</v>
      </c>
      <c r="H4934" s="1">
        <v>921</v>
      </c>
      <c r="I4934" s="1">
        <v>10</v>
      </c>
      <c r="J4934" s="4">
        <v>4144.5</v>
      </c>
      <c r="K4934" s="4">
        <v>2340.83</v>
      </c>
      <c r="L4934" s="4">
        <v>1803.67</v>
      </c>
      <c r="M4934" s="1" t="str">
        <f>TEXT(Table1[[#This Row],[Order_Date]], "MMM")</f>
        <v>Jun</v>
      </c>
      <c r="N4934" s="1">
        <f>YEAR(Table1[[#This Row],[Order_Date]])</f>
        <v>2024</v>
      </c>
      <c r="O4934" s="7">
        <f>Table1[[#This Row],[Profit]]/Table1[[#This Row],[Total_Sales]]</f>
        <v>0.43519604294848596</v>
      </c>
    </row>
    <row r="4935" spans="1:15" x14ac:dyDescent="0.25">
      <c r="A4935" s="1">
        <v>4934</v>
      </c>
      <c r="B4935" s="2">
        <v>45268</v>
      </c>
      <c r="C4935" s="1" t="s">
        <v>12</v>
      </c>
      <c r="D4935" s="1" t="s">
        <v>22</v>
      </c>
      <c r="E4935" s="1" t="s">
        <v>23</v>
      </c>
      <c r="F4935" s="1" t="s">
        <v>40</v>
      </c>
      <c r="G4935" s="1">
        <v>4</v>
      </c>
      <c r="H4935" s="1">
        <v>832</v>
      </c>
      <c r="I4935" s="1">
        <v>0</v>
      </c>
      <c r="J4935" s="4">
        <v>3328</v>
      </c>
      <c r="K4935" s="4">
        <v>2034.93</v>
      </c>
      <c r="L4935" s="4">
        <v>1293.07</v>
      </c>
      <c r="M4935" s="1" t="str">
        <f>TEXT(Table1[[#This Row],[Order_Date]], "MMM")</f>
        <v>Dec</v>
      </c>
      <c r="N4935" s="1">
        <f>YEAR(Table1[[#This Row],[Order_Date]])</f>
        <v>2023</v>
      </c>
      <c r="O4935" s="7">
        <f>Table1[[#This Row],[Profit]]/Table1[[#This Row],[Total_Sales]]</f>
        <v>0.38854266826923073</v>
      </c>
    </row>
    <row r="4936" spans="1:15" x14ac:dyDescent="0.25">
      <c r="A4936" s="1">
        <v>4935</v>
      </c>
      <c r="B4936" s="2">
        <v>45259</v>
      </c>
      <c r="C4936" s="1" t="s">
        <v>25</v>
      </c>
      <c r="D4936" s="1" t="s">
        <v>20</v>
      </c>
      <c r="E4936" s="1" t="s">
        <v>21</v>
      </c>
      <c r="F4936" s="1" t="s">
        <v>24</v>
      </c>
      <c r="G4936" s="1">
        <v>4</v>
      </c>
      <c r="H4936" s="1">
        <v>570</v>
      </c>
      <c r="I4936" s="1">
        <v>15</v>
      </c>
      <c r="J4936" s="4">
        <v>1938</v>
      </c>
      <c r="K4936" s="4">
        <v>1263.78</v>
      </c>
      <c r="L4936" s="4">
        <v>674.22</v>
      </c>
      <c r="M4936" s="1" t="str">
        <f>TEXT(Table1[[#This Row],[Order_Date]], "MMM")</f>
        <v>Nov</v>
      </c>
      <c r="N4936" s="1">
        <f>YEAR(Table1[[#This Row],[Order_Date]])</f>
        <v>2023</v>
      </c>
      <c r="O4936" s="7">
        <f>Table1[[#This Row],[Profit]]/Table1[[#This Row],[Total_Sales]]</f>
        <v>0.34789473684210526</v>
      </c>
    </row>
    <row r="4937" spans="1:15" x14ac:dyDescent="0.25">
      <c r="A4937" s="1">
        <v>4936</v>
      </c>
      <c r="B4937" s="2">
        <v>45585</v>
      </c>
      <c r="C4937" s="1" t="s">
        <v>16</v>
      </c>
      <c r="D4937" s="1" t="s">
        <v>32</v>
      </c>
      <c r="E4937" s="1" t="s">
        <v>34</v>
      </c>
      <c r="F4937" s="1" t="s">
        <v>18</v>
      </c>
      <c r="G4937" s="1">
        <v>3</v>
      </c>
      <c r="H4937" s="1">
        <v>673</v>
      </c>
      <c r="I4937" s="1">
        <v>0</v>
      </c>
      <c r="J4937" s="4">
        <v>2019</v>
      </c>
      <c r="K4937" s="4">
        <v>1257.3399999999999</v>
      </c>
      <c r="L4937" s="4">
        <v>761.66</v>
      </c>
      <c r="M4937" s="1" t="str">
        <f>TEXT(Table1[[#This Row],[Order_Date]], "MMM")</f>
        <v>Oct</v>
      </c>
      <c r="N4937" s="1">
        <f>YEAR(Table1[[#This Row],[Order_Date]])</f>
        <v>2024</v>
      </c>
      <c r="O4937" s="7">
        <f>Table1[[#This Row],[Profit]]/Table1[[#This Row],[Total_Sales]]</f>
        <v>0.37724616146607232</v>
      </c>
    </row>
    <row r="4938" spans="1:15" x14ac:dyDescent="0.25">
      <c r="A4938" s="1">
        <v>4937</v>
      </c>
      <c r="B4938" s="2">
        <v>45260</v>
      </c>
      <c r="C4938" s="1" t="s">
        <v>19</v>
      </c>
      <c r="D4938" s="1" t="s">
        <v>22</v>
      </c>
      <c r="E4938" s="1" t="s">
        <v>23</v>
      </c>
      <c r="F4938" s="1" t="s">
        <v>18</v>
      </c>
      <c r="G4938" s="1">
        <v>9</v>
      </c>
      <c r="H4938" s="1">
        <v>966</v>
      </c>
      <c r="I4938" s="1">
        <v>15</v>
      </c>
      <c r="J4938" s="4">
        <v>7389.9</v>
      </c>
      <c r="K4938" s="4">
        <v>5326.26</v>
      </c>
      <c r="L4938" s="4">
        <v>2063.64</v>
      </c>
      <c r="M4938" s="1" t="str">
        <f>TEXT(Table1[[#This Row],[Order_Date]], "MMM")</f>
        <v>Nov</v>
      </c>
      <c r="N4938" s="1">
        <f>YEAR(Table1[[#This Row],[Order_Date]])</f>
        <v>2023</v>
      </c>
      <c r="O4938" s="7">
        <f>Table1[[#This Row],[Profit]]/Table1[[#This Row],[Total_Sales]]</f>
        <v>0.27925141070921122</v>
      </c>
    </row>
    <row r="4939" spans="1:15" x14ac:dyDescent="0.25">
      <c r="A4939" s="1">
        <v>4938</v>
      </c>
      <c r="B4939" s="2">
        <v>45135</v>
      </c>
      <c r="C4939" s="1" t="s">
        <v>12</v>
      </c>
      <c r="D4939" s="1" t="s">
        <v>32</v>
      </c>
      <c r="E4939" s="1" t="s">
        <v>34</v>
      </c>
      <c r="F4939" s="1" t="s">
        <v>15</v>
      </c>
      <c r="G4939" s="1">
        <v>1</v>
      </c>
      <c r="H4939" s="1">
        <v>49</v>
      </c>
      <c r="I4939" s="1">
        <v>10</v>
      </c>
      <c r="J4939" s="4">
        <v>44.1</v>
      </c>
      <c r="K4939" s="4">
        <v>29.69</v>
      </c>
      <c r="L4939" s="4">
        <v>14.41</v>
      </c>
      <c r="M4939" s="1" t="str">
        <f>TEXT(Table1[[#This Row],[Order_Date]], "MMM")</f>
        <v>Jul</v>
      </c>
      <c r="N4939" s="1">
        <f>YEAR(Table1[[#This Row],[Order_Date]])</f>
        <v>2023</v>
      </c>
      <c r="O4939" s="7">
        <f>Table1[[#This Row],[Profit]]/Table1[[#This Row],[Total_Sales]]</f>
        <v>0.32675736961451246</v>
      </c>
    </row>
    <row r="4940" spans="1:15" x14ac:dyDescent="0.25">
      <c r="A4940" s="1">
        <v>4939</v>
      </c>
      <c r="B4940" s="2">
        <v>45481</v>
      </c>
      <c r="C4940" s="1" t="s">
        <v>12</v>
      </c>
      <c r="D4940" s="1" t="s">
        <v>32</v>
      </c>
      <c r="E4940" s="1" t="s">
        <v>41</v>
      </c>
      <c r="F4940" s="1" t="s">
        <v>15</v>
      </c>
      <c r="G4940" s="1">
        <v>9</v>
      </c>
      <c r="H4940" s="1">
        <v>739</v>
      </c>
      <c r="I4940" s="1">
        <v>5</v>
      </c>
      <c r="J4940" s="4">
        <v>6318.45</v>
      </c>
      <c r="K4940" s="4">
        <v>3864.44</v>
      </c>
      <c r="L4940" s="4">
        <v>2454.0100000000002</v>
      </c>
      <c r="M4940" s="1" t="str">
        <f>TEXT(Table1[[#This Row],[Order_Date]], "MMM")</f>
        <v>Jul</v>
      </c>
      <c r="N4940" s="1">
        <f>YEAR(Table1[[#This Row],[Order_Date]])</f>
        <v>2024</v>
      </c>
      <c r="O4940" s="7">
        <f>Table1[[#This Row],[Profit]]/Table1[[#This Row],[Total_Sales]]</f>
        <v>0.3883879748989072</v>
      </c>
    </row>
    <row r="4941" spans="1:15" x14ac:dyDescent="0.25">
      <c r="A4941" s="1">
        <v>4940</v>
      </c>
      <c r="B4941" s="2">
        <v>45287</v>
      </c>
      <c r="C4941" s="1" t="s">
        <v>16</v>
      </c>
      <c r="D4941" s="1" t="s">
        <v>32</v>
      </c>
      <c r="E4941" s="1" t="s">
        <v>34</v>
      </c>
      <c r="F4941" s="1" t="s">
        <v>18</v>
      </c>
      <c r="G4941" s="1">
        <v>3</v>
      </c>
      <c r="H4941" s="1">
        <v>214</v>
      </c>
      <c r="I4941" s="1">
        <v>15</v>
      </c>
      <c r="J4941" s="4">
        <v>545.70000000000005</v>
      </c>
      <c r="K4941" s="4">
        <v>410.46</v>
      </c>
      <c r="L4941" s="4">
        <v>135.24</v>
      </c>
      <c r="M4941" s="1" t="str">
        <f>TEXT(Table1[[#This Row],[Order_Date]], "MMM")</f>
        <v>Dec</v>
      </c>
      <c r="N4941" s="1">
        <f>YEAR(Table1[[#This Row],[Order_Date]])</f>
        <v>2023</v>
      </c>
      <c r="O4941" s="7">
        <f>Table1[[#This Row],[Profit]]/Table1[[#This Row],[Total_Sales]]</f>
        <v>0.24782847718526663</v>
      </c>
    </row>
    <row r="4942" spans="1:15" x14ac:dyDescent="0.25">
      <c r="A4942" s="1">
        <v>4941</v>
      </c>
      <c r="B4942" s="2">
        <v>45378</v>
      </c>
      <c r="C4942" s="1" t="s">
        <v>19</v>
      </c>
      <c r="D4942" s="1" t="s">
        <v>26</v>
      </c>
      <c r="E4942" s="1" t="s">
        <v>27</v>
      </c>
      <c r="F4942" s="1" t="s">
        <v>31</v>
      </c>
      <c r="G4942" s="1">
        <v>2</v>
      </c>
      <c r="H4942" s="1">
        <v>751</v>
      </c>
      <c r="I4942" s="1">
        <v>0</v>
      </c>
      <c r="J4942" s="4">
        <v>1502</v>
      </c>
      <c r="K4942" s="4">
        <v>1063.95</v>
      </c>
      <c r="L4942" s="4">
        <v>438.05</v>
      </c>
      <c r="M4942" s="1" t="str">
        <f>TEXT(Table1[[#This Row],[Order_Date]], "MMM")</f>
        <v>Mar</v>
      </c>
      <c r="N4942" s="1">
        <f>YEAR(Table1[[#This Row],[Order_Date]])</f>
        <v>2024</v>
      </c>
      <c r="O4942" s="7">
        <f>Table1[[#This Row],[Profit]]/Table1[[#This Row],[Total_Sales]]</f>
        <v>0.29164447403462052</v>
      </c>
    </row>
    <row r="4943" spans="1:15" x14ac:dyDescent="0.25">
      <c r="A4943" s="1">
        <v>4942</v>
      </c>
      <c r="B4943" s="2">
        <v>45378</v>
      </c>
      <c r="C4943" s="1" t="s">
        <v>12</v>
      </c>
      <c r="D4943" s="1" t="s">
        <v>26</v>
      </c>
      <c r="E4943" s="1" t="s">
        <v>27</v>
      </c>
      <c r="F4943" s="1" t="s">
        <v>18</v>
      </c>
      <c r="G4943" s="1">
        <v>2</v>
      </c>
      <c r="H4943" s="1">
        <v>413</v>
      </c>
      <c r="I4943" s="1">
        <v>20</v>
      </c>
      <c r="J4943" s="4">
        <v>660.8</v>
      </c>
      <c r="K4943" s="4">
        <v>433.75</v>
      </c>
      <c r="L4943" s="4">
        <v>227.05</v>
      </c>
      <c r="M4943" s="1" t="str">
        <f>TEXT(Table1[[#This Row],[Order_Date]], "MMM")</f>
        <v>Mar</v>
      </c>
      <c r="N4943" s="1">
        <f>YEAR(Table1[[#This Row],[Order_Date]])</f>
        <v>2024</v>
      </c>
      <c r="O4943" s="7">
        <f>Table1[[#This Row],[Profit]]/Table1[[#This Row],[Total_Sales]]</f>
        <v>0.34359866828087171</v>
      </c>
    </row>
    <row r="4944" spans="1:15" x14ac:dyDescent="0.25">
      <c r="A4944" s="1">
        <v>4943</v>
      </c>
      <c r="B4944" s="2">
        <v>44976</v>
      </c>
      <c r="C4944" s="1" t="s">
        <v>12</v>
      </c>
      <c r="D4944" s="1" t="s">
        <v>20</v>
      </c>
      <c r="E4944" s="1" t="s">
        <v>30</v>
      </c>
      <c r="F4944" s="1" t="s">
        <v>35</v>
      </c>
      <c r="G4944" s="1">
        <v>7</v>
      </c>
      <c r="H4944" s="1">
        <v>498</v>
      </c>
      <c r="I4944" s="1">
        <v>5</v>
      </c>
      <c r="J4944" s="4">
        <v>3311.7</v>
      </c>
      <c r="K4944" s="4">
        <v>1794.8</v>
      </c>
      <c r="L4944" s="4">
        <v>1516.9</v>
      </c>
      <c r="M4944" s="1" t="str">
        <f>TEXT(Table1[[#This Row],[Order_Date]], "MMM")</f>
        <v>Feb</v>
      </c>
      <c r="N4944" s="1">
        <f>YEAR(Table1[[#This Row],[Order_Date]])</f>
        <v>2023</v>
      </c>
      <c r="O4944" s="7">
        <f>Table1[[#This Row],[Profit]]/Table1[[#This Row],[Total_Sales]]</f>
        <v>0.45804269710420636</v>
      </c>
    </row>
    <row r="4945" spans="1:15" x14ac:dyDescent="0.25">
      <c r="A4945" s="1">
        <v>4944</v>
      </c>
      <c r="B4945" s="2">
        <v>45076</v>
      </c>
      <c r="C4945" s="1" t="s">
        <v>12</v>
      </c>
      <c r="D4945" s="1" t="s">
        <v>13</v>
      </c>
      <c r="E4945" s="1" t="s">
        <v>17</v>
      </c>
      <c r="F4945" s="1" t="s">
        <v>24</v>
      </c>
      <c r="G4945" s="1">
        <v>7</v>
      </c>
      <c r="H4945" s="1">
        <v>769</v>
      </c>
      <c r="I4945" s="1">
        <v>5</v>
      </c>
      <c r="J4945" s="4">
        <v>5113.8500000000004</v>
      </c>
      <c r="K4945" s="4">
        <v>3804.66</v>
      </c>
      <c r="L4945" s="4">
        <v>1309.19</v>
      </c>
      <c r="M4945" s="1" t="str">
        <f>TEXT(Table1[[#This Row],[Order_Date]], "MMM")</f>
        <v>May</v>
      </c>
      <c r="N4945" s="1">
        <f>YEAR(Table1[[#This Row],[Order_Date]])</f>
        <v>2023</v>
      </c>
      <c r="O4945" s="7">
        <f>Table1[[#This Row],[Profit]]/Table1[[#This Row],[Total_Sales]]</f>
        <v>0.25600868230393931</v>
      </c>
    </row>
    <row r="4946" spans="1:15" x14ac:dyDescent="0.25">
      <c r="A4946" s="1">
        <v>4945</v>
      </c>
      <c r="B4946" s="2">
        <v>45000</v>
      </c>
      <c r="C4946" s="1" t="s">
        <v>12</v>
      </c>
      <c r="D4946" s="1" t="s">
        <v>26</v>
      </c>
      <c r="E4946" s="1" t="s">
        <v>46</v>
      </c>
      <c r="F4946" s="1" t="s">
        <v>15</v>
      </c>
      <c r="G4946" s="1">
        <v>9</v>
      </c>
      <c r="H4946" s="1">
        <v>254</v>
      </c>
      <c r="I4946" s="1">
        <v>10</v>
      </c>
      <c r="J4946" s="4">
        <v>2057.4</v>
      </c>
      <c r="K4946" s="4">
        <v>1419.99</v>
      </c>
      <c r="L4946" s="4">
        <v>637.41</v>
      </c>
      <c r="M4946" s="1" t="str">
        <f>TEXT(Table1[[#This Row],[Order_Date]], "MMM")</f>
        <v>Mar</v>
      </c>
      <c r="N4946" s="1">
        <f>YEAR(Table1[[#This Row],[Order_Date]])</f>
        <v>2023</v>
      </c>
      <c r="O4946" s="7">
        <f>Table1[[#This Row],[Profit]]/Table1[[#This Row],[Total_Sales]]</f>
        <v>0.30981335666375032</v>
      </c>
    </row>
    <row r="4947" spans="1:15" x14ac:dyDescent="0.25">
      <c r="A4947" s="1">
        <v>4946</v>
      </c>
      <c r="B4947" s="2">
        <v>45170</v>
      </c>
      <c r="C4947" s="1" t="s">
        <v>16</v>
      </c>
      <c r="D4947" s="1" t="s">
        <v>20</v>
      </c>
      <c r="E4947" s="1" t="s">
        <v>43</v>
      </c>
      <c r="F4947" s="1" t="s">
        <v>31</v>
      </c>
      <c r="G4947" s="1">
        <v>1</v>
      </c>
      <c r="H4947" s="1">
        <v>160</v>
      </c>
      <c r="I4947" s="1">
        <v>0</v>
      </c>
      <c r="J4947" s="4">
        <v>160</v>
      </c>
      <c r="K4947" s="4">
        <v>118.49</v>
      </c>
      <c r="L4947" s="4">
        <v>41.51</v>
      </c>
      <c r="M4947" s="1" t="str">
        <f>TEXT(Table1[[#This Row],[Order_Date]], "MMM")</f>
        <v>Sep</v>
      </c>
      <c r="N4947" s="1">
        <f>YEAR(Table1[[#This Row],[Order_Date]])</f>
        <v>2023</v>
      </c>
      <c r="O4947" s="7">
        <f>Table1[[#This Row],[Profit]]/Table1[[#This Row],[Total_Sales]]</f>
        <v>0.25943749999999999</v>
      </c>
    </row>
    <row r="4948" spans="1:15" x14ac:dyDescent="0.25">
      <c r="A4948" s="1">
        <v>4947</v>
      </c>
      <c r="B4948" s="2">
        <v>44967</v>
      </c>
      <c r="C4948" s="1" t="s">
        <v>25</v>
      </c>
      <c r="D4948" s="1" t="s">
        <v>20</v>
      </c>
      <c r="E4948" s="1" t="s">
        <v>21</v>
      </c>
      <c r="F4948" s="1" t="s">
        <v>35</v>
      </c>
      <c r="G4948" s="1">
        <v>6</v>
      </c>
      <c r="H4948" s="1">
        <v>704</v>
      </c>
      <c r="I4948" s="1">
        <v>5</v>
      </c>
      <c r="J4948" s="4">
        <v>4012.8</v>
      </c>
      <c r="K4948" s="4">
        <v>2415.21</v>
      </c>
      <c r="L4948" s="4">
        <v>1597.59</v>
      </c>
      <c r="M4948" s="1" t="str">
        <f>TEXT(Table1[[#This Row],[Order_Date]], "MMM")</f>
        <v>Feb</v>
      </c>
      <c r="N4948" s="1">
        <f>YEAR(Table1[[#This Row],[Order_Date]])</f>
        <v>2023</v>
      </c>
      <c r="O4948" s="7">
        <f>Table1[[#This Row],[Profit]]/Table1[[#This Row],[Total_Sales]]</f>
        <v>0.39812350478468894</v>
      </c>
    </row>
    <row r="4949" spans="1:15" x14ac:dyDescent="0.25">
      <c r="A4949" s="1">
        <v>4948</v>
      </c>
      <c r="B4949" s="2">
        <v>45291</v>
      </c>
      <c r="C4949" s="1" t="s">
        <v>16</v>
      </c>
      <c r="D4949" s="1" t="s">
        <v>13</v>
      </c>
      <c r="E4949" s="1" t="s">
        <v>17</v>
      </c>
      <c r="F4949" s="1" t="s">
        <v>31</v>
      </c>
      <c r="G4949" s="1">
        <v>7</v>
      </c>
      <c r="H4949" s="1">
        <v>973</v>
      </c>
      <c r="I4949" s="1">
        <v>20</v>
      </c>
      <c r="J4949" s="4">
        <v>5448.8</v>
      </c>
      <c r="K4949" s="4">
        <v>3800.65</v>
      </c>
      <c r="L4949" s="4">
        <v>1648.15</v>
      </c>
      <c r="M4949" s="1" t="str">
        <f>TEXT(Table1[[#This Row],[Order_Date]], "MMM")</f>
        <v>Dec</v>
      </c>
      <c r="N4949" s="1">
        <f>YEAR(Table1[[#This Row],[Order_Date]])</f>
        <v>2023</v>
      </c>
      <c r="O4949" s="7">
        <f>Table1[[#This Row],[Profit]]/Table1[[#This Row],[Total_Sales]]</f>
        <v>0.30247944501541624</v>
      </c>
    </row>
    <row r="4950" spans="1:15" x14ac:dyDescent="0.25">
      <c r="A4950" s="1">
        <v>4949</v>
      </c>
      <c r="B4950" s="2">
        <v>45307</v>
      </c>
      <c r="C4950" s="1" t="s">
        <v>19</v>
      </c>
      <c r="D4950" s="1" t="s">
        <v>26</v>
      </c>
      <c r="E4950" s="1" t="s">
        <v>46</v>
      </c>
      <c r="F4950" s="1" t="s">
        <v>18</v>
      </c>
      <c r="G4950" s="1">
        <v>6</v>
      </c>
      <c r="H4950" s="1">
        <v>340</v>
      </c>
      <c r="I4950" s="1">
        <v>5</v>
      </c>
      <c r="J4950" s="4">
        <v>1938</v>
      </c>
      <c r="K4950" s="4">
        <v>1079.46</v>
      </c>
      <c r="L4950" s="4">
        <v>858.54</v>
      </c>
      <c r="M4950" s="1" t="str">
        <f>TEXT(Table1[[#This Row],[Order_Date]], "MMM")</f>
        <v>Jan</v>
      </c>
      <c r="N4950" s="1">
        <f>YEAR(Table1[[#This Row],[Order_Date]])</f>
        <v>2024</v>
      </c>
      <c r="O4950" s="7">
        <f>Table1[[#This Row],[Profit]]/Table1[[#This Row],[Total_Sales]]</f>
        <v>0.44300309597523219</v>
      </c>
    </row>
    <row r="4951" spans="1:15" x14ac:dyDescent="0.25">
      <c r="A4951" s="1">
        <v>4950</v>
      </c>
      <c r="B4951" s="2">
        <v>45407</v>
      </c>
      <c r="C4951" s="1" t="s">
        <v>16</v>
      </c>
      <c r="D4951" s="1" t="s">
        <v>26</v>
      </c>
      <c r="E4951" s="1" t="s">
        <v>42</v>
      </c>
      <c r="F4951" s="1" t="s">
        <v>40</v>
      </c>
      <c r="G4951" s="1">
        <v>3</v>
      </c>
      <c r="H4951" s="1">
        <v>346</v>
      </c>
      <c r="I4951" s="1">
        <v>15</v>
      </c>
      <c r="J4951" s="4">
        <v>882.3</v>
      </c>
      <c r="K4951" s="4">
        <v>567.91</v>
      </c>
      <c r="L4951" s="4">
        <v>314.39</v>
      </c>
      <c r="M4951" s="1" t="str">
        <f>TEXT(Table1[[#This Row],[Order_Date]], "MMM")</f>
        <v>Apr</v>
      </c>
      <c r="N4951" s="1">
        <f>YEAR(Table1[[#This Row],[Order_Date]])</f>
        <v>2024</v>
      </c>
      <c r="O4951" s="7">
        <f>Table1[[#This Row],[Profit]]/Table1[[#This Row],[Total_Sales]]</f>
        <v>0.35633004646945482</v>
      </c>
    </row>
    <row r="4952" spans="1:15" x14ac:dyDescent="0.25">
      <c r="A4952" s="1">
        <v>4951</v>
      </c>
      <c r="B4952" s="2">
        <v>44953</v>
      </c>
      <c r="C4952" s="1" t="s">
        <v>12</v>
      </c>
      <c r="D4952" s="1" t="s">
        <v>20</v>
      </c>
      <c r="E4952" s="1" t="s">
        <v>28</v>
      </c>
      <c r="F4952" s="1" t="s">
        <v>24</v>
      </c>
      <c r="G4952" s="1">
        <v>7</v>
      </c>
      <c r="H4952" s="1">
        <v>994</v>
      </c>
      <c r="I4952" s="1">
        <v>0</v>
      </c>
      <c r="J4952" s="4">
        <v>6958</v>
      </c>
      <c r="K4952" s="4">
        <v>5431.36</v>
      </c>
      <c r="L4952" s="4">
        <v>1526.64</v>
      </c>
      <c r="M4952" s="1" t="str">
        <f>TEXT(Table1[[#This Row],[Order_Date]], "MMM")</f>
        <v>Jan</v>
      </c>
      <c r="N4952" s="1">
        <f>YEAR(Table1[[#This Row],[Order_Date]])</f>
        <v>2023</v>
      </c>
      <c r="O4952" s="7">
        <f>Table1[[#This Row],[Profit]]/Table1[[#This Row],[Total_Sales]]</f>
        <v>0.21940787582638691</v>
      </c>
    </row>
    <row r="4953" spans="1:15" x14ac:dyDescent="0.25">
      <c r="A4953" s="1">
        <v>4952</v>
      </c>
      <c r="B4953" s="2">
        <v>45167</v>
      </c>
      <c r="C4953" s="1" t="s">
        <v>19</v>
      </c>
      <c r="D4953" s="1" t="s">
        <v>26</v>
      </c>
      <c r="E4953" s="1" t="s">
        <v>37</v>
      </c>
      <c r="F4953" s="1" t="s">
        <v>40</v>
      </c>
      <c r="G4953" s="1">
        <v>8</v>
      </c>
      <c r="H4953" s="1">
        <v>361</v>
      </c>
      <c r="I4953" s="1">
        <v>20</v>
      </c>
      <c r="J4953" s="4">
        <v>2310.4</v>
      </c>
      <c r="K4953" s="4">
        <v>1462.7</v>
      </c>
      <c r="L4953" s="4">
        <v>847.7</v>
      </c>
      <c r="M4953" s="1" t="str">
        <f>TEXT(Table1[[#This Row],[Order_Date]], "MMM")</f>
        <v>Aug</v>
      </c>
      <c r="N4953" s="1">
        <f>YEAR(Table1[[#This Row],[Order_Date]])</f>
        <v>2023</v>
      </c>
      <c r="O4953" s="7">
        <f>Table1[[#This Row],[Profit]]/Table1[[#This Row],[Total_Sales]]</f>
        <v>0.36690616343490307</v>
      </c>
    </row>
    <row r="4954" spans="1:15" x14ac:dyDescent="0.25">
      <c r="A4954" s="1">
        <v>4953</v>
      </c>
      <c r="B4954" s="2">
        <v>45651</v>
      </c>
      <c r="C4954" s="1" t="s">
        <v>19</v>
      </c>
      <c r="D4954" s="1" t="s">
        <v>26</v>
      </c>
      <c r="E4954" s="1" t="s">
        <v>27</v>
      </c>
      <c r="F4954" s="1" t="s">
        <v>35</v>
      </c>
      <c r="G4954" s="1">
        <v>6</v>
      </c>
      <c r="H4954" s="1">
        <v>120</v>
      </c>
      <c r="I4954" s="1">
        <v>5</v>
      </c>
      <c r="J4954" s="4">
        <v>684</v>
      </c>
      <c r="K4954" s="4">
        <v>394.84</v>
      </c>
      <c r="L4954" s="4">
        <v>289.16000000000003</v>
      </c>
      <c r="M4954" s="1" t="str">
        <f>TEXT(Table1[[#This Row],[Order_Date]], "MMM")</f>
        <v>Dec</v>
      </c>
      <c r="N4954" s="1">
        <f>YEAR(Table1[[#This Row],[Order_Date]])</f>
        <v>2024</v>
      </c>
      <c r="O4954" s="7">
        <f>Table1[[#This Row],[Profit]]/Table1[[#This Row],[Total_Sales]]</f>
        <v>0.42274853801169593</v>
      </c>
    </row>
    <row r="4955" spans="1:15" x14ac:dyDescent="0.25">
      <c r="A4955" s="1">
        <v>4954</v>
      </c>
      <c r="B4955" s="2">
        <v>44957</v>
      </c>
      <c r="C4955" s="1" t="s">
        <v>16</v>
      </c>
      <c r="D4955" s="1" t="s">
        <v>22</v>
      </c>
      <c r="E4955" s="1" t="s">
        <v>44</v>
      </c>
      <c r="F4955" s="1" t="s">
        <v>24</v>
      </c>
      <c r="G4955" s="1">
        <v>6</v>
      </c>
      <c r="H4955" s="1">
        <v>507</v>
      </c>
      <c r="I4955" s="1">
        <v>10</v>
      </c>
      <c r="J4955" s="4">
        <v>2737.8</v>
      </c>
      <c r="K4955" s="4">
        <v>1417.72</v>
      </c>
      <c r="L4955" s="4">
        <v>1320.08</v>
      </c>
      <c r="M4955" s="1" t="str">
        <f>TEXT(Table1[[#This Row],[Order_Date]], "MMM")</f>
        <v>Jan</v>
      </c>
      <c r="N4955" s="1">
        <f>YEAR(Table1[[#This Row],[Order_Date]])</f>
        <v>2023</v>
      </c>
      <c r="O4955" s="7">
        <f>Table1[[#This Row],[Profit]]/Table1[[#This Row],[Total_Sales]]</f>
        <v>0.48216816421944619</v>
      </c>
    </row>
    <row r="4956" spans="1:15" x14ac:dyDescent="0.25">
      <c r="A4956" s="1">
        <v>4955</v>
      </c>
      <c r="B4956" s="2">
        <v>45309</v>
      </c>
      <c r="C4956" s="1" t="s">
        <v>12</v>
      </c>
      <c r="D4956" s="1" t="s">
        <v>22</v>
      </c>
      <c r="E4956" s="1" t="s">
        <v>44</v>
      </c>
      <c r="F4956" s="1" t="s">
        <v>40</v>
      </c>
      <c r="G4956" s="1">
        <v>4</v>
      </c>
      <c r="H4956" s="1">
        <v>297</v>
      </c>
      <c r="I4956" s="1">
        <v>20</v>
      </c>
      <c r="J4956" s="4">
        <v>950.4</v>
      </c>
      <c r="K4956" s="4">
        <v>480.98</v>
      </c>
      <c r="L4956" s="4">
        <v>469.42</v>
      </c>
      <c r="M4956" s="1" t="str">
        <f>TEXT(Table1[[#This Row],[Order_Date]], "MMM")</f>
        <v>Jan</v>
      </c>
      <c r="N4956" s="1">
        <f>YEAR(Table1[[#This Row],[Order_Date]])</f>
        <v>2024</v>
      </c>
      <c r="O4956" s="7">
        <f>Table1[[#This Row],[Profit]]/Table1[[#This Row],[Total_Sales]]</f>
        <v>0.49391835016835017</v>
      </c>
    </row>
    <row r="4957" spans="1:15" x14ac:dyDescent="0.25">
      <c r="A4957" s="1">
        <v>4956</v>
      </c>
      <c r="B4957" s="2">
        <v>45425</v>
      </c>
      <c r="C4957" s="1" t="s">
        <v>16</v>
      </c>
      <c r="D4957" s="1" t="s">
        <v>32</v>
      </c>
      <c r="E4957" s="1" t="s">
        <v>45</v>
      </c>
      <c r="F4957" s="1" t="s">
        <v>31</v>
      </c>
      <c r="G4957" s="1">
        <v>9</v>
      </c>
      <c r="H4957" s="1">
        <v>288</v>
      </c>
      <c r="I4957" s="1">
        <v>10</v>
      </c>
      <c r="J4957" s="4">
        <v>2332.8000000000002</v>
      </c>
      <c r="K4957" s="4">
        <v>1422.62</v>
      </c>
      <c r="L4957" s="4">
        <v>910.18</v>
      </c>
      <c r="M4957" s="1" t="str">
        <f>TEXT(Table1[[#This Row],[Order_Date]], "MMM")</f>
        <v>May</v>
      </c>
      <c r="N4957" s="1">
        <f>YEAR(Table1[[#This Row],[Order_Date]])</f>
        <v>2024</v>
      </c>
      <c r="O4957" s="7">
        <f>Table1[[#This Row],[Profit]]/Table1[[#This Row],[Total_Sales]]</f>
        <v>0.39016632373113852</v>
      </c>
    </row>
    <row r="4958" spans="1:15" x14ac:dyDescent="0.25">
      <c r="A4958" s="1">
        <v>4957</v>
      </c>
      <c r="B4958" s="2">
        <v>45537</v>
      </c>
      <c r="C4958" s="1" t="s">
        <v>16</v>
      </c>
      <c r="D4958" s="1" t="s">
        <v>26</v>
      </c>
      <c r="E4958" s="1" t="s">
        <v>37</v>
      </c>
      <c r="F4958" s="1" t="s">
        <v>35</v>
      </c>
      <c r="G4958" s="1">
        <v>3</v>
      </c>
      <c r="H4958" s="1">
        <v>525</v>
      </c>
      <c r="I4958" s="1">
        <v>10</v>
      </c>
      <c r="J4958" s="4">
        <v>1417.5</v>
      </c>
      <c r="K4958" s="4">
        <v>944.48</v>
      </c>
      <c r="L4958" s="4">
        <v>473.02</v>
      </c>
      <c r="M4958" s="1" t="str">
        <f>TEXT(Table1[[#This Row],[Order_Date]], "MMM")</f>
        <v>Sep</v>
      </c>
      <c r="N4958" s="1">
        <f>YEAR(Table1[[#This Row],[Order_Date]])</f>
        <v>2024</v>
      </c>
      <c r="O4958" s="7">
        <f>Table1[[#This Row],[Profit]]/Table1[[#This Row],[Total_Sales]]</f>
        <v>0.33370017636684302</v>
      </c>
    </row>
    <row r="4959" spans="1:15" x14ac:dyDescent="0.25">
      <c r="A4959" s="1">
        <v>4958</v>
      </c>
      <c r="B4959" s="2">
        <v>45040</v>
      </c>
      <c r="C4959" s="1" t="s">
        <v>12</v>
      </c>
      <c r="D4959" s="1" t="s">
        <v>20</v>
      </c>
      <c r="E4959" s="1" t="s">
        <v>21</v>
      </c>
      <c r="F4959" s="1" t="s">
        <v>24</v>
      </c>
      <c r="G4959" s="1">
        <v>6</v>
      </c>
      <c r="H4959" s="1">
        <v>533</v>
      </c>
      <c r="I4959" s="1">
        <v>10</v>
      </c>
      <c r="J4959" s="4">
        <v>2878.2</v>
      </c>
      <c r="K4959" s="4">
        <v>1959.53</v>
      </c>
      <c r="L4959" s="4">
        <v>918.67</v>
      </c>
      <c r="M4959" s="1" t="str">
        <f>TEXT(Table1[[#This Row],[Order_Date]], "MMM")</f>
        <v>Apr</v>
      </c>
      <c r="N4959" s="1">
        <f>YEAR(Table1[[#This Row],[Order_Date]])</f>
        <v>2023</v>
      </c>
      <c r="O4959" s="7">
        <f>Table1[[#This Row],[Profit]]/Table1[[#This Row],[Total_Sales]]</f>
        <v>0.31918212771871307</v>
      </c>
    </row>
    <row r="4960" spans="1:15" x14ac:dyDescent="0.25">
      <c r="A4960" s="1">
        <v>4959</v>
      </c>
      <c r="B4960" s="2">
        <v>45415</v>
      </c>
      <c r="C4960" s="1" t="s">
        <v>12</v>
      </c>
      <c r="D4960" s="1" t="s">
        <v>13</v>
      </c>
      <c r="E4960" s="1" t="s">
        <v>17</v>
      </c>
      <c r="F4960" s="1" t="s">
        <v>24</v>
      </c>
      <c r="G4960" s="1">
        <v>10</v>
      </c>
      <c r="H4960" s="1">
        <v>69</v>
      </c>
      <c r="I4960" s="1">
        <v>5</v>
      </c>
      <c r="J4960" s="4">
        <v>655.5</v>
      </c>
      <c r="K4960" s="4">
        <v>351.5</v>
      </c>
      <c r="L4960" s="4">
        <v>304</v>
      </c>
      <c r="M4960" s="1" t="str">
        <f>TEXT(Table1[[#This Row],[Order_Date]], "MMM")</f>
        <v>May</v>
      </c>
      <c r="N4960" s="1">
        <f>YEAR(Table1[[#This Row],[Order_Date]])</f>
        <v>2024</v>
      </c>
      <c r="O4960" s="7">
        <f>Table1[[#This Row],[Profit]]/Table1[[#This Row],[Total_Sales]]</f>
        <v>0.46376811594202899</v>
      </c>
    </row>
    <row r="4961" spans="1:17" x14ac:dyDescent="0.25">
      <c r="A4961" s="1">
        <v>4960</v>
      </c>
      <c r="B4961" s="2">
        <v>45101</v>
      </c>
      <c r="C4961" s="1" t="s">
        <v>16</v>
      </c>
      <c r="D4961" s="1" t="s">
        <v>13</v>
      </c>
      <c r="E4961" s="1" t="s">
        <v>38</v>
      </c>
      <c r="F4961" s="1" t="s">
        <v>24</v>
      </c>
      <c r="G4961" s="1">
        <v>6</v>
      </c>
      <c r="H4961" s="1">
        <v>178</v>
      </c>
      <c r="I4961" s="1">
        <v>0</v>
      </c>
      <c r="J4961" s="4">
        <v>1068</v>
      </c>
      <c r="K4961" s="4">
        <v>671.55</v>
      </c>
      <c r="L4961" s="4">
        <v>396.45</v>
      </c>
      <c r="M4961" s="1" t="str">
        <f>TEXT(Table1[[#This Row],[Order_Date]], "MMM")</f>
        <v>Jun</v>
      </c>
      <c r="N4961" s="1">
        <f>YEAR(Table1[[#This Row],[Order_Date]])</f>
        <v>2023</v>
      </c>
      <c r="O4961" s="7">
        <f>Table1[[#This Row],[Profit]]/Table1[[#This Row],[Total_Sales]]</f>
        <v>0.37120786516853932</v>
      </c>
    </row>
    <row r="4962" spans="1:17" x14ac:dyDescent="0.25">
      <c r="A4962" s="1">
        <v>4961</v>
      </c>
      <c r="B4962" s="2">
        <v>45384</v>
      </c>
      <c r="C4962" s="1" t="s">
        <v>25</v>
      </c>
      <c r="D4962" s="1" t="s">
        <v>20</v>
      </c>
      <c r="E4962" s="1" t="s">
        <v>43</v>
      </c>
      <c r="F4962" s="1" t="s">
        <v>40</v>
      </c>
      <c r="G4962" s="1">
        <v>7</v>
      </c>
      <c r="H4962" s="1">
        <v>741</v>
      </c>
      <c r="I4962" s="1">
        <v>5</v>
      </c>
      <c r="J4962" s="4">
        <v>4927.6499999999996</v>
      </c>
      <c r="K4962" s="4">
        <v>3337.99</v>
      </c>
      <c r="L4962" s="4">
        <v>1589.66</v>
      </c>
      <c r="M4962" s="1" t="str">
        <f>TEXT(Table1[[#This Row],[Order_Date]], "MMM")</f>
        <v>Apr</v>
      </c>
      <c r="N4962" s="1">
        <f>YEAR(Table1[[#This Row],[Order_Date]])</f>
        <v>2024</v>
      </c>
      <c r="O4962" s="7">
        <f>Table1[[#This Row],[Profit]]/Table1[[#This Row],[Total_Sales]]</f>
        <v>0.32260002232301405</v>
      </c>
    </row>
    <row r="4963" spans="1:17" x14ac:dyDescent="0.25">
      <c r="A4963" s="1">
        <v>4962</v>
      </c>
      <c r="B4963" s="2">
        <v>45194</v>
      </c>
      <c r="C4963" s="1" t="s">
        <v>16</v>
      </c>
      <c r="D4963" s="1" t="s">
        <v>20</v>
      </c>
      <c r="E4963" s="1" t="s">
        <v>30</v>
      </c>
      <c r="F4963" s="1" t="s">
        <v>18</v>
      </c>
      <c r="G4963" s="1">
        <v>1</v>
      </c>
      <c r="H4963" s="1">
        <v>35</v>
      </c>
      <c r="I4963" s="1">
        <v>15</v>
      </c>
      <c r="J4963" s="4">
        <v>29.75</v>
      </c>
      <c r="K4963" s="4">
        <v>20.98</v>
      </c>
      <c r="L4963" s="4">
        <v>8.77</v>
      </c>
      <c r="M4963" s="1" t="str">
        <f>TEXT(Table1[[#This Row],[Order_Date]], "MMM")</f>
        <v>Sep</v>
      </c>
      <c r="N4963" s="1">
        <f>YEAR(Table1[[#This Row],[Order_Date]])</f>
        <v>2023</v>
      </c>
      <c r="O4963" s="7">
        <f>Table1[[#This Row],[Profit]]/Table1[[#This Row],[Total_Sales]]</f>
        <v>0.29478991596638654</v>
      </c>
    </row>
    <row r="4964" spans="1:17" x14ac:dyDescent="0.25">
      <c r="A4964" s="1">
        <v>4963</v>
      </c>
      <c r="B4964" s="2">
        <v>44941</v>
      </c>
      <c r="C4964" s="1" t="s">
        <v>12</v>
      </c>
      <c r="D4964" s="1" t="s">
        <v>32</v>
      </c>
      <c r="E4964" s="1" t="s">
        <v>41</v>
      </c>
      <c r="F4964" s="1" t="s">
        <v>24</v>
      </c>
      <c r="G4964" s="1">
        <v>3</v>
      </c>
      <c r="H4964" s="1">
        <v>953</v>
      </c>
      <c r="I4964" s="1">
        <v>10</v>
      </c>
      <c r="J4964" s="4">
        <v>2573.1</v>
      </c>
      <c r="K4964" s="4">
        <v>2034.93</v>
      </c>
      <c r="L4964" s="4">
        <v>538.16999999999996</v>
      </c>
      <c r="M4964" s="1" t="str">
        <f>TEXT(Table1[[#This Row],[Order_Date]], "MMM")</f>
        <v>Jan</v>
      </c>
      <c r="N4964" s="1">
        <f>YEAR(Table1[[#This Row],[Order_Date]])</f>
        <v>2023</v>
      </c>
      <c r="O4964" s="7">
        <f>Table1[[#This Row],[Profit]]/Table1[[#This Row],[Total_Sales]]</f>
        <v>0.20915238428354901</v>
      </c>
    </row>
    <row r="4965" spans="1:17" x14ac:dyDescent="0.25">
      <c r="A4965" s="1">
        <v>4964</v>
      </c>
      <c r="B4965" s="2">
        <v>45408</v>
      </c>
      <c r="C4965" s="1" t="s">
        <v>16</v>
      </c>
      <c r="D4965" s="1" t="s">
        <v>22</v>
      </c>
      <c r="E4965" s="1" t="s">
        <v>44</v>
      </c>
      <c r="F4965" s="1" t="s">
        <v>15</v>
      </c>
      <c r="G4965" s="1">
        <v>3</v>
      </c>
      <c r="H4965" s="1">
        <v>923</v>
      </c>
      <c r="I4965" s="1">
        <v>5</v>
      </c>
      <c r="J4965" s="4">
        <v>2630.55</v>
      </c>
      <c r="K4965" s="4">
        <v>1539.36</v>
      </c>
      <c r="L4965" s="4">
        <v>1091.19</v>
      </c>
      <c r="M4965" s="1" t="str">
        <f>TEXT(Table1[[#This Row],[Order_Date]], "MMM")</f>
        <v>Apr</v>
      </c>
      <c r="N4965" s="1">
        <f>YEAR(Table1[[#This Row],[Order_Date]])</f>
        <v>2024</v>
      </c>
      <c r="O4965" s="7">
        <f>Table1[[#This Row],[Profit]]/Table1[[#This Row],[Total_Sales]]</f>
        <v>0.41481439242743912</v>
      </c>
    </row>
    <row r="4966" spans="1:17" x14ac:dyDescent="0.25">
      <c r="A4966" s="1">
        <v>4965</v>
      </c>
      <c r="B4966" s="2">
        <v>45145</v>
      </c>
      <c r="C4966" s="1" t="s">
        <v>19</v>
      </c>
      <c r="D4966" s="1" t="s">
        <v>13</v>
      </c>
      <c r="E4966" s="1" t="s">
        <v>39</v>
      </c>
      <c r="F4966" s="1" t="s">
        <v>15</v>
      </c>
      <c r="G4966" s="1">
        <v>10</v>
      </c>
      <c r="H4966" s="1">
        <v>285</v>
      </c>
      <c r="I4966" s="1">
        <v>20</v>
      </c>
      <c r="J4966" s="4">
        <v>2280</v>
      </c>
      <c r="K4966" s="4">
        <v>1642.21</v>
      </c>
      <c r="L4966" s="4">
        <v>637.79</v>
      </c>
      <c r="M4966" s="1" t="str">
        <f>TEXT(Table1[[#This Row],[Order_Date]], "MMM")</f>
        <v>Aug</v>
      </c>
      <c r="N4966" s="1">
        <f>YEAR(Table1[[#This Row],[Order_Date]])</f>
        <v>2023</v>
      </c>
      <c r="O4966" s="7">
        <f>Table1[[#This Row],[Profit]]/Table1[[#This Row],[Total_Sales]]</f>
        <v>0.27973245614035086</v>
      </c>
    </row>
    <row r="4967" spans="1:17" x14ac:dyDescent="0.25">
      <c r="A4967" s="1">
        <v>4966</v>
      </c>
      <c r="B4967" s="2">
        <v>45171</v>
      </c>
      <c r="C4967" s="1" t="s">
        <v>16</v>
      </c>
      <c r="D4967" s="1" t="s">
        <v>20</v>
      </c>
      <c r="E4967" s="1" t="s">
        <v>21</v>
      </c>
      <c r="F4967" s="1" t="s">
        <v>24</v>
      </c>
      <c r="G4967" s="1">
        <v>1</v>
      </c>
      <c r="H4967" s="1">
        <v>785</v>
      </c>
      <c r="I4967" s="1">
        <v>15</v>
      </c>
      <c r="J4967" s="4">
        <v>667.25</v>
      </c>
      <c r="K4967" s="4">
        <v>395.09</v>
      </c>
      <c r="L4967" s="4">
        <v>272.16000000000003</v>
      </c>
      <c r="M4967" s="1" t="str">
        <f>TEXT(Table1[[#This Row],[Order_Date]], "MMM")</f>
        <v>Sep</v>
      </c>
      <c r="N4967" s="1">
        <f>YEAR(Table1[[#This Row],[Order_Date]])</f>
        <v>2023</v>
      </c>
      <c r="O4967" s="7">
        <f>Table1[[#This Row],[Profit]]/Table1[[#This Row],[Total_Sales]]</f>
        <v>0.40788310228550023</v>
      </c>
    </row>
    <row r="4968" spans="1:17" x14ac:dyDescent="0.25">
      <c r="A4968" s="1">
        <v>4967</v>
      </c>
      <c r="B4968" s="2">
        <v>45537</v>
      </c>
      <c r="C4968" s="1" t="s">
        <v>12</v>
      </c>
      <c r="D4968" s="1" t="s">
        <v>13</v>
      </c>
      <c r="E4968" s="1" t="s">
        <v>38</v>
      </c>
      <c r="F4968" s="1" t="s">
        <v>18</v>
      </c>
      <c r="G4968" s="1">
        <v>6</v>
      </c>
      <c r="H4968" s="1">
        <v>404</v>
      </c>
      <c r="I4968" s="1">
        <v>5</v>
      </c>
      <c r="J4968" s="4">
        <v>2302.8000000000002</v>
      </c>
      <c r="K4968" s="4">
        <v>1505.73</v>
      </c>
      <c r="L4968" s="4">
        <v>797.07</v>
      </c>
      <c r="M4968" s="1" t="str">
        <f>TEXT(Table1[[#This Row],[Order_Date]], "MMM")</f>
        <v>Sep</v>
      </c>
      <c r="N4968" s="1">
        <f>YEAR(Table1[[#This Row],[Order_Date]])</f>
        <v>2024</v>
      </c>
      <c r="O4968" s="7">
        <f>Table1[[#This Row],[Profit]]/Table1[[#This Row],[Total_Sales]]</f>
        <v>0.34613079729025531</v>
      </c>
    </row>
    <row r="4969" spans="1:17" x14ac:dyDescent="0.25">
      <c r="A4969" s="1">
        <v>4968</v>
      </c>
      <c r="B4969" s="2">
        <v>45379</v>
      </c>
      <c r="C4969" s="1" t="s">
        <v>12</v>
      </c>
      <c r="D4969" s="1" t="s">
        <v>26</v>
      </c>
      <c r="E4969" s="1" t="s">
        <v>27</v>
      </c>
      <c r="F4969" s="1" t="s">
        <v>24</v>
      </c>
      <c r="G4969" s="1">
        <v>3</v>
      </c>
      <c r="H4969" s="1">
        <v>283</v>
      </c>
      <c r="I4969" s="1">
        <v>15</v>
      </c>
      <c r="J4969" s="4">
        <v>721.65</v>
      </c>
      <c r="K4969" s="4">
        <v>485.9</v>
      </c>
      <c r="L4969" s="4">
        <v>235.75</v>
      </c>
      <c r="M4969" s="1" t="str">
        <f>TEXT(Table1[[#This Row],[Order_Date]], "MMM")</f>
        <v>Mar</v>
      </c>
      <c r="N4969" s="1">
        <f>YEAR(Table1[[#This Row],[Order_Date]])</f>
        <v>2024</v>
      </c>
      <c r="O4969" s="7">
        <f>Table1[[#This Row],[Profit]]/Table1[[#This Row],[Total_Sales]]</f>
        <v>0.32668190951292181</v>
      </c>
    </row>
    <row r="4970" spans="1:17" x14ac:dyDescent="0.25">
      <c r="A4970" s="1">
        <v>4969</v>
      </c>
      <c r="B4970" s="2">
        <v>45477</v>
      </c>
      <c r="C4970" s="1" t="s">
        <v>19</v>
      </c>
      <c r="D4970" s="1" t="s">
        <v>32</v>
      </c>
      <c r="E4970" s="1" t="s">
        <v>34</v>
      </c>
      <c r="F4970" s="1" t="s">
        <v>40</v>
      </c>
      <c r="G4970" s="1">
        <v>6</v>
      </c>
      <c r="H4970" s="1">
        <v>828</v>
      </c>
      <c r="I4970" s="1">
        <v>15</v>
      </c>
      <c r="J4970" s="4">
        <v>4222.8</v>
      </c>
      <c r="K4970" s="4">
        <v>2438.35</v>
      </c>
      <c r="L4970" s="4">
        <v>1784.45</v>
      </c>
      <c r="M4970" s="1" t="str">
        <f>TEXT(Table1[[#This Row],[Order_Date]], "MMM")</f>
        <v>Jul</v>
      </c>
      <c r="N4970" s="1">
        <f>YEAR(Table1[[#This Row],[Order_Date]])</f>
        <v>2024</v>
      </c>
      <c r="O4970" s="7">
        <f>Table1[[#This Row],[Profit]]/Table1[[#This Row],[Total_Sales]]</f>
        <v>0.42257506867481293</v>
      </c>
    </row>
    <row r="4971" spans="1:17" x14ac:dyDescent="0.25">
      <c r="A4971" s="1">
        <v>4970</v>
      </c>
      <c r="B4971" s="2">
        <v>45575</v>
      </c>
      <c r="C4971" s="1" t="s">
        <v>19</v>
      </c>
      <c r="D4971" s="1" t="s">
        <v>32</v>
      </c>
      <c r="E4971" s="1" t="s">
        <v>33</v>
      </c>
      <c r="F4971" s="1" t="s">
        <v>24</v>
      </c>
      <c r="G4971" s="1">
        <v>8</v>
      </c>
      <c r="H4971" s="1">
        <v>638</v>
      </c>
      <c r="I4971" s="1">
        <v>10</v>
      </c>
      <c r="J4971" s="4">
        <v>4593.6000000000004</v>
      </c>
      <c r="K4971" s="4">
        <v>3555.67</v>
      </c>
      <c r="L4971" s="4">
        <v>1037.93</v>
      </c>
      <c r="M4971" s="1" t="str">
        <f>TEXT(Table1[[#This Row],[Order_Date]], "MMM")</f>
        <v>Oct</v>
      </c>
      <c r="N4971" s="1">
        <f>YEAR(Table1[[#This Row],[Order_Date]])</f>
        <v>2024</v>
      </c>
      <c r="O4971" s="7">
        <f>Table1[[#This Row],[Profit]]/Table1[[#This Row],[Total_Sales]]</f>
        <v>0.22595132358063391</v>
      </c>
    </row>
    <row r="4972" spans="1:17" x14ac:dyDescent="0.25">
      <c r="A4972" s="1">
        <v>4971</v>
      </c>
      <c r="B4972" s="2">
        <v>44987</v>
      </c>
      <c r="C4972" s="1" t="s">
        <v>19</v>
      </c>
      <c r="D4972" s="1" t="s">
        <v>22</v>
      </c>
      <c r="E4972" s="1" t="s">
        <v>23</v>
      </c>
      <c r="F4972" s="1" t="s">
        <v>40</v>
      </c>
      <c r="G4972" s="1">
        <v>9</v>
      </c>
      <c r="H4972" s="1">
        <v>278</v>
      </c>
      <c r="I4972" s="1">
        <v>0</v>
      </c>
      <c r="J4972" s="4">
        <v>2502</v>
      </c>
      <c r="K4972" s="4">
        <v>1908.61</v>
      </c>
      <c r="L4972" s="4">
        <v>593.39</v>
      </c>
      <c r="M4972" s="1" t="str">
        <f>TEXT(Table1[[#This Row],[Order_Date]], "MMM")</f>
        <v>Mar</v>
      </c>
      <c r="N4972" s="1">
        <f>YEAR(Table1[[#This Row],[Order_Date]])</f>
        <v>2023</v>
      </c>
      <c r="O4972" s="7">
        <f>Table1[[#This Row],[Profit]]/Table1[[#This Row],[Total_Sales]]</f>
        <v>0.23716626698641086</v>
      </c>
    </row>
    <row r="4973" spans="1:17" x14ac:dyDescent="0.25">
      <c r="A4973" s="1">
        <v>4972</v>
      </c>
      <c r="B4973" s="2">
        <v>45026</v>
      </c>
      <c r="C4973" s="1" t="s">
        <v>25</v>
      </c>
      <c r="D4973" s="1" t="s">
        <v>26</v>
      </c>
      <c r="E4973" s="1" t="s">
        <v>46</v>
      </c>
      <c r="F4973" s="1" t="s">
        <v>15</v>
      </c>
      <c r="G4973" s="1">
        <v>1</v>
      </c>
      <c r="H4973" s="1">
        <v>306</v>
      </c>
      <c r="I4973" s="1">
        <v>20</v>
      </c>
      <c r="J4973" s="4">
        <v>244.8</v>
      </c>
      <c r="K4973" s="4">
        <v>187.79</v>
      </c>
      <c r="L4973" s="4">
        <v>57.01</v>
      </c>
      <c r="M4973" s="1" t="str">
        <f>TEXT(Table1[[#This Row],[Order_Date]], "MMM")</f>
        <v>Apr</v>
      </c>
      <c r="N4973" s="1">
        <f>YEAR(Table1[[#This Row],[Order_Date]])</f>
        <v>2023</v>
      </c>
      <c r="O4973" s="7">
        <f>Table1[[#This Row],[Profit]]/Table1[[#This Row],[Total_Sales]]</f>
        <v>0.23288398692810455</v>
      </c>
    </row>
    <row r="4974" spans="1:17" x14ac:dyDescent="0.25">
      <c r="A4974" s="1">
        <v>4973</v>
      </c>
      <c r="B4974" s="2">
        <v>45494</v>
      </c>
      <c r="C4974" s="1" t="s">
        <v>25</v>
      </c>
      <c r="D4974" s="1" t="s">
        <v>20</v>
      </c>
      <c r="E4974" s="1" t="s">
        <v>30</v>
      </c>
      <c r="F4974" s="1" t="s">
        <v>31</v>
      </c>
      <c r="G4974" s="1">
        <v>1</v>
      </c>
      <c r="H4974" s="1">
        <v>522</v>
      </c>
      <c r="I4974" s="1">
        <v>15</v>
      </c>
      <c r="J4974" s="4">
        <v>443.7</v>
      </c>
      <c r="K4974" s="4">
        <v>279.27</v>
      </c>
      <c r="L4974" s="4">
        <v>164.43</v>
      </c>
      <c r="M4974" s="1" t="str">
        <f>TEXT(Table1[[#This Row],[Order_Date]], "MMM")</f>
        <v>Jul</v>
      </c>
      <c r="N4974" s="1">
        <f>YEAR(Table1[[#This Row],[Order_Date]])</f>
        <v>2024</v>
      </c>
      <c r="O4974" s="7">
        <f>Table1[[#This Row],[Profit]]/Table1[[#This Row],[Total_Sales]]</f>
        <v>0.37058823529411766</v>
      </c>
    </row>
    <row r="4975" spans="1:17" ht="23.25" x14ac:dyDescent="0.25">
      <c r="A4975" s="1">
        <v>4974</v>
      </c>
      <c r="B4975" s="2">
        <v>45065</v>
      </c>
      <c r="C4975" s="1" t="s">
        <v>25</v>
      </c>
      <c r="D4975" s="1" t="s">
        <v>20</v>
      </c>
      <c r="E4975" s="1" t="s">
        <v>43</v>
      </c>
      <c r="F4975" s="1" t="s">
        <v>24</v>
      </c>
      <c r="G4975" s="1">
        <v>7</v>
      </c>
      <c r="H4975" s="1">
        <v>851</v>
      </c>
      <c r="I4975" s="1">
        <v>15</v>
      </c>
      <c r="J4975" s="4">
        <v>5063.45</v>
      </c>
      <c r="K4975" s="4">
        <v>3352.73</v>
      </c>
      <c r="L4975" s="4">
        <v>1710.72</v>
      </c>
      <c r="M4975" s="1" t="str">
        <f>TEXT(Table1[[#This Row],[Order_Date]], "MMM")</f>
        <v>May</v>
      </c>
      <c r="N4975" s="1">
        <f>YEAR(Table1[[#This Row],[Order_Date]])</f>
        <v>2023</v>
      </c>
      <c r="O4975" s="7">
        <f>Table1[[#This Row],[Profit]]/Table1[[#This Row],[Total_Sales]]</f>
        <v>0.33785659974918286</v>
      </c>
      <c r="Q4975" s="13"/>
    </row>
    <row r="4976" spans="1:17" x14ac:dyDescent="0.25">
      <c r="A4976" s="1">
        <v>4975</v>
      </c>
      <c r="B4976" s="2">
        <v>45657</v>
      </c>
      <c r="C4976" s="1" t="s">
        <v>12</v>
      </c>
      <c r="D4976" s="1" t="s">
        <v>22</v>
      </c>
      <c r="E4976" s="1" t="s">
        <v>29</v>
      </c>
      <c r="F4976" s="1" t="s">
        <v>35</v>
      </c>
      <c r="G4976" s="1">
        <v>10</v>
      </c>
      <c r="H4976" s="1">
        <v>139</v>
      </c>
      <c r="I4976" s="1">
        <v>15</v>
      </c>
      <c r="J4976" s="4">
        <v>1181.5</v>
      </c>
      <c r="K4976" s="4">
        <v>889.11</v>
      </c>
      <c r="L4976" s="4">
        <v>292.39</v>
      </c>
      <c r="M4976" s="1" t="str">
        <f>TEXT(Table1[[#This Row],[Order_Date]], "MMM")</f>
        <v>Dec</v>
      </c>
      <c r="N4976" s="1">
        <f>YEAR(Table1[[#This Row],[Order_Date]])</f>
        <v>2024</v>
      </c>
      <c r="O4976" s="7">
        <f>Table1[[#This Row],[Profit]]/Table1[[#This Row],[Total_Sales]]</f>
        <v>0.24747355057130765</v>
      </c>
      <c r="Q4976" s="12"/>
    </row>
    <row r="4977" spans="1:17" x14ac:dyDescent="0.25">
      <c r="A4977" s="1">
        <v>4976</v>
      </c>
      <c r="B4977" s="2">
        <v>45621</v>
      </c>
      <c r="C4977" s="1" t="s">
        <v>12</v>
      </c>
      <c r="D4977" s="1" t="s">
        <v>22</v>
      </c>
      <c r="E4977" s="1" t="s">
        <v>36</v>
      </c>
      <c r="F4977" s="1" t="s">
        <v>40</v>
      </c>
      <c r="G4977" s="1">
        <v>9</v>
      </c>
      <c r="H4977" s="1">
        <v>90</v>
      </c>
      <c r="I4977" s="1">
        <v>0</v>
      </c>
      <c r="J4977" s="4">
        <v>810</v>
      </c>
      <c r="K4977" s="4">
        <v>471.86</v>
      </c>
      <c r="L4977" s="4">
        <v>338.14</v>
      </c>
      <c r="M4977" s="1" t="str">
        <f>TEXT(Table1[[#This Row],[Order_Date]], "MMM")</f>
        <v>Nov</v>
      </c>
      <c r="N4977" s="1">
        <f>YEAR(Table1[[#This Row],[Order_Date]])</f>
        <v>2024</v>
      </c>
      <c r="O4977" s="7">
        <f>Table1[[#This Row],[Profit]]/Table1[[#This Row],[Total_Sales]]</f>
        <v>0.41745679012345677</v>
      </c>
      <c r="Q4977" s="12"/>
    </row>
    <row r="4978" spans="1:17" x14ac:dyDescent="0.25">
      <c r="A4978" s="1">
        <v>4977</v>
      </c>
      <c r="B4978" s="2">
        <v>45166</v>
      </c>
      <c r="C4978" s="1" t="s">
        <v>19</v>
      </c>
      <c r="D4978" s="1" t="s">
        <v>13</v>
      </c>
      <c r="E4978" s="1" t="s">
        <v>17</v>
      </c>
      <c r="F4978" s="1" t="s">
        <v>40</v>
      </c>
      <c r="G4978" s="1">
        <v>9</v>
      </c>
      <c r="H4978" s="1">
        <v>106</v>
      </c>
      <c r="I4978" s="1">
        <v>5</v>
      </c>
      <c r="J4978" s="4">
        <v>906.3</v>
      </c>
      <c r="K4978" s="4">
        <v>507.54</v>
      </c>
      <c r="L4978" s="4">
        <v>398.76</v>
      </c>
      <c r="M4978" s="1" t="str">
        <f>TEXT(Table1[[#This Row],[Order_Date]], "MMM")</f>
        <v>Aug</v>
      </c>
      <c r="N4978" s="1">
        <f>YEAR(Table1[[#This Row],[Order_Date]])</f>
        <v>2023</v>
      </c>
      <c r="O4978" s="7">
        <f>Table1[[#This Row],[Profit]]/Table1[[#This Row],[Total_Sales]]</f>
        <v>0.43998675935120823</v>
      </c>
      <c r="Q4978" s="12"/>
    </row>
    <row r="4979" spans="1:17" x14ac:dyDescent="0.25">
      <c r="A4979" s="1">
        <v>4978</v>
      </c>
      <c r="B4979" s="2">
        <v>45267</v>
      </c>
      <c r="C4979" s="1" t="s">
        <v>19</v>
      </c>
      <c r="D4979" s="1" t="s">
        <v>32</v>
      </c>
      <c r="E4979" s="1" t="s">
        <v>34</v>
      </c>
      <c r="F4979" s="1" t="s">
        <v>24</v>
      </c>
      <c r="G4979" s="1">
        <v>9</v>
      </c>
      <c r="H4979" s="1">
        <v>373</v>
      </c>
      <c r="I4979" s="1">
        <v>15</v>
      </c>
      <c r="J4979" s="4">
        <v>2853.45</v>
      </c>
      <c r="K4979" s="4">
        <v>1639.95</v>
      </c>
      <c r="L4979" s="4">
        <v>1213.5</v>
      </c>
      <c r="M4979" s="1" t="str">
        <f>TEXT(Table1[[#This Row],[Order_Date]], "MMM")</f>
        <v>Dec</v>
      </c>
      <c r="N4979" s="1">
        <f>YEAR(Table1[[#This Row],[Order_Date]])</f>
        <v>2023</v>
      </c>
      <c r="O4979" s="7">
        <f>Table1[[#This Row],[Profit]]/Table1[[#This Row],[Total_Sales]]</f>
        <v>0.42527466750775378</v>
      </c>
      <c r="Q4979" s="12"/>
    </row>
    <row r="4980" spans="1:17" x14ac:dyDescent="0.25">
      <c r="A4980" s="1">
        <v>4979</v>
      </c>
      <c r="B4980" s="2">
        <v>45189</v>
      </c>
      <c r="C4980" s="1" t="s">
        <v>12</v>
      </c>
      <c r="D4980" s="1" t="s">
        <v>32</v>
      </c>
      <c r="E4980" s="1" t="s">
        <v>33</v>
      </c>
      <c r="F4980" s="1" t="s">
        <v>35</v>
      </c>
      <c r="G4980" s="1">
        <v>3</v>
      </c>
      <c r="H4980" s="1">
        <v>717</v>
      </c>
      <c r="I4980" s="1">
        <v>15</v>
      </c>
      <c r="J4980" s="4">
        <v>1828.35</v>
      </c>
      <c r="K4980" s="4">
        <v>920.35</v>
      </c>
      <c r="L4980" s="4">
        <v>908</v>
      </c>
      <c r="M4980" s="1" t="str">
        <f>TEXT(Table1[[#This Row],[Order_Date]], "MMM")</f>
        <v>Sep</v>
      </c>
      <c r="N4980" s="1">
        <f>YEAR(Table1[[#This Row],[Order_Date]])</f>
        <v>2023</v>
      </c>
      <c r="O4980" s="7">
        <f>Table1[[#This Row],[Profit]]/Table1[[#This Row],[Total_Sales]]</f>
        <v>0.49662263789755795</v>
      </c>
      <c r="Q4980" s="12"/>
    </row>
    <row r="4981" spans="1:17" x14ac:dyDescent="0.25">
      <c r="A4981" s="1">
        <v>4980</v>
      </c>
      <c r="B4981" s="2">
        <v>45411</v>
      </c>
      <c r="C4981" s="1" t="s">
        <v>19</v>
      </c>
      <c r="D4981" s="1" t="s">
        <v>20</v>
      </c>
      <c r="E4981" s="1" t="s">
        <v>28</v>
      </c>
      <c r="F4981" s="1" t="s">
        <v>40</v>
      </c>
      <c r="G4981" s="1">
        <v>2</v>
      </c>
      <c r="H4981" s="1">
        <v>969</v>
      </c>
      <c r="I4981" s="1">
        <v>10</v>
      </c>
      <c r="J4981" s="4">
        <v>1744.2</v>
      </c>
      <c r="K4981" s="4">
        <v>1282.1600000000001</v>
      </c>
      <c r="L4981" s="4">
        <v>462.04</v>
      </c>
      <c r="M4981" s="1" t="str">
        <f>TEXT(Table1[[#This Row],[Order_Date]], "MMM")</f>
        <v>Apr</v>
      </c>
      <c r="N4981" s="1">
        <f>YEAR(Table1[[#This Row],[Order_Date]])</f>
        <v>2024</v>
      </c>
      <c r="O4981" s="7">
        <f>Table1[[#This Row],[Profit]]/Table1[[#This Row],[Total_Sales]]</f>
        <v>0.26490081412682032</v>
      </c>
      <c r="Q4981" s="12"/>
    </row>
    <row r="4982" spans="1:17" x14ac:dyDescent="0.25">
      <c r="A4982" s="1">
        <v>4981</v>
      </c>
      <c r="B4982" s="2">
        <v>45038</v>
      </c>
      <c r="C4982" s="1" t="s">
        <v>16</v>
      </c>
      <c r="D4982" s="1" t="s">
        <v>32</v>
      </c>
      <c r="E4982" s="1" t="s">
        <v>45</v>
      </c>
      <c r="F4982" s="1" t="s">
        <v>35</v>
      </c>
      <c r="G4982" s="1">
        <v>6</v>
      </c>
      <c r="H4982" s="1">
        <v>361</v>
      </c>
      <c r="I4982" s="1">
        <v>0</v>
      </c>
      <c r="J4982" s="4">
        <v>2166</v>
      </c>
      <c r="K4982" s="4">
        <v>1512.92</v>
      </c>
      <c r="L4982" s="4">
        <v>653.08000000000004</v>
      </c>
      <c r="M4982" s="1" t="str">
        <f>TEXT(Table1[[#This Row],[Order_Date]], "MMM")</f>
        <v>Apr</v>
      </c>
      <c r="N4982" s="1">
        <f>YEAR(Table1[[#This Row],[Order_Date]])</f>
        <v>2023</v>
      </c>
      <c r="O4982" s="7">
        <f>Table1[[#This Row],[Profit]]/Table1[[#This Row],[Total_Sales]]</f>
        <v>0.30151431209602958</v>
      </c>
      <c r="Q4982" s="12"/>
    </row>
    <row r="4983" spans="1:17" x14ac:dyDescent="0.25">
      <c r="A4983" s="1">
        <v>4982</v>
      </c>
      <c r="B4983" s="2">
        <v>44967</v>
      </c>
      <c r="C4983" s="1" t="s">
        <v>12</v>
      </c>
      <c r="D4983" s="1" t="s">
        <v>13</v>
      </c>
      <c r="E4983" s="1" t="s">
        <v>38</v>
      </c>
      <c r="F4983" s="1" t="s">
        <v>18</v>
      </c>
      <c r="G4983" s="1">
        <v>8</v>
      </c>
      <c r="H4983" s="1">
        <v>741</v>
      </c>
      <c r="I4983" s="1">
        <v>5</v>
      </c>
      <c r="J4983" s="4">
        <v>5631.6</v>
      </c>
      <c r="K4983" s="4">
        <v>3623.6</v>
      </c>
      <c r="L4983" s="4">
        <v>2008</v>
      </c>
      <c r="M4983" s="1" t="str">
        <f>TEXT(Table1[[#This Row],[Order_Date]], "MMM")</f>
        <v>Feb</v>
      </c>
      <c r="N4983" s="1">
        <f>YEAR(Table1[[#This Row],[Order_Date]])</f>
        <v>2023</v>
      </c>
      <c r="O4983" s="7">
        <f>Table1[[#This Row],[Profit]]/Table1[[#This Row],[Total_Sales]]</f>
        <v>0.35655941473115987</v>
      </c>
      <c r="Q4983" s="12"/>
    </row>
    <row r="4984" spans="1:17" x14ac:dyDescent="0.25">
      <c r="A4984" s="1">
        <v>4983</v>
      </c>
      <c r="B4984" s="2">
        <v>45469</v>
      </c>
      <c r="C4984" s="1" t="s">
        <v>25</v>
      </c>
      <c r="D4984" s="1" t="s">
        <v>22</v>
      </c>
      <c r="E4984" s="1" t="s">
        <v>23</v>
      </c>
      <c r="F4984" s="1" t="s">
        <v>18</v>
      </c>
      <c r="G4984" s="1">
        <v>2</v>
      </c>
      <c r="H4984" s="1">
        <v>828</v>
      </c>
      <c r="I4984" s="1">
        <v>5</v>
      </c>
      <c r="J4984" s="4">
        <v>1573.2</v>
      </c>
      <c r="K4984" s="4">
        <v>841.8</v>
      </c>
      <c r="L4984" s="4">
        <v>731.4</v>
      </c>
      <c r="M4984" s="1" t="str">
        <f>TEXT(Table1[[#This Row],[Order_Date]], "MMM")</f>
        <v>Jun</v>
      </c>
      <c r="N4984" s="1">
        <f>YEAR(Table1[[#This Row],[Order_Date]])</f>
        <v>2024</v>
      </c>
      <c r="O4984" s="7">
        <f>Table1[[#This Row],[Profit]]/Table1[[#This Row],[Total_Sales]]</f>
        <v>0.46491228070175433</v>
      </c>
      <c r="Q4984" s="12"/>
    </row>
    <row r="4985" spans="1:17" x14ac:dyDescent="0.25">
      <c r="A4985" s="1">
        <v>4984</v>
      </c>
      <c r="B4985" s="2">
        <v>44938</v>
      </c>
      <c r="C4985" s="1" t="s">
        <v>16</v>
      </c>
      <c r="D4985" s="1" t="s">
        <v>32</v>
      </c>
      <c r="E4985" s="1" t="s">
        <v>33</v>
      </c>
      <c r="F4985" s="1" t="s">
        <v>15</v>
      </c>
      <c r="G4985" s="1">
        <v>2</v>
      </c>
      <c r="H4985" s="1">
        <v>169</v>
      </c>
      <c r="I4985" s="1">
        <v>0</v>
      </c>
      <c r="J4985" s="4">
        <v>338</v>
      </c>
      <c r="K4985" s="4">
        <v>171.94</v>
      </c>
      <c r="L4985" s="4">
        <v>166.06</v>
      </c>
      <c r="M4985" s="1" t="str">
        <f>TEXT(Table1[[#This Row],[Order_Date]], "MMM")</f>
        <v>Jan</v>
      </c>
      <c r="N4985" s="1">
        <f>YEAR(Table1[[#This Row],[Order_Date]])</f>
        <v>2023</v>
      </c>
      <c r="O4985" s="7">
        <f>Table1[[#This Row],[Profit]]/Table1[[#This Row],[Total_Sales]]</f>
        <v>0.491301775147929</v>
      </c>
      <c r="Q4985" s="12"/>
    </row>
    <row r="4986" spans="1:17" x14ac:dyDescent="0.25">
      <c r="A4986" s="1">
        <v>4985</v>
      </c>
      <c r="B4986" s="2">
        <v>45018</v>
      </c>
      <c r="C4986" s="1" t="s">
        <v>12</v>
      </c>
      <c r="D4986" s="1" t="s">
        <v>22</v>
      </c>
      <c r="E4986" s="1" t="s">
        <v>23</v>
      </c>
      <c r="F4986" s="1" t="s">
        <v>31</v>
      </c>
      <c r="G4986" s="1">
        <v>6</v>
      </c>
      <c r="H4986" s="1">
        <v>835</v>
      </c>
      <c r="I4986" s="1">
        <v>5</v>
      </c>
      <c r="J4986" s="4">
        <v>4759.5</v>
      </c>
      <c r="K4986" s="4">
        <v>3259.64</v>
      </c>
      <c r="L4986" s="4">
        <v>1499.86</v>
      </c>
      <c r="M4986" s="1" t="str">
        <f>TEXT(Table1[[#This Row],[Order_Date]], "MMM")</f>
        <v>Apr</v>
      </c>
      <c r="N4986" s="1">
        <f>YEAR(Table1[[#This Row],[Order_Date]])</f>
        <v>2023</v>
      </c>
      <c r="O4986" s="7">
        <f>Table1[[#This Row],[Profit]]/Table1[[#This Row],[Total_Sales]]</f>
        <v>0.31512974051896203</v>
      </c>
      <c r="Q4986" s="12"/>
    </row>
    <row r="4987" spans="1:17" x14ac:dyDescent="0.25">
      <c r="A4987" s="1">
        <v>4986</v>
      </c>
      <c r="B4987" s="2">
        <v>45331</v>
      </c>
      <c r="C4987" s="1" t="s">
        <v>16</v>
      </c>
      <c r="D4987" s="1" t="s">
        <v>32</v>
      </c>
      <c r="E4987" s="1" t="s">
        <v>45</v>
      </c>
      <c r="F4987" s="1" t="s">
        <v>40</v>
      </c>
      <c r="G4987" s="1">
        <v>8</v>
      </c>
      <c r="H4987" s="1">
        <v>293</v>
      </c>
      <c r="I4987" s="1">
        <v>20</v>
      </c>
      <c r="J4987" s="4">
        <v>1875.2</v>
      </c>
      <c r="K4987" s="4">
        <v>1283.6199999999999</v>
      </c>
      <c r="L4987" s="4">
        <v>591.58000000000004</v>
      </c>
      <c r="M4987" s="1" t="str">
        <f>TEXT(Table1[[#This Row],[Order_Date]], "MMM")</f>
        <v>Feb</v>
      </c>
      <c r="N4987" s="1">
        <f>YEAR(Table1[[#This Row],[Order_Date]])</f>
        <v>2024</v>
      </c>
      <c r="O4987" s="7">
        <f>Table1[[#This Row],[Profit]]/Table1[[#This Row],[Total_Sales]]</f>
        <v>0.31547568259385667</v>
      </c>
      <c r="Q4987" s="12"/>
    </row>
    <row r="4988" spans="1:17" x14ac:dyDescent="0.25">
      <c r="A4988" s="1">
        <v>4987</v>
      </c>
      <c r="B4988" s="2">
        <v>45524</v>
      </c>
      <c r="C4988" s="1" t="s">
        <v>19</v>
      </c>
      <c r="D4988" s="1" t="s">
        <v>26</v>
      </c>
      <c r="E4988" s="1" t="s">
        <v>27</v>
      </c>
      <c r="F4988" s="1" t="s">
        <v>35</v>
      </c>
      <c r="G4988" s="1">
        <v>9</v>
      </c>
      <c r="H4988" s="1">
        <v>619</v>
      </c>
      <c r="I4988" s="1">
        <v>10</v>
      </c>
      <c r="J4988" s="4">
        <v>5013.8999999999996</v>
      </c>
      <c r="K4988" s="4">
        <v>3145.36</v>
      </c>
      <c r="L4988" s="4">
        <v>1868.54</v>
      </c>
      <c r="M4988" s="1" t="str">
        <f>TEXT(Table1[[#This Row],[Order_Date]], "MMM")</f>
        <v>Aug</v>
      </c>
      <c r="N4988" s="1">
        <f>YEAR(Table1[[#This Row],[Order_Date]])</f>
        <v>2024</v>
      </c>
      <c r="O4988" s="7">
        <f>Table1[[#This Row],[Profit]]/Table1[[#This Row],[Total_Sales]]</f>
        <v>0.37267197191806778</v>
      </c>
    </row>
    <row r="4989" spans="1:17" x14ac:dyDescent="0.25">
      <c r="A4989" s="1">
        <v>4988</v>
      </c>
      <c r="B4989" s="2">
        <v>45579</v>
      </c>
      <c r="C4989" s="1" t="s">
        <v>19</v>
      </c>
      <c r="D4989" s="1" t="s">
        <v>22</v>
      </c>
      <c r="E4989" s="1" t="s">
        <v>29</v>
      </c>
      <c r="F4989" s="1" t="s">
        <v>35</v>
      </c>
      <c r="G4989" s="1">
        <v>7</v>
      </c>
      <c r="H4989" s="1">
        <v>845</v>
      </c>
      <c r="I4989" s="1">
        <v>10</v>
      </c>
      <c r="J4989" s="4">
        <v>5323.5</v>
      </c>
      <c r="K4989" s="4">
        <v>3196.32</v>
      </c>
      <c r="L4989" s="4">
        <v>2127.1799999999998</v>
      </c>
      <c r="M4989" s="1" t="str">
        <f>TEXT(Table1[[#This Row],[Order_Date]], "MMM")</f>
        <v>Oct</v>
      </c>
      <c r="N4989" s="1">
        <f>YEAR(Table1[[#This Row],[Order_Date]])</f>
        <v>2024</v>
      </c>
      <c r="O4989" s="7">
        <f>Table1[[#This Row],[Profit]]/Table1[[#This Row],[Total_Sales]]</f>
        <v>0.39958298112144264</v>
      </c>
    </row>
    <row r="4990" spans="1:17" x14ac:dyDescent="0.25">
      <c r="A4990" s="1">
        <v>4989</v>
      </c>
      <c r="B4990" s="2">
        <v>45133</v>
      </c>
      <c r="C4990" s="1" t="s">
        <v>12</v>
      </c>
      <c r="D4990" s="1" t="s">
        <v>32</v>
      </c>
      <c r="E4990" s="1" t="s">
        <v>45</v>
      </c>
      <c r="F4990" s="1" t="s">
        <v>24</v>
      </c>
      <c r="G4990" s="1">
        <v>3</v>
      </c>
      <c r="H4990" s="1">
        <v>737</v>
      </c>
      <c r="I4990" s="1">
        <v>10</v>
      </c>
      <c r="J4990" s="4">
        <v>1989.9</v>
      </c>
      <c r="K4990" s="4">
        <v>1427.7</v>
      </c>
      <c r="L4990" s="4">
        <v>562.20000000000005</v>
      </c>
      <c r="M4990" s="1" t="str">
        <f>TEXT(Table1[[#This Row],[Order_Date]], "MMM")</f>
        <v>Jul</v>
      </c>
      <c r="N4990" s="1">
        <f>YEAR(Table1[[#This Row],[Order_Date]])</f>
        <v>2023</v>
      </c>
      <c r="O4990" s="7">
        <f>Table1[[#This Row],[Profit]]/Table1[[#This Row],[Total_Sales]]</f>
        <v>0.28252676013870043</v>
      </c>
    </row>
    <row r="4991" spans="1:17" x14ac:dyDescent="0.25">
      <c r="A4991" s="1">
        <v>4990</v>
      </c>
      <c r="B4991" s="2">
        <v>45644</v>
      </c>
      <c r="C4991" s="1" t="s">
        <v>19</v>
      </c>
      <c r="D4991" s="1" t="s">
        <v>22</v>
      </c>
      <c r="E4991" s="1" t="s">
        <v>36</v>
      </c>
      <c r="F4991" s="1" t="s">
        <v>31</v>
      </c>
      <c r="G4991" s="1">
        <v>6</v>
      </c>
      <c r="H4991" s="1">
        <v>437</v>
      </c>
      <c r="I4991" s="1">
        <v>10</v>
      </c>
      <c r="J4991" s="4">
        <v>2359.8000000000002</v>
      </c>
      <c r="K4991" s="4">
        <v>1773.98</v>
      </c>
      <c r="L4991" s="4">
        <v>585.82000000000005</v>
      </c>
      <c r="M4991" s="1" t="str">
        <f>TEXT(Table1[[#This Row],[Order_Date]], "MMM")</f>
        <v>Dec</v>
      </c>
      <c r="N4991" s="1">
        <f>YEAR(Table1[[#This Row],[Order_Date]])</f>
        <v>2024</v>
      </c>
      <c r="O4991" s="7">
        <f>Table1[[#This Row],[Profit]]/Table1[[#This Row],[Total_Sales]]</f>
        <v>0.24824985168234595</v>
      </c>
    </row>
    <row r="4992" spans="1:17" x14ac:dyDescent="0.25">
      <c r="A4992" s="1">
        <v>4991</v>
      </c>
      <c r="B4992" s="2">
        <v>45379</v>
      </c>
      <c r="C4992" s="1" t="s">
        <v>25</v>
      </c>
      <c r="D4992" s="1" t="s">
        <v>32</v>
      </c>
      <c r="E4992" s="1" t="s">
        <v>33</v>
      </c>
      <c r="F4992" s="1" t="s">
        <v>31</v>
      </c>
      <c r="G4992" s="1">
        <v>6</v>
      </c>
      <c r="H4992" s="1">
        <v>551</v>
      </c>
      <c r="I4992" s="1">
        <v>10</v>
      </c>
      <c r="J4992" s="4">
        <v>2975.4</v>
      </c>
      <c r="K4992" s="4">
        <v>2211.6999999999998</v>
      </c>
      <c r="L4992" s="4">
        <v>763.7</v>
      </c>
      <c r="M4992" s="1" t="str">
        <f>TEXT(Table1[[#This Row],[Order_Date]], "MMM")</f>
        <v>Mar</v>
      </c>
      <c r="N4992" s="1">
        <f>YEAR(Table1[[#This Row],[Order_Date]])</f>
        <v>2024</v>
      </c>
      <c r="O4992" s="7">
        <f>Table1[[#This Row],[Profit]]/Table1[[#This Row],[Total_Sales]]</f>
        <v>0.25667137191638101</v>
      </c>
    </row>
    <row r="4993" spans="1:15" x14ac:dyDescent="0.25">
      <c r="A4993" s="1">
        <v>4992</v>
      </c>
      <c r="B4993" s="2">
        <v>45192</v>
      </c>
      <c r="C4993" s="1" t="s">
        <v>25</v>
      </c>
      <c r="D4993" s="1" t="s">
        <v>22</v>
      </c>
      <c r="E4993" s="1" t="s">
        <v>36</v>
      </c>
      <c r="F4993" s="1" t="s">
        <v>18</v>
      </c>
      <c r="G4993" s="1">
        <v>9</v>
      </c>
      <c r="H4993" s="1">
        <v>898</v>
      </c>
      <c r="I4993" s="1">
        <v>20</v>
      </c>
      <c r="J4993" s="4">
        <v>6465.6</v>
      </c>
      <c r="K4993" s="4">
        <v>3579.34</v>
      </c>
      <c r="L4993" s="4">
        <v>2886.26</v>
      </c>
      <c r="M4993" s="1" t="str">
        <f>TEXT(Table1[[#This Row],[Order_Date]], "MMM")</f>
        <v>Sep</v>
      </c>
      <c r="N4993" s="1">
        <f>YEAR(Table1[[#This Row],[Order_Date]])</f>
        <v>2023</v>
      </c>
      <c r="O4993" s="7">
        <f>Table1[[#This Row],[Profit]]/Table1[[#This Row],[Total_Sales]]</f>
        <v>0.44640249938134124</v>
      </c>
    </row>
    <row r="4994" spans="1:15" x14ac:dyDescent="0.25">
      <c r="A4994" s="1">
        <v>4993</v>
      </c>
      <c r="B4994" s="2">
        <v>45374</v>
      </c>
      <c r="C4994" s="1" t="s">
        <v>16</v>
      </c>
      <c r="D4994" s="1" t="s">
        <v>22</v>
      </c>
      <c r="E4994" s="1" t="s">
        <v>23</v>
      </c>
      <c r="F4994" s="1" t="s">
        <v>40</v>
      </c>
      <c r="G4994" s="1">
        <v>7</v>
      </c>
      <c r="H4994" s="1">
        <v>676</v>
      </c>
      <c r="I4994" s="1">
        <v>20</v>
      </c>
      <c r="J4994" s="4">
        <v>3785.6</v>
      </c>
      <c r="K4994" s="4">
        <v>1977.78</v>
      </c>
      <c r="L4994" s="4">
        <v>1807.82</v>
      </c>
      <c r="M4994" s="1" t="str">
        <f>TEXT(Table1[[#This Row],[Order_Date]], "MMM")</f>
        <v>Mar</v>
      </c>
      <c r="N4994" s="1">
        <f>YEAR(Table1[[#This Row],[Order_Date]])</f>
        <v>2024</v>
      </c>
      <c r="O4994" s="7">
        <f>Table1[[#This Row],[Profit]]/Table1[[#This Row],[Total_Sales]]</f>
        <v>0.47755177514792901</v>
      </c>
    </row>
    <row r="4995" spans="1:15" x14ac:dyDescent="0.25">
      <c r="A4995" s="1">
        <v>4994</v>
      </c>
      <c r="B4995" s="2">
        <v>45180</v>
      </c>
      <c r="C4995" s="1" t="s">
        <v>16</v>
      </c>
      <c r="D4995" s="1" t="s">
        <v>26</v>
      </c>
      <c r="E4995" s="1" t="s">
        <v>46</v>
      </c>
      <c r="F4995" s="1" t="s">
        <v>31</v>
      </c>
      <c r="G4995" s="1">
        <v>5</v>
      </c>
      <c r="H4995" s="1">
        <v>982</v>
      </c>
      <c r="I4995" s="1">
        <v>10</v>
      </c>
      <c r="J4995" s="4">
        <v>4419</v>
      </c>
      <c r="K4995" s="4">
        <v>2682.59</v>
      </c>
      <c r="L4995" s="4">
        <v>1736.41</v>
      </c>
      <c r="M4995" s="1" t="str">
        <f>TEXT(Table1[[#This Row],[Order_Date]], "MMM")</f>
        <v>Sep</v>
      </c>
      <c r="N4995" s="1">
        <f>YEAR(Table1[[#This Row],[Order_Date]])</f>
        <v>2023</v>
      </c>
      <c r="O4995" s="7">
        <f>Table1[[#This Row],[Profit]]/Table1[[#This Row],[Total_Sales]]</f>
        <v>0.3929418420457117</v>
      </c>
    </row>
    <row r="4996" spans="1:15" x14ac:dyDescent="0.25">
      <c r="A4996" s="1">
        <v>4995</v>
      </c>
      <c r="B4996" s="2">
        <v>45097</v>
      </c>
      <c r="C4996" s="1" t="s">
        <v>25</v>
      </c>
      <c r="D4996" s="1" t="s">
        <v>13</v>
      </c>
      <c r="E4996" s="1" t="s">
        <v>17</v>
      </c>
      <c r="F4996" s="1" t="s">
        <v>15</v>
      </c>
      <c r="G4996" s="1">
        <v>9</v>
      </c>
      <c r="H4996" s="1">
        <v>698</v>
      </c>
      <c r="I4996" s="1">
        <v>20</v>
      </c>
      <c r="J4996" s="4">
        <v>5025.6000000000004</v>
      </c>
      <c r="K4996" s="4">
        <v>2933.08</v>
      </c>
      <c r="L4996" s="4">
        <v>2092.52</v>
      </c>
      <c r="M4996" s="1" t="str">
        <f>TEXT(Table1[[#This Row],[Order_Date]], "MMM")</f>
        <v>Jun</v>
      </c>
      <c r="N4996" s="1">
        <f>YEAR(Table1[[#This Row],[Order_Date]])</f>
        <v>2023</v>
      </c>
      <c r="O4996" s="7">
        <f>Table1[[#This Row],[Profit]]/Table1[[#This Row],[Total_Sales]]</f>
        <v>0.4163721744667303</v>
      </c>
    </row>
    <row r="4997" spans="1:15" x14ac:dyDescent="0.25">
      <c r="A4997" s="1">
        <v>4996</v>
      </c>
      <c r="B4997" s="2">
        <v>44988</v>
      </c>
      <c r="C4997" s="1" t="s">
        <v>12</v>
      </c>
      <c r="D4997" s="1" t="s">
        <v>26</v>
      </c>
      <c r="E4997" s="1" t="s">
        <v>46</v>
      </c>
      <c r="F4997" s="1" t="s">
        <v>15</v>
      </c>
      <c r="G4997" s="1">
        <v>9</v>
      </c>
      <c r="H4997" s="1">
        <v>269</v>
      </c>
      <c r="I4997" s="1">
        <v>5</v>
      </c>
      <c r="J4997" s="4">
        <v>2299.9499999999998</v>
      </c>
      <c r="K4997" s="4">
        <v>1407.81</v>
      </c>
      <c r="L4997" s="4">
        <v>892.14</v>
      </c>
      <c r="M4997" s="1" t="str">
        <f>TEXT(Table1[[#This Row],[Order_Date]], "MMM")</f>
        <v>Mar</v>
      </c>
      <c r="N4997" s="1">
        <f>YEAR(Table1[[#This Row],[Order_Date]])</f>
        <v>2023</v>
      </c>
      <c r="O4997" s="7">
        <f>Table1[[#This Row],[Profit]]/Table1[[#This Row],[Total_Sales]]</f>
        <v>0.38789538903019632</v>
      </c>
    </row>
    <row r="4998" spans="1:15" x14ac:dyDescent="0.25">
      <c r="A4998" s="1">
        <v>4997</v>
      </c>
      <c r="B4998" s="2">
        <v>45270</v>
      </c>
      <c r="C4998" s="1" t="s">
        <v>12</v>
      </c>
      <c r="D4998" s="1" t="s">
        <v>26</v>
      </c>
      <c r="E4998" s="1" t="s">
        <v>42</v>
      </c>
      <c r="F4998" s="1" t="s">
        <v>35</v>
      </c>
      <c r="G4998" s="1">
        <v>3</v>
      </c>
      <c r="H4998" s="1">
        <v>380</v>
      </c>
      <c r="I4998" s="1">
        <v>15</v>
      </c>
      <c r="J4998" s="4">
        <v>969</v>
      </c>
      <c r="K4998" s="4">
        <v>574.94000000000005</v>
      </c>
      <c r="L4998" s="4">
        <v>394.06</v>
      </c>
      <c r="M4998" s="1" t="str">
        <f>TEXT(Table1[[#This Row],[Order_Date]], "MMM")</f>
        <v>Dec</v>
      </c>
      <c r="N4998" s="1">
        <f>YEAR(Table1[[#This Row],[Order_Date]])</f>
        <v>2023</v>
      </c>
      <c r="O4998" s="7">
        <f>Table1[[#This Row],[Profit]]/Table1[[#This Row],[Total_Sales]]</f>
        <v>0.40666666666666668</v>
      </c>
    </row>
    <row r="4999" spans="1:15" x14ac:dyDescent="0.25">
      <c r="A4999" s="1">
        <v>4998</v>
      </c>
      <c r="B4999" s="2">
        <v>45648</v>
      </c>
      <c r="C4999" s="1" t="s">
        <v>19</v>
      </c>
      <c r="D4999" s="1" t="s">
        <v>13</v>
      </c>
      <c r="E4999" s="1" t="s">
        <v>17</v>
      </c>
      <c r="F4999" s="1" t="s">
        <v>18</v>
      </c>
      <c r="G4999" s="1">
        <v>5</v>
      </c>
      <c r="H4999" s="1">
        <v>291</v>
      </c>
      <c r="I4999" s="1">
        <v>0</v>
      </c>
      <c r="J4999" s="4">
        <v>1455</v>
      </c>
      <c r="K4999" s="4">
        <v>771.72</v>
      </c>
      <c r="L4999" s="4">
        <v>683.28</v>
      </c>
      <c r="M4999" s="1" t="str">
        <f>TEXT(Table1[[#This Row],[Order_Date]], "MMM")</f>
        <v>Dec</v>
      </c>
      <c r="N4999" s="1">
        <f>YEAR(Table1[[#This Row],[Order_Date]])</f>
        <v>2024</v>
      </c>
      <c r="O4999" s="7">
        <f>Table1[[#This Row],[Profit]]/Table1[[#This Row],[Total_Sales]]</f>
        <v>0.46960824742268037</v>
      </c>
    </row>
    <row r="5000" spans="1:15" x14ac:dyDescent="0.25">
      <c r="A5000" s="1">
        <v>4999</v>
      </c>
      <c r="B5000" s="2">
        <v>45456</v>
      </c>
      <c r="C5000" s="1" t="s">
        <v>25</v>
      </c>
      <c r="D5000" s="1" t="s">
        <v>32</v>
      </c>
      <c r="E5000" s="1" t="s">
        <v>45</v>
      </c>
      <c r="F5000" s="1" t="s">
        <v>18</v>
      </c>
      <c r="G5000" s="1">
        <v>6</v>
      </c>
      <c r="H5000" s="1">
        <v>641</v>
      </c>
      <c r="I5000" s="1">
        <v>0</v>
      </c>
      <c r="J5000" s="4">
        <v>3846</v>
      </c>
      <c r="K5000" s="4">
        <v>3035.5</v>
      </c>
      <c r="L5000" s="4">
        <v>810.5</v>
      </c>
      <c r="M5000" s="1" t="str">
        <f>TEXT(Table1[[#This Row],[Order_Date]], "MMM")</f>
        <v>Jun</v>
      </c>
      <c r="N5000" s="1">
        <f>YEAR(Table1[[#This Row],[Order_Date]])</f>
        <v>2024</v>
      </c>
      <c r="O5000" s="7">
        <f>Table1[[#This Row],[Profit]]/Table1[[#This Row],[Total_Sales]]</f>
        <v>0.2107384295371815</v>
      </c>
    </row>
    <row r="5001" spans="1:15" x14ac:dyDescent="0.25">
      <c r="A5001" s="1">
        <v>5000</v>
      </c>
      <c r="B5001" s="2">
        <v>45147</v>
      </c>
      <c r="C5001" s="1" t="s">
        <v>19</v>
      </c>
      <c r="D5001" s="1" t="s">
        <v>13</v>
      </c>
      <c r="E5001" s="1" t="s">
        <v>38</v>
      </c>
      <c r="F5001" s="1" t="s">
        <v>15</v>
      </c>
      <c r="G5001" s="1">
        <v>10</v>
      </c>
      <c r="H5001" s="1">
        <v>804</v>
      </c>
      <c r="I5001" s="1">
        <v>10</v>
      </c>
      <c r="J5001" s="4">
        <v>7236</v>
      </c>
      <c r="K5001" s="4">
        <v>5157.4399999999996</v>
      </c>
      <c r="L5001" s="4">
        <v>2078.56</v>
      </c>
      <c r="M5001" s="1" t="str">
        <f>TEXT(Table1[[#This Row],[Order_Date]], "MMM")</f>
        <v>Aug</v>
      </c>
      <c r="N5001" s="1">
        <f>YEAR(Table1[[#This Row],[Order_Date]])</f>
        <v>2023</v>
      </c>
      <c r="O5001" s="7">
        <f>Table1[[#This Row],[Profit]]/Table1[[#This Row],[Total_Sales]]</f>
        <v>0.28725262576008842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Aarav Bhandari</dc:creator>
  <cp:lastModifiedBy>Aarav Bhandari</cp:lastModifiedBy>
  <dcterms:created xsi:type="dcterms:W3CDTF">2026-02-17T06:43:19Z</dcterms:created>
  <dcterms:modified xsi:type="dcterms:W3CDTF">2026-02-19T06:22:29Z</dcterms:modified>
</cp:coreProperties>
</file>